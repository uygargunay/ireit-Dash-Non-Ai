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lly\Desktop\Impact Real Estate Infrastructure\4.0 Products\4.1 Product I-REI\Digital\MVP\2026-08-20 v2\"/>
    </mc:Choice>
  </mc:AlternateContent>
  <xr:revisionPtr revIDLastSave="0" documentId="8_{99E082FE-81BE-4EBB-A60B-968451952206}" xr6:coauthVersionLast="47" xr6:coauthVersionMax="47" xr10:uidLastSave="{00000000-0000-0000-0000-000000000000}"/>
  <bookViews>
    <workbookView xWindow="28680" yWindow="-120" windowWidth="29040" windowHeight="15720" xr2:uid="{00000000-000D-0000-FFFF-FFFF00000000}"/>
  </bookViews>
  <sheets>
    <sheet name="Business Rules" sheetId="1" r:id="rId1"/>
    <sheet name="00_CHANGE_LOG" sheetId="2" r:id="rId2"/>
    <sheet name="00_PLATFORM_INDEX" sheetId="3" r:id="rId3"/>
    <sheet name="INPUT_CONTROL_MAP" sheetId="4" r:id="rId4"/>
    <sheet name="STG_SOURCE_INTAKE" sheetId="5" r:id="rId5"/>
    <sheet name="MAP_FIELD_MAPPING" sheetId="6" r:id="rId6"/>
    <sheet name="DATA_PROPERTY_MASTER" sheetId="7" r:id="rId7"/>
    <sheet name="DATA_UNIT_MIX" sheetId="8" r:id="rId8"/>
    <sheet name="DATA_RENT_ROLL" sheetId="9" r:id="rId9"/>
    <sheet name="DATA_OPERATING_ACTUALS" sheetId="10" r:id="rId10"/>
    <sheet name="DATA_DEBT_MASTER" sheetId="11" r:id="rId11"/>
    <sheet name="DATA_CASH_RESERVES" sheetId="12" r:id="rId12"/>
    <sheet name="DATA_AGREEMENTS" sheetId="13" r:id="rId13"/>
    <sheet name="DATA_CAPITAL_NEEDS" sheetId="14" r:id="rId14"/>
    <sheet name="ASSUMPTIONS_FLAGS" sheetId="15" r:id="rId15"/>
    <sheet name="DATA_METRIC_LONG" sheetId="16" r:id="rId16"/>
    <sheet name="DATA_QUALITY_CHECKS" sheetId="17" r:id="rId17"/>
    <sheet name="OUT_STAGE1_READINESS_SNAPSHOT" sheetId="18" r:id="rId18"/>
    <sheet name="_LISTS" sheetId="19" r:id="rId19"/>
    <sheet name="MVP_CONTROL" sheetId="20" r:id="rId20"/>
    <sheet name="DATA_DEBT_SCHEDULE" sheetId="21" r:id="rId21"/>
    <sheet name="RECONCILIATION_SUMMARY" sheetId="22" r:id="rId22"/>
    <sheet name="OUT_PHASE1_REPORT_UPDATE" sheetId="23" r:id="rId23"/>
    <sheet name="OUT_10YR_FINANCIAL_TREND" sheetId="24" r:id="rId24"/>
    <sheet name="RERUN_MANIFEST" sheetId="25" r:id="rId25"/>
    <sheet name="V2_CHANGE_SPEC" sheetId="26" r:id="rId26"/>
    <sheet name="ASSESSMENT_VERSION" sheetId="27" r:id="rId27"/>
    <sheet name="FIELD_HISTORY" sheetId="28" r:id="rId28"/>
    <sheet name="CHANGE_EVENT" sheetId="29" r:id="rId29"/>
    <sheet name="ACTION_DECISION" sheetId="30" r:id="rId30"/>
    <sheet name="DATA_OBLIGATIONS" sheetId="31" r:id="rId31"/>
    <sheet name="REPORT_SNAPSHOT" sheetId="32" r:id="rId32"/>
    <sheet name="DASH_01_PORTFOLIO" sheetId="33" r:id="rId33"/>
    <sheet name="DASH_02_GOVERNANCE" sheetId="34" r:id="rId34"/>
    <sheet name="DASH_03_PROPERTIES" sheetId="35" r:id="rId35"/>
    <sheet name="DASH_04_FINANCIAL" sheetId="36" r:id="rId36"/>
    <sheet name="DASH_05_MISSION" sheetId="37" r:id="rId37"/>
    <sheet name="DASH_06_RISKS_ACTIONS" sheetId="38" r:id="rId38"/>
    <sheet name="DASH_07_EVIDENCE_QUALITY" sheetId="39" r:id="rId39"/>
    <sheet name="DASH_08_REPORTS_SHARING" sheetId="40" r:id="rId4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40" l="1"/>
  <c r="O19" i="40"/>
  <c r="N19" i="40"/>
  <c r="M19" i="40"/>
  <c r="L19" i="40"/>
  <c r="K19" i="40"/>
  <c r="J19" i="40"/>
  <c r="I19" i="40"/>
  <c r="H19" i="40"/>
  <c r="G19" i="40"/>
  <c r="F19" i="40"/>
  <c r="E19" i="40"/>
  <c r="D19" i="40"/>
  <c r="C19" i="40"/>
  <c r="P18" i="40"/>
  <c r="O18" i="40"/>
  <c r="N18" i="40"/>
  <c r="M18" i="40"/>
  <c r="L18" i="40"/>
  <c r="K18" i="40"/>
  <c r="J18" i="40"/>
  <c r="I18" i="40"/>
  <c r="H18" i="40"/>
  <c r="G18" i="40"/>
  <c r="F18" i="40"/>
  <c r="E18" i="40"/>
  <c r="D18" i="40"/>
  <c r="C18" i="40"/>
  <c r="P17" i="40"/>
  <c r="O17" i="40"/>
  <c r="N17" i="40"/>
  <c r="M17" i="40"/>
  <c r="L17" i="40"/>
  <c r="K17" i="40"/>
  <c r="J17" i="40"/>
  <c r="I17" i="40"/>
  <c r="H17" i="40"/>
  <c r="G17" i="40"/>
  <c r="F17" i="40"/>
  <c r="E17" i="40"/>
  <c r="D17" i="40"/>
  <c r="C17" i="40"/>
  <c r="P16" i="40"/>
  <c r="O16" i="40"/>
  <c r="N16" i="40"/>
  <c r="M16" i="40"/>
  <c r="L16" i="40"/>
  <c r="K16" i="40"/>
  <c r="J16" i="40"/>
  <c r="I16" i="40"/>
  <c r="H16" i="40"/>
  <c r="G16" i="40"/>
  <c r="F16" i="40"/>
  <c r="E16" i="40"/>
  <c r="D16" i="40"/>
  <c r="C16" i="40"/>
  <c r="P15" i="40"/>
  <c r="O15" i="40"/>
  <c r="N15" i="40"/>
  <c r="M15" i="40"/>
  <c r="L15" i="40"/>
  <c r="K15" i="40"/>
  <c r="J15" i="40"/>
  <c r="I15" i="40"/>
  <c r="H15" i="40"/>
  <c r="G15" i="40"/>
  <c r="F15" i="40"/>
  <c r="E15" i="40"/>
  <c r="D15" i="40"/>
  <c r="C15" i="40"/>
  <c r="P14" i="40"/>
  <c r="O14" i="40"/>
  <c r="N14" i="40"/>
  <c r="M14" i="40"/>
  <c r="L14" i="40"/>
  <c r="K14" i="40"/>
  <c r="J14" i="40"/>
  <c r="I14" i="40"/>
  <c r="H14" i="40"/>
  <c r="G14" i="40"/>
  <c r="F14" i="40"/>
  <c r="E14" i="40"/>
  <c r="D14" i="40"/>
  <c r="C14" i="40"/>
  <c r="P13" i="40"/>
  <c r="O13" i="40"/>
  <c r="N13" i="40"/>
  <c r="M13" i="40"/>
  <c r="L13" i="40"/>
  <c r="K13" i="40"/>
  <c r="J13" i="40"/>
  <c r="I13" i="40"/>
  <c r="H13" i="40"/>
  <c r="G13" i="40"/>
  <c r="F13" i="40"/>
  <c r="E13" i="40"/>
  <c r="D13" i="40"/>
  <c r="C13" i="40"/>
  <c r="P12" i="40"/>
  <c r="O12" i="40"/>
  <c r="N12" i="40"/>
  <c r="M12" i="40"/>
  <c r="L12" i="40"/>
  <c r="K12" i="40"/>
  <c r="J12" i="40"/>
  <c r="I12" i="40"/>
  <c r="H12" i="40"/>
  <c r="G12" i="40"/>
  <c r="F12" i="40"/>
  <c r="E12" i="40"/>
  <c r="D12" i="40"/>
  <c r="C12" i="40"/>
  <c r="O6" i="40"/>
  <c r="L6" i="40"/>
  <c r="I6" i="40"/>
  <c r="F6" i="40"/>
  <c r="C6" i="40"/>
  <c r="O3" i="40"/>
  <c r="L3" i="40"/>
  <c r="H3" i="40"/>
  <c r="D3" i="40"/>
  <c r="P28" i="39"/>
  <c r="O28" i="39"/>
  <c r="N28" i="39"/>
  <c r="L28" i="39"/>
  <c r="K28" i="39"/>
  <c r="J28" i="39"/>
  <c r="I28" i="39"/>
  <c r="P27" i="39"/>
  <c r="O27" i="39"/>
  <c r="N27" i="39"/>
  <c r="L27" i="39"/>
  <c r="K27" i="39"/>
  <c r="J27" i="39"/>
  <c r="I27" i="39"/>
  <c r="P26" i="39"/>
  <c r="O26" i="39"/>
  <c r="N26" i="39"/>
  <c r="L26" i="39"/>
  <c r="K26" i="39"/>
  <c r="J26" i="39"/>
  <c r="I26" i="39"/>
  <c r="P25" i="39"/>
  <c r="O25" i="39"/>
  <c r="N25" i="39"/>
  <c r="L25" i="39"/>
  <c r="K25" i="39"/>
  <c r="J25" i="39"/>
  <c r="I25" i="39"/>
  <c r="P24" i="39"/>
  <c r="O24" i="39"/>
  <c r="N24" i="39"/>
  <c r="L24" i="39"/>
  <c r="K24" i="39"/>
  <c r="J24" i="39"/>
  <c r="I24" i="39"/>
  <c r="P23" i="39"/>
  <c r="O23" i="39"/>
  <c r="N23" i="39"/>
  <c r="M23" i="39"/>
  <c r="L23" i="39"/>
  <c r="K23" i="39"/>
  <c r="J23" i="39"/>
  <c r="I23" i="39"/>
  <c r="P19" i="39"/>
  <c r="O19" i="39"/>
  <c r="L19" i="39"/>
  <c r="K19" i="39"/>
  <c r="P18" i="39"/>
  <c r="O18" i="39"/>
  <c r="M18" i="39"/>
  <c r="L18" i="39"/>
  <c r="K18" i="39"/>
  <c r="J18" i="39"/>
  <c r="I18" i="39"/>
  <c r="H18" i="39"/>
  <c r="G18" i="39"/>
  <c r="F18" i="39"/>
  <c r="E18" i="39"/>
  <c r="D18" i="39"/>
  <c r="C18" i="39"/>
  <c r="P17" i="39"/>
  <c r="O17" i="39"/>
  <c r="N17" i="39"/>
  <c r="L17" i="39"/>
  <c r="K17" i="39"/>
  <c r="J17" i="39"/>
  <c r="I17" i="39"/>
  <c r="H17" i="39"/>
  <c r="G17" i="39"/>
  <c r="F17" i="39"/>
  <c r="E17" i="39"/>
  <c r="D17" i="39"/>
  <c r="C17" i="39"/>
  <c r="P16" i="39"/>
  <c r="O16" i="39"/>
  <c r="L16" i="39"/>
  <c r="K16" i="39"/>
  <c r="J16" i="39"/>
  <c r="I16" i="39"/>
  <c r="H16" i="39"/>
  <c r="G16" i="39"/>
  <c r="F16" i="39"/>
  <c r="E16" i="39"/>
  <c r="D16" i="39"/>
  <c r="C16" i="39"/>
  <c r="P15" i="39"/>
  <c r="O15" i="39"/>
  <c r="L15" i="39"/>
  <c r="K15" i="39"/>
  <c r="J15" i="39"/>
  <c r="I15" i="39"/>
  <c r="H15" i="39"/>
  <c r="G15" i="39"/>
  <c r="F15" i="39"/>
  <c r="E15" i="39"/>
  <c r="D15" i="39"/>
  <c r="C15" i="39"/>
  <c r="P14" i="39"/>
  <c r="O14" i="39"/>
  <c r="L14" i="39"/>
  <c r="K14" i="39"/>
  <c r="J14" i="39"/>
  <c r="I14" i="39"/>
  <c r="H14" i="39"/>
  <c r="G14" i="39"/>
  <c r="F14" i="39"/>
  <c r="E14" i="39"/>
  <c r="D14" i="39"/>
  <c r="C14" i="39"/>
  <c r="P13" i="39"/>
  <c r="O13" i="39"/>
  <c r="L13" i="39"/>
  <c r="K13" i="39"/>
  <c r="J13" i="39"/>
  <c r="I13" i="39"/>
  <c r="H13" i="39"/>
  <c r="G13" i="39"/>
  <c r="F13" i="39"/>
  <c r="E13" i="39"/>
  <c r="D13" i="39"/>
  <c r="C13" i="39"/>
  <c r="P12" i="39"/>
  <c r="O12" i="39"/>
  <c r="L12" i="39"/>
  <c r="K12" i="39"/>
  <c r="J12" i="39"/>
  <c r="I12" i="39"/>
  <c r="H12" i="39"/>
  <c r="G12" i="39"/>
  <c r="F12" i="39"/>
  <c r="E12" i="39"/>
  <c r="D12" i="39"/>
  <c r="C12" i="39"/>
  <c r="I6" i="39"/>
  <c r="O3" i="39"/>
  <c r="L3" i="39"/>
  <c r="H3" i="39"/>
  <c r="D3" i="39"/>
  <c r="H30" i="38"/>
  <c r="G30" i="38"/>
  <c r="F30" i="38"/>
  <c r="E30" i="38"/>
  <c r="D30" i="38"/>
  <c r="C30" i="38"/>
  <c r="H29" i="38"/>
  <c r="G29" i="38"/>
  <c r="F29" i="38"/>
  <c r="E29" i="38"/>
  <c r="D29" i="38"/>
  <c r="C29" i="38"/>
  <c r="H28" i="38"/>
  <c r="G28" i="38"/>
  <c r="F28" i="38"/>
  <c r="E28" i="38"/>
  <c r="D28" i="38"/>
  <c r="C28" i="38"/>
  <c r="H27" i="38"/>
  <c r="G27" i="38"/>
  <c r="F27" i="38"/>
  <c r="E27" i="38"/>
  <c r="D27" i="38"/>
  <c r="C27" i="38"/>
  <c r="H26" i="38"/>
  <c r="G26" i="38"/>
  <c r="F26" i="38"/>
  <c r="E26" i="38"/>
  <c r="D26" i="38"/>
  <c r="C26" i="38"/>
  <c r="H25" i="38"/>
  <c r="G25" i="38"/>
  <c r="F25" i="38"/>
  <c r="E25" i="38"/>
  <c r="D25" i="38"/>
  <c r="C25" i="38"/>
  <c r="H24" i="38"/>
  <c r="G24" i="38"/>
  <c r="F24" i="38"/>
  <c r="E24" i="38"/>
  <c r="D24" i="38"/>
  <c r="C24" i="38"/>
  <c r="H23" i="38"/>
  <c r="G23" i="38"/>
  <c r="F23" i="38"/>
  <c r="E23" i="38"/>
  <c r="D23" i="38"/>
  <c r="C23" i="38"/>
  <c r="P19" i="38"/>
  <c r="O19" i="38"/>
  <c r="N19" i="38"/>
  <c r="M19" i="38"/>
  <c r="L19" i="38"/>
  <c r="K19" i="38"/>
  <c r="J19" i="38"/>
  <c r="I19" i="38"/>
  <c r="H19" i="38"/>
  <c r="G19" i="38"/>
  <c r="F19" i="38"/>
  <c r="E19" i="38"/>
  <c r="D19" i="38"/>
  <c r="C19" i="38"/>
  <c r="P18" i="38"/>
  <c r="O18" i="38"/>
  <c r="N18" i="38"/>
  <c r="M18" i="38"/>
  <c r="L18" i="38"/>
  <c r="K18" i="38"/>
  <c r="J18" i="38"/>
  <c r="I18" i="38"/>
  <c r="H18" i="38"/>
  <c r="G18" i="38"/>
  <c r="F18" i="38"/>
  <c r="E18" i="38"/>
  <c r="D18" i="38"/>
  <c r="C18" i="38"/>
  <c r="P17" i="38"/>
  <c r="O17" i="38"/>
  <c r="N17" i="38"/>
  <c r="M17" i="38"/>
  <c r="L17" i="38"/>
  <c r="K17" i="38"/>
  <c r="J17" i="38"/>
  <c r="I17" i="38"/>
  <c r="H17" i="38"/>
  <c r="G17" i="38"/>
  <c r="F17" i="38"/>
  <c r="E17" i="38"/>
  <c r="D17" i="38"/>
  <c r="C17" i="38"/>
  <c r="P16" i="38"/>
  <c r="O16" i="38"/>
  <c r="N16" i="38"/>
  <c r="M16" i="38"/>
  <c r="L16" i="38"/>
  <c r="K16" i="38"/>
  <c r="J16" i="38"/>
  <c r="I16" i="38"/>
  <c r="H16" i="38"/>
  <c r="G16" i="38"/>
  <c r="F16" i="38"/>
  <c r="E16" i="38"/>
  <c r="D16" i="38"/>
  <c r="C16" i="38"/>
  <c r="P15" i="38"/>
  <c r="O15" i="38"/>
  <c r="N15" i="38"/>
  <c r="M15" i="38"/>
  <c r="L15" i="38"/>
  <c r="K15" i="38"/>
  <c r="J15" i="38"/>
  <c r="I15" i="38"/>
  <c r="H15" i="38"/>
  <c r="G15" i="38"/>
  <c r="F15" i="38"/>
  <c r="E15" i="38"/>
  <c r="D15" i="38"/>
  <c r="C15" i="38"/>
  <c r="P14" i="38"/>
  <c r="O14" i="38"/>
  <c r="N14" i="38"/>
  <c r="M14" i="38"/>
  <c r="L14" i="38"/>
  <c r="K14" i="38"/>
  <c r="J14" i="38"/>
  <c r="I14" i="38"/>
  <c r="H14" i="38"/>
  <c r="G14" i="38"/>
  <c r="F14" i="38"/>
  <c r="E14" i="38"/>
  <c r="D14" i="38"/>
  <c r="C14" i="38"/>
  <c r="P13" i="38"/>
  <c r="O13" i="38"/>
  <c r="N13" i="38"/>
  <c r="M13" i="38"/>
  <c r="L13" i="38"/>
  <c r="K13" i="38"/>
  <c r="J13" i="38"/>
  <c r="I13" i="38"/>
  <c r="H13" i="38"/>
  <c r="G13" i="38"/>
  <c r="F13" i="38"/>
  <c r="E13" i="38"/>
  <c r="D13" i="38"/>
  <c r="C13" i="38"/>
  <c r="P12" i="38"/>
  <c r="O12" i="38"/>
  <c r="N12" i="38"/>
  <c r="M12" i="38"/>
  <c r="L12" i="38"/>
  <c r="K12" i="38"/>
  <c r="J12" i="38"/>
  <c r="I12" i="38"/>
  <c r="H12" i="38"/>
  <c r="G12" i="38"/>
  <c r="F12" i="38"/>
  <c r="E12" i="38"/>
  <c r="D12" i="38"/>
  <c r="C12" i="38"/>
  <c r="O6" i="38"/>
  <c r="L6" i="38"/>
  <c r="I6" i="38"/>
  <c r="F6" i="38"/>
  <c r="O3" i="38"/>
  <c r="L3" i="38"/>
  <c r="H3" i="38"/>
  <c r="D3" i="38"/>
  <c r="D25" i="37"/>
  <c r="D24" i="37"/>
  <c r="D23" i="37"/>
  <c r="P18" i="37"/>
  <c r="O18" i="37"/>
  <c r="N18" i="37"/>
  <c r="M18" i="37"/>
  <c r="L18" i="37"/>
  <c r="K18" i="37"/>
  <c r="J18" i="37"/>
  <c r="I18" i="37"/>
  <c r="P17" i="37"/>
  <c r="O17" i="37"/>
  <c r="N17" i="37"/>
  <c r="M17" i="37"/>
  <c r="L17" i="37"/>
  <c r="K17" i="37"/>
  <c r="J17" i="37"/>
  <c r="I17" i="37"/>
  <c r="P16" i="37"/>
  <c r="O16" i="37"/>
  <c r="N16" i="37"/>
  <c r="M16" i="37"/>
  <c r="L16" i="37"/>
  <c r="K16" i="37"/>
  <c r="J16" i="37"/>
  <c r="I16" i="37"/>
  <c r="D16" i="37"/>
  <c r="P15" i="37"/>
  <c r="O15" i="37"/>
  <c r="N15" i="37"/>
  <c r="M15" i="37"/>
  <c r="L15" i="37"/>
  <c r="K15" i="37"/>
  <c r="J15" i="37"/>
  <c r="I15" i="37"/>
  <c r="E15" i="37"/>
  <c r="D15" i="37"/>
  <c r="P14" i="37"/>
  <c r="O14" i="37"/>
  <c r="N14" i="37"/>
  <c r="M14" i="37"/>
  <c r="L14" i="37"/>
  <c r="K14" i="37"/>
  <c r="J14" i="37"/>
  <c r="I14" i="37"/>
  <c r="D14" i="37"/>
  <c r="E14" i="37" s="1"/>
  <c r="P13" i="37"/>
  <c r="O13" i="37"/>
  <c r="N13" i="37"/>
  <c r="M13" i="37"/>
  <c r="L13" i="37"/>
  <c r="K13" i="37"/>
  <c r="J13" i="37"/>
  <c r="I13" i="37"/>
  <c r="D13" i="37"/>
  <c r="E13" i="37" s="1"/>
  <c r="P12" i="37"/>
  <c r="O12" i="37"/>
  <c r="N12" i="37"/>
  <c r="M12" i="37"/>
  <c r="L12" i="37"/>
  <c r="K12" i="37"/>
  <c r="J12" i="37"/>
  <c r="I12" i="37"/>
  <c r="D12" i="37"/>
  <c r="E12" i="37" s="1"/>
  <c r="L6" i="37"/>
  <c r="I6" i="37"/>
  <c r="F6" i="37"/>
  <c r="C6" i="37"/>
  <c r="O3" i="37"/>
  <c r="L3" i="37"/>
  <c r="H3" i="37"/>
  <c r="D3" i="37"/>
  <c r="P26" i="36"/>
  <c r="N26" i="36"/>
  <c r="M26" i="36"/>
  <c r="L26" i="36"/>
  <c r="K26" i="36"/>
  <c r="J26" i="36"/>
  <c r="I26" i="36"/>
  <c r="P25" i="36"/>
  <c r="O25" i="36"/>
  <c r="N25" i="36"/>
  <c r="M25" i="36"/>
  <c r="L25" i="36"/>
  <c r="K25" i="36"/>
  <c r="J25" i="36"/>
  <c r="I25" i="36"/>
  <c r="P24" i="36"/>
  <c r="O24" i="36"/>
  <c r="N24" i="36"/>
  <c r="M24" i="36"/>
  <c r="L24" i="36"/>
  <c r="K24" i="36"/>
  <c r="J24" i="36"/>
  <c r="I24" i="36"/>
  <c r="P23" i="36"/>
  <c r="N23" i="36"/>
  <c r="M23" i="36"/>
  <c r="L23" i="36"/>
  <c r="K23" i="36"/>
  <c r="J23" i="36"/>
  <c r="I23" i="36"/>
  <c r="P22" i="36"/>
  <c r="O22" i="36"/>
  <c r="N22" i="36"/>
  <c r="M22" i="36"/>
  <c r="L22" i="36"/>
  <c r="K22" i="36"/>
  <c r="J22" i="36"/>
  <c r="I22" i="36"/>
  <c r="G21" i="36"/>
  <c r="E21" i="36"/>
  <c r="D21" i="36"/>
  <c r="C21" i="36"/>
  <c r="D20" i="36"/>
  <c r="C20" i="36"/>
  <c r="C19" i="36"/>
  <c r="P18" i="36"/>
  <c r="O18" i="36"/>
  <c r="N18" i="36"/>
  <c r="L18" i="36"/>
  <c r="K18" i="36"/>
  <c r="J18" i="36"/>
  <c r="I18" i="36"/>
  <c r="E18" i="36"/>
  <c r="C18" i="36"/>
  <c r="P17" i="36"/>
  <c r="O17" i="36"/>
  <c r="N17" i="36"/>
  <c r="M17" i="36"/>
  <c r="L17" i="36"/>
  <c r="K17" i="36"/>
  <c r="J17" i="36"/>
  <c r="I17" i="36"/>
  <c r="D17" i="36"/>
  <c r="C17" i="36"/>
  <c r="P16" i="36"/>
  <c r="O16" i="36"/>
  <c r="N16" i="36"/>
  <c r="L16" i="36"/>
  <c r="K16" i="36"/>
  <c r="J16" i="36"/>
  <c r="I16" i="36"/>
  <c r="C16" i="36"/>
  <c r="P15" i="36"/>
  <c r="O15" i="36"/>
  <c r="N15" i="36"/>
  <c r="L15" i="36"/>
  <c r="K15" i="36"/>
  <c r="J15" i="36"/>
  <c r="I15" i="36"/>
  <c r="G15" i="36"/>
  <c r="E15" i="36"/>
  <c r="C15" i="36"/>
  <c r="P14" i="36"/>
  <c r="O14" i="36"/>
  <c r="N14" i="36"/>
  <c r="K14" i="36"/>
  <c r="J14" i="36"/>
  <c r="I14" i="36"/>
  <c r="G14" i="36"/>
  <c r="E14" i="36"/>
  <c r="D14" i="36"/>
  <c r="C14" i="36"/>
  <c r="P13" i="36"/>
  <c r="O13" i="36"/>
  <c r="N13" i="36"/>
  <c r="K13" i="36"/>
  <c r="J13" i="36"/>
  <c r="I13" i="36"/>
  <c r="G13" i="36"/>
  <c r="C13" i="36"/>
  <c r="P12" i="36"/>
  <c r="O12" i="36"/>
  <c r="N12" i="36"/>
  <c r="L12" i="36"/>
  <c r="K12" i="36"/>
  <c r="J12" i="36"/>
  <c r="I12" i="36"/>
  <c r="G12" i="36"/>
  <c r="E12" i="36"/>
  <c r="C12" i="36"/>
  <c r="I6" i="36"/>
  <c r="C6" i="36"/>
  <c r="O3" i="36"/>
  <c r="L3" i="36"/>
  <c r="H3" i="36"/>
  <c r="D3" i="36"/>
  <c r="H24" i="35"/>
  <c r="G24" i="35"/>
  <c r="E24" i="35"/>
  <c r="D24" i="35"/>
  <c r="C24" i="35"/>
  <c r="O23" i="35"/>
  <c r="N23" i="35"/>
  <c r="M23" i="35"/>
  <c r="L23" i="35"/>
  <c r="K23" i="35"/>
  <c r="J23" i="35"/>
  <c r="I23" i="35"/>
  <c r="H23" i="35"/>
  <c r="G23" i="35"/>
  <c r="E23" i="35"/>
  <c r="D23" i="35"/>
  <c r="C23" i="35"/>
  <c r="P22" i="35"/>
  <c r="O22" i="35"/>
  <c r="N22" i="35"/>
  <c r="M22" i="35"/>
  <c r="L22" i="35"/>
  <c r="K22" i="35"/>
  <c r="J22" i="35"/>
  <c r="I22" i="35"/>
  <c r="H22" i="35"/>
  <c r="G22" i="35"/>
  <c r="F22" i="35"/>
  <c r="E22" i="35"/>
  <c r="D22" i="35"/>
  <c r="C22" i="35"/>
  <c r="P21" i="35"/>
  <c r="O21" i="35"/>
  <c r="N21" i="35"/>
  <c r="M21" i="35"/>
  <c r="L21" i="35"/>
  <c r="K21" i="35"/>
  <c r="J21" i="35"/>
  <c r="I21" i="35"/>
  <c r="H21" i="35"/>
  <c r="G21" i="35"/>
  <c r="F21" i="35"/>
  <c r="E21" i="35"/>
  <c r="D21" i="35"/>
  <c r="C21" i="35"/>
  <c r="P20" i="35"/>
  <c r="O20" i="35"/>
  <c r="N20" i="35"/>
  <c r="M20" i="35"/>
  <c r="L20" i="35"/>
  <c r="K20" i="35"/>
  <c r="J20" i="35"/>
  <c r="I20" i="35"/>
  <c r="P19" i="35"/>
  <c r="O19" i="35"/>
  <c r="N19" i="35"/>
  <c r="M19" i="35"/>
  <c r="L19" i="35"/>
  <c r="K19" i="35"/>
  <c r="J19" i="35"/>
  <c r="I19" i="35"/>
  <c r="O18" i="35"/>
  <c r="N18" i="35"/>
  <c r="M18" i="35"/>
  <c r="L18" i="35"/>
  <c r="K18" i="35"/>
  <c r="J18" i="35"/>
  <c r="I18" i="35"/>
  <c r="O17" i="35"/>
  <c r="N17" i="35"/>
  <c r="M17" i="35"/>
  <c r="L17" i="35"/>
  <c r="K17" i="35"/>
  <c r="J17" i="35"/>
  <c r="I17" i="35"/>
  <c r="P16" i="35"/>
  <c r="O16" i="35"/>
  <c r="N16" i="35"/>
  <c r="M16" i="35"/>
  <c r="L16" i="35"/>
  <c r="K16" i="35"/>
  <c r="J16" i="35"/>
  <c r="I16" i="35"/>
  <c r="E16" i="35"/>
  <c r="D16" i="35"/>
  <c r="P15" i="35"/>
  <c r="O15" i="35"/>
  <c r="N15" i="35"/>
  <c r="M15" i="35"/>
  <c r="L15" i="35"/>
  <c r="K15" i="35"/>
  <c r="J15" i="35"/>
  <c r="I15" i="35"/>
  <c r="E15" i="35"/>
  <c r="D15" i="35"/>
  <c r="O14" i="35"/>
  <c r="N14" i="35"/>
  <c r="M14" i="35"/>
  <c r="L14" i="35"/>
  <c r="K14" i="35"/>
  <c r="J14" i="35"/>
  <c r="I14" i="35"/>
  <c r="E14" i="35"/>
  <c r="D14" i="35"/>
  <c r="O13" i="35"/>
  <c r="N13" i="35"/>
  <c r="M13" i="35"/>
  <c r="L13" i="35"/>
  <c r="K13" i="35"/>
  <c r="J13" i="35"/>
  <c r="I13" i="35"/>
  <c r="E13" i="35"/>
  <c r="D13" i="35"/>
  <c r="P12" i="35"/>
  <c r="O12" i="35"/>
  <c r="N12" i="35"/>
  <c r="M12" i="35"/>
  <c r="L12" i="35"/>
  <c r="K12" i="35"/>
  <c r="J12" i="35"/>
  <c r="I12" i="35"/>
  <c r="E12" i="35"/>
  <c r="D12" i="35"/>
  <c r="O6" i="35"/>
  <c r="L6" i="35"/>
  <c r="I6" i="35"/>
  <c r="O3" i="35"/>
  <c r="L3" i="35"/>
  <c r="H3" i="35"/>
  <c r="D3" i="35"/>
  <c r="H28" i="34"/>
  <c r="G28" i="34"/>
  <c r="F28" i="34"/>
  <c r="E28" i="34"/>
  <c r="D28" i="34"/>
  <c r="C28" i="34"/>
  <c r="H27" i="34"/>
  <c r="G27" i="34"/>
  <c r="F27" i="34"/>
  <c r="E27" i="34"/>
  <c r="D27" i="34"/>
  <c r="C27" i="34"/>
  <c r="H26" i="34"/>
  <c r="G26" i="34"/>
  <c r="F26" i="34"/>
  <c r="E26" i="34"/>
  <c r="D26" i="34"/>
  <c r="C26" i="34"/>
  <c r="H25" i="34"/>
  <c r="G25" i="34"/>
  <c r="F25" i="34"/>
  <c r="E25" i="34"/>
  <c r="D25" i="34"/>
  <c r="C25" i="34"/>
  <c r="H24" i="34"/>
  <c r="G24" i="34"/>
  <c r="F24" i="34"/>
  <c r="E24" i="34"/>
  <c r="D24" i="34"/>
  <c r="C24" i="34"/>
  <c r="H23" i="34"/>
  <c r="G23" i="34"/>
  <c r="F23" i="34"/>
  <c r="E23" i="34"/>
  <c r="D23" i="34"/>
  <c r="C23" i="34"/>
  <c r="O19" i="34"/>
  <c r="N19" i="34"/>
  <c r="M19" i="34"/>
  <c r="L19" i="34"/>
  <c r="K19" i="34"/>
  <c r="J19" i="34"/>
  <c r="I19" i="34"/>
  <c r="O18" i="34"/>
  <c r="N18" i="34"/>
  <c r="M18" i="34"/>
  <c r="L18" i="34"/>
  <c r="K18" i="34"/>
  <c r="J18" i="34"/>
  <c r="I18" i="34"/>
  <c r="O17" i="34"/>
  <c r="N17" i="34"/>
  <c r="M17" i="34"/>
  <c r="L17" i="34"/>
  <c r="K17" i="34"/>
  <c r="J17" i="34"/>
  <c r="I17" i="34"/>
  <c r="D17" i="34"/>
  <c r="O16" i="34"/>
  <c r="N16" i="34"/>
  <c r="M16" i="34"/>
  <c r="L16" i="34"/>
  <c r="K16" i="34"/>
  <c r="J16" i="34"/>
  <c r="I16" i="34"/>
  <c r="D16" i="34"/>
  <c r="O15" i="34"/>
  <c r="N15" i="34"/>
  <c r="M15" i="34"/>
  <c r="L15" i="34"/>
  <c r="K15" i="34"/>
  <c r="J15" i="34"/>
  <c r="I15" i="34"/>
  <c r="O14" i="34"/>
  <c r="N14" i="34"/>
  <c r="M14" i="34"/>
  <c r="L14" i="34"/>
  <c r="K14" i="34"/>
  <c r="J14" i="34"/>
  <c r="I14" i="34"/>
  <c r="O13" i="34"/>
  <c r="N13" i="34"/>
  <c r="M13" i="34"/>
  <c r="L13" i="34"/>
  <c r="K13" i="34"/>
  <c r="J13" i="34"/>
  <c r="I13" i="34"/>
  <c r="D13" i="34"/>
  <c r="O12" i="34"/>
  <c r="N12" i="34"/>
  <c r="M12" i="34"/>
  <c r="L12" i="34"/>
  <c r="K12" i="34"/>
  <c r="J12" i="34"/>
  <c r="I12" i="34"/>
  <c r="D12" i="34"/>
  <c r="N6" i="34"/>
  <c r="K6" i="34"/>
  <c r="C6" i="34"/>
  <c r="O3" i="34"/>
  <c r="L3" i="34"/>
  <c r="H3" i="34"/>
  <c r="D3" i="34"/>
  <c r="J27" i="33"/>
  <c r="H27" i="33"/>
  <c r="G27" i="33"/>
  <c r="F27" i="33"/>
  <c r="E27" i="33"/>
  <c r="D27" i="33"/>
  <c r="C27" i="33"/>
  <c r="J26" i="33"/>
  <c r="H26" i="33"/>
  <c r="G26" i="33"/>
  <c r="D26" i="33"/>
  <c r="C26" i="33"/>
  <c r="H25" i="33"/>
  <c r="G25" i="33"/>
  <c r="D25" i="33"/>
  <c r="C25" i="33"/>
  <c r="J24" i="33"/>
  <c r="H24" i="33"/>
  <c r="G24" i="33"/>
  <c r="D24" i="33"/>
  <c r="C24" i="33"/>
  <c r="J23" i="33"/>
  <c r="H23" i="33"/>
  <c r="G23" i="33"/>
  <c r="E23" i="33"/>
  <c r="D23" i="33"/>
  <c r="C23" i="33"/>
  <c r="J22" i="33"/>
  <c r="H22" i="33"/>
  <c r="G22" i="33"/>
  <c r="D22" i="33"/>
  <c r="C22" i="33"/>
  <c r="P17" i="33"/>
  <c r="O17" i="33"/>
  <c r="N17" i="33"/>
  <c r="M17" i="33"/>
  <c r="L17" i="33"/>
  <c r="K17" i="33"/>
  <c r="J17" i="33"/>
  <c r="I17" i="33"/>
  <c r="H17" i="33"/>
  <c r="G17" i="33"/>
  <c r="E17" i="33"/>
  <c r="D17" i="33"/>
  <c r="C17" i="33"/>
  <c r="P16" i="33"/>
  <c r="O16" i="33"/>
  <c r="N16" i="33"/>
  <c r="M16" i="33"/>
  <c r="L16" i="33"/>
  <c r="K16" i="33"/>
  <c r="J16" i="33"/>
  <c r="I16" i="33"/>
  <c r="H16" i="33"/>
  <c r="G16" i="33"/>
  <c r="E16" i="33"/>
  <c r="D16" i="33"/>
  <c r="C16" i="33"/>
  <c r="P15" i="33"/>
  <c r="O15" i="33"/>
  <c r="N15" i="33"/>
  <c r="M15" i="33"/>
  <c r="L15" i="33"/>
  <c r="K15" i="33"/>
  <c r="J15" i="33"/>
  <c r="I15" i="33"/>
  <c r="H15" i="33"/>
  <c r="G15" i="33"/>
  <c r="E15" i="33"/>
  <c r="D15" i="33"/>
  <c r="C15" i="33"/>
  <c r="P14" i="33"/>
  <c r="O14" i="33"/>
  <c r="N14" i="33"/>
  <c r="M14" i="33"/>
  <c r="L14" i="33"/>
  <c r="K14" i="33"/>
  <c r="J14" i="33"/>
  <c r="I14" i="33"/>
  <c r="H14" i="33"/>
  <c r="G14" i="33"/>
  <c r="E14" i="33"/>
  <c r="D14" i="33"/>
  <c r="C14" i="33"/>
  <c r="P13" i="33"/>
  <c r="O13" i="33"/>
  <c r="N13" i="33"/>
  <c r="M13" i="33"/>
  <c r="L13" i="33"/>
  <c r="K13" i="33"/>
  <c r="J13" i="33"/>
  <c r="I13" i="33"/>
  <c r="H13" i="33"/>
  <c r="G13" i="33"/>
  <c r="E13" i="33"/>
  <c r="D13" i="33"/>
  <c r="C13" i="33"/>
  <c r="P12" i="33"/>
  <c r="O12" i="33"/>
  <c r="N12" i="33"/>
  <c r="M12" i="33"/>
  <c r="L12" i="33"/>
  <c r="K12" i="33"/>
  <c r="J12" i="33"/>
  <c r="I12" i="33"/>
  <c r="H12" i="33"/>
  <c r="G12" i="33"/>
  <c r="E12" i="33"/>
  <c r="D12" i="33"/>
  <c r="C12" i="33"/>
  <c r="F6" i="33"/>
  <c r="C6" i="33"/>
  <c r="O3" i="33"/>
  <c r="L3" i="33"/>
  <c r="H3" i="33"/>
  <c r="D3" i="33"/>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L150" i="31"/>
  <c r="L149" i="31"/>
  <c r="L148" i="31"/>
  <c r="L147" i="31"/>
  <c r="L146" i="31"/>
  <c r="L145" i="31"/>
  <c r="L144" i="31"/>
  <c r="L143" i="31"/>
  <c r="L142" i="31"/>
  <c r="L141" i="31"/>
  <c r="L140" i="31"/>
  <c r="L139" i="31"/>
  <c r="L138" i="31"/>
  <c r="L137" i="31"/>
  <c r="L136" i="31"/>
  <c r="L135" i="31"/>
  <c r="L134" i="31"/>
  <c r="L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L14" i="31"/>
  <c r="P19" i="34" s="1"/>
  <c r="L13" i="31"/>
  <c r="P18" i="34" s="1"/>
  <c r="L12" i="31"/>
  <c r="P17" i="34" s="1"/>
  <c r="L11" i="31"/>
  <c r="P16" i="34" s="1"/>
  <c r="L10" i="31"/>
  <c r="P15" i="34" s="1"/>
  <c r="L9" i="31"/>
  <c r="P14" i="34" s="1"/>
  <c r="L8" i="31"/>
  <c r="P13" i="34" s="1"/>
  <c r="L7" i="31"/>
  <c r="P12" i="34" s="1"/>
  <c r="J206" i="28"/>
  <c r="I206" i="28"/>
  <c r="I205" i="28"/>
  <c r="J205" i="28" s="1"/>
  <c r="I204" i="28"/>
  <c r="J204" i="28" s="1"/>
  <c r="I203" i="28"/>
  <c r="J203" i="28" s="1"/>
  <c r="I202" i="28"/>
  <c r="J202" i="28" s="1"/>
  <c r="I201" i="28"/>
  <c r="J201" i="28" s="1"/>
  <c r="J200" i="28"/>
  <c r="I200" i="28"/>
  <c r="I199" i="28"/>
  <c r="J199" i="28" s="1"/>
  <c r="I198" i="28"/>
  <c r="J198" i="28" s="1"/>
  <c r="J197" i="28"/>
  <c r="I197" i="28"/>
  <c r="I196" i="28"/>
  <c r="J196" i="28" s="1"/>
  <c r="I195" i="28"/>
  <c r="J195" i="28" s="1"/>
  <c r="J194" i="28"/>
  <c r="I194" i="28"/>
  <c r="I193" i="28"/>
  <c r="J193" i="28" s="1"/>
  <c r="I192" i="28"/>
  <c r="J192" i="28" s="1"/>
  <c r="J191" i="28"/>
  <c r="I191" i="28"/>
  <c r="I190" i="28"/>
  <c r="J190" i="28" s="1"/>
  <c r="I189" i="28"/>
  <c r="J189" i="28" s="1"/>
  <c r="J188" i="28"/>
  <c r="I188" i="28"/>
  <c r="I187" i="28"/>
  <c r="J187" i="28" s="1"/>
  <c r="I186" i="28"/>
  <c r="J186" i="28" s="1"/>
  <c r="I185" i="28"/>
  <c r="J185" i="28" s="1"/>
  <c r="J184" i="28"/>
  <c r="I184" i="28"/>
  <c r="I183" i="28"/>
  <c r="J183" i="28" s="1"/>
  <c r="J182" i="28"/>
  <c r="I182" i="28"/>
  <c r="I181" i="28"/>
  <c r="J181" i="28" s="1"/>
  <c r="I180" i="28"/>
  <c r="J180" i="28" s="1"/>
  <c r="I179" i="28"/>
  <c r="J179" i="28" s="1"/>
  <c r="J178" i="28"/>
  <c r="I178" i="28"/>
  <c r="I177" i="28"/>
  <c r="J177" i="28" s="1"/>
  <c r="J176" i="28"/>
  <c r="I176" i="28"/>
  <c r="I175" i="28"/>
  <c r="J175" i="28" s="1"/>
  <c r="I174" i="28"/>
  <c r="J174" i="28" s="1"/>
  <c r="I173" i="28"/>
  <c r="J173" i="28" s="1"/>
  <c r="I172" i="28"/>
  <c r="J172" i="28" s="1"/>
  <c r="J171" i="28"/>
  <c r="I171" i="28"/>
  <c r="J170" i="28"/>
  <c r="I170" i="28"/>
  <c r="I169" i="28"/>
  <c r="J169" i="28" s="1"/>
  <c r="I168" i="28"/>
  <c r="J168" i="28" s="1"/>
  <c r="I167" i="28"/>
  <c r="J167" i="28" s="1"/>
  <c r="I166" i="28"/>
  <c r="J166" i="28" s="1"/>
  <c r="J165" i="28"/>
  <c r="I165" i="28"/>
  <c r="J164" i="28"/>
  <c r="I164" i="28"/>
  <c r="I163" i="28"/>
  <c r="J163" i="28" s="1"/>
  <c r="I162" i="28"/>
  <c r="J162" i="28" s="1"/>
  <c r="I161" i="28"/>
  <c r="J161" i="28" s="1"/>
  <c r="I160" i="28"/>
  <c r="J160" i="28" s="1"/>
  <c r="I159" i="28"/>
  <c r="J159" i="28" s="1"/>
  <c r="J158" i="28"/>
  <c r="I158" i="28"/>
  <c r="I157" i="28"/>
  <c r="J157" i="28" s="1"/>
  <c r="I156" i="28"/>
  <c r="J156" i="28" s="1"/>
  <c r="I155" i="28"/>
  <c r="J155" i="28" s="1"/>
  <c r="I154" i="28"/>
  <c r="J154" i="28" s="1"/>
  <c r="I153" i="28"/>
  <c r="J153" i="28" s="1"/>
  <c r="J152" i="28"/>
  <c r="I152" i="28"/>
  <c r="I151" i="28"/>
  <c r="J151" i="28" s="1"/>
  <c r="I150" i="28"/>
  <c r="J150" i="28" s="1"/>
  <c r="I149" i="28"/>
  <c r="J149" i="28" s="1"/>
  <c r="I148" i="28"/>
  <c r="J148" i="28" s="1"/>
  <c r="I147" i="28"/>
  <c r="J147" i="28" s="1"/>
  <c r="J146" i="28"/>
  <c r="I146" i="28"/>
  <c r="I145" i="28"/>
  <c r="J145" i="28" s="1"/>
  <c r="I144" i="28"/>
  <c r="J144" i="28" s="1"/>
  <c r="I143" i="28"/>
  <c r="J143" i="28" s="1"/>
  <c r="I142" i="28"/>
  <c r="J142" i="28" s="1"/>
  <c r="I141" i="28"/>
  <c r="J141" i="28" s="1"/>
  <c r="J140" i="28"/>
  <c r="I140" i="28"/>
  <c r="I139" i="28"/>
  <c r="J139" i="28" s="1"/>
  <c r="J138" i="28"/>
  <c r="I138" i="28"/>
  <c r="I137" i="28"/>
  <c r="J137" i="28" s="1"/>
  <c r="I136" i="28"/>
  <c r="J136" i="28" s="1"/>
  <c r="I135" i="28"/>
  <c r="J135" i="28" s="1"/>
  <c r="J134" i="28"/>
  <c r="I134" i="28"/>
  <c r="I133" i="28"/>
  <c r="J133" i="28" s="1"/>
  <c r="J132" i="28"/>
  <c r="I132" i="28"/>
  <c r="I131" i="28"/>
  <c r="J131" i="28" s="1"/>
  <c r="I130" i="28"/>
  <c r="J130" i="28" s="1"/>
  <c r="I129" i="28"/>
  <c r="J129" i="28" s="1"/>
  <c r="J128" i="28"/>
  <c r="I128" i="28"/>
  <c r="I127" i="28"/>
  <c r="J127" i="28" s="1"/>
  <c r="I126" i="28"/>
  <c r="J126" i="28" s="1"/>
  <c r="J125" i="28"/>
  <c r="I125" i="28"/>
  <c r="I124" i="28"/>
  <c r="J124" i="28" s="1"/>
  <c r="I123" i="28"/>
  <c r="J123" i="28" s="1"/>
  <c r="J122" i="28"/>
  <c r="I122" i="28"/>
  <c r="I121" i="28"/>
  <c r="J121" i="28" s="1"/>
  <c r="I120" i="28"/>
  <c r="J120" i="28" s="1"/>
  <c r="J119" i="28"/>
  <c r="I119" i="28"/>
  <c r="I118" i="28"/>
  <c r="J118" i="28" s="1"/>
  <c r="I117" i="28"/>
  <c r="J117" i="28" s="1"/>
  <c r="J116" i="28"/>
  <c r="I116" i="28"/>
  <c r="I115" i="28"/>
  <c r="J115" i="28" s="1"/>
  <c r="I114" i="28"/>
  <c r="J114" i="28" s="1"/>
  <c r="I113" i="28"/>
  <c r="J113" i="28" s="1"/>
  <c r="J112" i="28"/>
  <c r="I112" i="28"/>
  <c r="I111" i="28"/>
  <c r="J111" i="28" s="1"/>
  <c r="J110" i="28"/>
  <c r="I110" i="28"/>
  <c r="I109" i="28"/>
  <c r="J109" i="28" s="1"/>
  <c r="I108" i="28"/>
  <c r="J108" i="28" s="1"/>
  <c r="I107" i="28"/>
  <c r="J107" i="28" s="1"/>
  <c r="J106" i="28"/>
  <c r="I106" i="28"/>
  <c r="I105" i="28"/>
  <c r="J105" i="28" s="1"/>
  <c r="J104" i="28"/>
  <c r="I104" i="28"/>
  <c r="I103" i="28"/>
  <c r="J103" i="28" s="1"/>
  <c r="I102" i="28"/>
  <c r="J102" i="28" s="1"/>
  <c r="I101" i="28"/>
  <c r="J101" i="28" s="1"/>
  <c r="I100" i="28"/>
  <c r="J100" i="28" s="1"/>
  <c r="J99" i="28"/>
  <c r="I99" i="28"/>
  <c r="J98" i="28"/>
  <c r="I98" i="28"/>
  <c r="I97" i="28"/>
  <c r="J97" i="28" s="1"/>
  <c r="I96" i="28"/>
  <c r="J96" i="28" s="1"/>
  <c r="I95" i="28"/>
  <c r="J95" i="28" s="1"/>
  <c r="I94" i="28"/>
  <c r="J94" i="28" s="1"/>
  <c r="J93" i="28"/>
  <c r="I93" i="28"/>
  <c r="J92" i="28"/>
  <c r="I92" i="28"/>
  <c r="I91" i="28"/>
  <c r="J91" i="28" s="1"/>
  <c r="I90" i="28"/>
  <c r="J90" i="28" s="1"/>
  <c r="I89" i="28"/>
  <c r="J89" i="28" s="1"/>
  <c r="I88" i="28"/>
  <c r="J88" i="28" s="1"/>
  <c r="I87" i="28"/>
  <c r="J87" i="28" s="1"/>
  <c r="J86" i="28"/>
  <c r="I86" i="28"/>
  <c r="I85" i="28"/>
  <c r="J85" i="28" s="1"/>
  <c r="I84" i="28"/>
  <c r="J84" i="28" s="1"/>
  <c r="I83" i="28"/>
  <c r="J83" i="28" s="1"/>
  <c r="I82" i="28"/>
  <c r="J82" i="28" s="1"/>
  <c r="I81" i="28"/>
  <c r="J81" i="28" s="1"/>
  <c r="J80" i="28"/>
  <c r="I80" i="28"/>
  <c r="I79" i="28"/>
  <c r="J79" i="28" s="1"/>
  <c r="I78" i="28"/>
  <c r="J78" i="28" s="1"/>
  <c r="I77" i="28"/>
  <c r="J77" i="28" s="1"/>
  <c r="I76" i="28"/>
  <c r="J76" i="28" s="1"/>
  <c r="I75" i="28"/>
  <c r="J75" i="28" s="1"/>
  <c r="J74" i="28"/>
  <c r="I74" i="28"/>
  <c r="I73" i="28"/>
  <c r="J73" i="28" s="1"/>
  <c r="I72" i="28"/>
  <c r="J72" i="28" s="1"/>
  <c r="I71" i="28"/>
  <c r="J71" i="28" s="1"/>
  <c r="I70" i="28"/>
  <c r="J70" i="28" s="1"/>
  <c r="I69" i="28"/>
  <c r="J69" i="28" s="1"/>
  <c r="J68" i="28"/>
  <c r="I68" i="28"/>
  <c r="I67" i="28"/>
  <c r="J67" i="28" s="1"/>
  <c r="J66" i="28"/>
  <c r="I66" i="28"/>
  <c r="I65" i="28"/>
  <c r="J65" i="28" s="1"/>
  <c r="I64" i="28"/>
  <c r="J64" i="28" s="1"/>
  <c r="I63" i="28"/>
  <c r="J63" i="28" s="1"/>
  <c r="J62" i="28"/>
  <c r="I62" i="28"/>
  <c r="I61" i="28"/>
  <c r="J61" i="28" s="1"/>
  <c r="J60" i="28"/>
  <c r="I60" i="28"/>
  <c r="I59" i="28"/>
  <c r="J59" i="28" s="1"/>
  <c r="I58" i="28"/>
  <c r="J58" i="28" s="1"/>
  <c r="I57" i="28"/>
  <c r="J57" i="28" s="1"/>
  <c r="J56" i="28"/>
  <c r="I56" i="28"/>
  <c r="I55" i="28"/>
  <c r="J55" i="28" s="1"/>
  <c r="I54" i="28"/>
  <c r="J54" i="28" s="1"/>
  <c r="J53" i="28"/>
  <c r="I53" i="28"/>
  <c r="I52" i="28"/>
  <c r="J52" i="28" s="1"/>
  <c r="I51" i="28"/>
  <c r="J51" i="28" s="1"/>
  <c r="J50" i="28"/>
  <c r="I50" i="28"/>
  <c r="I49" i="28"/>
  <c r="J49" i="28" s="1"/>
  <c r="I48" i="28"/>
  <c r="J48" i="28" s="1"/>
  <c r="J47" i="28"/>
  <c r="I47" i="28"/>
  <c r="I46" i="28"/>
  <c r="J46" i="28" s="1"/>
  <c r="I45" i="28"/>
  <c r="J45" i="28" s="1"/>
  <c r="J44" i="28"/>
  <c r="I44" i="28"/>
  <c r="I43" i="28"/>
  <c r="J43" i="28" s="1"/>
  <c r="I42" i="28"/>
  <c r="J42" i="28" s="1"/>
  <c r="I41" i="28"/>
  <c r="J41" i="28" s="1"/>
  <c r="J40" i="28"/>
  <c r="I40" i="28"/>
  <c r="I39" i="28"/>
  <c r="J39" i="28" s="1"/>
  <c r="J38" i="28"/>
  <c r="I38" i="28"/>
  <c r="I37" i="28"/>
  <c r="J37" i="28" s="1"/>
  <c r="I36" i="28"/>
  <c r="J36" i="28" s="1"/>
  <c r="I35" i="28"/>
  <c r="J35" i="28" s="1"/>
  <c r="J34" i="28"/>
  <c r="I34" i="28"/>
  <c r="I33" i="28"/>
  <c r="J33" i="28" s="1"/>
  <c r="J32" i="28"/>
  <c r="I32" i="28"/>
  <c r="I31" i="28"/>
  <c r="J31" i="28" s="1"/>
  <c r="I30" i="28"/>
  <c r="J30" i="28" s="1"/>
  <c r="I29" i="28"/>
  <c r="J29" i="28" s="1"/>
  <c r="I28" i="28"/>
  <c r="J28" i="28" s="1"/>
  <c r="J27" i="28"/>
  <c r="I27" i="28"/>
  <c r="J26" i="28"/>
  <c r="I26" i="28"/>
  <c r="I25" i="28"/>
  <c r="J25" i="28" s="1"/>
  <c r="I24" i="28"/>
  <c r="J24" i="28" s="1"/>
  <c r="I23" i="28"/>
  <c r="J23" i="28" s="1"/>
  <c r="I22" i="28"/>
  <c r="J22" i="28" s="1"/>
  <c r="J21" i="28"/>
  <c r="I21" i="28"/>
  <c r="J20" i="28"/>
  <c r="I20" i="28"/>
  <c r="I19" i="28"/>
  <c r="J19" i="28" s="1"/>
  <c r="I18" i="28"/>
  <c r="J18" i="28" s="1"/>
  <c r="I17" i="28"/>
  <c r="J17" i="28" s="1"/>
  <c r="I16" i="28"/>
  <c r="J16" i="28" s="1"/>
  <c r="I15" i="28"/>
  <c r="J15" i="28" s="1"/>
  <c r="J14" i="28"/>
  <c r="M18" i="36" s="1"/>
  <c r="I14" i="28"/>
  <c r="I13" i="28"/>
  <c r="J13" i="28" s="1"/>
  <c r="I12" i="28"/>
  <c r="J12" i="28" s="1"/>
  <c r="M16" i="36" s="1"/>
  <c r="I11" i="28"/>
  <c r="M27" i="39" s="1"/>
  <c r="I10" i="28"/>
  <c r="L14" i="36" s="1"/>
  <c r="I9" i="28"/>
  <c r="J8" i="28"/>
  <c r="M12" i="36" s="1"/>
  <c r="I8" i="28"/>
  <c r="M24" i="39" s="1"/>
  <c r="I7" i="28"/>
  <c r="J7" i="28" s="1"/>
  <c r="H13" i="24"/>
  <c r="E13" i="24"/>
  <c r="C13" i="24"/>
  <c r="B13" i="24"/>
  <c r="D13" i="24" s="1"/>
  <c r="H12" i="24"/>
  <c r="E12" i="24"/>
  <c r="G20" i="36" s="1"/>
  <c r="C12" i="24"/>
  <c r="E20" i="36" s="1"/>
  <c r="B12" i="24"/>
  <c r="H11" i="24"/>
  <c r="E11" i="24"/>
  <c r="G19" i="36" s="1"/>
  <c r="C11" i="24"/>
  <c r="E19" i="36" s="1"/>
  <c r="B11" i="24"/>
  <c r="D19" i="36" s="1"/>
  <c r="H10" i="24"/>
  <c r="E10" i="24"/>
  <c r="G18" i="36" s="1"/>
  <c r="D10" i="24"/>
  <c r="C10" i="24"/>
  <c r="B10" i="24"/>
  <c r="D18" i="36" s="1"/>
  <c r="H9" i="24"/>
  <c r="E9" i="24"/>
  <c r="G17" i="36" s="1"/>
  <c r="D9" i="24"/>
  <c r="F17" i="36" s="1"/>
  <c r="C9" i="24"/>
  <c r="E17" i="36" s="1"/>
  <c r="B9" i="24"/>
  <c r="H8" i="24"/>
  <c r="E8" i="24"/>
  <c r="G16" i="36" s="1"/>
  <c r="C8" i="24"/>
  <c r="E16" i="36" s="1"/>
  <c r="B8" i="24"/>
  <c r="D8" i="24" s="1"/>
  <c r="F16" i="36" s="1"/>
  <c r="H7" i="24"/>
  <c r="E7" i="24"/>
  <c r="C7" i="24"/>
  <c r="B7" i="24"/>
  <c r="D7" i="24" s="1"/>
  <c r="F7" i="24" s="1"/>
  <c r="H6" i="24"/>
  <c r="E6" i="24"/>
  <c r="C6" i="24"/>
  <c r="B6" i="24"/>
  <c r="D6" i="24" s="1"/>
  <c r="H5" i="24"/>
  <c r="E5" i="24"/>
  <c r="C5" i="24"/>
  <c r="E13" i="36" s="1"/>
  <c r="B5" i="24"/>
  <c r="D13" i="36" s="1"/>
  <c r="H4" i="24"/>
  <c r="E4" i="24"/>
  <c r="C4" i="24"/>
  <c r="D4" i="24" s="1"/>
  <c r="B4" i="24"/>
  <c r="D12" i="36" s="1"/>
  <c r="E206" i="21"/>
  <c r="E205" i="21"/>
  <c r="E204" i="21"/>
  <c r="E203" i="21"/>
  <c r="E202" i="21"/>
  <c r="E201" i="21"/>
  <c r="E200" i="21"/>
  <c r="E199" i="21"/>
  <c r="E198" i="21"/>
  <c r="E197" i="21"/>
  <c r="E196" i="21"/>
  <c r="E195" i="21"/>
  <c r="E194" i="21"/>
  <c r="E193" i="21"/>
  <c r="E192" i="21"/>
  <c r="E191" i="21"/>
  <c r="E190" i="21"/>
  <c r="E189" i="21"/>
  <c r="E188" i="21"/>
  <c r="E187" i="21"/>
  <c r="E186" i="21"/>
  <c r="E185" i="21"/>
  <c r="E184" i="21"/>
  <c r="E183" i="21"/>
  <c r="E182" i="21"/>
  <c r="E181" i="21"/>
  <c r="E180" i="21"/>
  <c r="E179" i="21"/>
  <c r="E178" i="21"/>
  <c r="E177" i="21"/>
  <c r="E176" i="21"/>
  <c r="E175" i="21"/>
  <c r="E174" i="21"/>
  <c r="E173" i="21"/>
  <c r="E172" i="21"/>
  <c r="E171" i="21"/>
  <c r="E170" i="21"/>
  <c r="E169" i="21"/>
  <c r="E168" i="21"/>
  <c r="E167" i="21"/>
  <c r="E166" i="21"/>
  <c r="E165" i="21"/>
  <c r="E164" i="21"/>
  <c r="E163" i="21"/>
  <c r="E162" i="21"/>
  <c r="E161" i="21"/>
  <c r="E160" i="21"/>
  <c r="E159" i="21"/>
  <c r="E158" i="21"/>
  <c r="E157" i="21"/>
  <c r="E156" i="21"/>
  <c r="E155" i="21"/>
  <c r="E154" i="21"/>
  <c r="E153" i="21"/>
  <c r="E152" i="21"/>
  <c r="E151" i="21"/>
  <c r="E150" i="21"/>
  <c r="E149" i="21"/>
  <c r="E148" i="21"/>
  <c r="E147" i="21"/>
  <c r="E146" i="21"/>
  <c r="E145" i="21"/>
  <c r="E144" i="21"/>
  <c r="E143" i="21"/>
  <c r="E142" i="21"/>
  <c r="E141" i="21"/>
  <c r="E140" i="21"/>
  <c r="E139" i="21"/>
  <c r="E138" i="21"/>
  <c r="E137" i="21"/>
  <c r="E136" i="21"/>
  <c r="E135" i="21"/>
  <c r="E134" i="21"/>
  <c r="E133" i="21"/>
  <c r="E132" i="21"/>
  <c r="E131" i="21"/>
  <c r="E130" i="21"/>
  <c r="E129" i="21"/>
  <c r="E128" i="21"/>
  <c r="E127" i="21"/>
  <c r="E126" i="21"/>
  <c r="E125" i="21"/>
  <c r="E124" i="21"/>
  <c r="E123" i="21"/>
  <c r="E122" i="21"/>
  <c r="E121" i="21"/>
  <c r="E120" i="21"/>
  <c r="E119" i="21"/>
  <c r="E118" i="21"/>
  <c r="E117" i="21"/>
  <c r="E116" i="21"/>
  <c r="E115" i="21"/>
  <c r="E114" i="21"/>
  <c r="E113" i="21"/>
  <c r="E112" i="21"/>
  <c r="E111" i="21"/>
  <c r="E110" i="21"/>
  <c r="E109" i="21"/>
  <c r="E108" i="21"/>
  <c r="E107" i="21"/>
  <c r="E106" i="21"/>
  <c r="E105" i="21"/>
  <c r="E104" i="21"/>
  <c r="E103" i="21"/>
  <c r="E102" i="21"/>
  <c r="E101" i="21"/>
  <c r="E100" i="21"/>
  <c r="E99" i="21"/>
  <c r="E98"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E63" i="21"/>
  <c r="E62" i="21"/>
  <c r="E61" i="21"/>
  <c r="E60" i="21"/>
  <c r="E59" i="21"/>
  <c r="E58" i="21"/>
  <c r="E57" i="21"/>
  <c r="E56" i="21"/>
  <c r="E55" i="21"/>
  <c r="E54" i="21"/>
  <c r="E53" i="21"/>
  <c r="E52" i="21"/>
  <c r="E51" i="21"/>
  <c r="E50" i="21"/>
  <c r="E49" i="21"/>
  <c r="E48" i="21"/>
  <c r="E47" i="21"/>
  <c r="E46" i="21"/>
  <c r="E45" i="21"/>
  <c r="E44" i="21"/>
  <c r="E43" i="21"/>
  <c r="E42" i="21"/>
  <c r="E41" i="21"/>
  <c r="E40" i="21"/>
  <c r="E39" i="21"/>
  <c r="E38" i="21"/>
  <c r="E37" i="21"/>
  <c r="E36" i="21"/>
  <c r="E35" i="21"/>
  <c r="E34" i="21"/>
  <c r="E33" i="21"/>
  <c r="E32" i="21"/>
  <c r="E31" i="21"/>
  <c r="E30" i="21"/>
  <c r="E29" i="21"/>
  <c r="E28" i="21"/>
  <c r="E27" i="21"/>
  <c r="E26" i="21"/>
  <c r="E25" i="21"/>
  <c r="E24" i="21"/>
  <c r="E23" i="21"/>
  <c r="E22" i="21"/>
  <c r="E21" i="21"/>
  <c r="E20" i="21"/>
  <c r="E19" i="21"/>
  <c r="E18" i="21"/>
  <c r="E17" i="21"/>
  <c r="E16" i="21"/>
  <c r="E15" i="21"/>
  <c r="E14" i="21"/>
  <c r="E13" i="21"/>
  <c r="E12" i="21"/>
  <c r="E11" i="21"/>
  <c r="E10" i="21"/>
  <c r="E9" i="21"/>
  <c r="E8" i="21"/>
  <c r="E7" i="21"/>
  <c r="E6" i="21"/>
  <c r="E5" i="21"/>
  <c r="A32" i="18"/>
  <c r="A31" i="18"/>
  <c r="A30" i="18"/>
  <c r="A29" i="18"/>
  <c r="A28" i="18"/>
  <c r="A27" i="18"/>
  <c r="J22" i="18"/>
  <c r="C22" i="18"/>
  <c r="J21" i="18"/>
  <c r="J20" i="18"/>
  <c r="J19" i="18"/>
  <c r="C11" i="18"/>
  <c r="C10" i="18"/>
  <c r="C9" i="18"/>
  <c r="F5" i="18"/>
  <c r="A5" i="18"/>
  <c r="D19" i="17"/>
  <c r="E19" i="17" s="1"/>
  <c r="E18" i="17"/>
  <c r="D18" i="17"/>
  <c r="D17" i="17"/>
  <c r="E17" i="17" s="1"/>
  <c r="D15" i="17"/>
  <c r="E15" i="17" s="1"/>
  <c r="E14" i="17"/>
  <c r="N19" i="39" s="1"/>
  <c r="D13" i="17"/>
  <c r="E13" i="17" s="1"/>
  <c r="N18" i="39" s="1"/>
  <c r="E12" i="17"/>
  <c r="D12" i="17"/>
  <c r="M17" i="39" s="1"/>
  <c r="D11" i="17"/>
  <c r="D10" i="17"/>
  <c r="D8" i="17"/>
  <c r="M13" i="39" s="1"/>
  <c r="D7" i="17"/>
  <c r="E22" i="33" s="1"/>
  <c r="E35" i="16"/>
  <c r="D35" i="16"/>
  <c r="E34" i="16"/>
  <c r="J24" i="18" s="1"/>
  <c r="D34" i="16"/>
  <c r="D33" i="16"/>
  <c r="E33" i="16" s="1"/>
  <c r="E32" i="16"/>
  <c r="D32" i="16"/>
  <c r="E31" i="16"/>
  <c r="D31" i="16"/>
  <c r="E30" i="16"/>
  <c r="D30" i="16"/>
  <c r="E29" i="16"/>
  <c r="D29" i="16"/>
  <c r="E28" i="16"/>
  <c r="D28" i="16"/>
  <c r="E27" i="16"/>
  <c r="D27" i="16"/>
  <c r="E26" i="16"/>
  <c r="D26" i="16"/>
  <c r="E25" i="16"/>
  <c r="D25" i="16"/>
  <c r="E22" i="16"/>
  <c r="D22" i="16"/>
  <c r="E20" i="16"/>
  <c r="D20" i="16"/>
  <c r="E19" i="16"/>
  <c r="D19" i="16"/>
  <c r="E18" i="16"/>
  <c r="D18" i="16"/>
  <c r="E17" i="16"/>
  <c r="C19" i="18" s="1"/>
  <c r="D17" i="16"/>
  <c r="E16" i="16"/>
  <c r="C6" i="38" s="1"/>
  <c r="D16" i="16"/>
  <c r="E15" i="16"/>
  <c r="C6" i="39" s="1"/>
  <c r="D15" i="16"/>
  <c r="E13" i="16"/>
  <c r="D13" i="16"/>
  <c r="E12" i="16"/>
  <c r="E16" i="37" s="1"/>
  <c r="D12" i="16"/>
  <c r="E11" i="16"/>
  <c r="D11" i="16"/>
  <c r="E10" i="16"/>
  <c r="D10" i="16"/>
  <c r="E9" i="16"/>
  <c r="D15" i="34" s="1"/>
  <c r="D9" i="16"/>
  <c r="E8" i="16"/>
  <c r="D8" i="16"/>
  <c r="E7" i="16"/>
  <c r="C6" i="35" s="1"/>
  <c r="D7" i="16"/>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Q206" i="11"/>
  <c r="M206" i="11"/>
  <c r="L206" i="11"/>
  <c r="K206" i="11"/>
  <c r="Q205" i="11"/>
  <c r="M205" i="11"/>
  <c r="L205" i="11"/>
  <c r="K205" i="11"/>
  <c r="Q204" i="11"/>
  <c r="M204" i="11"/>
  <c r="L204" i="11"/>
  <c r="K204" i="11"/>
  <c r="Q203" i="11"/>
  <c r="M203" i="11"/>
  <c r="L203" i="11"/>
  <c r="K203" i="11"/>
  <c r="Q202" i="11"/>
  <c r="M202" i="11"/>
  <c r="L202" i="11"/>
  <c r="K202" i="11"/>
  <c r="Q201" i="11"/>
  <c r="M201" i="11"/>
  <c r="L201" i="11"/>
  <c r="K201" i="11"/>
  <c r="Q200" i="11"/>
  <c r="M200" i="11"/>
  <c r="L200" i="11"/>
  <c r="K200" i="11"/>
  <c r="Q199" i="11"/>
  <c r="M199" i="11"/>
  <c r="L199" i="11"/>
  <c r="K199" i="11"/>
  <c r="Q198" i="11"/>
  <c r="M198" i="11"/>
  <c r="L198" i="11"/>
  <c r="K198" i="11"/>
  <c r="Q197" i="11"/>
  <c r="M197" i="11"/>
  <c r="L197" i="11"/>
  <c r="K197" i="11"/>
  <c r="Q196" i="11"/>
  <c r="M196" i="11"/>
  <c r="L196" i="11"/>
  <c r="K196" i="11"/>
  <c r="Q195" i="11"/>
  <c r="M195" i="11"/>
  <c r="L195" i="11"/>
  <c r="K195" i="11"/>
  <c r="Q194" i="11"/>
  <c r="M194" i="11"/>
  <c r="L194" i="11"/>
  <c r="K194" i="11"/>
  <c r="Q193" i="11"/>
  <c r="M193" i="11"/>
  <c r="L193" i="11"/>
  <c r="K193" i="11"/>
  <c r="Q192" i="11"/>
  <c r="M192" i="11"/>
  <c r="L192" i="11"/>
  <c r="K192" i="11"/>
  <c r="Q191" i="11"/>
  <c r="M191" i="11"/>
  <c r="L191" i="11"/>
  <c r="K191" i="11"/>
  <c r="Q190" i="11"/>
  <c r="M190" i="11"/>
  <c r="L190" i="11"/>
  <c r="K190" i="11"/>
  <c r="Q189" i="11"/>
  <c r="M189" i="11"/>
  <c r="L189" i="11"/>
  <c r="K189" i="11"/>
  <c r="Q188" i="11"/>
  <c r="M188" i="11"/>
  <c r="L188" i="11"/>
  <c r="K188" i="11"/>
  <c r="Q187" i="11"/>
  <c r="M187" i="11"/>
  <c r="L187" i="11"/>
  <c r="K187" i="11"/>
  <c r="Q186" i="11"/>
  <c r="M186" i="11"/>
  <c r="L186" i="11"/>
  <c r="K186" i="11"/>
  <c r="Q185" i="11"/>
  <c r="M185" i="11"/>
  <c r="L185" i="11"/>
  <c r="K185" i="11"/>
  <c r="Q184" i="11"/>
  <c r="M184" i="11"/>
  <c r="L184" i="11"/>
  <c r="K184" i="11"/>
  <c r="Q183" i="11"/>
  <c r="M183" i="11"/>
  <c r="L183" i="11"/>
  <c r="K183" i="11"/>
  <c r="Q182" i="11"/>
  <c r="M182" i="11"/>
  <c r="L182" i="11"/>
  <c r="K182" i="11"/>
  <c r="Q181" i="11"/>
  <c r="M181" i="11"/>
  <c r="L181" i="11"/>
  <c r="K181" i="11"/>
  <c r="Q180" i="11"/>
  <c r="M180" i="11"/>
  <c r="L180" i="11"/>
  <c r="K180" i="11"/>
  <c r="Q179" i="11"/>
  <c r="M179" i="11"/>
  <c r="L179" i="11"/>
  <c r="K179" i="11"/>
  <c r="Q178" i="11"/>
  <c r="M178" i="11"/>
  <c r="L178" i="11"/>
  <c r="K178" i="11"/>
  <c r="Q177" i="11"/>
  <c r="M177" i="11"/>
  <c r="L177" i="11"/>
  <c r="K177" i="11"/>
  <c r="Q176" i="11"/>
  <c r="M176" i="11"/>
  <c r="L176" i="11"/>
  <c r="K176" i="11"/>
  <c r="Q175" i="11"/>
  <c r="M175" i="11"/>
  <c r="L175" i="11"/>
  <c r="K175" i="11"/>
  <c r="Q174" i="11"/>
  <c r="M174" i="11"/>
  <c r="L174" i="11"/>
  <c r="K174" i="11"/>
  <c r="Q173" i="11"/>
  <c r="M173" i="11"/>
  <c r="L173" i="11"/>
  <c r="K173" i="11"/>
  <c r="Q172" i="11"/>
  <c r="M172" i="11"/>
  <c r="L172" i="11"/>
  <c r="K172" i="11"/>
  <c r="Q171" i="11"/>
  <c r="M171" i="11"/>
  <c r="L171" i="11"/>
  <c r="K171" i="11"/>
  <c r="Q170" i="11"/>
  <c r="M170" i="11"/>
  <c r="L170" i="11"/>
  <c r="K170" i="11"/>
  <c r="Q169" i="11"/>
  <c r="M169" i="11"/>
  <c r="L169" i="11"/>
  <c r="K169" i="11"/>
  <c r="Q168" i="11"/>
  <c r="M168" i="11"/>
  <c r="L168" i="11"/>
  <c r="K168" i="11"/>
  <c r="Q167" i="11"/>
  <c r="M167" i="11"/>
  <c r="L167" i="11"/>
  <c r="K167" i="11"/>
  <c r="Q166" i="11"/>
  <c r="M166" i="11"/>
  <c r="L166" i="11"/>
  <c r="K166" i="11"/>
  <c r="Q165" i="11"/>
  <c r="M165" i="11"/>
  <c r="L165" i="11"/>
  <c r="K165" i="11"/>
  <c r="Q164" i="11"/>
  <c r="M164" i="11"/>
  <c r="L164" i="11"/>
  <c r="K164" i="11"/>
  <c r="Q163" i="11"/>
  <c r="M163" i="11"/>
  <c r="L163" i="11"/>
  <c r="K163" i="11"/>
  <c r="Q162" i="11"/>
  <c r="M162" i="11"/>
  <c r="L162" i="11"/>
  <c r="K162" i="11"/>
  <c r="Q161" i="11"/>
  <c r="M161" i="11"/>
  <c r="L161" i="11"/>
  <c r="K161" i="11"/>
  <c r="Q160" i="11"/>
  <c r="M160" i="11"/>
  <c r="L160" i="11"/>
  <c r="K160" i="11"/>
  <c r="Q159" i="11"/>
  <c r="M159" i="11"/>
  <c r="L159" i="11"/>
  <c r="K159" i="11"/>
  <c r="Q158" i="11"/>
  <c r="M158" i="11"/>
  <c r="L158" i="11"/>
  <c r="K158" i="11"/>
  <c r="Q157" i="11"/>
  <c r="M157" i="11"/>
  <c r="L157" i="11"/>
  <c r="K157" i="11"/>
  <c r="Q156" i="11"/>
  <c r="M156" i="11"/>
  <c r="L156" i="11"/>
  <c r="K156" i="11"/>
  <c r="Q155" i="11"/>
  <c r="M155" i="11"/>
  <c r="L155" i="11"/>
  <c r="K155" i="11"/>
  <c r="Q154" i="11"/>
  <c r="M154" i="11"/>
  <c r="L154" i="11"/>
  <c r="K154" i="11"/>
  <c r="Q153" i="11"/>
  <c r="M153" i="11"/>
  <c r="L153" i="11"/>
  <c r="K153" i="11"/>
  <c r="Q152" i="11"/>
  <c r="M152" i="11"/>
  <c r="L152" i="11"/>
  <c r="K152" i="11"/>
  <c r="Q151" i="11"/>
  <c r="M151" i="11"/>
  <c r="L151" i="11"/>
  <c r="K151" i="11"/>
  <c r="Q150" i="11"/>
  <c r="M150" i="11"/>
  <c r="L150" i="11"/>
  <c r="K150" i="11"/>
  <c r="Q149" i="11"/>
  <c r="M149" i="11"/>
  <c r="L149" i="11"/>
  <c r="K149" i="11"/>
  <c r="Q148" i="11"/>
  <c r="M148" i="11"/>
  <c r="L148" i="11"/>
  <c r="K148" i="11"/>
  <c r="Q147" i="11"/>
  <c r="M147" i="11"/>
  <c r="L147" i="11"/>
  <c r="K147" i="11"/>
  <c r="Q146" i="11"/>
  <c r="M146" i="11"/>
  <c r="L146" i="11"/>
  <c r="K146" i="11"/>
  <c r="Q145" i="11"/>
  <c r="M145" i="11"/>
  <c r="L145" i="11"/>
  <c r="K145" i="11"/>
  <c r="Q144" i="11"/>
  <c r="M144" i="11"/>
  <c r="L144" i="11"/>
  <c r="K144" i="11"/>
  <c r="Q143" i="11"/>
  <c r="M143" i="11"/>
  <c r="L143" i="11"/>
  <c r="K143" i="11"/>
  <c r="Q142" i="11"/>
  <c r="M142" i="11"/>
  <c r="L142" i="11"/>
  <c r="K142" i="11"/>
  <c r="Q141" i="11"/>
  <c r="M141" i="11"/>
  <c r="L141" i="11"/>
  <c r="K141" i="11"/>
  <c r="Q140" i="11"/>
  <c r="M140" i="11"/>
  <c r="L140" i="11"/>
  <c r="K140" i="11"/>
  <c r="Q139" i="11"/>
  <c r="M139" i="11"/>
  <c r="L139" i="11"/>
  <c r="K139" i="11"/>
  <c r="Q138" i="11"/>
  <c r="M138" i="11"/>
  <c r="L138" i="11"/>
  <c r="K138" i="11"/>
  <c r="Q137" i="11"/>
  <c r="M137" i="11"/>
  <c r="L137" i="11"/>
  <c r="K137" i="11"/>
  <c r="Q136" i="11"/>
  <c r="M136" i="11"/>
  <c r="L136" i="11"/>
  <c r="K136" i="11"/>
  <c r="Q135" i="11"/>
  <c r="M135" i="11"/>
  <c r="L135" i="11"/>
  <c r="K135" i="11"/>
  <c r="Q134" i="11"/>
  <c r="M134" i="11"/>
  <c r="L134" i="11"/>
  <c r="K134" i="11"/>
  <c r="Q133" i="11"/>
  <c r="M133" i="11"/>
  <c r="L133" i="11"/>
  <c r="K133" i="11"/>
  <c r="Q132" i="11"/>
  <c r="M132" i="11"/>
  <c r="L132" i="11"/>
  <c r="K132" i="11"/>
  <c r="Q131" i="11"/>
  <c r="M131" i="11"/>
  <c r="L131" i="11"/>
  <c r="K131" i="11"/>
  <c r="Q130" i="11"/>
  <c r="M130" i="11"/>
  <c r="L130" i="11"/>
  <c r="K130" i="11"/>
  <c r="Q129" i="11"/>
  <c r="M129" i="11"/>
  <c r="L129" i="11"/>
  <c r="K129" i="11"/>
  <c r="Q128" i="11"/>
  <c r="M128" i="11"/>
  <c r="L128" i="11"/>
  <c r="K128" i="11"/>
  <c r="Q127" i="11"/>
  <c r="M127" i="11"/>
  <c r="L127" i="11"/>
  <c r="K127" i="11"/>
  <c r="Q126" i="11"/>
  <c r="M126" i="11"/>
  <c r="L126" i="11"/>
  <c r="K126" i="11"/>
  <c r="Q125" i="11"/>
  <c r="M125" i="11"/>
  <c r="L125" i="11"/>
  <c r="K125" i="11"/>
  <c r="Q124" i="11"/>
  <c r="M124" i="11"/>
  <c r="L124" i="11"/>
  <c r="K124" i="11"/>
  <c r="Q123" i="11"/>
  <c r="M123" i="11"/>
  <c r="L123" i="11"/>
  <c r="K123" i="11"/>
  <c r="Q122" i="11"/>
  <c r="M122" i="11"/>
  <c r="L122" i="11"/>
  <c r="K122" i="11"/>
  <c r="Q121" i="11"/>
  <c r="M121" i="11"/>
  <c r="L121" i="11"/>
  <c r="K121" i="11"/>
  <c r="Q120" i="11"/>
  <c r="M120" i="11"/>
  <c r="L120" i="11"/>
  <c r="K120" i="11"/>
  <c r="Q119" i="11"/>
  <c r="M119" i="11"/>
  <c r="L119" i="11"/>
  <c r="K119" i="11"/>
  <c r="Q118" i="11"/>
  <c r="M118" i="11"/>
  <c r="L118" i="11"/>
  <c r="K118" i="11"/>
  <c r="Q117" i="11"/>
  <c r="M117" i="11"/>
  <c r="L117" i="11"/>
  <c r="K117" i="11"/>
  <c r="Q116" i="11"/>
  <c r="M116" i="11"/>
  <c r="L116" i="11"/>
  <c r="K116" i="11"/>
  <c r="Q115" i="11"/>
  <c r="M115" i="11"/>
  <c r="L115" i="11"/>
  <c r="K115" i="11"/>
  <c r="Q114" i="11"/>
  <c r="M114" i="11"/>
  <c r="L114" i="11"/>
  <c r="K114" i="11"/>
  <c r="Q113" i="11"/>
  <c r="M113" i="11"/>
  <c r="L113" i="11"/>
  <c r="K113" i="11"/>
  <c r="Q112" i="11"/>
  <c r="M112" i="11"/>
  <c r="L112" i="11"/>
  <c r="K112" i="11"/>
  <c r="Q111" i="11"/>
  <c r="M111" i="11"/>
  <c r="L111" i="11"/>
  <c r="K111" i="11"/>
  <c r="Q110" i="11"/>
  <c r="M110" i="11"/>
  <c r="L110" i="11"/>
  <c r="K110" i="11"/>
  <c r="Q109" i="11"/>
  <c r="M109" i="11"/>
  <c r="L109" i="11"/>
  <c r="K109" i="11"/>
  <c r="Q108" i="11"/>
  <c r="M108" i="11"/>
  <c r="L108" i="11"/>
  <c r="K108" i="11"/>
  <c r="Q107" i="11"/>
  <c r="M107" i="11"/>
  <c r="L107" i="11"/>
  <c r="K107" i="11"/>
  <c r="Q106" i="11"/>
  <c r="M106" i="11"/>
  <c r="L106" i="11"/>
  <c r="K106" i="11"/>
  <c r="Q105" i="11"/>
  <c r="M105" i="11"/>
  <c r="L105" i="11"/>
  <c r="K105" i="11"/>
  <c r="Q104" i="11"/>
  <c r="M104" i="11"/>
  <c r="L104" i="11"/>
  <c r="K104" i="11"/>
  <c r="Q103" i="11"/>
  <c r="M103" i="11"/>
  <c r="L103" i="11"/>
  <c r="K103" i="11"/>
  <c r="Q102" i="11"/>
  <c r="M102" i="11"/>
  <c r="L102" i="11"/>
  <c r="K102" i="11"/>
  <c r="Q101" i="11"/>
  <c r="M101" i="11"/>
  <c r="L101" i="11"/>
  <c r="K101" i="11"/>
  <c r="Q100" i="11"/>
  <c r="M100" i="11"/>
  <c r="L100" i="11"/>
  <c r="K100" i="11"/>
  <c r="Q99" i="11"/>
  <c r="M99" i="11"/>
  <c r="L99" i="11"/>
  <c r="K99" i="11"/>
  <c r="Q98" i="11"/>
  <c r="M98" i="11"/>
  <c r="L98" i="11"/>
  <c r="K98" i="11"/>
  <c r="Q97" i="11"/>
  <c r="M97" i="11"/>
  <c r="L97" i="11"/>
  <c r="K97" i="11"/>
  <c r="Q96" i="11"/>
  <c r="M96" i="11"/>
  <c r="L96" i="11"/>
  <c r="K96" i="11"/>
  <c r="Q95" i="11"/>
  <c r="M95" i="11"/>
  <c r="L95" i="11"/>
  <c r="K95" i="11"/>
  <c r="Q94" i="11"/>
  <c r="M94" i="11"/>
  <c r="L94" i="11"/>
  <c r="K94" i="11"/>
  <c r="Q93" i="11"/>
  <c r="M93" i="11"/>
  <c r="L93" i="11"/>
  <c r="K93" i="11"/>
  <c r="Q92" i="11"/>
  <c r="M92" i="11"/>
  <c r="L92" i="11"/>
  <c r="K92" i="11"/>
  <c r="Q91" i="11"/>
  <c r="M91" i="11"/>
  <c r="L91" i="11"/>
  <c r="K91" i="11"/>
  <c r="Q90" i="11"/>
  <c r="M90" i="11"/>
  <c r="L90" i="11"/>
  <c r="K90" i="11"/>
  <c r="Q89" i="11"/>
  <c r="M89" i="11"/>
  <c r="L89" i="11"/>
  <c r="K89" i="11"/>
  <c r="Q88" i="11"/>
  <c r="M88" i="11"/>
  <c r="L88" i="11"/>
  <c r="K88" i="11"/>
  <c r="Q87" i="11"/>
  <c r="M87" i="11"/>
  <c r="L87" i="11"/>
  <c r="K87" i="11"/>
  <c r="Q86" i="11"/>
  <c r="M86" i="11"/>
  <c r="L86" i="11"/>
  <c r="K86" i="11"/>
  <c r="Q85" i="11"/>
  <c r="M85" i="11"/>
  <c r="L85" i="11"/>
  <c r="K85" i="11"/>
  <c r="Q84" i="11"/>
  <c r="M84" i="11"/>
  <c r="L84" i="11"/>
  <c r="K84" i="11"/>
  <c r="Q83" i="11"/>
  <c r="M83" i="11"/>
  <c r="L83" i="11"/>
  <c r="K83" i="11"/>
  <c r="Q82" i="11"/>
  <c r="M82" i="11"/>
  <c r="L82" i="11"/>
  <c r="K82" i="11"/>
  <c r="Q81" i="11"/>
  <c r="M81" i="11"/>
  <c r="L81" i="11"/>
  <c r="K81" i="11"/>
  <c r="Q80" i="11"/>
  <c r="M80" i="11"/>
  <c r="L80" i="11"/>
  <c r="K80" i="11"/>
  <c r="Q79" i="11"/>
  <c r="M79" i="11"/>
  <c r="L79" i="11"/>
  <c r="K79" i="11"/>
  <c r="Q78" i="11"/>
  <c r="M78" i="11"/>
  <c r="L78" i="11"/>
  <c r="K78" i="11"/>
  <c r="Q77" i="11"/>
  <c r="M77" i="11"/>
  <c r="L77" i="11"/>
  <c r="K77" i="11"/>
  <c r="Q76" i="11"/>
  <c r="M76" i="11"/>
  <c r="L76" i="11"/>
  <c r="K76" i="11"/>
  <c r="Q75" i="11"/>
  <c r="M75" i="11"/>
  <c r="L75" i="11"/>
  <c r="K75" i="11"/>
  <c r="Q74" i="11"/>
  <c r="M74" i="11"/>
  <c r="L74" i="11"/>
  <c r="K74" i="11"/>
  <c r="Q73" i="11"/>
  <c r="M73" i="11"/>
  <c r="L73" i="11"/>
  <c r="K73" i="11"/>
  <c r="Q72" i="11"/>
  <c r="M72" i="11"/>
  <c r="L72" i="11"/>
  <c r="K72" i="11"/>
  <c r="Q71" i="11"/>
  <c r="M71" i="11"/>
  <c r="L71" i="11"/>
  <c r="K71" i="11"/>
  <c r="Q70" i="11"/>
  <c r="M70" i="11"/>
  <c r="L70" i="11"/>
  <c r="K70" i="11"/>
  <c r="Q69" i="11"/>
  <c r="M69" i="11"/>
  <c r="L69" i="11"/>
  <c r="K69" i="11"/>
  <c r="Q68" i="11"/>
  <c r="M68" i="11"/>
  <c r="L68" i="11"/>
  <c r="K68" i="11"/>
  <c r="Q67" i="11"/>
  <c r="M67" i="11"/>
  <c r="L67" i="11"/>
  <c r="K67" i="11"/>
  <c r="Q66" i="11"/>
  <c r="M66" i="11"/>
  <c r="L66" i="11"/>
  <c r="K66" i="11"/>
  <c r="Q65" i="11"/>
  <c r="M65" i="11"/>
  <c r="L65" i="11"/>
  <c r="K65" i="11"/>
  <c r="Q64" i="11"/>
  <c r="M64" i="11"/>
  <c r="L64" i="11"/>
  <c r="K64" i="11"/>
  <c r="Q63" i="11"/>
  <c r="M63" i="11"/>
  <c r="L63" i="11"/>
  <c r="K63" i="11"/>
  <c r="Q62" i="11"/>
  <c r="M62" i="11"/>
  <c r="L62" i="11"/>
  <c r="K62" i="11"/>
  <c r="Q61" i="11"/>
  <c r="M61" i="11"/>
  <c r="L61" i="11"/>
  <c r="K61" i="11"/>
  <c r="Q60" i="11"/>
  <c r="M60" i="11"/>
  <c r="L60" i="11"/>
  <c r="K60" i="11"/>
  <c r="Q59" i="11"/>
  <c r="M59" i="11"/>
  <c r="L59" i="11"/>
  <c r="K59" i="11"/>
  <c r="Q58" i="11"/>
  <c r="M58" i="11"/>
  <c r="L58" i="11"/>
  <c r="K58" i="11"/>
  <c r="Q57" i="11"/>
  <c r="M57" i="11"/>
  <c r="L57" i="11"/>
  <c r="K57" i="11"/>
  <c r="Q56" i="11"/>
  <c r="M56" i="11"/>
  <c r="L56" i="11"/>
  <c r="K56" i="11"/>
  <c r="Q55" i="11"/>
  <c r="M55" i="11"/>
  <c r="L55" i="11"/>
  <c r="K55" i="11"/>
  <c r="Q54" i="11"/>
  <c r="M54" i="11"/>
  <c r="L54" i="11"/>
  <c r="K54" i="11"/>
  <c r="Q53" i="11"/>
  <c r="M53" i="11"/>
  <c r="L53" i="11"/>
  <c r="K53" i="11"/>
  <c r="Q52" i="11"/>
  <c r="M52" i="11"/>
  <c r="L52" i="11"/>
  <c r="K52" i="11"/>
  <c r="Q51" i="11"/>
  <c r="M51" i="11"/>
  <c r="L51" i="11"/>
  <c r="K51" i="11"/>
  <c r="Q50" i="11"/>
  <c r="M50" i="11"/>
  <c r="L50" i="11"/>
  <c r="K50" i="11"/>
  <c r="Q49" i="11"/>
  <c r="M49" i="11"/>
  <c r="L49" i="11"/>
  <c r="K49" i="11"/>
  <c r="Q48" i="11"/>
  <c r="M48" i="11"/>
  <c r="L48" i="11"/>
  <c r="K48" i="11"/>
  <c r="Q47" i="11"/>
  <c r="M47" i="11"/>
  <c r="L47" i="11"/>
  <c r="K47" i="11"/>
  <c r="Q46" i="11"/>
  <c r="M46" i="11"/>
  <c r="L46" i="11"/>
  <c r="K46" i="11"/>
  <c r="Q45" i="11"/>
  <c r="M45" i="11"/>
  <c r="L45" i="11"/>
  <c r="K45" i="11"/>
  <c r="Q44" i="11"/>
  <c r="M44" i="11"/>
  <c r="L44" i="11"/>
  <c r="K44" i="11"/>
  <c r="Q43" i="11"/>
  <c r="M43" i="11"/>
  <c r="L43" i="11"/>
  <c r="K43" i="11"/>
  <c r="Q42" i="11"/>
  <c r="M42" i="11"/>
  <c r="L42" i="11"/>
  <c r="K42" i="11"/>
  <c r="Q41" i="11"/>
  <c r="M41" i="11"/>
  <c r="L41" i="11"/>
  <c r="K41" i="11"/>
  <c r="Q40" i="11"/>
  <c r="M40" i="11"/>
  <c r="L40" i="11"/>
  <c r="K40" i="11"/>
  <c r="Q39" i="11"/>
  <c r="M39" i="11"/>
  <c r="L39" i="11"/>
  <c r="K39" i="11"/>
  <c r="Q38" i="11"/>
  <c r="M38" i="11"/>
  <c r="L38" i="11"/>
  <c r="K38" i="11"/>
  <c r="Q37" i="11"/>
  <c r="M37" i="11"/>
  <c r="L37" i="11"/>
  <c r="K37" i="11"/>
  <c r="Q36" i="11"/>
  <c r="M36" i="11"/>
  <c r="L36" i="11"/>
  <c r="K36" i="11"/>
  <c r="Q35" i="11"/>
  <c r="M35" i="11"/>
  <c r="L35" i="11"/>
  <c r="K35" i="11"/>
  <c r="Q34" i="11"/>
  <c r="M34" i="11"/>
  <c r="L34" i="11"/>
  <c r="K34" i="11"/>
  <c r="Q33" i="11"/>
  <c r="M33" i="11"/>
  <c r="L33" i="11"/>
  <c r="K33" i="11"/>
  <c r="Q32" i="11"/>
  <c r="M32" i="11"/>
  <c r="L32" i="11"/>
  <c r="K32" i="11"/>
  <c r="Q31" i="11"/>
  <c r="M31" i="11"/>
  <c r="L31" i="11"/>
  <c r="K31" i="11"/>
  <c r="Q30" i="11"/>
  <c r="M30" i="11"/>
  <c r="L30" i="11"/>
  <c r="K30" i="11"/>
  <c r="Q29" i="11"/>
  <c r="M29" i="11"/>
  <c r="L29" i="11"/>
  <c r="K29" i="11"/>
  <c r="Q28" i="11"/>
  <c r="M28" i="11"/>
  <c r="L28" i="11"/>
  <c r="K28" i="11"/>
  <c r="Q27" i="11"/>
  <c r="M27" i="11"/>
  <c r="L27" i="11"/>
  <c r="K27" i="11"/>
  <c r="Q26" i="11"/>
  <c r="M26" i="11"/>
  <c r="L26" i="11"/>
  <c r="K26" i="11"/>
  <c r="Q25" i="11"/>
  <c r="M25" i="11"/>
  <c r="L25" i="11"/>
  <c r="K25" i="11"/>
  <c r="Q24" i="11"/>
  <c r="M24" i="11"/>
  <c r="L24" i="11"/>
  <c r="K24" i="11"/>
  <c r="Q23" i="11"/>
  <c r="O26" i="36" s="1"/>
  <c r="M23" i="11"/>
  <c r="L23" i="11"/>
  <c r="K23" i="11"/>
  <c r="Q22" i="11"/>
  <c r="M22" i="11"/>
  <c r="L22" i="11"/>
  <c r="K22" i="11"/>
  <c r="Q21" i="11"/>
  <c r="M21" i="11"/>
  <c r="L21" i="11"/>
  <c r="K21" i="11"/>
  <c r="Q20" i="11"/>
  <c r="O23" i="36" s="1"/>
  <c r="M20" i="11"/>
  <c r="L20" i="11"/>
  <c r="K20" i="11"/>
  <c r="Q19" i="11"/>
  <c r="M19" i="11"/>
  <c r="L19" i="11"/>
  <c r="K19" i="11"/>
  <c r="Q18" i="11"/>
  <c r="M18" i="11"/>
  <c r="L18" i="11"/>
  <c r="K18" i="11"/>
  <c r="Q17" i="11"/>
  <c r="M17" i="11"/>
  <c r="L17" i="11"/>
  <c r="K17" i="11"/>
  <c r="Q16" i="11"/>
  <c r="M16" i="11"/>
  <c r="L16" i="11"/>
  <c r="K16" i="11"/>
  <c r="Q15" i="11"/>
  <c r="M15" i="11"/>
  <c r="L15" i="11"/>
  <c r="K15" i="11"/>
  <c r="Q14" i="11"/>
  <c r="M14" i="11"/>
  <c r="L14" i="11"/>
  <c r="K14" i="11"/>
  <c r="Q13" i="11"/>
  <c r="M13" i="11"/>
  <c r="L13" i="11"/>
  <c r="K13" i="11"/>
  <c r="Q12" i="11"/>
  <c r="M12" i="11"/>
  <c r="L12" i="11"/>
  <c r="K12" i="11"/>
  <c r="Q11" i="11"/>
  <c r="M11" i="11"/>
  <c r="L11" i="11"/>
  <c r="K11" i="11"/>
  <c r="Q10" i="11"/>
  <c r="M10" i="11"/>
  <c r="L10" i="11"/>
  <c r="K10" i="11"/>
  <c r="Q9" i="11"/>
  <c r="M9" i="11"/>
  <c r="L9" i="11"/>
  <c r="K9" i="11"/>
  <c r="Q8" i="11"/>
  <c r="M8" i="11"/>
  <c r="L8" i="11"/>
  <c r="K8" i="11"/>
  <c r="Q7" i="11"/>
  <c r="M7" i="11"/>
  <c r="L7" i="11"/>
  <c r="K7" i="11"/>
  <c r="Q206" i="7"/>
  <c r="K206" i="7"/>
  <c r="Q205" i="7"/>
  <c r="K205" i="7"/>
  <c r="Q204" i="7"/>
  <c r="K204" i="7"/>
  <c r="Q203" i="7"/>
  <c r="K203" i="7"/>
  <c r="Q202" i="7"/>
  <c r="K202" i="7"/>
  <c r="Q201" i="7"/>
  <c r="K201" i="7"/>
  <c r="Q200" i="7"/>
  <c r="K200" i="7"/>
  <c r="Q199" i="7"/>
  <c r="K199" i="7"/>
  <c r="Q198" i="7"/>
  <c r="K198" i="7"/>
  <c r="Q197" i="7"/>
  <c r="K197" i="7"/>
  <c r="Q196" i="7"/>
  <c r="K196" i="7"/>
  <c r="Q195" i="7"/>
  <c r="K195" i="7"/>
  <c r="Q194" i="7"/>
  <c r="K194" i="7"/>
  <c r="Q193" i="7"/>
  <c r="K193" i="7"/>
  <c r="Q192" i="7"/>
  <c r="K192" i="7"/>
  <c r="Q191" i="7"/>
  <c r="K191" i="7"/>
  <c r="Q190" i="7"/>
  <c r="K190" i="7"/>
  <c r="Q189" i="7"/>
  <c r="K189" i="7"/>
  <c r="Q188" i="7"/>
  <c r="K188" i="7"/>
  <c r="Q187" i="7"/>
  <c r="K187" i="7"/>
  <c r="Q186" i="7"/>
  <c r="K186" i="7"/>
  <c r="Q185" i="7"/>
  <c r="K185" i="7"/>
  <c r="Q184" i="7"/>
  <c r="K184" i="7"/>
  <c r="Q183" i="7"/>
  <c r="K183" i="7"/>
  <c r="Q182" i="7"/>
  <c r="K182" i="7"/>
  <c r="Q181" i="7"/>
  <c r="K181" i="7"/>
  <c r="Q180" i="7"/>
  <c r="K180" i="7"/>
  <c r="Q179" i="7"/>
  <c r="K179" i="7"/>
  <c r="Q178" i="7"/>
  <c r="K178" i="7"/>
  <c r="Q177" i="7"/>
  <c r="K177" i="7"/>
  <c r="Q176" i="7"/>
  <c r="K176" i="7"/>
  <c r="Q175" i="7"/>
  <c r="K175" i="7"/>
  <c r="Q174" i="7"/>
  <c r="K174" i="7"/>
  <c r="Q173" i="7"/>
  <c r="K173" i="7"/>
  <c r="Q172" i="7"/>
  <c r="K172" i="7"/>
  <c r="Q171" i="7"/>
  <c r="K171" i="7"/>
  <c r="Q170" i="7"/>
  <c r="K170" i="7"/>
  <c r="Q169" i="7"/>
  <c r="K169" i="7"/>
  <c r="Q168" i="7"/>
  <c r="K168" i="7"/>
  <c r="Q167" i="7"/>
  <c r="K167" i="7"/>
  <c r="Q166" i="7"/>
  <c r="K166" i="7"/>
  <c r="Q165" i="7"/>
  <c r="K165" i="7"/>
  <c r="Q164" i="7"/>
  <c r="K164" i="7"/>
  <c r="Q163" i="7"/>
  <c r="K163" i="7"/>
  <c r="Q162" i="7"/>
  <c r="K162" i="7"/>
  <c r="Q161" i="7"/>
  <c r="K161" i="7"/>
  <c r="Q160" i="7"/>
  <c r="K160" i="7"/>
  <c r="Q159" i="7"/>
  <c r="K159" i="7"/>
  <c r="Q158" i="7"/>
  <c r="K158" i="7"/>
  <c r="Q157" i="7"/>
  <c r="K157" i="7"/>
  <c r="Q156" i="7"/>
  <c r="K156" i="7"/>
  <c r="Q155" i="7"/>
  <c r="K155" i="7"/>
  <c r="Q154" i="7"/>
  <c r="K154" i="7"/>
  <c r="Q153" i="7"/>
  <c r="K153" i="7"/>
  <c r="Q152" i="7"/>
  <c r="K152" i="7"/>
  <c r="Q151" i="7"/>
  <c r="K151" i="7"/>
  <c r="Q150" i="7"/>
  <c r="K150" i="7"/>
  <c r="Q149" i="7"/>
  <c r="K149" i="7"/>
  <c r="Q148" i="7"/>
  <c r="K148" i="7"/>
  <c r="Q147" i="7"/>
  <c r="K147" i="7"/>
  <c r="Q146" i="7"/>
  <c r="K146" i="7"/>
  <c r="Q145" i="7"/>
  <c r="K145" i="7"/>
  <c r="Q144" i="7"/>
  <c r="K144" i="7"/>
  <c r="Q143" i="7"/>
  <c r="K143" i="7"/>
  <c r="Q142" i="7"/>
  <c r="K142" i="7"/>
  <c r="Q141" i="7"/>
  <c r="K141" i="7"/>
  <c r="Q140" i="7"/>
  <c r="K140" i="7"/>
  <c r="Q139" i="7"/>
  <c r="K139" i="7"/>
  <c r="Q138" i="7"/>
  <c r="K138" i="7"/>
  <c r="Q137" i="7"/>
  <c r="K137" i="7"/>
  <c r="Q136" i="7"/>
  <c r="K136" i="7"/>
  <c r="Q135" i="7"/>
  <c r="K135" i="7"/>
  <c r="Q134" i="7"/>
  <c r="K134" i="7"/>
  <c r="Q133" i="7"/>
  <c r="K133" i="7"/>
  <c r="Q132" i="7"/>
  <c r="K132" i="7"/>
  <c r="Q131" i="7"/>
  <c r="K131" i="7"/>
  <c r="Q130" i="7"/>
  <c r="K130" i="7"/>
  <c r="Q129" i="7"/>
  <c r="K129" i="7"/>
  <c r="Q128" i="7"/>
  <c r="K128" i="7"/>
  <c r="Q127" i="7"/>
  <c r="K127" i="7"/>
  <c r="Q126" i="7"/>
  <c r="K126" i="7"/>
  <c r="Q125" i="7"/>
  <c r="K125" i="7"/>
  <c r="Q124" i="7"/>
  <c r="K124" i="7"/>
  <c r="Q123" i="7"/>
  <c r="K123" i="7"/>
  <c r="Q122" i="7"/>
  <c r="K122" i="7"/>
  <c r="Q121" i="7"/>
  <c r="K121" i="7"/>
  <c r="Q120" i="7"/>
  <c r="K120" i="7"/>
  <c r="Q119" i="7"/>
  <c r="K119" i="7"/>
  <c r="Q118" i="7"/>
  <c r="K118" i="7"/>
  <c r="Q117" i="7"/>
  <c r="K117" i="7"/>
  <c r="Q116" i="7"/>
  <c r="K116" i="7"/>
  <c r="Q115" i="7"/>
  <c r="K115" i="7"/>
  <c r="Q114" i="7"/>
  <c r="K114" i="7"/>
  <c r="Q113" i="7"/>
  <c r="K113" i="7"/>
  <c r="Q112" i="7"/>
  <c r="K112" i="7"/>
  <c r="Q111" i="7"/>
  <c r="K111" i="7"/>
  <c r="Q110" i="7"/>
  <c r="K110" i="7"/>
  <c r="Q109" i="7"/>
  <c r="K109" i="7"/>
  <c r="Q108" i="7"/>
  <c r="K108" i="7"/>
  <c r="Q107" i="7"/>
  <c r="K107" i="7"/>
  <c r="Q106" i="7"/>
  <c r="K106" i="7"/>
  <c r="Q105" i="7"/>
  <c r="K105" i="7"/>
  <c r="Q104" i="7"/>
  <c r="K104" i="7"/>
  <c r="Q103" i="7"/>
  <c r="K103" i="7"/>
  <c r="Q102" i="7"/>
  <c r="K102" i="7"/>
  <c r="Q101" i="7"/>
  <c r="K101" i="7"/>
  <c r="Q100" i="7"/>
  <c r="K100" i="7"/>
  <c r="Q99" i="7"/>
  <c r="K99" i="7"/>
  <c r="Q98" i="7"/>
  <c r="K98" i="7"/>
  <c r="Q97" i="7"/>
  <c r="K97" i="7"/>
  <c r="Q96" i="7"/>
  <c r="K96" i="7"/>
  <c r="Q95" i="7"/>
  <c r="K95" i="7"/>
  <c r="Q94" i="7"/>
  <c r="K94" i="7"/>
  <c r="Q93" i="7"/>
  <c r="K93" i="7"/>
  <c r="Q92" i="7"/>
  <c r="K92" i="7"/>
  <c r="Q91" i="7"/>
  <c r="K91" i="7"/>
  <c r="Q90" i="7"/>
  <c r="K90" i="7"/>
  <c r="Q89" i="7"/>
  <c r="K89" i="7"/>
  <c r="Q88" i="7"/>
  <c r="K88" i="7"/>
  <c r="Q87" i="7"/>
  <c r="K87" i="7"/>
  <c r="Q86" i="7"/>
  <c r="K86" i="7"/>
  <c r="Q85" i="7"/>
  <c r="K85" i="7"/>
  <c r="Q84" i="7"/>
  <c r="K84" i="7"/>
  <c r="Q83" i="7"/>
  <c r="K83" i="7"/>
  <c r="Q82" i="7"/>
  <c r="K82" i="7"/>
  <c r="Q81" i="7"/>
  <c r="K81" i="7"/>
  <c r="Q80" i="7"/>
  <c r="K80" i="7"/>
  <c r="Q79" i="7"/>
  <c r="K79" i="7"/>
  <c r="Q78" i="7"/>
  <c r="K78" i="7"/>
  <c r="Q77" i="7"/>
  <c r="K77" i="7"/>
  <c r="Q76" i="7"/>
  <c r="K76" i="7"/>
  <c r="Q75" i="7"/>
  <c r="K75" i="7"/>
  <c r="Q74" i="7"/>
  <c r="K74" i="7"/>
  <c r="Q73" i="7"/>
  <c r="K73" i="7"/>
  <c r="Q72" i="7"/>
  <c r="K72" i="7"/>
  <c r="Q71" i="7"/>
  <c r="K71" i="7"/>
  <c r="Q70" i="7"/>
  <c r="K70" i="7"/>
  <c r="Q69" i="7"/>
  <c r="K69" i="7"/>
  <c r="Q68" i="7"/>
  <c r="K68" i="7"/>
  <c r="Q67" i="7"/>
  <c r="K67" i="7"/>
  <c r="Q66" i="7"/>
  <c r="K66" i="7"/>
  <c r="Q65" i="7"/>
  <c r="K65" i="7"/>
  <c r="Q64" i="7"/>
  <c r="K64" i="7"/>
  <c r="Q63" i="7"/>
  <c r="K63" i="7"/>
  <c r="Q62" i="7"/>
  <c r="K62" i="7"/>
  <c r="Q61" i="7"/>
  <c r="K61" i="7"/>
  <c r="Q60" i="7"/>
  <c r="K60" i="7"/>
  <c r="Q59" i="7"/>
  <c r="K59" i="7"/>
  <c r="Q58" i="7"/>
  <c r="K58" i="7"/>
  <c r="Q57" i="7"/>
  <c r="K57" i="7"/>
  <c r="Q56" i="7"/>
  <c r="K56" i="7"/>
  <c r="Q55" i="7"/>
  <c r="K55" i="7"/>
  <c r="Q54" i="7"/>
  <c r="K54" i="7"/>
  <c r="Q53" i="7"/>
  <c r="K53" i="7"/>
  <c r="Q52" i="7"/>
  <c r="K52" i="7"/>
  <c r="Q51" i="7"/>
  <c r="K51" i="7"/>
  <c r="Q50" i="7"/>
  <c r="K50" i="7"/>
  <c r="Q49" i="7"/>
  <c r="K49" i="7"/>
  <c r="Q48" i="7"/>
  <c r="K48" i="7"/>
  <c r="Q47" i="7"/>
  <c r="K47" i="7"/>
  <c r="Q46" i="7"/>
  <c r="K46" i="7"/>
  <c r="Q45" i="7"/>
  <c r="K45" i="7"/>
  <c r="Q44" i="7"/>
  <c r="K44" i="7"/>
  <c r="Q43" i="7"/>
  <c r="K43" i="7"/>
  <c r="Q42" i="7"/>
  <c r="K42" i="7"/>
  <c r="Q41" i="7"/>
  <c r="K41" i="7"/>
  <c r="Q40" i="7"/>
  <c r="K40" i="7"/>
  <c r="Q39" i="7"/>
  <c r="K39" i="7"/>
  <c r="Q38" i="7"/>
  <c r="K38" i="7"/>
  <c r="Q37" i="7"/>
  <c r="K37" i="7"/>
  <c r="Q36" i="7"/>
  <c r="K36" i="7"/>
  <c r="Q35" i="7"/>
  <c r="K35" i="7"/>
  <c r="Q34" i="7"/>
  <c r="K34" i="7"/>
  <c r="Q33" i="7"/>
  <c r="K33" i="7"/>
  <c r="Q32" i="7"/>
  <c r="K32" i="7"/>
  <c r="Q31" i="7"/>
  <c r="K31" i="7"/>
  <c r="Q30" i="7"/>
  <c r="K30" i="7"/>
  <c r="Q29" i="7"/>
  <c r="K29" i="7"/>
  <c r="Q28" i="7"/>
  <c r="K28" i="7"/>
  <c r="Q27" i="7"/>
  <c r="K27" i="7"/>
  <c r="Q26" i="7"/>
  <c r="K26" i="7"/>
  <c r="Q25" i="7"/>
  <c r="K25" i="7"/>
  <c r="Q24" i="7"/>
  <c r="K24" i="7"/>
  <c r="Q23" i="7"/>
  <c r="K23" i="7"/>
  <c r="Q22" i="7"/>
  <c r="K22" i="7"/>
  <c r="Q21" i="7"/>
  <c r="K21" i="7"/>
  <c r="Q20" i="7"/>
  <c r="K20" i="7"/>
  <c r="Q19" i="7"/>
  <c r="K19" i="7"/>
  <c r="Q18" i="7"/>
  <c r="P23" i="35" s="1"/>
  <c r="K18" i="7"/>
  <c r="Q17" i="7"/>
  <c r="K17" i="7"/>
  <c r="Q16" i="7"/>
  <c r="K16" i="7"/>
  <c r="Q15" i="7"/>
  <c r="K15" i="7"/>
  <c r="Q14" i="7"/>
  <c r="K14" i="7"/>
  <c r="Q13" i="7"/>
  <c r="P18" i="35" s="1"/>
  <c r="K13" i="7"/>
  <c r="Q12" i="7"/>
  <c r="P17" i="35" s="1"/>
  <c r="K12" i="7"/>
  <c r="E14" i="16" s="1"/>
  <c r="L6" i="39" s="1"/>
  <c r="Q11" i="7"/>
  <c r="K11" i="7"/>
  <c r="Q10" i="7"/>
  <c r="K10" i="7"/>
  <c r="Q9" i="7"/>
  <c r="P14" i="35" s="1"/>
  <c r="K9" i="7"/>
  <c r="Q8" i="7"/>
  <c r="P13" i="35" s="1"/>
  <c r="K8" i="7"/>
  <c r="F24" i="35" s="1"/>
  <c r="Q7" i="7"/>
  <c r="K7" i="7"/>
  <c r="F23" i="35" s="1"/>
  <c r="D22" i="37" l="1"/>
  <c r="D16" i="17"/>
  <c r="E16" i="17" s="1"/>
  <c r="F36" i="18"/>
  <c r="F37" i="18" s="1"/>
  <c r="J23" i="18"/>
  <c r="O6" i="37"/>
  <c r="F4" i="24"/>
  <c r="F12" i="36"/>
  <c r="F6" i="35"/>
  <c r="C14" i="18"/>
  <c r="G6" i="34" s="1"/>
  <c r="D14" i="34"/>
  <c r="L13" i="36"/>
  <c r="J9" i="28"/>
  <c r="M13" i="36" s="1"/>
  <c r="M25" i="39"/>
  <c r="F14" i="33"/>
  <c r="G4" i="24"/>
  <c r="H12" i="36" s="1"/>
  <c r="D14" i="16"/>
  <c r="C20" i="18"/>
  <c r="E21" i="16"/>
  <c r="D21" i="16"/>
  <c r="G10" i="24"/>
  <c r="H18" i="36" s="1"/>
  <c r="F10" i="24"/>
  <c r="F18" i="36"/>
  <c r="G13" i="24"/>
  <c r="H21" i="36" s="1"/>
  <c r="F13" i="24"/>
  <c r="F21" i="36"/>
  <c r="M15" i="39"/>
  <c r="E25" i="33"/>
  <c r="F6" i="24"/>
  <c r="F14" i="36"/>
  <c r="F8" i="24"/>
  <c r="E10" i="17"/>
  <c r="G8" i="24"/>
  <c r="H16" i="36" s="1"/>
  <c r="G6" i="24"/>
  <c r="H14" i="36" s="1"/>
  <c r="M16" i="39"/>
  <c r="E11" i="17"/>
  <c r="F15" i="33"/>
  <c r="D5" i="24"/>
  <c r="M26" i="39"/>
  <c r="D11" i="24"/>
  <c r="F16" i="33"/>
  <c r="G7" i="24"/>
  <c r="H15" i="36" s="1"/>
  <c r="J11" i="28"/>
  <c r="M15" i="36" s="1"/>
  <c r="C5" i="18"/>
  <c r="F9" i="24"/>
  <c r="F17" i="33"/>
  <c r="E26" i="33"/>
  <c r="D15" i="36"/>
  <c r="M28" i="39"/>
  <c r="G9" i="24"/>
  <c r="H17" i="36" s="1"/>
  <c r="D16" i="36"/>
  <c r="M12" i="39"/>
  <c r="E8" i="17"/>
  <c r="F15" i="36"/>
  <c r="D9" i="17"/>
  <c r="D12" i="24"/>
  <c r="J10" i="28"/>
  <c r="M14" i="36" s="1"/>
  <c r="E7" i="17"/>
  <c r="F12" i="33"/>
  <c r="F13" i="33"/>
  <c r="N16" i="39" l="1"/>
  <c r="F26" i="33"/>
  <c r="F22" i="33"/>
  <c r="N12" i="39"/>
  <c r="I5" i="18"/>
  <c r="A36" i="18"/>
  <c r="A37" i="18" s="1"/>
  <c r="F12" i="24"/>
  <c r="F20" i="36"/>
  <c r="G12" i="24"/>
  <c r="H20" i="36" s="1"/>
  <c r="N15" i="39"/>
  <c r="F25" i="33"/>
  <c r="F11" i="24"/>
  <c r="F19" i="36"/>
  <c r="G11" i="24"/>
  <c r="H19" i="36" s="1"/>
  <c r="E24" i="33"/>
  <c r="E9" i="17"/>
  <c r="M14" i="39"/>
  <c r="E23" i="16"/>
  <c r="D23" i="16"/>
  <c r="E24" i="16"/>
  <c r="D24" i="16"/>
  <c r="I6" i="33"/>
  <c r="C21" i="18"/>
  <c r="F6" i="36"/>
  <c r="N13" i="39"/>
  <c r="F23" i="33"/>
  <c r="G5" i="24"/>
  <c r="H13" i="36" s="1"/>
  <c r="F5" i="24"/>
  <c r="F13" i="36"/>
  <c r="O6" i="36" l="1"/>
  <c r="C24" i="18"/>
  <c r="L6" i="33"/>
  <c r="L6" i="36"/>
  <c r="C36" i="18"/>
  <c r="C37" i="18" s="1"/>
  <c r="C23" i="18"/>
  <c r="D14" i="17"/>
  <c r="M19" i="39" s="1"/>
  <c r="O6" i="33"/>
  <c r="I36" i="18"/>
  <c r="I37" i="18" s="1"/>
  <c r="F24" i="33"/>
  <c r="N14" i="39"/>
  <c r="O6" i="39"/>
  <c r="C13" i="18"/>
  <c r="J25" i="33"/>
  <c r="F6" i="39"/>
</calcChain>
</file>

<file path=xl/sharedStrings.xml><?xml version="1.0" encoding="utf-8"?>
<sst xmlns="http://schemas.openxmlformats.org/spreadsheetml/2006/main" count="2587" uniqueCount="1634">
  <si>
    <t>Colour</t>
  </si>
  <si>
    <t>Meaning</t>
  </si>
  <si>
    <t>Who may edit?</t>
  </si>
  <si>
    <t>MVP v1 treatment</t>
  </si>
  <si>
    <t>Example tabs</t>
  </si>
  <si>
    <t>Rule</t>
  </si>
  <si>
    <t>Blue</t>
  </si>
  <si>
    <t>Writable input zones</t>
  </si>
  <si>
    <t>Human / AI / analyst</t>
  </si>
  <si>
    <t>Manual or import data entry</t>
  </si>
  <si>
    <t>DATA_* input tabs</t>
  </si>
  <si>
    <t>Only blue cells are user-write zones.</t>
  </si>
  <si>
    <t>Black / no fill</t>
  </si>
  <si>
    <t>Live formula cells</t>
  </si>
  <si>
    <t>No direct edit</t>
  </si>
  <si>
    <t>Keep formulas live</t>
  </si>
  <si>
    <t>DATA_METRIC_LONG, DATA_QUALITY_CHECKS</t>
  </si>
  <si>
    <t>Do not overwrite formulas.</t>
  </si>
  <si>
    <t>Purple</t>
  </si>
  <si>
    <t>Generated bridge data</t>
  </si>
  <si>
    <t>No direct edit unless documented</t>
  </si>
  <si>
    <t>Formula-generated from inputs</t>
  </si>
  <si>
    <t>DATA_PROPERTY_MASTER, DATA_DEBT_MASTER</t>
  </si>
  <si>
    <t>Can be generated by future digital engine.</t>
  </si>
  <si>
    <t>Orange</t>
  </si>
  <si>
    <t>Review / unresolved / assumptions</t>
  </si>
  <si>
    <t>Analyst may update status/note</t>
  </si>
  <si>
    <t>Used for assumptions and flags</t>
  </si>
  <si>
    <t>ASSUMPTIONS_FLAGS</t>
  </si>
  <si>
    <t>Must include reviewer rationale.</t>
  </si>
  <si>
    <t>Grey</t>
  </si>
  <si>
    <t>Legacy / reference</t>
  </si>
  <si>
    <t>Reference only</t>
  </si>
  <si>
    <t>Not MVP engine</t>
  </si>
  <si>
    <t>NGO B v12 source workbook</t>
  </si>
  <si>
    <t>Do not build software from legacy tabs directly.</t>
  </si>
  <si>
    <t>Green</t>
  </si>
  <si>
    <t>Output</t>
  </si>
  <si>
    <t>Output pulls from data and checks.</t>
  </si>
  <si>
    <t>Rule ID</t>
  </si>
  <si>
    <t>Area</t>
  </si>
  <si>
    <t>Business Rule</t>
  </si>
  <si>
    <t>MVP v1 implementation</t>
  </si>
  <si>
    <t>Preserved NGO B v12 business-rule excerpt</t>
  </si>
  <si>
    <t>Original row</t>
  </si>
  <si>
    <t>Original Business Rules text</t>
  </si>
  <si>
    <t>IREI Underwriting Template Prototype</t>
  </si>
  <si>
    <t>Business Rules Organized by Epics and User Stories</t>
  </si>
  <si>
    <t>1. Purpose of the Model</t>
  </si>
  <si>
    <t>The model is designed to convert non-profit / Indigenous / mission-driven housing organization data into a standardized, auditable underwriting structure.</t>
  </si>
  <si>
    <t>It has two purposes:</t>
  </si>
  <si>
    <t>1. Current use: underwrite NGO B’s portfolio using the existing live Excel calculation engine.</t>
  </si>
  <si>
    <t>2. Future platform use: establish the data architecture and business rules for an AI / analyst-assisted IREI underwriting platform.</t>
  </si>
  <si>
    <t>The model is not yet a fully automated platform engine. The current financial calculations still rely on legacy NGO B tabs, while the new DATA and OUT layers define the future standardized model structure.</t>
  </si>
  <si>
    <t>Epic 1 — Workbook Navigation and User Control</t>
  </si>
  <si>
    <t>Business Objective</t>
  </si>
  <si>
    <t>Ensure analysts and AI agents understand where to enter data, where formulas live, what not to overwrite, and how to follow the workbook structure.</t>
  </si>
  <si>
    <t>Key Tabs</t>
  </si>
  <si>
    <t>00_PLATFORM_INDEX</t>
  </si>
  <si>
    <t>INPUT_CONTROL_MAP</t>
  </si>
  <si>
    <t>00_CHANGE_LOG</t>
  </si>
  <si>
    <t>DATA_QUALITY_CHECKS</t>
  </si>
  <si>
    <t>00_MODEL_CHECKS</t>
  </si>
  <si>
    <t>Business Rules</t>
  </si>
  <si>
    <t>BR-1.1 — Users must start with the platform index</t>
  </si>
  <si>
    <t>All users should begin with 00_PLATFORM_INDEX to understand the workbook zones, colour code, and navigation structure.</t>
  </si>
  <si>
    <t>BR-1.2 — INPUT_CONTROL_MAP is the operating manual</t>
  </si>
  <si>
    <t>INPUT_CONTROL_MAP defines which tabs and ranges can be edited and which tabs are generated, calculated, output-only, or legacy.</t>
  </si>
  <si>
    <t>BR-1.3 — Only blue cells are intended for analyst / AI entry</t>
  </si>
  <si>
    <t>Blue cells represent approved input areas. Users should not write into black formula cells, green output cells, purple normalized data cells unless marked as writable, orange warning cells, or grey legacy-engine cells unless specifically instructed.</t>
  </si>
  <si>
    <t>BR-1.4 — Formula cells must remain live</t>
  </si>
  <si>
    <t>Formula-driven cells must not be overwritten. If a formula is changed, the change must be logged in 00_CHANGE_LOG.</t>
  </si>
  <si>
    <t>BR-1.5 — Change log is mandatory</t>
  </si>
  <si>
    <t>Every structural, formula, mapping, documentation, control, or output change must be recorded in 00_CHANGE_LOG.</t>
  </si>
  <si>
    <t>User Stories</t>
  </si>
  <si>
    <t>Story 1.1 — Analyst starts the model</t>
  </si>
  <si>
    <t>As an analyst, I want a clear starting tab so I can understand how the workbook is structured before entering or reviewing data.</t>
  </si>
  <si>
    <t>Acceptance Criteria</t>
  </si>
  <si>
    <t>00_PLATFORM_INDEX explains model zones.</t>
  </si>
  <si>
    <t>Colour-code legend is visible.</t>
  </si>
  <si>
    <t>Key tabs are listed with purpose and status.</t>
  </si>
  <si>
    <t>Story 1.2 — AI agent knows where to write</t>
  </si>
  <si>
    <t>As an AI agent, I want a single control map so I know which tabs and ranges are approved for data entry.</t>
  </si>
  <si>
    <t>INPUT_CONTROL_MAP identifies editable blue ranges.</t>
  </si>
  <si>
    <t>Formula and output areas are clearly marked as non-editable.</t>
  </si>
  <si>
    <t>Audit trail for extracting/simplifying NGO B v12 into the MVP v1 build template. Keep this sheet current with every workbook revision.</t>
  </si>
  <si>
    <t>Change ID</t>
  </si>
  <si>
    <t>Date</t>
  </si>
  <si>
    <t>Type</t>
  </si>
  <si>
    <t>Sheet / Range</t>
  </si>
  <si>
    <t>Issue</t>
  </si>
  <si>
    <t>Change Made</t>
  </si>
  <si>
    <t>Assumption Changed?</t>
  </si>
  <si>
    <t>Calculation Impact</t>
  </si>
  <si>
    <t>Status</t>
  </si>
  <si>
    <t>Next Step</t>
  </si>
  <si>
    <t>CL-001</t>
  </si>
  <si>
    <t>2026-07-07</t>
  </si>
  <si>
    <t>Governance</t>
  </si>
  <si>
    <t>No workbook-level audit trail existed.</t>
  </si>
  <si>
    <t>Added change log sheet with change IDs and affected ranges.</t>
  </si>
  <si>
    <t>No</t>
  </si>
  <si>
    <t>None; documentation only.</t>
  </si>
  <si>
    <t>Complete</t>
  </si>
  <si>
    <t>Use for every future model revision.</t>
  </si>
  <si>
    <t>CL-002</t>
  </si>
  <si>
    <t>00_MODEL_CONTROL</t>
  </si>
  <si>
    <t>Portfolio inclusion logic was embedded in rollup row 8 only.</t>
  </si>
  <si>
    <t>Added central scope-control sheet and linked rollup toggles to it.</t>
  </si>
  <si>
    <t>No intended output change; BLD_AB remains excluded and all other assets remain included.</t>
  </si>
  <si>
    <t>Use this tab for future include/exclude decisions.</t>
  </si>
  <si>
    <t>CL-003</t>
  </si>
  <si>
    <t>No live structural checks tab existed.</t>
  </si>
  <si>
    <t>Added live checks for scope, register totals, label references, and bucket reconciliation.</t>
  </si>
  <si>
    <t>None; documentation/checking only.</t>
  </si>
  <si>
    <t>Expand with debt and development checks in next pass.</t>
  </si>
  <si>
    <t>CL-004</t>
  </si>
  <si>
    <t>Formula Fix</t>
  </si>
  <si>
    <t>00_PORTFOLIO_REGISTER!C5:C21</t>
  </si>
  <si>
    <t>City lookup matched BLD_ID against property name, causing #N/A results.</t>
  </si>
  <si>
    <t>Changed lookup to match BLD_ID against Property Summary Tab ID.</t>
  </si>
  <si>
    <t>Register city field now calculates live from Property Summary.</t>
  </si>
  <si>
    <t>Review other register columns for full institutionalization.</t>
  </si>
  <si>
    <t>CL-005</t>
  </si>
  <si>
    <t>Formula Addition</t>
  </si>
  <si>
    <t>00_PORTFOLIO_REGISTER!D5:I21</t>
  </si>
  <si>
    <t>Register had blank units, NOI, lender, and debt-term fields.</t>
  </si>
  <si>
    <t>Added live formulas for units, 2025/2029/2035 NOI, lender/program, and debt term.</t>
  </si>
  <si>
    <t>Register now ties to Property Summary, property tabs, and Debt Engine.</t>
  </si>
  <si>
    <t>Later replace hardcoded bucket and issue narrative with formula-controlled classification.</t>
  </si>
  <si>
    <t>CL-006</t>
  </si>
  <si>
    <t>00_PORTFOLIO_REGISTER!E23:G23</t>
  </si>
  <si>
    <t>Portfolio total formulas contained #REF!.</t>
  </si>
  <si>
    <t>Replaced with SUM formulas over live NOI detail rows.</t>
  </si>
  <si>
    <t>Register totals now calculate live.</t>
  </si>
  <si>
    <t>Cross-check against portfolio rollup inclusion logic if the register is meant to be scoped.</t>
  </si>
  <si>
    <t>CL-007</t>
  </si>
  <si>
    <t>Formatting Fix</t>
  </si>
  <si>
    <t>00_PORTFOLIO SUMMARY!C5</t>
  </si>
  <si>
    <t>Current year formula displayed as an Excel serial date.</t>
  </si>
  <si>
    <t>Changed number format to year/number display.</t>
  </si>
  <si>
    <t>Presentation only.</t>
  </si>
  <si>
    <t>None.</t>
  </si>
  <si>
    <t>CL-008</t>
  </si>
  <si>
    <t>00_PORTFOLIO ROLLUP!C72</t>
  </si>
  <si>
    <t>GAV label referenced rollup toggle instead of cap-rate assumption.</t>
  </si>
  <si>
    <t>Changed label to reference Exit Cap Rate and format as %.</t>
  </si>
  <si>
    <t>Presentation only; GAV formulas unchanged.</t>
  </si>
  <si>
    <t>CL-009</t>
  </si>
  <si>
    <t>00_PORTFOLIO ROLLUP!C79,E79:Y79,C86,E86:Y86</t>
  </si>
  <si>
    <t>Yield labels/markers referenced wrong cells.</t>
  </si>
  <si>
    <t>Changed labels and STAB. YR. markers to reference stabilization year assumption.</t>
  </si>
  <si>
    <t>Presentation only; yield formulas unchanged.</t>
  </si>
  <si>
    <t>CL-010</t>
  </si>
  <si>
    <t>00_PORTFOLIO ROLLUP!E60:Y60,E75:Y75</t>
  </si>
  <si>
    <t>Refi marker rows referenced payout ratio instead of actual event rows.</t>
  </si>
  <si>
    <t>Changed markers to flag when balloon, loan proceeds, or net refi/gap rows are non-zero.</t>
  </si>
  <si>
    <t>Presentation only; underlying refi rows unchanged.</t>
  </si>
  <si>
    <t>Later separate residual funding gaps from equity-return language.</t>
  </si>
  <si>
    <t>CL-011</t>
  </si>
  <si>
    <t>Control Fix</t>
  </si>
  <si>
    <t>00_PORTFOLIO SUMMARY!C5; 00_MODEL_CONTROL!B31</t>
  </si>
  <si>
    <t>Current year used volatile TODAY() and displayed as a serial date.</t>
  </si>
  <si>
    <t>Moved selected current year to an explicit control input and linked the summary output to it.</t>
  </si>
  <si>
    <t>Controls display-year selection only; formulas remain live off the selected year.</t>
  </si>
  <si>
    <t>Change B31 if a different current-year test is required.</t>
  </si>
  <si>
    <t>CL-012</t>
  </si>
  <si>
    <t>Platform Architecture</t>
  </si>
  <si>
    <t>No platform architecture layer existed.</t>
  </si>
  <si>
    <t>Added platform index and model-layer map.</t>
  </si>
  <si>
    <t>Documentation/governance only.</t>
  </si>
  <si>
    <t>CL-013</t>
  </si>
  <si>
    <t>Intake Architecture</t>
  </si>
  <si>
    <t>STG_SOURCE_INTAKE</t>
  </si>
  <si>
    <t>Future NGO/Yardi files had no intake log.</t>
  </si>
  <si>
    <t>Added source intake register.</t>
  </si>
  <si>
    <t>No model output change.</t>
  </si>
  <si>
    <t>CL-014</t>
  </si>
  <si>
    <t>Mapping Architecture</t>
  </si>
  <si>
    <t>MAP_FIELD_MAPPING</t>
  </si>
  <si>
    <t>No field mapping layer existed.</t>
  </si>
  <si>
    <t>Added source-to-canonical field map.</t>
  </si>
  <si>
    <t>CL-015</t>
  </si>
  <si>
    <t>Data Architecture</t>
  </si>
  <si>
    <t>DATA_PROPERTY_MASTER</t>
  </si>
  <si>
    <t>Property identity was spread across tabs.</t>
  </si>
  <si>
    <t>Added live canonical property master.</t>
  </si>
  <si>
    <t>Live links; assumptions unchanged.</t>
  </si>
  <si>
    <t>CL-016</t>
  </si>
  <si>
    <t>DATA_DEBT_MASTER</t>
  </si>
  <si>
    <t>Debt profile was not normalized.</t>
  </si>
  <si>
    <t>Added live canonical debt master.</t>
  </si>
  <si>
    <t>CL-017</t>
  </si>
  <si>
    <t>Model Architecture</t>
  </si>
  <si>
    <t>DATA_METRIC_LONG</t>
  </si>
  <si>
    <t>Outputs were property-tab driven.</t>
  </si>
  <si>
    <t>Added live long-format property-year-metric table for key years.</t>
  </si>
  <si>
    <t>No intended output change.</t>
  </si>
  <si>
    <t>CL-018</t>
  </si>
  <si>
    <t>Checks</t>
  </si>
  <si>
    <t>No platform-readiness checks existed.</t>
  </si>
  <si>
    <t>Added live checks for platform migration.</t>
  </si>
  <si>
    <t>Flags open migration items.</t>
  </si>
  <si>
    <t>CL-019</t>
  </si>
  <si>
    <t>OUT_PLATFORM_READINESS</t>
  </si>
  <si>
    <t>No readiness dashboard existed.</t>
  </si>
  <si>
    <t>Added live platform-readiness dashboard.</t>
  </si>
  <si>
    <t>CL-020</t>
  </si>
  <si>
    <t>Calculation Control</t>
  </si>
  <si>
    <t>Workbook calculation settings</t>
  </si>
  <si>
    <t>New sheets contain formulas.</t>
  </si>
  <si>
    <t>Confirmed automatic full recalculation on open.</t>
  </si>
  <si>
    <t>Keeps formulas live.</t>
  </si>
  <si>
    <t>CL-021</t>
  </si>
  <si>
    <t>DATA_ASSET_CLASSIFICATION</t>
  </si>
  <si>
    <t>No single authoritative asset-classification table existed.</t>
  </si>
  <si>
    <t>Added live authoritative classification table for Excluded / Stable / Refi Watch / Workout / New Build.</t>
  </si>
  <si>
    <t>No assumption changes; classification is formula-linked to existing model data.</t>
  </si>
  <si>
    <t>Use as single source of truth for classification.</t>
  </si>
  <si>
    <t>CL-022</t>
  </si>
  <si>
    <t>Formula Link</t>
  </si>
  <si>
    <t>00_PORTFOLIO SUMMARY!C10:C26</t>
  </si>
  <si>
    <t>Portfolio Summary classified assets independently.</t>
  </si>
  <si>
    <t>Redirected Bucket column to Final Classification from DATA_ASSET_CLASSIFICATION.</t>
  </si>
  <si>
    <t>Output classification now uses single source of truth.</t>
  </si>
  <si>
    <t>Do not hardcode classification in Summary.</t>
  </si>
  <si>
    <t>CL-023</t>
  </si>
  <si>
    <t>00_MODEL_CONTROL!F5:F21</t>
  </si>
  <si>
    <t>Model Control Summary Bucket was not authoritative.</t>
  </si>
  <si>
    <t>Linked Summary Bucket to DATA_ASSET_CLASSIFICATION final classification.</t>
  </si>
  <si>
    <t>Control sheet now uses classification authority.</t>
  </si>
  <si>
    <t>Use F for final classification.</t>
  </si>
  <si>
    <t>CL-024</t>
  </si>
  <si>
    <t>00_PORTFOLIO_REGISTER!J5:J21</t>
  </si>
  <si>
    <t>Register Bucket was hardcoded manual text and remained a second source.</t>
  </si>
  <si>
    <t>Replaced manual bucket text with formula pulling final classification and mapping it to controlled register buckets.</t>
  </si>
  <si>
    <t>Register now follows authority table; no model assumptions changed.</t>
  </si>
  <si>
    <t>Protect from manual overwrite.</t>
  </si>
  <si>
    <t>CL-025</t>
  </si>
  <si>
    <t>DATA_ASSET_CLASSIFICATION!AA7:AB13</t>
  </si>
  <si>
    <t>Register bucket mapping was embedded in text rather than governed.</t>
  </si>
  <si>
    <t>Added visible classification-to-register-bucket mapping table used by Register formulas.</t>
  </si>
  <si>
    <t>Improves auditability; classification values stay live.</t>
  </si>
  <si>
    <t>Edit mapping table only if bucket taxonomy changes.</t>
  </si>
  <si>
    <t>CL-MVP-001</t>
  </si>
  <si>
    <t>2026-07-10</t>
  </si>
  <si>
    <t>MVP Extraction</t>
  </si>
  <si>
    <t>Workbook</t>
  </si>
  <si>
    <t>Previous MVP template did not preserve v12 build rules, colour coding, live calculations, or change log sufficiently.</t>
  </si>
  <si>
    <t>Rebuilt as a clean v12-aligned template with Business Rules, input-control map, source log, canonical DATA tabs, formulas, quality checks, and readiness output.</t>
  </si>
  <si>
    <t>Architecture and presentation only; formulas remain live.</t>
  </si>
  <si>
    <t>Use this v0.2 template for Uygar handoff.</t>
  </si>
  <si>
    <t>CL-MVP-002</t>
  </si>
  <si>
    <t>MVP scope needed to be clearly separated from investor dashboard scope.</t>
  </si>
  <si>
    <t>Added MVP-specific rules while preserving original v12 business-rule excerpt.</t>
  </si>
  <si>
    <t>Documentation only.</t>
  </si>
  <si>
    <t>Keep this sheet as first-read tab.</t>
  </si>
  <si>
    <t>CL-MVP-003</t>
  </si>
  <si>
    <t>Input Control</t>
  </si>
  <si>
    <t>INPUT_CONTROL_MAP; DATA_*</t>
  </si>
  <si>
    <t>Writable versus generated cells needed to match v12 colour discipline.</t>
  </si>
  <si>
    <t>Applied blue input zones, purple generated bridge cells, orange review flags, green output, grey legacy/reference indicators.</t>
  </si>
  <si>
    <t>Improves auditability; no calculation logic change.</t>
  </si>
  <si>
    <t>Use blue cells for analyst/AI input.</t>
  </si>
  <si>
    <t>CL-MVP-004</t>
  </si>
  <si>
    <t>Live Calculation</t>
  </si>
  <si>
    <t>DATA_METRIC_LONG; DATA_QUALITY_CHECKS; OUT_STAGE1_READINESS_SNAPSHOT</t>
  </si>
  <si>
    <t>Output needed to be formula-driven, not static.</t>
  </si>
  <si>
    <t>Added live formulas for property count, included count, units, new projects, source flags, revenue, expenses, NOI, debt service, AFFO, DSCR, and readiness status.</t>
  </si>
  <si>
    <t>Output updates when input tabs change.</t>
  </si>
  <si>
    <t>Review formulas before digital translation.</t>
  </si>
  <si>
    <t>CL-MVP-005</t>
  </si>
  <si>
    <t>Source Conflict</t>
  </si>
  <si>
    <t>Port Moody unit count remains 245 vs 328.</t>
  </si>
  <si>
    <t>Added explicit unresolved issue flag for Port Moody.</t>
  </si>
  <si>
    <t>Does not change final source assumption; flag remains open.</t>
  </si>
  <si>
    <t>Open</t>
  </si>
  <si>
    <t>Confirm with ENF before final demo.</t>
  </si>
  <si>
    <t>v0.3</t>
  </si>
  <si>
    <t>Fixed omission</t>
  </si>
  <si>
    <t>Restored legacy mortgage principal/rate/amortization/source annual debt service from v12/v0.1 extraction for included existing properties.</t>
  </si>
  <si>
    <t>Kelly review / ChatGPT</t>
  </si>
  <si>
    <t>OpenAI</t>
  </si>
  <si>
    <t>High</t>
  </si>
  <si>
    <t>Completed</t>
  </si>
  <si>
    <t>Corrects DSCR/AFFO blind spot.</t>
  </si>
  <si>
    <t>Formula control</t>
  </si>
  <si>
    <t>Tightened QC-MVP-006 to count included rows still marked Partial instead of passing when any debt row is Ready.</t>
  </si>
  <si>
    <t>Prevents silent debt completeness gaps.</t>
  </si>
  <si>
    <t>_LISTS / validations</t>
  </si>
  <si>
    <t>Control structure</t>
  </si>
  <si>
    <t>Reintroduced controlled vocabulary lists and data validation for key blue/status fields.</t>
  </si>
  <si>
    <t>Medium</t>
  </si>
  <si>
    <t>Creates authoritative enum/dropdown source for engineer.</t>
  </si>
  <si>
    <t>Business Rules / 00_PLATFORM_INDEX</t>
  </si>
  <si>
    <t>Documentation</t>
  </si>
  <si>
    <t>Added explicit workbook-level note that the file combines template structure and NGO B / ENF demo seed data.</t>
  </si>
  <si>
    <t>Clarifies demo rows are not fixed platform shape.</t>
  </si>
  <si>
    <t>Renamed column D to Live Formula Mirror and documented that plain-English calculations belong in CALC_RULES/Notes.</t>
  </si>
  <si>
    <t>Low</t>
  </si>
  <si>
    <t>Avoids engineer confusion.</t>
  </si>
  <si>
    <t>Source_ID</t>
  </si>
  <si>
    <t>File / Source Name</t>
  </si>
  <si>
    <t>Source Type</t>
  </si>
  <si>
    <t>Version / Date</t>
  </si>
  <si>
    <t>Priority</t>
  </si>
  <si>
    <t>Used For</t>
  </si>
  <si>
    <t>Review Status</t>
  </si>
  <si>
    <t>Owner</t>
  </si>
  <si>
    <t>Notes</t>
  </si>
  <si>
    <t>Supersedes / Related</t>
  </si>
  <si>
    <t>MAP_FIELD_MAPPING — Source to Canonical MVP Fields</t>
  </si>
  <si>
    <t>Shows how NGO source material maps into the simplified digital MVP template. Purple rows are generated/structured fields; orange rows require review.</t>
  </si>
  <si>
    <t>Map_ID</t>
  </si>
  <si>
    <t>Source / Document Field</t>
  </si>
  <si>
    <t>Canonical Tab</t>
  </si>
  <si>
    <t>Canonical Field</t>
  </si>
  <si>
    <t>Required for MVP?</t>
  </si>
  <si>
    <t>Current MVP Source</t>
  </si>
  <si>
    <t>MAP-001</t>
  </si>
  <si>
    <t>Property name / project name</t>
  </si>
  <si>
    <t>Property_Name</t>
  </si>
  <si>
    <t>Yes</t>
  </si>
  <si>
    <t>NGO B v12 property master</t>
  </si>
  <si>
    <t>Live</t>
  </si>
  <si>
    <t>One row per property/project.</t>
  </si>
  <si>
    <t>MAP-002</t>
  </si>
  <si>
    <t>Property ID / tab ID</t>
  </si>
  <si>
    <t>Property_ID</t>
  </si>
  <si>
    <t>NGO B v12</t>
  </si>
  <si>
    <t>Preserves v12 BLD_* identifiers for traceability.</t>
  </si>
  <si>
    <t>MAP-003</t>
  </si>
  <si>
    <t>Included / excluded scope</t>
  </si>
  <si>
    <t>Included?</t>
  </si>
  <si>
    <t>v12 model control</t>
  </si>
  <si>
    <t>Alma Blackwell remains excluded unless changed.</t>
  </si>
  <si>
    <t>MAP-004</t>
  </si>
  <si>
    <t>Unit count</t>
  </si>
  <si>
    <t>Modeled_Unit_Count</t>
  </si>
  <si>
    <t>v12 + Tapestry where updated</t>
  </si>
  <si>
    <t>Review</t>
  </si>
  <si>
    <t>Port Moody 245 vs 328 unresolved; 800 Commercial source update should be documented.</t>
  </si>
  <si>
    <t>MAP-005</t>
  </si>
  <si>
    <t>Affordability / unit bands</t>
  </si>
  <si>
    <t>DATA_UNIT_MIX</t>
  </si>
  <si>
    <t>Affordability_Band; Unit_Count</t>
  </si>
  <si>
    <t>Yes, if available</t>
  </si>
  <si>
    <t>Tapestry / rent roll / NGO data</t>
  </si>
  <si>
    <t>Partial</t>
  </si>
  <si>
    <t>Can be partial in MVP.</t>
  </si>
  <si>
    <t>MAP-006</t>
  </si>
  <si>
    <t>Operating budget / actuals</t>
  </si>
  <si>
    <t>DATA_OPERATING_ACTUALS</t>
  </si>
  <si>
    <t>IREI_Category; Amount</t>
  </si>
  <si>
    <t>Tapestry / budgets</t>
  </si>
  <si>
    <t>Core financial snapshot input.</t>
  </si>
  <si>
    <t>MAP-007</t>
  </si>
  <si>
    <t>Mortgage / debt schedule</t>
  </si>
  <si>
    <t>Principal; Rate; Amortization; Debt Service</t>
  </si>
  <si>
    <t>Tapestry + amortization schedule</t>
  </si>
  <si>
    <t>Use latest Tapestry assumptions for four projects.</t>
  </si>
  <si>
    <t>MAP-008</t>
  </si>
  <si>
    <t>Cash balance / reserves</t>
  </si>
  <si>
    <t>DATA_CASH_RESERVES</t>
  </si>
  <si>
    <t>Restricted / unrestricted / available flags</t>
  </si>
  <si>
    <t>Tapestry / financials</t>
  </si>
  <si>
    <t>Restricted cash may remain unknown.</t>
  </si>
  <si>
    <t>MAP-009</t>
  </si>
  <si>
    <t>Capital plan / BCA</t>
  </si>
  <si>
    <t>DATA_CAPITAL_NEEDS</t>
  </si>
  <si>
    <t>Estimated cost; timing; funded status</t>
  </si>
  <si>
    <t>Placeholder</t>
  </si>
  <si>
    <t>Not fully available</t>
  </si>
  <si>
    <t>MVP should flag the gap, not hide it.</t>
  </si>
  <si>
    <t>MAP-010</t>
  </si>
  <si>
    <t>Operating agreements / covenants</t>
  </si>
  <si>
    <t>DATA_AGREEMENTS</t>
  </si>
  <si>
    <t>Restriction fields</t>
  </si>
  <si>
    <t>Not fully reviewed</t>
  </si>
  <si>
    <t>Mission/restriction review remains partial.</t>
  </si>
  <si>
    <t>MAP-011</t>
  </si>
  <si>
    <t>Quality checks</t>
  </si>
  <si>
    <t>Formulas</t>
  </si>
  <si>
    <t>Calculates from source logs and flags.</t>
  </si>
  <si>
    <t>MAP-012</t>
  </si>
  <si>
    <t>Readiness outcome</t>
  </si>
  <si>
    <t>OUT_STAGE1_READINESS_SNAPSHOT</t>
  </si>
  <si>
    <t>Overall status</t>
  </si>
  <si>
    <t>MVP final output.</t>
  </si>
  <si>
    <t>DATA_PROPERTY_MASTER — MVP Property / Project Master</t>
  </si>
  <si>
    <t>Blue cells are analyst/AI input. Purple columns are generated checks. Extracted from NGO B v12 and simplified for the MVP template.</t>
  </si>
  <si>
    <t>City</t>
  </si>
  <si>
    <t>Final Classification</t>
  </si>
  <si>
    <t>Register Bucket Mapping</t>
  </si>
  <si>
    <t>Total Units</t>
  </si>
  <si>
    <t>Modeled Unit Count</t>
  </si>
  <si>
    <t>Alternate Unit Count</t>
  </si>
  <si>
    <t>Unit Conflict?</t>
  </si>
  <si>
    <t>Start Year</t>
  </si>
  <si>
    <t>Lender / Program</t>
  </si>
  <si>
    <t>Source Confidence</t>
  </si>
  <si>
    <t>Source Document ID</t>
  </si>
  <si>
    <t>Review Note</t>
  </si>
  <si>
    <t>Data Status</t>
  </si>
  <si>
    <t>DATA_UNIT_MIX — Unit Mix / Affordability Inputs</t>
  </si>
  <si>
    <t>Blue cells are writable input zones. This tab mirrors v12 canonical input logic and remains separate from live calculations until mapped.</t>
  </si>
  <si>
    <t>DATA_RENT_ROLL — Optional Rent Roll Detail</t>
  </si>
  <si>
    <t>Blue cells are writable. MVP v1 can work from operating forecast if detailed rent roll is unavailable.</t>
  </si>
  <si>
    <t>Record_ID</t>
  </si>
  <si>
    <t>Rent_Record_Level</t>
  </si>
  <si>
    <t>Unit_ID_or_Group</t>
  </si>
  <si>
    <t>Bedroom_Type</t>
  </si>
  <si>
    <t>Unit_Type</t>
  </si>
  <si>
    <t>Unit_Count</t>
  </si>
  <si>
    <t>Tenant_Status</t>
  </si>
  <si>
    <t>Vacancy_Status</t>
  </si>
  <si>
    <t>Current_Monthly_Rent</t>
  </si>
  <si>
    <t>Market_Monthly_Rent</t>
  </si>
  <si>
    <t>Source_File_ID</t>
  </si>
  <si>
    <t>DATA_OPERATING_ACTUALS — Operating Budgets / Actuals / Forecasts</t>
  </si>
  <si>
    <t>Blue cells are writable. Standardize source lines into IREI categories for live MVP metrics.</t>
  </si>
  <si>
    <t>Fiscal_Year</t>
  </si>
  <si>
    <t>Period</t>
  </si>
  <si>
    <t>Scenario</t>
  </si>
  <si>
    <t>Actual_Budget_Projection</t>
  </si>
  <si>
    <t>Source_Line_Item</t>
  </si>
  <si>
    <t>IREI_Category</t>
  </si>
  <si>
    <t>Amount</t>
  </si>
  <si>
    <t>Cash_or_Accrual</t>
  </si>
  <si>
    <t>Review_Status</t>
  </si>
  <si>
    <t>DATA_DEBT_MASTER — Debt / Mortgage / Financing Inputs</t>
  </si>
  <si>
    <t>Blue cells are writable. Purple columns are formula checks. Use Tapestry / ENF for updated demo assumptions where it supersedes v12 generic assumptions.</t>
  </si>
  <si>
    <t>DATA_CASH_RESERVES — Cash / Reserve Availability Inputs</t>
  </si>
  <si>
    <t>Blue cells are writable. Restricted cash treatment is a key MVP flag if not confirmed.</t>
  </si>
  <si>
    <t>Cash_ID</t>
  </si>
  <si>
    <t>Organization_ID</t>
  </si>
  <si>
    <t>Year</t>
  </si>
  <si>
    <t>Opening_Cash</t>
  </si>
  <si>
    <t>Closing_Cash</t>
  </si>
  <si>
    <t>Restricted_Cash</t>
  </si>
  <si>
    <t>Unrestricted_Cash</t>
  </si>
  <si>
    <t>Available_for_Operations</t>
  </si>
  <si>
    <t>Available_for_Debt_Service</t>
  </si>
  <si>
    <t>DATA_AGREEMENTS — Agreements / Restrictions Inputs</t>
  </si>
  <si>
    <t>Blue cells are writable. This tab tracks mission-lock, affordability, covenant, cash, refinance, and disposition restrictions. Placeholder is acceptable in MVP v1.</t>
  </si>
  <si>
    <t>Agreement_ID</t>
  </si>
  <si>
    <t>Agreement_Type</t>
  </si>
  <si>
    <t>Counterparty</t>
  </si>
  <si>
    <t>Start_Date</t>
  </si>
  <si>
    <t>End_Date</t>
  </si>
  <si>
    <t>Affordability_Requirement</t>
  </si>
  <si>
    <t>Rent_Restriction</t>
  </si>
  <si>
    <t>Use_Restriction</t>
  </si>
  <si>
    <t>Refinance_Restriction</t>
  </si>
  <si>
    <t>Disposition_Restriction</t>
  </si>
  <si>
    <t>DATA_CAPITAL_NEEDS — Capital Needs / Deferred Maintenance Inputs</t>
  </si>
  <si>
    <t>Blue cells are writable. Purple unfunded amount formula remains live. Missing capital plan should be flagged, not hidden.</t>
  </si>
  <si>
    <t>Capital_Item_ID</t>
  </si>
  <si>
    <t>Capital_Item</t>
  </si>
  <si>
    <t>Capital_Category</t>
  </si>
  <si>
    <t>Required_or_Discretionary</t>
  </si>
  <si>
    <t>Year_Needed</t>
  </si>
  <si>
    <t>Estimated_Cost</t>
  </si>
  <si>
    <t>Funded_Amount</t>
  </si>
  <si>
    <t>Unfunded_Amount</t>
  </si>
  <si>
    <t>Funding_Source</t>
  </si>
  <si>
    <t>Deferred_Maintenance_Flag</t>
  </si>
  <si>
    <t>ASSUMPTIONS_FLAGS — Review Flags / Source Conflicts / Assumptions</t>
  </si>
  <si>
    <t>Orange cells are controlled review areas. Keep unresolved issues visible until confirmed.</t>
  </si>
  <si>
    <t>Flag_ID</t>
  </si>
  <si>
    <t>Category</t>
  </si>
  <si>
    <t>Issue / Assumption</t>
  </si>
  <si>
    <t>Current Treatment</t>
  </si>
  <si>
    <t>Severity</t>
  </si>
  <si>
    <t>Requires Confirmation?</t>
  </si>
  <si>
    <t>Reviewer Note</t>
  </si>
  <si>
    <t>DATA_METRIC_LONG — Live MVP Metrics</t>
  </si>
  <si>
    <t>Formula-driven output metrics. Column D intentionally mirrors the live formula output for QA; Column E is the output value used by the snapshot. Plain-English documentation belongs in CALC_RULES / Notes.</t>
  </si>
  <si>
    <t>DATA_QUALITY_CHECKS — Live MVP Quality / Readiness Checks</t>
  </si>
  <si>
    <t>Formula-driven checks. Open items are not always failures; they show what must be confirmed before investor-facing outputs.</t>
  </si>
  <si>
    <t>Included_Status</t>
  </si>
  <si>
    <t>Property_Status</t>
  </si>
  <si>
    <t>Source_Confidence</t>
  </si>
  <si>
    <t>Debt_Status</t>
  </si>
  <si>
    <t>Audit_Status</t>
  </si>
  <si>
    <t>Assumption_Status</t>
  </si>
  <si>
    <t>Availability_Status</t>
  </si>
  <si>
    <t>Yes_No_Unknown</t>
  </si>
  <si>
    <t>Agreement_Status</t>
  </si>
  <si>
    <t>Active</t>
  </si>
  <si>
    <t>Ready</t>
  </si>
  <si>
    <t>PASS</t>
  </si>
  <si>
    <t>Reviewed</t>
  </si>
  <si>
    <t>New Dev</t>
  </si>
  <si>
    <t>From v12 / review</t>
  </si>
  <si>
    <t>OPEN</t>
  </si>
  <si>
    <t>Excluded</t>
  </si>
  <si>
    <t>From v12 Property Summary</t>
  </si>
  <si>
    <t>No Debt / N/A</t>
  </si>
  <si>
    <t>REVIEW</t>
  </si>
  <si>
    <t>Unknown</t>
  </si>
  <si>
    <t>Not reviewed</t>
  </si>
  <si>
    <t>Future</t>
  </si>
  <si>
    <t>Conflict</t>
  </si>
  <si>
    <t>Updated source assumption</t>
  </si>
  <si>
    <t>FAIL</t>
  </si>
  <si>
    <t>Formula-linked</t>
  </si>
  <si>
    <t>PARTIAL</t>
  </si>
  <si>
    <t>Conditional</t>
  </si>
  <si>
    <t>Source-linked</t>
  </si>
  <si>
    <t>IREI MVP v2.0 Engineering Template — Business Rules</t>
  </si>
  <si>
    <t>V2 preserves the live V1 calculation and canonical-data architecture, but extends the product from a one-time readiness assessment into a persistent portfolio stewardship record with versioning, change detection, action/decision tracking, evidence provenance, and controlled report snapshots.</t>
  </si>
  <si>
    <t>No direct edit to formulas</t>
  </si>
  <si>
    <t>Dashboard / recurring stewardship outputs</t>
  </si>
  <si>
    <t>OUT_STAGE1_READINESS_SNAPSHOT + DASH_01–08</t>
  </si>
  <si>
    <t>Control note</t>
  </si>
  <si>
    <t>DATA_DEBT_SCHEDULE</t>
  </si>
  <si>
    <t>Controlled input table</t>
  </si>
  <si>
    <t>Principal and interest may be imported or manually transcribed from a named source; Total Debt Service remains formula-driven.</t>
  </si>
  <si>
    <t>Engineer action</t>
  </si>
  <si>
    <t>Do not assume external source workbooks update this table automatically.</t>
  </si>
  <si>
    <t>BR-MVP-001</t>
  </si>
  <si>
    <t>Purpose</t>
  </si>
  <si>
    <t>MVP v2 keeps the V1 readiness review but adds recurring use: establish a baseline, preserve approved versions, compare new information, identify material changes, track actions/decisions, and regenerate controlled reports.</t>
  </si>
  <si>
    <t>Do not rebuild the live analytical core. Add persistence and workflow around it.</t>
  </si>
  <si>
    <t>BR-MVP-002</t>
  </si>
  <si>
    <t>Source hierarchy</t>
  </si>
  <si>
    <t>Source precedence remains controlled by STG_SOURCE_INTAKE and MVP_CONTROL. Every critical output must remain traceable to source, reporting period, and review status.</t>
  </si>
  <si>
    <t>Retain current source hierarchy and add version/effective-date context where available.</t>
  </si>
  <si>
    <t>BR-MVP-003</t>
  </si>
  <si>
    <t>Build principle</t>
  </si>
  <si>
    <t>Build V2 as an extension of the reusable V1 template; do not rebuild the NGO B legacy model or replace existing live formulas.</t>
  </si>
  <si>
    <t>Existing DATA_* and calculation logic remain authoritative unless a V2 change is explicitly listed in V2_CHANGE_SPEC.</t>
  </si>
  <si>
    <t>BR-MVP-004</t>
  </si>
  <si>
    <t>Input control</t>
  </si>
  <si>
    <t>Human / AI / analyst may write only in controlled input/review zones. Generated history/change fields and dashboards are not manual output-entry areas.</t>
  </si>
  <si>
    <t>Blue=input; black=formula; purple=generated; orange=review; green=output.</t>
  </si>
  <si>
    <t>BR-MVP-005</t>
  </si>
  <si>
    <t>Live calculations</t>
  </si>
  <si>
    <t>Existing metric, quality-check, trend and readiness formulas remain live. New dashboards must reference workbook tables/formulas rather than hardcoded presentation numbers.</t>
  </si>
  <si>
    <t>Every dashboard KPI must drill back conceptually to a data or workflow record.</t>
  </si>
  <si>
    <t>BR-MVP-006</t>
  </si>
  <si>
    <t>V2 workflow</t>
  </si>
  <si>
    <t>Preserve V1: intake → canonical DATA tables → checks/metrics → readiness output. Extend to: assessment version → field/change history → actions/decisions → report snapshot → next update.</t>
  </si>
  <si>
    <t>This recurring loop is the primary V2 product change.</t>
  </si>
  <si>
    <t>BR-MVP-007</t>
  </si>
  <si>
    <t>Auditability</t>
  </si>
  <si>
    <t>Source conflicts, manual overrides, material changes, action outcomes, and approved report versions must remain visible historically.</t>
  </si>
  <si>
    <t>Do not overwrite prior approved records when a new review is created.</t>
  </si>
  <si>
    <t>BR-MVP-008</t>
  </si>
  <si>
    <t>Outcome</t>
  </si>
  <si>
    <t>V2 user experience consists of eight linked dashboard pages: Portfolio; Organization/Governance; Properties; Financial; Mission/Public Value; Decisions/Risks/Actions; Evidence/Data Quality; Reports/Authorized Use.</t>
  </si>
  <si>
    <t>The eight pages are presentation/workflow views over the same controlled data model.</t>
  </si>
  <si>
    <t>BR-MVP-009</t>
  </si>
  <si>
    <t>Template/demo structure</t>
  </si>
  <si>
    <t>This workbook is the reusable V2 blank template. Client/demo data should be loaded only into controlled input tables; formulas and dashboard structures are reusable.</t>
  </si>
  <si>
    <t>Digital implementation must support multiple organizations and recurring assessment versions.</t>
  </si>
  <si>
    <t>MVP v1.0 reconciliation additions</t>
  </si>
  <si>
    <t>BR-MVP-010</t>
  </si>
  <si>
    <t>Reporting period</t>
  </si>
  <si>
    <t>All financial output must filter to the selected fiscal year in MVP_CONTROL.</t>
  </si>
  <si>
    <t>Do not mix stabilized future-project debt with current-year operations.</t>
  </si>
  <si>
    <t>BR-MVP-011</t>
  </si>
  <si>
    <t>Debt time dimension</t>
  </si>
  <si>
    <t>Instrument master data and annual debt-service schedule are separate.</t>
  </si>
  <si>
    <t>DATA_DEBT_MASTER stores instrument facts; DATA_DEBT_SCHEDULE stores annual principal and interest.</t>
  </si>
  <si>
    <t>BR-MVP-012</t>
  </si>
  <si>
    <t>Unit categories</t>
  </si>
  <si>
    <t>Mission/affordability chart categories must be mutually exclusive.</t>
  </si>
  <si>
    <t>Deep subsidy + subsidized + market + commercial + unclassified must reconcile to modeled units.</t>
  </si>
  <si>
    <t>BR-MVP-013</t>
  </si>
  <si>
    <t>Cash and reserves</t>
  </si>
  <si>
    <t>Cash, restricted reserves and available liquidity are not interchangeable.</t>
  </si>
  <si>
    <t>Keep availability conditional until source definitions and restrictions are mapped.</t>
  </si>
  <si>
    <t>BR-MVP-014</t>
  </si>
  <si>
    <t>Demonstration status</t>
  </si>
  <si>
    <t>Reconciled outputs remain demonstration evidence, not audited investor figures.</t>
  </si>
  <si>
    <t>The readiness conclusion must preserve all unresolved flags.</t>
  </si>
  <si>
    <t>00_CHANGE_LOG — IREI MVP Blank Template v0.3</t>
  </si>
  <si>
    <t>CL-MVP-006</t>
  </si>
  <si>
    <t>2026-07-26</t>
  </si>
  <si>
    <t>Source Reconciliation</t>
  </si>
  <si>
    <t>July 7 demo sources were superseded.</t>
  </si>
  <si>
    <t>Replaced with Tapestry v11, Mortgage v6 and Bond v18; documented source hierarchy.</t>
  </si>
  <si>
    <t>All current demo metrics and confidence statuses updated.</t>
  </si>
  <si>
    <t>Use latest source IDs only.</t>
  </si>
  <si>
    <t>CL-MVP-007</t>
  </si>
  <si>
    <t>Scope / Units</t>
  </si>
  <si>
    <t>DATA_PROPERTY_MASTER; DATA_UNIT_MIX</t>
  </si>
  <si>
    <t>Unit counts did not reconcile across mockup, v0.4 and source files.</t>
  </si>
  <si>
    <t>Set Port Moody to 245 and 800 Commercial to 108; added alternates and mutually exclusive unit categories.</t>
  </si>
  <si>
    <t>In-scope modeled units changed from 1,076 to 1,008.</t>
  </si>
  <si>
    <t>Confirm both conflicts with ENF.</t>
  </si>
  <si>
    <t>CL-MVP-008</t>
  </si>
  <si>
    <t>Debt Timing</t>
  </si>
  <si>
    <t>DATA_DEBT_MASTER; DATA_DEBT_SCHEDULE</t>
  </si>
  <si>
    <t>v0.4 applied stabilized future-project debt service to FY2025-26.</t>
  </si>
  <si>
    <t>Separated instrument master from annual debt schedule and selected-year calculation.</t>
  </si>
  <si>
    <t>FY2025-26 debt service changed from $14.750M to $2.660M.</t>
  </si>
  <si>
    <t>Maintain annual schedule in digital build.</t>
  </si>
  <si>
    <t>CL-MVP-009</t>
  </si>
  <si>
    <t>Financial Reconciliation</t>
  </si>
  <si>
    <t>DATA_OPERATING_ACTUALS; DATA_METRIC_LONG</t>
  </si>
  <si>
    <t>Illustrative financial figures did not tie to latest source cash flow.</t>
  </si>
  <si>
    <t>Loaded ten-year bond-model series and formula-linked selected-year metrics.</t>
  </si>
  <si>
    <t>Revenue, NOI, AFFO and DSCR materially changed.</t>
  </si>
  <si>
    <t>Treat as demonstration, not audited output.</t>
  </si>
  <si>
    <t>CL-MVP-010</t>
  </si>
  <si>
    <t>Mission Data</t>
  </si>
  <si>
    <t>DATA_UNIT_MIX; Snapshot</t>
  </si>
  <si>
    <t>Prior donut categories overlapped and existing portfolio mix was unverified.</t>
  </si>
  <si>
    <t>Created mutually exclusive categories and showed 467 existing units as unclassified.</t>
  </si>
  <si>
    <t>Known affordable units now 307; unit-mix coverage 53.7%.</t>
  </si>
  <si>
    <t>Populate existing unit mix after agreement review.</t>
  </si>
  <si>
    <t>CL-MVP-011</t>
  </si>
  <si>
    <t>Cash / Reserves</t>
  </si>
  <si>
    <t>DATA_CASH_RESERVES; ASSUMPTIONS_FLAGS</t>
  </si>
  <si>
    <t>Balance-sheet cash and bond-model reserve values used different definitions.</t>
  </si>
  <si>
    <t>Loaded both sources and kept availability conditional.</t>
  </si>
  <si>
    <t>No cash amount is assumed available for debt service.</t>
  </si>
  <si>
    <t>Confirm restriction and definition mapping.</t>
  </si>
  <si>
    <t>CL-MVP-012</t>
  </si>
  <si>
    <t>Report Output</t>
  </si>
  <si>
    <t>RECONCILIATION_SUMMARY; OUT_PHASE1_REPORT_UPDATE</t>
  </si>
  <si>
    <t>Phase 1 report needed an auditable explanation of changes.</t>
  </si>
  <si>
    <t>Added crosswalk, report-ready language and updated one-page snapshot.</t>
  </si>
  <si>
    <t>Presentation and governance.</t>
  </si>
  <si>
    <t>Insert snapshot and narrative into Phase 1 report.</t>
  </si>
  <si>
    <t>CL-MVP-013</t>
  </si>
  <si>
    <t>Controlled Rerun</t>
  </si>
  <si>
    <t>Workbook / Phase 1 output</t>
  </si>
  <si>
    <t>The reconciled file had not been explicitly issued as the rerun of the populated NGO B MVP template.</t>
  </si>
  <si>
    <t>Issued a named populated-template rerun using the July 15–17 source hierarchy and reconciled metrics.</t>
  </si>
  <si>
    <t>Naming, governance and handoff only; calculations unchanged from reconciled v1.0.</t>
  </si>
  <si>
    <t>Use this file as the NGO B populated MVP v1 demonstration workbook.</t>
  </si>
  <si>
    <t>CL-MVP-014</t>
  </si>
  <si>
    <t>Template Architecture</t>
  </si>
  <si>
    <t>Blank template / build template</t>
  </si>
  <si>
    <t>Blank v0.2 was missing the current debt schedule and control architecture.</t>
  </si>
  <si>
    <t>Promoted the populated build architecture into blank template v0.3.</t>
  </si>
  <si>
    <t>Prevents reintroduction of the debt-phasing bug.</t>
  </si>
  <si>
    <t>Use blank v0.3 as the canonical reusable schema.</t>
  </si>
  <si>
    <t>CL-MVP-015</t>
  </si>
  <si>
    <t>Source Provenance</t>
  </si>
  <si>
    <t>MVP_CONTROL; STG_SOURCE_INTAKE; FLAG-008</t>
  </si>
  <si>
    <t>Debt source labels conflicted with the actual annual schedule source.</t>
  </si>
  <si>
    <t>Separated SRC-004 annual debt schedule from SRC-003 instrument-level debt detail.</t>
  </si>
  <si>
    <t>Audit trail now matches the loaded data.</t>
  </si>
  <si>
    <t>Annual debt schedule comes from Bond v18 rows 78–79.</t>
  </si>
  <si>
    <t>CL-MVP-016</t>
  </si>
  <si>
    <t>Data Lineage</t>
  </si>
  <si>
    <t>Annual debt figures were hardcoded without an explicit update warning.</t>
  </si>
  <si>
    <t>Marked the table as a verified manual transcription and added an update-method control.</t>
  </si>
  <si>
    <t>Engineer must refresh the table when SRC-004 changes.</t>
  </si>
  <si>
    <t>Total debt service remains formula-driven.</t>
  </si>
  <si>
    <t>CL-MVP-017</t>
  </si>
  <si>
    <t>Output Control</t>
  </si>
  <si>
    <t>Snapshot confidence and financial-scope metadata could drift.</t>
  </si>
  <si>
    <t>Replaced typed metadata with formulas and made readiness conclusions formula-driven.</t>
  </si>
  <si>
    <t>Snapshot now follows the calculation engine.</t>
  </si>
  <si>
    <t>Coverage note explicitly includes the commercial unit.</t>
  </si>
  <si>
    <t>CL-MVP-018</t>
  </si>
  <si>
    <t>Metric Definition</t>
  </si>
  <si>
    <t>DATA_METRIC_LONG; DATA_QUALITY_CHECKS</t>
  </si>
  <si>
    <t>Unit Mix Coverage label did not disclose the commercial unit in the numerator.</t>
  </si>
  <si>
    <t>Renamed to Known Classification Coverage and documented the numerator.</t>
  </si>
  <si>
    <t>Definition is explicit and auditable.</t>
  </si>
  <si>
    <t>541 / 1,008 includes 307 affordable, 233 market and 1 commercial.</t>
  </si>
  <si>
    <t>00_PLATFORM_INDEX — IREI MVP v2.0 Engineering Build Map</t>
  </si>
  <si>
    <t>V2 preserves the live V1 data/calculation layers and adds persistence, change tracking, action/decision workflow, report snapshots, and eight formula-linked dashboard pages.</t>
  </si>
  <si>
    <t>Layer</t>
  </si>
  <si>
    <t>Tab</t>
  </si>
  <si>
    <t>Role</t>
  </si>
  <si>
    <t>Edit rule</t>
  </si>
  <si>
    <t>Feeds / Uses</t>
  </si>
  <si>
    <t>MVP status</t>
  </si>
  <si>
    <t>Business rules and source hierarchy</t>
  </si>
  <si>
    <t>Read only except rule updates</t>
  </si>
  <si>
    <t>All tabs</t>
  </si>
  <si>
    <t>Required</t>
  </si>
  <si>
    <t>Start here.</t>
  </si>
  <si>
    <t>MVP_CONTROL</t>
  </si>
  <si>
    <t>Reporting year and calculation basis</t>
  </si>
  <si>
    <t>Blue controlled inputs</t>
  </si>
  <si>
    <t>Metrics, checks, outputs</t>
  </si>
  <si>
    <t>Single source for reporting period.</t>
  </si>
  <si>
    <t>Audit trail</t>
  </si>
  <si>
    <t>Update on every revision</t>
  </si>
  <si>
    <t>Workbook governance</t>
  </si>
  <si>
    <t>Includes reconciliation changes.</t>
  </si>
  <si>
    <t>Analyst / AI write map</t>
  </si>
  <si>
    <t>Read before editing</t>
  </si>
  <si>
    <t>All DATA tabs</t>
  </si>
  <si>
    <t>Defines writable zones.</t>
  </si>
  <si>
    <t>Source intake</t>
  </si>
  <si>
    <t>Source package and hierarchy</t>
  </si>
  <si>
    <t>Blue input</t>
  </si>
  <si>
    <t>Confidence and audit trail</t>
  </si>
  <si>
    <t>Log source names, versions, hierarchy and review status.</t>
  </si>
  <si>
    <t>Reconciliation</t>
  </si>
  <si>
    <t>RECONCILIATION_SUMMARY</t>
  </si>
  <si>
    <t>Prior-versus-latest crosswalk</t>
  </si>
  <si>
    <t>Read only</t>
  </si>
  <si>
    <t>Green/Grey</t>
  </si>
  <si>
    <t>Phase 1 report</t>
  </si>
  <si>
    <t>Use for case-specific prior-versus-current reconciliation.</t>
  </si>
  <si>
    <t>Canonical data</t>
  </si>
  <si>
    <t>One row per property/project</t>
  </si>
  <si>
    <t>Blue input + generated checks</t>
  </si>
  <si>
    <t>Blue/Purple</t>
  </si>
  <si>
    <t>Metrics and snapshot</t>
  </si>
  <si>
    <t>One row per portfolio property or project.</t>
  </si>
  <si>
    <t>Mutually exclusive unit categories</t>
  </si>
  <si>
    <t>Mission metrics</t>
  </si>
  <si>
    <t>Use mutually exclusive unit classifications; retain unclassified units.</t>
  </si>
  <si>
    <t>Annual operating and reserve source rows</t>
  </si>
  <si>
    <t>Financial metrics and trends</t>
  </si>
  <si>
    <t>Load annual operating and reserve rows with explicit fiscal years.</t>
  </si>
  <si>
    <t>Debt instrument master</t>
  </si>
  <si>
    <t>Debt profile</t>
  </si>
  <si>
    <t>Separate instrument-level debt detail from annual portfolio debt service.</t>
  </si>
  <si>
    <t>Annual principal and interest schedule</t>
  </si>
  <si>
    <t>Blue inputs + formula total</t>
  </si>
  <si>
    <t>Blue/Black</t>
  </si>
  <si>
    <t>DSCR and cash flow</t>
  </si>
  <si>
    <t>Annual debt values are controlled inputs; total debt service is formula-driven.</t>
  </si>
  <si>
    <t>Cash and reserve balances</t>
  </si>
  <si>
    <t>Readiness flags</t>
  </si>
  <si>
    <t>Document restriction and availability status.</t>
  </si>
  <si>
    <t>Agreements and restrictions</t>
  </si>
  <si>
    <t>Mission review</t>
  </si>
  <si>
    <t>Required placeholder</t>
  </si>
  <si>
    <t>Populate agreements and restrictions when available.</t>
  </si>
  <si>
    <t>Capital plan and deferred maintenance</t>
  </si>
  <si>
    <t>Risk review</t>
  </si>
  <si>
    <t>Populate capital needs and evidence status when available.</t>
  </si>
  <si>
    <t>Review layer</t>
  </si>
  <si>
    <t>Source conflicts and unresolved items</t>
  </si>
  <si>
    <t>Orange review</t>
  </si>
  <si>
    <t>Checks and snapshot</t>
  </si>
  <si>
    <t>Do not hide uncertainty or manual overrides.</t>
  </si>
  <si>
    <t>Calculation layer</t>
  </si>
  <si>
    <t>Selected-year live metrics</t>
  </si>
  <si>
    <t>Formula-driven</t>
  </si>
  <si>
    <t>Black/Purple</t>
  </si>
  <si>
    <t>Snapshot</t>
  </si>
  <si>
    <t>Metrics filter to the reporting year selected in MVP_CONTROL.</t>
  </si>
  <si>
    <t>Quality layer</t>
  </si>
  <si>
    <t>Live reconciliation and readiness checks</t>
  </si>
  <si>
    <t>Open items drive conditional readiness.</t>
  </si>
  <si>
    <t>One-page reconciled readiness result</t>
  </si>
  <si>
    <t>Phase 1 report / digital MVP</t>
  </si>
  <si>
    <t>Primary reusable readiness output.</t>
  </si>
  <si>
    <t>OUT_10YR_FINANCIAL_TREND</t>
  </si>
  <si>
    <t>Ten-year cash-flow support table</t>
  </si>
  <si>
    <t>Phase 1 support</t>
  </si>
  <si>
    <t>Supporting</t>
  </si>
  <si>
    <t>Optional multi-year support output.</t>
  </si>
  <si>
    <t>OUT_PHASE1_REPORT_UPDATE</t>
  </si>
  <si>
    <t>Paste-ready report language and key results</t>
  </si>
  <si>
    <t>Optional report export after reconciliation.</t>
  </si>
  <si>
    <t>V2 persistence</t>
  </si>
  <si>
    <t>ASSESSMENT_VERSION</t>
  </si>
  <si>
    <t>Versioned portfolio assessment record</t>
  </si>
  <si>
    <t>Generated / controlled review</t>
  </si>
  <si>
    <t>Purple/Orange</t>
  </si>
  <si>
    <t>Dashboards, reports</t>
  </si>
  <si>
    <t>P0</t>
  </si>
  <si>
    <t>Stores baseline and later approved/verified versions.</t>
  </si>
  <si>
    <t>FIELD_HISTORY</t>
  </si>
  <si>
    <t>Previous/current field history by version</t>
  </si>
  <si>
    <t>Change detection</t>
  </si>
  <si>
    <t>Supports field-level comparison and provenance.</t>
  </si>
  <si>
    <t>CHANGE_EVENT</t>
  </si>
  <si>
    <t>Material change/event register</t>
  </si>
  <si>
    <t>Generated + review</t>
  </si>
  <si>
    <t>Overview, risks</t>
  </si>
  <si>
    <t>Records changed/new/removed/conflicting items.</t>
  </si>
  <si>
    <t>ACTION_DECISION</t>
  </si>
  <si>
    <t>Action and decision register</t>
  </si>
  <si>
    <t>Blue/Orange review</t>
  </si>
  <si>
    <t>Blue/Orange</t>
  </si>
  <si>
    <t>Overview, risks, reports</t>
  </si>
  <si>
    <t>Owner, due date, decision body, status, outcome.</t>
  </si>
  <si>
    <t>V2 governance</t>
  </si>
  <si>
    <t>DATA_OBLIGATIONS</t>
  </si>
  <si>
    <t>Governance, reporting and agreement obligations</t>
  </si>
  <si>
    <t>Blue input + formula due status</t>
  </si>
  <si>
    <t>Governance dashboard</t>
  </si>
  <si>
    <t>P1</t>
  </si>
  <si>
    <t>Turns governance into an operating register.</t>
  </si>
  <si>
    <t>V2 reporting</t>
  </si>
  <si>
    <t>REPORT_SNAPSHOT</t>
  </si>
  <si>
    <t>Report/version/approval registry</t>
  </si>
  <si>
    <t>Reports dashboard</t>
  </si>
  <si>
    <t>Links each report to a frozen assessment version.</t>
  </si>
  <si>
    <t>V2 specification</t>
  </si>
  <si>
    <t>V2_CHANGE_SPEC</t>
  </si>
  <si>
    <t>Engineer change requirements and acceptance criteria</t>
  </si>
  <si>
    <t>Read only except spec updates</t>
  </si>
  <si>
    <t>Implementation</t>
  </si>
  <si>
    <t>Single change brief inside workbook.</t>
  </si>
  <si>
    <t>Dashboard</t>
  </si>
  <si>
    <t>DASH_01_PORTFOLIO</t>
  </si>
  <si>
    <t>Portfolio command centre</t>
  </si>
  <si>
    <t>User UI</t>
  </si>
  <si>
    <t>Current state + change + priorities.</t>
  </si>
  <si>
    <t>DASH_02_GOVERNANCE</t>
  </si>
  <si>
    <t>Organization, governance and obligations</t>
  </si>
  <si>
    <t>Profile + obligations + governance gaps.</t>
  </si>
  <si>
    <t>DASH_03_PROPERTIES</t>
  </si>
  <si>
    <t>Property / portfolio register</t>
  </si>
  <si>
    <t>Portfolio composition + property drill-through spec.</t>
  </si>
  <si>
    <t>DASH_04_FINANCIAL</t>
  </si>
  <si>
    <t>Financial and capital resilience</t>
  </si>
  <si>
    <t>Trend, drivers and forward financial events.</t>
  </si>
  <si>
    <t>DASH_05_MISSION</t>
  </si>
  <si>
    <t>Mission, affordability and public value</t>
  </si>
  <si>
    <t>Mission evidence + affordability obligations.</t>
  </si>
  <si>
    <t>DASH_06_RISKS_ACTIONS</t>
  </si>
  <si>
    <t>Decisions, risks and actions</t>
  </si>
  <si>
    <t>Issue lifecycle and institutional memory.</t>
  </si>
  <si>
    <t>DASH_07_EVIDENCE_QUALITY</t>
  </si>
  <si>
    <t>Evidence and data quality</t>
  </si>
  <si>
    <t>Source provenance, exceptions and review status.</t>
  </si>
  <si>
    <t>DASH_08_REPORTS_SHARING</t>
  </si>
  <si>
    <t>Reports and authorized use</t>
  </si>
  <si>
    <t>Versioned outputs, approval and sharing.</t>
  </si>
  <si>
    <t>INPUT_CONTROL_MAP — MVP v1.0 analyst / AI write map</t>
  </si>
  <si>
    <t>Blue cells are controlled inputs. Black cells are formulas. Purple cells are generated checks. Orange cells are unresolved review items. Green sheets are outputs.</t>
  </si>
  <si>
    <t>Zone</t>
  </si>
  <si>
    <t>Range / Columns</t>
  </si>
  <si>
    <t>Field / Purpose</t>
  </si>
  <si>
    <t>Write Permission</t>
  </si>
  <si>
    <t>Table Exists?</t>
  </si>
  <si>
    <t>Feeds To</t>
  </si>
  <si>
    <t>CONTROL</t>
  </si>
  <si>
    <t>B5:B15</t>
  </si>
  <si>
    <t>Reporting year, source hierarchy and calculation basis</t>
  </si>
  <si>
    <t>Human / analyst may update blue values</t>
  </si>
  <si>
    <t>Metrics, checks and outputs</t>
  </si>
  <si>
    <t>Change reporting year here only.</t>
  </si>
  <si>
    <t>PRIMARY INPUT</t>
  </si>
  <si>
    <t>A5:J206</t>
  </si>
  <si>
    <t>Source file log and hierarchy</t>
  </si>
  <si>
    <t>Human / AI may write blue cells</t>
  </si>
  <si>
    <t>Log sources before data entry.</t>
  </si>
  <si>
    <t>A7:Q206</t>
  </si>
  <si>
    <t>Property identity, inclusion, units and source confidence</t>
  </si>
  <si>
    <t>Alternate counts remain visible.</t>
  </si>
  <si>
    <t>Mutually exclusive unit / affordability categories</t>
  </si>
  <si>
    <t>Unclassified units are allowed.</t>
  </si>
  <si>
    <t>A7:M306</t>
  </si>
  <si>
    <t>Annual operating, debt and reserve source rows</t>
  </si>
  <si>
    <t>Financial metrics and trend</t>
  </si>
  <si>
    <t>Use standardized categories.</t>
  </si>
  <si>
    <t>A7:T206</t>
  </si>
  <si>
    <t>Instrument facts, reporting-year and stabilized debt service</t>
  </si>
  <si>
    <t>Do not use stabilized debt for current-year DSCR.</t>
  </si>
  <si>
    <t>A5:D206; F:H</t>
  </si>
  <si>
    <t>Annual principal and interest by fiscal year</t>
  </si>
  <si>
    <t>Human / AI may write blue cells; total is formula</t>
  </si>
  <si>
    <t>DSCR and AFFO</t>
  </si>
  <si>
    <t>Time-dimensioned.</t>
  </si>
  <si>
    <t>A7:L206</t>
  </si>
  <si>
    <t>Cash / reserve balances and availability</t>
  </si>
  <si>
    <t>Unknown availability remains conditional.</t>
  </si>
  <si>
    <t>A7:N206</t>
  </si>
  <si>
    <t>Operating agreements and restrictions</t>
  </si>
  <si>
    <t>Placeholder acceptable.</t>
  </si>
  <si>
    <t>Capital repairs and funding status</t>
  </si>
  <si>
    <t>Capital readiness</t>
  </si>
  <si>
    <t>CONTROLLED REVIEW</t>
  </si>
  <si>
    <t>A7:J206</t>
  </si>
  <si>
    <t>Conflicts, overrides, owners and status</t>
  </si>
  <si>
    <t>Human / AI may write orange review cells</t>
  </si>
  <si>
    <t>Every unresolved issue must be logged.</t>
  </si>
  <si>
    <t>GENERATED DATA</t>
  </si>
  <si>
    <t>A7:H100</t>
  </si>
  <si>
    <t>Selected-year standardized metrics</t>
  </si>
  <si>
    <t>Do not overwrite formulas</t>
  </si>
  <si>
    <t>Formula-driven.</t>
  </si>
  <si>
    <t>QUALITY CONTROL</t>
  </si>
  <si>
    <t>A7:G100</t>
  </si>
  <si>
    <t>Reconciliation and readiness checks</t>
  </si>
  <si>
    <t>Open items drive status.</t>
  </si>
  <si>
    <t>OUTPUT</t>
  </si>
  <si>
    <t>A1:H30</t>
  </si>
  <si>
    <t>Report support.</t>
  </si>
  <si>
    <t>A1:J40</t>
  </si>
  <si>
    <t>One-page readiness result</t>
  </si>
  <si>
    <t>MVP demonstration</t>
  </si>
  <si>
    <t>Primary report image.</t>
  </si>
  <si>
    <t>A1:H20</t>
  </si>
  <si>
    <t>Ten-year support table and chart</t>
  </si>
  <si>
    <t>Projection context.</t>
  </si>
  <si>
    <t>Paste-ready report insert</t>
  </si>
  <si>
    <t>Use with caveats.</t>
  </si>
  <si>
    <t>V2 GENERATED</t>
  </si>
  <si>
    <t>A7:M206</t>
  </si>
  <si>
    <t>Assessment/version records</t>
  </si>
  <si>
    <t>Do not overwrite generated IDs/status fields except controlled review</t>
  </si>
  <si>
    <t>Generated/controlled</t>
  </si>
  <si>
    <t>Create baseline then later recurring versions.</t>
  </si>
  <si>
    <t>Previous/current field comparison</t>
  </si>
  <si>
    <t>Generated; reviewer may confirm materiality/status</t>
  </si>
  <si>
    <t>Do not replace prior history rows.</t>
  </si>
  <si>
    <t>Material change register</t>
  </si>
  <si>
    <t>Generated; reviewer confirms materiality/impact</t>
  </si>
  <si>
    <t>Feeds dashboard change summaries.</t>
  </si>
  <si>
    <t>V2 INPUT / REVIEW</t>
  </si>
  <si>
    <t>A7:R206</t>
  </si>
  <si>
    <t>Risk/action/decision lifecycle</t>
  </si>
  <si>
    <t>Controlled input/review</t>
  </si>
  <si>
    <t>Human/analyst</t>
  </si>
  <si>
    <t>Resolved items remain historical.</t>
  </si>
  <si>
    <t>V2 INPUT</t>
  </si>
  <si>
    <t>Governance/reporting/agreement obligations</t>
  </si>
  <si>
    <t>Controlled input</t>
  </si>
  <si>
    <t>Due status is formula-driven.</t>
  </si>
  <si>
    <t>Every external report links to an assessment version.</t>
  </si>
  <si>
    <t>V2 OUTPUT</t>
  </si>
  <si>
    <t>DASH_01_PORTFOLIO to DASH_08_REPORTS_SHARING</t>
  </si>
  <si>
    <t>Dashboard ranges</t>
  </si>
  <si>
    <t>Formula-driven UI specification</t>
  </si>
  <si>
    <t>No direct manual KPI entry</t>
  </si>
  <si>
    <t>Eight pages are views over controlled tables.</t>
  </si>
  <si>
    <t>STG_SOURCE_INTAKE — Source Package Log v0.3</t>
  </si>
  <si>
    <t>Log every source before loading data. Identify which file governs operating cash flow, annual debt schedule, instrument detail and project assumptions.</t>
  </si>
  <si>
    <t>Unit_Group_ID</t>
  </si>
  <si>
    <t>Affordability_Band</t>
  </si>
  <si>
    <t>Affordable_Units</t>
  </si>
  <si>
    <t>Market_Units</t>
  </si>
  <si>
    <t>Supportive_Units</t>
  </si>
  <si>
    <t>Avg_Current_Rent</t>
  </si>
  <si>
    <t>Avg_Market_Rent</t>
  </si>
  <si>
    <t>Unclassified_Units</t>
  </si>
  <si>
    <t>Commercial_Units</t>
  </si>
  <si>
    <t>Debt_ID</t>
  </si>
  <si>
    <t>Debt_Type</t>
  </si>
  <si>
    <t>Principal_Amount</t>
  </si>
  <si>
    <t>Interest_Rate</t>
  </si>
  <si>
    <t>Term_Years</t>
  </si>
  <si>
    <t>Amortization_Years</t>
  </si>
  <si>
    <t>Reporting_Year_Principal</t>
  </si>
  <si>
    <t>Reporting_Year_Interest</t>
  </si>
  <si>
    <t>Reporting_Year_Debt_Service</t>
  </si>
  <si>
    <t>Source_Annual_Debt_Service</t>
  </si>
  <si>
    <t>Stabilized_Annual_Debt_Service</t>
  </si>
  <si>
    <t>First_Full_Service_Year</t>
  </si>
  <si>
    <t>Metric_ID</t>
  </si>
  <si>
    <t>Metric_Name</t>
  </si>
  <si>
    <t>Metric_Category</t>
  </si>
  <si>
    <t>Live Formula Mirror</t>
  </si>
  <si>
    <t>Metric_Value</t>
  </si>
  <si>
    <t>Metric_Status</t>
  </si>
  <si>
    <t>MET-001</t>
  </si>
  <si>
    <t>Total Portfolio Records</t>
  </si>
  <si>
    <t>Portfolio</t>
  </si>
  <si>
    <t>Includes excluded portfolio records.</t>
  </si>
  <si>
    <t>MET-002</t>
  </si>
  <si>
    <t>Included Properties</t>
  </si>
  <si>
    <t>Financial-model scope.</t>
  </si>
  <si>
    <t>MET-003</t>
  </si>
  <si>
    <t>Existing Assets</t>
  </si>
  <si>
    <t>All existing assets, including excluded record.</t>
  </si>
  <si>
    <t>MET-004</t>
  </si>
  <si>
    <t>Existing Included Assets</t>
  </si>
  <si>
    <t>Existing assets included in calculations.</t>
  </si>
  <si>
    <t>MET-005</t>
  </si>
  <si>
    <t>New / Future Projects</t>
  </si>
  <si>
    <t>Four new/future projects.</t>
  </si>
  <si>
    <t>MET-006</t>
  </si>
  <si>
    <t>Modeled Units</t>
  </si>
  <si>
    <t>Source conflict</t>
  </si>
  <si>
    <t>Latest modeled in-scope units.</t>
  </si>
  <si>
    <t>MET-007</t>
  </si>
  <si>
    <t>Total Portfolio Units incl Excluded</t>
  </si>
  <si>
    <t>Includes Alma Blackwell.</t>
  </si>
  <si>
    <t>MET-008</t>
  </si>
  <si>
    <t>Unit Count Conflicts</t>
  </si>
  <si>
    <t>Data Readiness</t>
  </si>
  <si>
    <t>Port Moody and 800 Commercial.</t>
  </si>
  <si>
    <t>MET-009</t>
  </si>
  <si>
    <t>Source Documents Logged</t>
  </si>
  <si>
    <t>Latest source package.</t>
  </si>
  <si>
    <t>MET-010</t>
  </si>
  <si>
    <t>Open Assumption Flags</t>
  </si>
  <si>
    <t>Unresolved items only.</t>
  </si>
  <si>
    <t>MET-011</t>
  </si>
  <si>
    <t>Revenue</t>
  </si>
  <si>
    <t>Financial</t>
  </si>
  <si>
    <t>Selected reporting year.</t>
  </si>
  <si>
    <t>MET-012</t>
  </si>
  <si>
    <t>Society Operating Expenses</t>
  </si>
  <si>
    <t>MET-013</t>
  </si>
  <si>
    <t>Building Operating Expenses</t>
  </si>
  <si>
    <t>MET-014</t>
  </si>
  <si>
    <t>Operating Expenses</t>
  </si>
  <si>
    <t>Society plus building operating expenses before debt.</t>
  </si>
  <si>
    <t>MET-015</t>
  </si>
  <si>
    <t>NOI / Cash Before Debt</t>
  </si>
  <si>
    <t>Revenue less operating expenses.</t>
  </si>
  <si>
    <t>MET-016</t>
  </si>
  <si>
    <t>Debt Service</t>
  </si>
  <si>
    <t>Selected-year principal plus interest.</t>
  </si>
  <si>
    <t>MET-017</t>
  </si>
  <si>
    <t>AFFO / Cash Flow After Debt</t>
  </si>
  <si>
    <t>Simplified cash flow before capital-reserve contribution.</t>
  </si>
  <si>
    <t>MET-018</t>
  </si>
  <si>
    <t>DSCR</t>
  </si>
  <si>
    <t>NOI / selected-year debt service.</t>
  </si>
  <si>
    <t>MET-019</t>
  </si>
  <si>
    <t>Source Net Society Income</t>
  </si>
  <si>
    <t>Control</t>
  </si>
  <si>
    <t>Reconciliation control from Bond v18 row 82.</t>
  </si>
  <si>
    <t>MET-020</t>
  </si>
  <si>
    <t>Closing Reserve / Net Balance</t>
  </si>
  <si>
    <t>Definition differs from historical balance-sheet cash.</t>
  </si>
  <si>
    <t>MET-021</t>
  </si>
  <si>
    <t>Deep Subsidy Units</t>
  </si>
  <si>
    <t>Mission / Affordability</t>
  </si>
  <si>
    <t>Known new-project units.</t>
  </si>
  <si>
    <t>MET-022</t>
  </si>
  <si>
    <t>Subsidized Units</t>
  </si>
  <si>
    <t>MET-023</t>
  </si>
  <si>
    <t>Known Affordable Units</t>
  </si>
  <si>
    <t>Deep subsidy plus subsidized.</t>
  </si>
  <si>
    <t>MET-024</t>
  </si>
  <si>
    <t>Known Market Units</t>
  </si>
  <si>
    <t>MET-025</t>
  </si>
  <si>
    <t>Unclassified Existing Units</t>
  </si>
  <si>
    <t>Existing units not yet classified by affordability.</t>
  </si>
  <si>
    <t>MET-026</t>
  </si>
  <si>
    <t>Commercial Units</t>
  </si>
  <si>
    <t>800 Commercial project.</t>
  </si>
  <si>
    <t>MET-027</t>
  </si>
  <si>
    <t>Known Classification Coverage</t>
  </si>
  <si>
    <t>Known affordable + market + 1 commercial unit / modeled units.</t>
  </si>
  <si>
    <t>MET-028</t>
  </si>
  <si>
    <t>Agreement Review Status</t>
  </si>
  <si>
    <t>Mission / Restrictions</t>
  </si>
  <si>
    <t>Agreement inventory not yet populated.</t>
  </si>
  <si>
    <t>MET-029</t>
  </si>
  <si>
    <t>Capital Needs Review Status</t>
  </si>
  <si>
    <t>Capital Needs</t>
  </si>
  <si>
    <t>Placeholder remains open.</t>
  </si>
  <si>
    <t>Check_ID</t>
  </si>
  <si>
    <t>Check Area</t>
  </si>
  <si>
    <t>Expected / Rule</t>
  </si>
  <si>
    <t>Actual</t>
  </si>
  <si>
    <t>Why It Matters</t>
  </si>
  <si>
    <t>QC-MVP-001</t>
  </si>
  <si>
    <t>Portfolio record count</t>
  </si>
  <si>
    <t>&gt;=1</t>
  </si>
  <si>
    <t>Total portfolio count must be explicit.</t>
  </si>
  <si>
    <t>Review property register.</t>
  </si>
  <si>
    <t>QC-MVP-002</t>
  </si>
  <si>
    <t>Included property count</t>
  </si>
  <si>
    <t>Financial scope must be explicit.</t>
  </si>
  <si>
    <t>Review Included? field.</t>
  </si>
  <si>
    <t>QC-MVP-003</t>
  </si>
  <si>
    <t>Unit count conflicts</t>
  </si>
  <si>
    <t>0 ideal</t>
  </si>
  <si>
    <t>Conflicts must remain visible.</t>
  </si>
  <si>
    <t>Confirm Port Moody and 800 Commercial.</t>
  </si>
  <si>
    <t>QC-MVP-004</t>
  </si>
  <si>
    <t>Unit table reconciliation</t>
  </si>
  <si>
    <t>Property master = unit mix</t>
  </si>
  <si>
    <t>Mission categories must reconcile to modeled units.</t>
  </si>
  <si>
    <t>Correct unit rows.</t>
  </si>
  <si>
    <t>QC-MVP-005</t>
  </si>
  <si>
    <t>Source files logged</t>
  </si>
  <si>
    <t>Auditability requires a source log.</t>
  </si>
  <si>
    <t>Maintain source hierarchy.</t>
  </si>
  <si>
    <t>QC-MVP-006</t>
  </si>
  <si>
    <t>Operating data for selected year</t>
  </si>
  <si>
    <t>At least 3 core rows</t>
  </si>
  <si>
    <t>Snapshot needs selected-year revenue and expenses.</t>
  </si>
  <si>
    <t>Load current forecast.</t>
  </si>
  <si>
    <t>QC-MVP-007</t>
  </si>
  <si>
    <t>Debt schedule for selected year</t>
  </si>
  <si>
    <t>Exactly 1 portfolio row</t>
  </si>
  <si>
    <t>Prevents period mismatch in DSCR.</t>
  </si>
  <si>
    <t>Maintain annual debt schedule.</t>
  </si>
  <si>
    <t>QC-MVP-008</t>
  </si>
  <si>
    <t>Financial reconciliation</t>
  </si>
  <si>
    <t>Calculated CF = source net income</t>
  </si>
  <si>
    <t>Output should tie to source model.</t>
  </si>
  <si>
    <t>Investigate any difference.</t>
  </si>
  <si>
    <t>QC-MVP-009</t>
  </si>
  <si>
    <t>Cash restriction / definition</t>
  </si>
  <si>
    <t>Known preferred</t>
  </si>
  <si>
    <t>Cash is not automatically available liquidity.</t>
  </si>
  <si>
    <t>Confirm definitions and restrictions.</t>
  </si>
  <si>
    <t>QC-MVP-010</t>
  </si>
  <si>
    <t>Known classification coverage</t>
  </si>
  <si>
    <t>100% ideal</t>
  </si>
  <si>
    <t>Affordability conclusions require full coverage.</t>
  </si>
  <si>
    <t>Classify existing units.</t>
  </si>
  <si>
    <t>QC-MVP-011</t>
  </si>
  <si>
    <t>Capital needs reviewed</t>
  </si>
  <si>
    <t>At least one completed record</t>
  </si>
  <si>
    <t>Capital readiness cannot be inferred without a plan.</t>
  </si>
  <si>
    <t>Review BCA/capital plan.</t>
  </si>
  <si>
    <t>QC-MVP-012</t>
  </si>
  <si>
    <t>Agreement review</t>
  </si>
  <si>
    <t>At least one reviewed record</t>
  </si>
  <si>
    <t>Mission restrictions and refinancing limits matter.</t>
  </si>
  <si>
    <t>Build agreement inventory.</t>
  </si>
  <si>
    <t>QC-MVP-013</t>
  </si>
  <si>
    <t>Open material assumption flags</t>
  </si>
  <si>
    <t>Open flags drive conditional readiness.</t>
  </si>
  <si>
    <t>Resolve targeted confirmations.</t>
  </si>
  <si>
    <t>IREI Stage 1 Readiness Snapshot</t>
  </si>
  <si>
    <t>Reusable Stage 1 Readiness Snapshot — populate source and data tabs before use</t>
  </si>
  <si>
    <t>Portfolio Records</t>
  </si>
  <si>
    <t>Overall Status</t>
  </si>
  <si>
    <t>1. Portfolio Profile</t>
  </si>
  <si>
    <t>2. Data Readiness</t>
  </si>
  <si>
    <t>Organization</t>
  </si>
  <si>
    <t>Property List</t>
  </si>
  <si>
    <t>Review Type</t>
  </si>
  <si>
    <t>Unit Counts</t>
  </si>
  <si>
    <t>Partial / Conflict</t>
  </si>
  <si>
    <t>Reporting Period</t>
  </si>
  <si>
    <t>Operating Forecast</t>
  </si>
  <si>
    <t>Primary Source Package</t>
  </si>
  <si>
    <t>Source package not yet loaded</t>
  </si>
  <si>
    <t>Debt / Mortgage Data</t>
  </si>
  <si>
    <t>Complete / Time-aligned</t>
  </si>
  <si>
    <t>Data Confidence</t>
  </si>
  <si>
    <t>Financial Scope</t>
  </si>
  <si>
    <t>Agreements / Restrictions</t>
  </si>
  <si>
    <t>Source Documents</t>
  </si>
  <si>
    <t>3. Financial Snapshot (CAD)</t>
  </si>
  <si>
    <t>4. Mission / Affordability Snapshot</t>
  </si>
  <si>
    <t>Metric</t>
  </si>
  <si>
    <t>Value</t>
  </si>
  <si>
    <t>Bond v18, selected year</t>
  </si>
  <si>
    <t>Society + building, before debt</t>
  </si>
  <si>
    <t>Revenue less operating expenses</t>
  </si>
  <si>
    <t>Selected-year principal + interest</t>
  </si>
  <si>
    <t>Cash Flow After Debt</t>
  </si>
  <si>
    <t>Before capital-reserve contribution</t>
  </si>
  <si>
    <t>Known Classification Coverage*</t>
  </si>
  <si>
    <t>NOI / debt service</t>
  </si>
  <si>
    <t>Agreement Review</t>
  </si>
  <si>
    <t>*Includes affordable, market and the 1 commercial unit as classified.</t>
  </si>
  <si>
    <t>5. Key Flags / Unresolved Items</t>
  </si>
  <si>
    <t>6. Readiness Conclusion</t>
  </si>
  <si>
    <t>Financial Readiness</t>
  </si>
  <si>
    <t>Mission / Restriction Review</t>
  </si>
  <si>
    <t>Overall Stage 1 Readiness</t>
  </si>
  <si>
    <t>Preliminary result is generated from the loaded canonical data and open quality checks. Do not use externally until source provenance and unresolved flags are reviewed.</t>
  </si>
  <si>
    <t>Version_Status</t>
  </si>
  <si>
    <t>Action_Status</t>
  </si>
  <si>
    <t>Change_Type</t>
  </si>
  <si>
    <t>Materiality</t>
  </si>
  <si>
    <t>Report_Status</t>
  </si>
  <si>
    <t>Action_Type</t>
  </si>
  <si>
    <t>Draft</t>
  </si>
  <si>
    <t>New</t>
  </si>
  <si>
    <t>Risk Response</t>
  </si>
  <si>
    <t>Baseline</t>
  </si>
  <si>
    <t>Under Review</t>
  </si>
  <si>
    <t>Changed</t>
  </si>
  <si>
    <t>Management Action</t>
  </si>
  <si>
    <t>Verified</t>
  </si>
  <si>
    <t>Material Change</t>
  </si>
  <si>
    <t>Approved</t>
  </si>
  <si>
    <t>Board Decision</t>
  </si>
  <si>
    <t>Board Decision Required</t>
  </si>
  <si>
    <t>No Change</t>
  </si>
  <si>
    <t>Critical</t>
  </si>
  <si>
    <t>Shared</t>
  </si>
  <si>
    <t>Evidence Request</t>
  </si>
  <si>
    <t>Superseded</t>
  </si>
  <si>
    <t>In Progress</t>
  </si>
  <si>
    <t>Removed</t>
  </si>
  <si>
    <t>Monitoring</t>
  </si>
  <si>
    <t>Resolved</t>
  </si>
  <si>
    <t>Accepted / Monitor</t>
  </si>
  <si>
    <t>MVP_CONTROL — Stage 1 V2 Settings</t>
  </si>
  <si>
    <t>Single source for reporting period plus V2 baseline/update behavior. Existing V1 controls remain in place.</t>
  </si>
  <si>
    <t>Selected Value</t>
  </si>
  <si>
    <t>Rule / Use</t>
  </si>
  <si>
    <t>Reporting Fiscal Year</t>
  </si>
  <si>
    <t>All snapshot financial metrics filter to this fiscal year.</t>
  </si>
  <si>
    <t>Source Cutoff Date</t>
  </si>
  <si>
    <t>Latest source models included in the reconciliation.</t>
  </si>
  <si>
    <t>Currency</t>
  </si>
  <si>
    <t>CAD</t>
  </si>
  <si>
    <t>No currency conversion applied.</t>
  </si>
  <si>
    <t>Operating Cash-Flow Source</t>
  </si>
  <si>
    <t>Named source that governs annual revenue, operating expenses, reserve trajectory and source net income.</t>
  </si>
  <si>
    <t>Annual Debt Schedule Source</t>
  </si>
  <si>
    <t>Named source that governs annual principal, interest and total debt service by fiscal year.</t>
  </si>
  <si>
    <t>Instrument-Level Debt Detail Source</t>
  </si>
  <si>
    <t>Named source that governs mortgage balances, rates, amortization, maturity and instrument-level review.</t>
  </si>
  <si>
    <t>Project / Balance-Sheet Source</t>
  </si>
  <si>
    <t>Named source that governs project capital stacks, unit/rent assumptions and balance-sheet inputs.</t>
  </si>
  <si>
    <t>Architecture / Legacy Source</t>
  </si>
  <si>
    <t>Prior workbook or standard used for architecture and legacy data where not superseded.</t>
  </si>
  <si>
    <t>Property Count Basis</t>
  </si>
  <si>
    <t>Portfolio records</t>
  </si>
  <si>
    <t>State whether the top-line count represents all records, included properties or another controlled scope.</t>
  </si>
  <si>
    <t>Unit Count Basis</t>
  </si>
  <si>
    <t>Latest verified source</t>
  </si>
  <si>
    <t>Use the latest verified unit source; retain conflicts and alternates in ASSUMPTIONS_FLAGS.</t>
  </si>
  <si>
    <t>AFFO Treatment</t>
  </si>
  <si>
    <t>State whether capital-reserve contributions and other deductions are included in the simplified cash-flow output.</t>
  </si>
  <si>
    <t>Overall Readiness Rule</t>
  </si>
  <si>
    <t>Conditional if any open material check</t>
  </si>
  <si>
    <t>Default: Conditional when any open material check remains. Do not use a score without a defensible methodology.</t>
  </si>
  <si>
    <t>Debt Schedule Update Method</t>
  </si>
  <si>
    <t>Manual verified transcription</t>
  </si>
  <si>
    <t>Document whether annual debt values are imported, linked or manually transcribed; refresh after every source change.</t>
  </si>
  <si>
    <t>Organization / Demonstration Name</t>
  </si>
  <si>
    <t>Shown on the Stage 1 Readiness Snapshot.</t>
  </si>
  <si>
    <t>V2 Operating Mode</t>
  </si>
  <si>
    <t>Baseline + recurring updates</t>
  </si>
  <si>
    <t>Initial assessment becomes the comparison baseline for future reviews.</t>
  </si>
  <si>
    <t>Current Assessment Version</t>
  </si>
  <si>
    <t>Version ID used by dashboards and report snapshots.</t>
  </si>
  <si>
    <t>Comparison Version</t>
  </si>
  <si>
    <t>Demo comparison only. Future production use compares prior verified/approved assessment periods.</t>
  </si>
  <si>
    <t>Review Frequency</t>
  </si>
  <si>
    <t>Quarterly / annual / material change</t>
  </si>
  <si>
    <t>Implementation should support scheduled and material-change updates.</t>
  </si>
  <si>
    <t>Change Detection</t>
  </si>
  <si>
    <t>Enabled</t>
  </si>
  <si>
    <t>New uploads compare to last verified/approved version before updating outputs.</t>
  </si>
  <si>
    <t>Action / Decision Tracking</t>
  </si>
  <si>
    <t>Open issues persist until resolved, accepted/monitor, or closed.</t>
  </si>
  <si>
    <t>Report Snapshot Rule</t>
  </si>
  <si>
    <t>Freeze data version on approval</t>
  </si>
  <si>
    <t>An approved report must remain reproducible from its linked assessment version.</t>
  </si>
  <si>
    <t>External Release Gate</t>
  </si>
  <si>
    <t>Human review required</t>
  </si>
  <si>
    <t>AI-generated/extracted results remain provisional until review/approval.</t>
  </si>
  <si>
    <t>DATA_DEBT_SCHEDULE — Annual Portfolio Debt Service Template</t>
  </si>
  <si>
    <t>Controlled input table. Principal and interest are imported or manually transcribed from a named source. Only Total_Debt_Service is formula-driven; document the update method and re-verify after every source change.</t>
  </si>
  <si>
    <t>Schedule_ID</t>
  </si>
  <si>
    <t>Principal_Payment</t>
  </si>
  <si>
    <t>Interest_Payment</t>
  </si>
  <si>
    <t>Total_Debt_Service</t>
  </si>
  <si>
    <t>Update_Method</t>
  </si>
  <si>
    <t>RECONCILIATION_SUMMARY — Reusable Review Template</t>
  </si>
  <si>
    <t>Record prior values, latest source values, selected treatment and reviewer rationale before issuing an updated test case.</t>
  </si>
  <si>
    <t>Reconciliation_ID</t>
  </si>
  <si>
    <t>Metric / Field</t>
  </si>
  <si>
    <t>Prior Value</t>
  </si>
  <si>
    <t>Latest Source Value</t>
  </si>
  <si>
    <t>Reviewer Rationale</t>
  </si>
  <si>
    <t>OUT_PHASE1_REPORT_UPDATE — Optional Report Export</t>
  </si>
  <si>
    <t>Populate after the case is reconciled and quality checks are reviewed. This sheet is not a source-data input.</t>
  </si>
  <si>
    <t>The NGO B / ENF demonstration case was reconciled against the July 15–17, 2026 source package. The exercise materially improved the MVP because it exposed two issues that a Stage 1 product must control: source hierarchy and time-period alignment. The prior static mockup and workbook used different figures, and the workbook applied stabilized debt service for future projects to FY2025–26. The reconciled version now uses the 10-Year Bond Model v18 for annual portfolio cash flow, Mortgage Schedule v6 for debt timing, Tapestry v11 for project and balance-sheet assumptions, and NGO B v12 for the reusable data architecture and legacy property record.</t>
  </si>
  <si>
    <t>Section</t>
  </si>
  <si>
    <t>Formula / Result</t>
  </si>
  <si>
    <t>Evidence Source</t>
  </si>
  <si>
    <t>Report Note</t>
  </si>
  <si>
    <t>OUT_10YR_FINANCIAL_TREND — Reconciled Portfolio Cash Flow</t>
  </si>
  <si>
    <t>Fiscal Year</t>
  </si>
  <si>
    <t>Closing Reserve</t>
  </si>
  <si>
    <t>RERUN_MANIFEST — Reusable MVP Case</t>
  </si>
  <si>
    <t>Complete for each populated demonstration or client case.</t>
  </si>
  <si>
    <t>Item</t>
  </si>
  <si>
    <t>Role in Rerun</t>
  </si>
  <si>
    <t>Phase 1 Use</t>
  </si>
  <si>
    <t>IREI Stage 1 MVP v1 → v2 Engineering Change Specification</t>
  </si>
  <si>
    <t>Build as a controlled delta. Existing V1 formulas/data layers stay live unless this sheet explicitly says otherwise.</t>
  </si>
  <si>
    <t>Req ID</t>
  </si>
  <si>
    <t>V1 Behavior</t>
  </si>
  <si>
    <t>V2 Required Behavior</t>
  </si>
  <si>
    <t>Implementation Notes</t>
  </si>
  <si>
    <t>Acceptance Test</t>
  </si>
  <si>
    <t>FR-01</t>
  </si>
  <si>
    <t>One current assessment output.</t>
  </si>
  <si>
    <t>Persist assessment versions; do not overwrite prior verified/approved records.</t>
  </si>
  <si>
    <t>Create ASSESSMENT_VERSION and reference Version_ID from history/actions/reports.</t>
  </si>
  <si>
    <t>A baseline remains available after a later version is created.</t>
  </si>
  <si>
    <t>FR-02</t>
  </si>
  <si>
    <t>New inputs replace current-state analysis.</t>
  </si>
  <si>
    <t>Compare new data against prior comparison version and identify changed/new/removed/conflicting values.</t>
  </si>
  <si>
    <t>Use FIELD_HISTORY + CHANGE_EVENT. Preserve source/effective/review context.</t>
  </si>
  <si>
    <t>A new upload can show prior value, current value and change status.</t>
  </si>
  <si>
    <t>FR-03</t>
  </si>
  <si>
    <t>Risks appear as assessment findings.</t>
  </si>
  <si>
    <t>Track issues through owner, due date, decision body, status, outcome and closure.</t>
  </si>
  <si>
    <t>Use ACTION_DECISION; never delete resolved items.</t>
  </si>
  <si>
    <t>An issue can move from New → In Progress → Resolved while remaining in history.</t>
  </si>
  <si>
    <t>FR-04</t>
  </si>
  <si>
    <t>Reports reflect latest dashboard state.</t>
  </si>
  <si>
    <t>Freeze the assessment version used by each approved report.</t>
  </si>
  <si>
    <t>Use REPORT_SNAPSHOT linked to Version_ID.</t>
  </si>
  <si>
    <t>An old approved report remains reproducible after later data changes.</t>
  </si>
  <si>
    <t>FR-05</t>
  </si>
  <si>
    <t>Data mapping and flags support one review.</t>
  </si>
  <si>
    <t>Retain source provenance and quality status across recurring reviews.</t>
  </si>
  <si>
    <t>Existing STG_SOURCE_INTAKE / ASSUMPTIONS_FLAGS / DATA_QUALITY_CHECKS remain authoritative; V2 adds history.</t>
  </si>
  <si>
    <t>A changed metric can be traced to source, review status and prior value.</t>
  </si>
  <si>
    <t>FR-06</t>
  </si>
  <si>
    <t>Governance page is mostly an assessment/profile view.</t>
  </si>
  <si>
    <t>Add operational obligations/deadlines register.</t>
  </si>
  <si>
    <t>Use DATA_OBLIGATIONS with owner/due/status/source.</t>
  </si>
  <si>
    <t>Upcoming/overdue obligations appear on governance dashboard.</t>
  </si>
  <si>
    <t>FR-07</t>
  </si>
  <si>
    <t>Readiness Snapshot is the main UI output.</t>
  </si>
  <si>
    <t>Provide eight linked dashboard pages over the same data/workflow model.</t>
  </si>
  <si>
    <t>Use DASH_01 through DASH_08. All KPI cells are formulas, not presentation hardcodes.</t>
  </si>
  <si>
    <t>Changing source/input data updates dashboard values without manual retyping.</t>
  </si>
  <si>
    <t>FR-08</t>
  </si>
  <si>
    <t>One-time workflow: upload → map → assess → report.</t>
  </si>
  <si>
    <t>Recurring workflow: baseline → update → compare → review → act/decide → report snapshot → repeat.</t>
  </si>
  <si>
    <t>No Stage 2/3, investor portal, property-management, accounting or securities scope in this sprint.</t>
  </si>
  <si>
    <t>NGO B can be re-run with updated information without rebuilding the assessment from scratch.</t>
  </si>
  <si>
    <t>ASSESSMENT_VERSION — Portfolio Assessment Version Register</t>
  </si>
  <si>
    <t>One row per baseline/update version. Prior verified/approved versions are retained; new reviews create new rows.</t>
  </si>
  <si>
    <t>Version_ID</t>
  </si>
  <si>
    <t>Organization_Name</t>
  </si>
  <si>
    <t>Reporting_Period</t>
  </si>
  <si>
    <t>Readiness_Status</t>
  </si>
  <si>
    <t>Source_Cutoff_Date</t>
  </si>
  <si>
    <t>Created_Date</t>
  </si>
  <si>
    <t>Verified_Date</t>
  </si>
  <si>
    <t>Approved_Date</t>
  </si>
  <si>
    <t>Approved_By</t>
  </si>
  <si>
    <t>Based_On_Version_ID</t>
  </si>
  <si>
    <t>FIELD_HISTORY — Field-Level Version Comparison</t>
  </si>
  <si>
    <t>Generated/controlled history. Stores prior and current values by version so dashboards can show what changed without losing prior state.</t>
  </si>
  <si>
    <t>History_ID</t>
  </si>
  <si>
    <t>Entity_Type</t>
  </si>
  <si>
    <t>Entity_ID</t>
  </si>
  <si>
    <t>Field_Name</t>
  </si>
  <si>
    <t>Previous_Value</t>
  </si>
  <si>
    <t>Current_Value</t>
  </si>
  <si>
    <t>Change_Amount</t>
  </si>
  <si>
    <t>Change_%</t>
  </si>
  <si>
    <t>Material_Flag</t>
  </si>
  <si>
    <t>CHANGE_EVENT — Material Change / Exception Register</t>
  </si>
  <si>
    <t>Generated from version comparison and review logic. Materiality/impact can be confirmed by the reviewer before external use.</t>
  </si>
  <si>
    <t>Change_ID</t>
  </si>
  <si>
    <t>Change_Category</t>
  </si>
  <si>
    <t>Field_or_Metric</t>
  </si>
  <si>
    <t>Direction</t>
  </si>
  <si>
    <t>Impact</t>
  </si>
  <si>
    <t>ACTION_DECISION — Risk, Action and Decision Lifecycle</t>
  </si>
  <si>
    <t>Persistent management/board workflow. Resolved items remain historical and link back to the assessment/evidence that created them.</t>
  </si>
  <si>
    <t>Action_ID</t>
  </si>
  <si>
    <t>Issue_ID</t>
  </si>
  <si>
    <t>Description</t>
  </si>
  <si>
    <t>Decision_Body</t>
  </si>
  <si>
    <t>Date_Identified</t>
  </si>
  <si>
    <t>Due_Date</t>
  </si>
  <si>
    <t>Decision_Date</t>
  </si>
  <si>
    <t>Evidence_ID</t>
  </si>
  <si>
    <t>Closed_Date</t>
  </si>
  <si>
    <t>DATA_OBLIGATIONS — Governance / Reporting / Agreement Obligations</t>
  </si>
  <si>
    <t>Operational register for board, lender, funder, agreement and policy obligations. Due_Status is formula-driven from Due_Date and Status.</t>
  </si>
  <si>
    <t>Obligation_ID</t>
  </si>
  <si>
    <t>Obligation_Type</t>
  </si>
  <si>
    <t>Obligation</t>
  </si>
  <si>
    <t>Source_or_Agreement</t>
  </si>
  <si>
    <t>Frequency</t>
  </si>
  <si>
    <t>Due_Status</t>
  </si>
  <si>
    <t>REPORT_SNAPSHOT — Report Version / Approval / Sharing Register</t>
  </si>
  <si>
    <t>Each report links to the assessment version used to generate it. Approved/shared reports remain reproducible after later portfolio updates.</t>
  </si>
  <si>
    <t>Report_ID</t>
  </si>
  <si>
    <t>Report_Type</t>
  </si>
  <si>
    <t>Generated_Date</t>
  </si>
  <si>
    <t>Intended_Recipient</t>
  </si>
  <si>
    <t>Scope</t>
  </si>
  <si>
    <t>Supersedes_Report_ID</t>
  </si>
  <si>
    <t>File_or_Link</t>
  </si>
  <si>
    <t>IREI</t>
  </si>
  <si>
    <t>Portfolio Overview</t>
  </si>
  <si>
    <t>Stage 1 MVP v2.0</t>
  </si>
  <si>
    <t>Current state, changes, priorities and review status at a glance</t>
  </si>
  <si>
    <t>Source cutoff</t>
  </si>
  <si>
    <t>Current version</t>
  </si>
  <si>
    <t>1  Portfolio Overview</t>
  </si>
  <si>
    <t>Portfolio DSCR</t>
  </si>
  <si>
    <t>2  Organization &amp; Governance</t>
  </si>
  <si>
    <t>What Changed / Baseline Comparison</t>
  </si>
  <si>
    <t>Open Priorities / Actions</t>
  </si>
  <si>
    <t>3  Properties / Portfolio</t>
  </si>
  <si>
    <t>Field / Metric</t>
  </si>
  <si>
    <t>Previous</t>
  </si>
  <si>
    <t>Current</t>
  </si>
  <si>
    <t>Change</t>
  </si>
  <si>
    <t>Material?</t>
  </si>
  <si>
    <t>Source</t>
  </si>
  <si>
    <t>Action</t>
  </si>
  <si>
    <t>Property</t>
  </si>
  <si>
    <t>Decision Body</t>
  </si>
  <si>
    <t>Due</t>
  </si>
  <si>
    <t>Evidence</t>
  </si>
  <si>
    <t>4  Financial Resilience</t>
  </si>
  <si>
    <t>5  Mission &amp; Public Value</t>
  </si>
  <si>
    <t>6  Decisions, Risks &amp; Actions</t>
  </si>
  <si>
    <t>Readiness / Evidence Gates</t>
  </si>
  <si>
    <t>V2 Workflow Status</t>
  </si>
  <si>
    <t>Check</t>
  </si>
  <si>
    <t>Why it matters</t>
  </si>
  <si>
    <t>Next step</t>
  </si>
  <si>
    <t>Indicator</t>
  </si>
  <si>
    <t>Result</t>
  </si>
  <si>
    <t>Engineering Note</t>
  </si>
  <si>
    <t>Assessment version</t>
  </si>
  <si>
    <t>Persistent baseline/update record</t>
  </si>
  <si>
    <t>Current baseline/version.</t>
  </si>
  <si>
    <t>7  Evidence &amp; Data Quality</t>
  </si>
  <si>
    <t>Open actions</t>
  </si>
  <si>
    <t>Items not resolved/closed</t>
  </si>
  <si>
    <t>Shows persistent management workload.</t>
  </si>
  <si>
    <t>Board decisions</t>
  </si>
  <si>
    <t>Decision workflow visibility</t>
  </si>
  <si>
    <t>Board-specific decisions can be filtered.</t>
  </si>
  <si>
    <t>Open evidence checks</t>
  </si>
  <si>
    <t>Prevents premature external use</t>
  </si>
  <si>
    <t>Human review gate remains visible.</t>
  </si>
  <si>
    <t>8  Reports &amp; Authorized Use</t>
  </si>
  <si>
    <t>Report snapshots</t>
  </si>
  <si>
    <t>Frozen report/version link</t>
  </si>
  <si>
    <t>Approved outputs remain reproducible.</t>
  </si>
  <si>
    <t>Recurring update mode</t>
  </si>
  <si>
    <t>Baseline → compare → act → report → repeat</t>
  </si>
  <si>
    <t>This loop is the core V2 change.</t>
  </si>
  <si>
    <t>Engineering intent: V2 is not a new analytics engine. It is the persistent workflow around the existing live Stage 1 analysis.</t>
  </si>
  <si>
    <t>V2 principle:
Persistent record + change tracking</t>
  </si>
  <si>
    <t>All dashboard values are formula-linked to workbook tables.</t>
  </si>
  <si>
    <t>Organization &amp; Governance</t>
  </si>
  <si>
    <t>Organization profile, decision rights, obligations and governance data gaps</t>
  </si>
  <si>
    <t>Obligations Loaded</t>
  </si>
  <si>
    <t>Governance Status</t>
  </si>
  <si>
    <t>Organization Profile / Current Scope</t>
  </si>
  <si>
    <t>Obligations Register</t>
  </si>
  <si>
    <t>Current Value</t>
  </si>
  <si>
    <t>Source / Rule</t>
  </si>
  <si>
    <t>Due Date</t>
  </si>
  <si>
    <t>Due Status</t>
  </si>
  <si>
    <t>Controlled</t>
  </si>
  <si>
    <t>Included properties</t>
  </si>
  <si>
    <t>Existing assets</t>
  </si>
  <si>
    <t>New / future projects</t>
  </si>
  <si>
    <t>Governance evidence loaded</t>
  </si>
  <si>
    <t>Not Assessed if 0</t>
  </si>
  <si>
    <t>Governance / Institutional Gaps</t>
  </si>
  <si>
    <t>V2 Governance Design Requirement</t>
  </si>
  <si>
    <t>Flag</t>
  </si>
  <si>
    <t>Evidence / Note</t>
  </si>
  <si>
    <t>V2 should not treat governance as a one-time score. This page becomes useful after onboarding by maintaining board/funder/lender/policy obligations, owners, deadlines, decision rights and evidence. The current NGO B demo has not loaded a governance/obligation inventory, so the dashboard intentionally shows 'Not Assessed' rather than inventing a score.</t>
  </si>
  <si>
    <t>Properties / Portfolio</t>
  </si>
  <si>
    <t>Persistent property register, classifications, unit counts and drill-through starting points</t>
  </si>
  <si>
    <t>New / Future</t>
  </si>
  <si>
    <t>Portfolio Classification</t>
  </si>
  <si>
    <t>Property Register — Formula-Linked Sample</t>
  </si>
  <si>
    <t>Classification</t>
  </si>
  <si>
    <t>Properties</t>
  </si>
  <si>
    <t>Included Units</t>
  </si>
  <si>
    <t>Engineering Treatment</t>
  </si>
  <si>
    <t>Units</t>
  </si>
  <si>
    <t>Stable</t>
  </si>
  <si>
    <t>Routine monitoring</t>
  </si>
  <si>
    <t>Refi Watch</t>
  </si>
  <si>
    <t>Debt/refinance attention</t>
  </si>
  <si>
    <t>Workout</t>
  </si>
  <si>
    <t>Stabilization / active intervention</t>
  </si>
  <si>
    <t>New Build</t>
  </si>
  <si>
    <t>Pipeline / future operating profile</t>
  </si>
  <si>
    <t>Portfolio record, excluded from current financial scope</t>
  </si>
  <si>
    <t>Data / Unit Exceptions</t>
  </si>
  <si>
    <t>Current Units</t>
  </si>
  <si>
    <t>Alternate</t>
  </si>
  <si>
    <t>Conflict?</t>
  </si>
  <si>
    <t>Digital behavior: every property row should open a persistent property record showing finances, debt, affordability, capital needs, agreements, risks/actions, evidence and last verified date. The Excel page is the UI/data mapping specification; it does not replace the underlying DATA_* tables.</t>
  </si>
  <si>
    <t>Financial Resilience</t>
  </si>
  <si>
    <t>Controlled metrics, trend, change drivers and forward capital/debt events</t>
  </si>
  <si>
    <t>10-Year Financial Trend</t>
  </si>
  <si>
    <t>Change Drivers / Comparison</t>
  </si>
  <si>
    <t>OpEx</t>
  </si>
  <si>
    <t>NOI</t>
  </si>
  <si>
    <t>Change %</t>
  </si>
  <si>
    <t>Material</t>
  </si>
  <si>
    <t>Forward Debt / Capital Events</t>
  </si>
  <si>
    <t>Debt / Lender</t>
  </si>
  <si>
    <t>Principal</t>
  </si>
  <si>
    <t>Rate</t>
  </si>
  <si>
    <t>Full Service Year</t>
  </si>
  <si>
    <t>Stabilized Debt Service</t>
  </si>
  <si>
    <t>Debt Status</t>
  </si>
  <si>
    <t>Mission &amp; Public Value</t>
  </si>
  <si>
    <t>Affordability, mission commitments, restriction evidence and unresolved classification</t>
  </si>
  <si>
    <t>Unclassified Existing</t>
  </si>
  <si>
    <t>Classification Coverage</t>
  </si>
  <si>
    <t>Affordability / Unit Classification</t>
  </si>
  <si>
    <t>Agreements / Restrictions Evidence</t>
  </si>
  <si>
    <t>Band</t>
  </si>
  <si>
    <t>Share of Modeled</t>
  </si>
  <si>
    <t>Data Basis</t>
  </si>
  <si>
    <t>Agreement Type</t>
  </si>
  <si>
    <t>End Date</t>
  </si>
  <si>
    <t>Affordability</t>
  </si>
  <si>
    <t>Refi Restriction</t>
  </si>
  <si>
    <t>Disposition Restriction</t>
  </si>
  <si>
    <t>Deep Subsidy</t>
  </si>
  <si>
    <t>Source-modeled / classified</t>
  </si>
  <si>
    <t>Subsidized</t>
  </si>
  <si>
    <t>Market</t>
  </si>
  <si>
    <t>Unclassified / Existing</t>
  </si>
  <si>
    <t>Existing units not yet classified</t>
  </si>
  <si>
    <t>Commercial</t>
  </si>
  <si>
    <t>Mission / Restriction Readiness</t>
  </si>
  <si>
    <t>V2 design rule: mission/public-value information must be linked to specific properties, agreements, restrictions and source evidence. Avoid prominent monetized 'community benefit' figures until IREI has a defensible methodology and source trail.</t>
  </si>
  <si>
    <t>Status / Interpretation</t>
  </si>
  <si>
    <t>Evidence Gap</t>
  </si>
  <si>
    <t>Known affordability coverage</t>
  </si>
  <si>
    <t>Partial until existing units are classified</t>
  </si>
  <si>
    <t>467 existing units unclassified</t>
  </si>
  <si>
    <t>Complete unit/affordability classification</t>
  </si>
  <si>
    <t>Not reviewed / partial</t>
  </si>
  <si>
    <t>Affordability/covenant/refi/disposition restrictions</t>
  </si>
  <si>
    <t>Build agreement inventory</t>
  </si>
  <si>
    <t>Capital needs review</t>
  </si>
  <si>
    <t>Capital plan not reconciled</t>
  </si>
  <si>
    <t>Complete BCA/capital plan review</t>
  </si>
  <si>
    <t>Mission data source</t>
  </si>
  <si>
    <t>Evidence-backed unit records</t>
  </si>
  <si>
    <t>Existing portfolio mission data incomplete</t>
  </si>
  <si>
    <t>Add source-backed mission fields</t>
  </si>
  <si>
    <t>Public value metrics</t>
  </si>
  <si>
    <t>Not yet standardized</t>
  </si>
  <si>
    <t>Do not invent monetized impact values</t>
  </si>
  <si>
    <t>Methodology not yet production-ready</t>
  </si>
  <si>
    <t>Add only evidence-backed outcome metrics</t>
  </si>
  <si>
    <t>Decisions, Risks &amp; Actions</t>
  </si>
  <si>
    <t>Persistent issue lifecycle: evidence → cause → response → owner → decision → outcome</t>
  </si>
  <si>
    <t>High Open Flags</t>
  </si>
  <si>
    <t>Open Actions</t>
  </si>
  <si>
    <t>Board Decisions</t>
  </si>
  <si>
    <t>Resolved Actions</t>
  </si>
  <si>
    <t>Action / Decision Register</t>
  </si>
  <si>
    <t>Action ID</t>
  </si>
  <si>
    <t>Issue / Action</t>
  </si>
  <si>
    <t>Identified</t>
  </si>
  <si>
    <t>Decision Date</t>
  </si>
  <si>
    <t>Closed</t>
  </si>
  <si>
    <t>Existing Risk / Assumption Register</t>
  </si>
  <si>
    <t>Lifecycle Requirement</t>
  </si>
  <si>
    <t>A finding should not disappear when the next assessment is run. V2 retains the issue, owner, decision body, status, decision/outcome and closure date. This creates institutional memory and makes recurring board/management stewardship materially different from a one-time AI analysis.</t>
  </si>
  <si>
    <t>Evidence &amp; Data Quality</t>
  </si>
  <si>
    <t>Source register, mapping/provenance, exceptions and human review gate</t>
  </si>
  <si>
    <t>Open Quality Checks</t>
  </si>
  <si>
    <t>Unit Conflicts</t>
  </si>
  <si>
    <t>Review Gate</t>
  </si>
  <si>
    <t>Source Intake / Provenance</t>
  </si>
  <si>
    <t>Exception / Quality Queue</t>
  </si>
  <si>
    <t>Source ID</t>
  </si>
  <si>
    <t>File / Source</t>
  </si>
  <si>
    <t>V2 Evidence Standard</t>
  </si>
  <si>
    <t>Field History / Change Trace</t>
  </si>
  <si>
    <t>Source identification</t>
  </si>
  <si>
    <t>File/source ID + version/date</t>
  </si>
  <si>
    <t>AI may inventory, map, reconcile, calculate, flag and draft. External-facing conclusions remain subject to human review. V2 should make provenance and review status easier to inspect, not hide it behind an AI interface.</t>
  </si>
  <si>
    <t>Field</t>
  </si>
  <si>
    <t>Change Type</t>
  </si>
  <si>
    <t>Source precedence</t>
  </si>
  <si>
    <t>Which source controls each field/metric</t>
  </si>
  <si>
    <t>Field status</t>
  </si>
  <si>
    <t>Source / Calculated / Assumed / Missing / Conflicting</t>
  </si>
  <si>
    <t>Review status</t>
  </si>
  <si>
    <t>Prepared / Reviewed / Approved or equivalent</t>
  </si>
  <si>
    <t>Version history</t>
  </si>
  <si>
    <t>Do not silently replace prior verified evidence</t>
  </si>
  <si>
    <t>Drill-through</t>
  </si>
  <si>
    <t>Portfolio metric → property → calculation → source</t>
  </si>
  <si>
    <t>Reports &amp; Authorized Use</t>
  </si>
  <si>
    <t>Versioned reports, approval gates, intended recipients and reproducible evidence packages</t>
  </si>
  <si>
    <t>Report Records</t>
  </si>
  <si>
    <t>Report Snapshot Registry</t>
  </si>
  <si>
    <t>Report ID</t>
  </si>
  <si>
    <t>Version ID</t>
  </si>
  <si>
    <t>Report Type</t>
  </si>
  <si>
    <t>Generated</t>
  </si>
  <si>
    <t>Approved By</t>
  </si>
  <si>
    <t>Approved Date</t>
  </si>
  <si>
    <t>Recipient</t>
  </si>
  <si>
    <t>Supersedes</t>
  </si>
  <si>
    <t>File / Link</t>
  </si>
  <si>
    <t>Authorized Use Rules</t>
  </si>
  <si>
    <t>Report Version Control</t>
  </si>
  <si>
    <t>Internal management</t>
  </si>
  <si>
    <t>Full verified portfolio record</t>
  </si>
  <si>
    <t>Management use</t>
  </si>
  <si>
    <t>Core V2 proposition: verify evidence once, then reuse the approved record for recurring management, board, funding, financing and partnership reporting without rebuilding the evidence package each time.</t>
  </si>
  <si>
    <t>Requirement</t>
  </si>
  <si>
    <t>V2 Behavior</t>
  </si>
  <si>
    <t>Acceptance Check</t>
  </si>
  <si>
    <t>Board</t>
  </si>
  <si>
    <t>Decisions, risks, capital and mission obligations</t>
  </si>
  <si>
    <t>Board-approved package</t>
  </si>
  <si>
    <t>Assessment version link</t>
  </si>
  <si>
    <t>Every report references Version_ID</t>
  </si>
  <si>
    <t>Reproducibility</t>
  </si>
  <si>
    <t>Old approved report still ties to frozen version</t>
  </si>
  <si>
    <t>Engineer implementation / QA</t>
  </si>
  <si>
    <t>Funder / government</t>
  </si>
  <si>
    <t>Purpose-specific authorized evidence</t>
  </si>
  <si>
    <t>Do not expose unnecessary data</t>
  </si>
  <si>
    <t>Approval status</t>
  </si>
  <si>
    <t>Draft / Reviewed / Approved / Shared</t>
  </si>
  <si>
    <t>No external sharing without approval</t>
  </si>
  <si>
    <t>Lender / capital partner</t>
  </si>
  <si>
    <t>Purpose-specific financial/evidence package</t>
  </si>
  <si>
    <t>Subject to organization authorization</t>
  </si>
  <si>
    <t>Recipient / purpose</t>
  </si>
  <si>
    <t>Record intended recipient and scope</t>
  </si>
  <si>
    <t>Consent / minimization</t>
  </si>
  <si>
    <t>Package is purpose-specific</t>
  </si>
  <si>
    <t>Public / partner summary</t>
  </si>
  <si>
    <t>Selected approved information only</t>
  </si>
  <si>
    <t>No confidential source detail</t>
  </si>
  <si>
    <t>Superseded report</t>
  </si>
  <si>
    <t>Link new report to old version</t>
  </si>
  <si>
    <t>History</t>
  </si>
  <si>
    <t>Prior report remains retained</t>
  </si>
  <si>
    <t>Other authorized user</t>
  </si>
  <si>
    <t>Explicit permission / role-based access</t>
  </si>
  <si>
    <t>Log purpose and version</t>
  </si>
  <si>
    <t>File / link</t>
  </si>
  <si>
    <t>Store report artifact reference</t>
  </si>
  <si>
    <t>Operational use</t>
  </si>
  <si>
    <t>User can reopen issued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</si>
</sst>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numFmt numFmtId="167" formatCode="#,##0;[Red]\(#,##0\);\-"/>
    <numFmt numFmtId="168" formatCode="\$#,##0;[Red]\(\$#,##0\);\-"/>
    <numFmt numFmtId="169" formatCode="0.0%"/>
    <numFmt numFmtId="170" formatCode="0.00\x;[Red]\(0.00\x\);\-"/>
    <numFmt numFmtId="171" formatCode="0.0%;[Red]\(0.0%\);\-"/>
    <numFmt numFmtId="172" formatCode="0;[Red]\(0\);\-"/>
    <numFmt numFmtId="173" formatCode="\$0.00,,&quot;M&quot;;[Red]\(\$0.00,,&quot;M&quot;\);\-"/>
    <numFmt numFmtId="174" formatCode="#,##0.00;[Red]\(#,##0.00\);\-"/>
  </numFmts>
  <fonts count="47">
    <font>
      <sz val="11"/>
      <name val="Carlito"/>
    </font>
    <font>
      <b/>
      <sz val="11"/>
      <color rgb="FFFFFFFF"/>
      <name val="Carlito"/>
    </font>
    <font>
      <b/>
      <sz val="10"/>
      <color rgb="FF111827"/>
      <name val="Aptos"/>
    </font>
    <font>
      <sz val="10"/>
      <color rgb="FF111827"/>
      <name val="Aptos"/>
    </font>
    <font>
      <i/>
      <sz val="10"/>
      <color rgb="FF111827"/>
      <name val="Aptos"/>
    </font>
    <font>
      <b/>
      <sz val="14"/>
      <color rgb="FFFFFFFF"/>
      <name val="Aptos"/>
    </font>
    <font>
      <b/>
      <sz val="10"/>
      <color rgb="FFFFFFFF"/>
      <name val="Aptos"/>
    </font>
    <font>
      <b/>
      <sz val="16"/>
      <color rgb="FFFFFFFF"/>
      <name val="Carlito"/>
    </font>
    <font>
      <i/>
      <sz val="10"/>
      <color rgb="FF0B2A5B"/>
      <name val="Carlito"/>
    </font>
    <font>
      <b/>
      <sz val="11"/>
      <color rgb="FF0B2A5B"/>
      <name val="Carlito"/>
    </font>
    <font>
      <sz val="11"/>
      <color rgb="FF0000FF"/>
      <name val="Carlito"/>
    </font>
    <font>
      <b/>
      <sz val="16"/>
      <color rgb="FFFFFFFF"/>
      <name val="Aptos"/>
    </font>
    <font>
      <sz val="10"/>
      <color rgb="FF0000FF"/>
      <name val="Aptos"/>
    </font>
    <font>
      <sz val="10"/>
      <color rgb="FF008000"/>
      <name val="Aptos"/>
    </font>
    <font>
      <sz val="11"/>
      <color rgb="FF008000"/>
      <name val="Carlito"/>
    </font>
    <font>
      <i/>
      <sz val="10"/>
      <color rgb="FF0B2A5B"/>
      <name val="Aptos"/>
    </font>
    <font>
      <b/>
      <sz val="10"/>
      <color rgb="FF0B2A5B"/>
      <name val="Aptos"/>
    </font>
    <font>
      <b/>
      <sz val="18"/>
      <color rgb="FF0B2A5B"/>
      <name val="Aptos"/>
    </font>
    <font>
      <b/>
      <sz val="11"/>
      <color rgb="FFFFFFFF"/>
      <name val="Aptos"/>
    </font>
    <font>
      <sz val="10"/>
      <color rgb="FFC62828"/>
      <name val="Aptos"/>
    </font>
    <font>
      <b/>
      <sz val="12"/>
      <color rgb="FFF59E0B"/>
      <name val="Aptos"/>
    </font>
    <font>
      <b/>
      <sz val="10"/>
      <color rgb="FFF59E0B"/>
      <name val="Aptos"/>
    </font>
    <font>
      <b/>
      <sz val="10"/>
      <color rgb="FF138A5B"/>
      <name val="Aptos"/>
    </font>
    <font>
      <b/>
      <i/>
      <sz val="13"/>
      <color rgb="FF008C95"/>
      <name val="Aptos"/>
    </font>
    <font>
      <i/>
      <sz val="11"/>
      <color rgb="FF102A43"/>
      <name val="Carlito"/>
    </font>
    <font>
      <sz val="9"/>
      <color rgb="FF101828"/>
      <name val="Aptos"/>
    </font>
    <font>
      <b/>
      <sz val="9"/>
      <color rgb="FFFFFFFF"/>
      <name val="Aptos"/>
    </font>
    <font>
      <sz val="9"/>
      <color rgb="FF101828"/>
      <name val="Carlito"/>
    </font>
    <font>
      <b/>
      <sz val="9"/>
      <color rgb="FF0B1F3A"/>
      <name val="Carlito"/>
    </font>
    <font>
      <sz val="9"/>
      <color rgb="FF0000FF"/>
      <name val="Carlito"/>
    </font>
    <font>
      <b/>
      <sz val="9"/>
      <color rgb="FFFFFFFF"/>
      <name val="Carlito"/>
    </font>
    <font>
      <i/>
      <sz val="9"/>
      <color rgb="FF667085"/>
      <name val="Carlito"/>
    </font>
    <font>
      <sz val="9"/>
      <color rgb="FFFFFFFF"/>
      <name val="Carlito"/>
    </font>
    <font>
      <b/>
      <sz val="18"/>
      <color rgb="FFFFFFFF"/>
      <name val="Carlito"/>
    </font>
    <font>
      <i/>
      <sz val="9"/>
      <color rgb="FFD7E3F4"/>
      <name val="Carlito"/>
    </font>
    <font>
      <sz val="9"/>
      <color rgb="FFFFFFFF"/>
      <name val="Carlito"/>
    </font>
    <font>
      <i/>
      <sz val="8"/>
      <color rgb="FFD7E3F4"/>
      <name val="Carlito"/>
    </font>
    <font>
      <i/>
      <sz val="7"/>
      <color rgb="FFAFC4DD"/>
      <name val="Carlito"/>
    </font>
    <font>
      <b/>
      <sz val="19"/>
      <color rgb="FF0B1F3A"/>
      <name val="Carlito"/>
    </font>
    <font>
      <i/>
      <sz val="10"/>
      <color rgb="FF667085"/>
      <name val="Carlito"/>
    </font>
    <font>
      <sz val="8"/>
      <color rgb="FF667085"/>
      <name val="Carlito"/>
    </font>
    <font>
      <b/>
      <sz val="8"/>
      <color rgb="FF667085"/>
      <name val="Carlito"/>
    </font>
    <font>
      <b/>
      <sz val="15"/>
      <color rgb="FF0B1F3A"/>
      <name val="Carlito"/>
    </font>
    <font>
      <b/>
      <sz val="10"/>
      <color rgb="FF0B1F3A"/>
      <name val="Carlito"/>
    </font>
    <font>
      <b/>
      <sz val="9"/>
      <color rgb="FF6D5BD0"/>
      <name val="Carlito"/>
    </font>
    <font>
      <sz val="9"/>
      <color rgb="FF6D5BD0"/>
      <name val="Carlito"/>
    </font>
    <font>
      <sz val="9"/>
      <color rgb="FF1F8F55"/>
      <name val="Carlito"/>
    </font>
  </fonts>
  <fills count="34">
    <fill>
      <patternFill patternType="none"/>
    </fill>
    <fill>
      <patternFill patternType="gray125"/>
    </fill>
    <fill>
      <patternFill patternType="solid">
        <fgColor rgb="FF0B1F4D"/>
      </patternFill>
    </fill>
    <fill>
      <patternFill patternType="solid">
        <fgColor rgb="FFF3F4F6"/>
      </patternFill>
    </fill>
    <fill>
      <patternFill patternType="solid">
        <fgColor rgb="FF008C8C"/>
      </patternFill>
    </fill>
    <fill>
      <patternFill patternType="solid">
        <fgColor rgb="FFD9EAF7"/>
      </patternFill>
    </fill>
    <fill>
      <patternFill patternType="solid">
        <fgColor rgb="FFE9D5FF"/>
      </patternFill>
    </fill>
    <fill>
      <patternFill patternType="solid">
        <fgColor rgb="FFFFE8CC"/>
      </patternFill>
    </fill>
    <fill>
      <patternFill patternType="solid">
        <fgColor rgb="FFE5E7EB"/>
      </patternFill>
    </fill>
    <fill>
      <patternFill patternType="solid">
        <fgColor rgb="FFDCFCE7"/>
      </patternFill>
    </fill>
    <fill>
      <patternFill patternType="solid">
        <fgColor rgb="FFFFFFFF"/>
      </patternFill>
    </fill>
    <fill>
      <patternFill patternType="solid">
        <fgColor rgb="FFFEE2E2"/>
      </patternFill>
    </fill>
    <fill>
      <patternFill patternType="solid">
        <fgColor rgb="FF003B5C"/>
      </patternFill>
    </fill>
    <fill>
      <patternFill patternType="solid">
        <fgColor rgb="FFFCE4D6"/>
      </patternFill>
    </fill>
    <fill>
      <patternFill patternType="solid">
        <fgColor rgb="FF0B2A5B"/>
      </patternFill>
    </fill>
    <fill>
      <patternFill patternType="solid">
        <fgColor rgb="FFEAF1F8"/>
      </patternFill>
    </fill>
    <fill>
      <patternFill patternType="solid">
        <fgColor rgb="FF0E8A92"/>
      </patternFill>
    </fill>
    <fill>
      <patternFill patternType="solid">
        <fgColor rgb="FFF3F5F7"/>
      </patternFill>
    </fill>
    <fill>
      <patternFill patternType="solid">
        <fgColor rgb="FFE8F3F4"/>
      </patternFill>
    </fill>
    <fill>
      <patternFill patternType="solid">
        <fgColor rgb="FFFDECEC"/>
      </patternFill>
    </fill>
    <fill>
      <patternFill patternType="solid">
        <fgColor rgb="FFFFFFFF"/>
      </patternFill>
    </fill>
    <fill>
      <patternFill patternType="solid">
        <fgColor rgb="FF06295B"/>
      </patternFill>
    </fill>
    <fill>
      <patternFill patternType="solid">
        <fgColor rgb="FFEAF2FA"/>
      </patternFill>
    </fill>
    <fill>
      <patternFill patternType="solid">
        <fgColor rgb="FF008C95"/>
      </patternFill>
    </fill>
    <fill>
      <patternFill patternType="solid">
        <fgColor rgb="FF102A4C"/>
      </patternFill>
    </fill>
    <fill>
      <patternFill patternType="solid">
        <fgColor rgb="FFEAF2FF"/>
      </patternFill>
    </fill>
    <fill>
      <patternFill patternType="solid">
        <fgColor rgb="FFDCEBFF"/>
      </patternFill>
    </fill>
    <fill>
      <patternFill patternType="solid">
        <fgColor rgb="FF0B1F3A"/>
      </patternFill>
    </fill>
    <fill>
      <patternFill patternType="solid">
        <fgColor rgb="FFF3F5F7"/>
      </patternFill>
    </fill>
    <fill>
      <patternFill patternType="solid">
        <fgColor rgb="FF1E64F0"/>
      </patternFill>
    </fill>
    <fill>
      <patternFill patternType="solid">
        <fgColor rgb="FFFFFFFF"/>
      </patternFill>
    </fill>
    <fill>
      <patternFill patternType="solid">
        <fgColor rgb="FFE8F5EE"/>
      </patternFill>
    </fill>
    <fill>
      <patternFill patternType="solid">
        <fgColor rgb="FFEEE8FF"/>
      </patternFill>
    </fill>
    <fill>
      <patternFill patternType="solid">
        <fgColor rgb="FFFFF4E5"/>
      </patternFill>
    </fill>
  </fills>
  <borders count="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89">
    <xf numFmtId="0" fontId="0" fillId="0" borderId="0" xfId="0"/>
    <xf numFmtId="0" fontId="0" fillId="5" borderId="0" xfId="0" applyFill="1" applyAlignment="1">
      <alignment wrapText="1"/>
    </xf>
    <xf numFmtId="0" fontId="0" fillId="0" borderId="0" xfId="0" applyAlignment="1">
      <alignment wrapText="1"/>
    </xf>
    <xf numFmtId="0" fontId="3" fillId="0" borderId="0" xfId="0" applyFont="1"/>
    <xf numFmtId="0" fontId="2" fillId="4" borderId="0" xfId="0" applyFont="1" applyFill="1" applyAlignment="1">
      <alignment horizontal="center" vertical="center" wrapText="1"/>
    </xf>
    <xf numFmtId="0" fontId="3" fillId="5" borderId="0" xfId="0" applyFont="1" applyFill="1" applyAlignment="1">
      <alignment wrapText="1"/>
    </xf>
    <xf numFmtId="0" fontId="3" fillId="3" borderId="0" xfId="0" applyFont="1" applyFill="1" applyAlignment="1">
      <alignment wrapText="1"/>
    </xf>
    <xf numFmtId="0" fontId="3" fillId="6"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xf numFmtId="0" fontId="3" fillId="9" borderId="0" xfId="0" applyFont="1" applyFill="1" applyAlignment="1">
      <alignment wrapText="1"/>
    </xf>
    <xf numFmtId="0" fontId="3" fillId="0" borderId="0" xfId="0" applyFont="1" applyAlignment="1">
      <alignment wrapText="1"/>
    </xf>
    <xf numFmtId="0" fontId="3" fillId="5" borderId="0" xfId="0" applyFont="1" applyFill="1"/>
    <xf numFmtId="164" fontId="3" fillId="5" borderId="0" xfId="0" applyNumberFormat="1" applyFont="1" applyFill="1"/>
    <xf numFmtId="164" fontId="3" fillId="6" borderId="0" xfId="0" applyNumberFormat="1" applyFont="1" applyFill="1"/>
    <xf numFmtId="0" fontId="3" fillId="2" borderId="0" xfId="0" applyFont="1" applyFill="1"/>
    <xf numFmtId="0" fontId="3" fillId="13" borderId="0" xfId="0" applyFont="1" applyFill="1" applyAlignment="1">
      <alignment wrapText="1"/>
    </xf>
    <xf numFmtId="0" fontId="1" fillId="12" borderId="0" xfId="0" applyFont="1" applyFill="1" applyAlignment="1">
      <alignment horizontal="center" wrapText="1"/>
    </xf>
    <xf numFmtId="0" fontId="2" fillId="3" borderId="0" xfId="0" applyFont="1" applyFill="1" applyAlignment="1">
      <alignment horizontal="center"/>
    </xf>
    <xf numFmtId="0" fontId="2" fillId="10" borderId="0" xfId="0" applyFont="1" applyFill="1" applyAlignment="1">
      <alignment horizontal="center" vertical="center"/>
    </xf>
    <xf numFmtId="0" fontId="3" fillId="10" borderId="0" xfId="0" applyFont="1" applyFill="1"/>
    <xf numFmtId="0" fontId="3" fillId="11" borderId="0" xfId="0" applyFont="1" applyFill="1" applyAlignment="1">
      <alignment wrapText="1"/>
    </xf>
    <xf numFmtId="0" fontId="3" fillId="10" borderId="0" xfId="0" applyFont="1" applyFill="1" applyAlignment="1">
      <alignment horizontal="center" vertical="center" wrapText="1"/>
    </xf>
    <xf numFmtId="0" fontId="2" fillId="10" borderId="0" xfId="0" applyFont="1" applyFill="1" applyAlignment="1">
      <alignment horizontal="center" vertical="center" wrapText="1"/>
    </xf>
    <xf numFmtId="0" fontId="7" fillId="14" borderId="0" xfId="0" applyFont="1" applyFill="1" applyAlignment="1">
      <alignment horizontal="left" vertical="center"/>
    </xf>
    <xf numFmtId="0" fontId="0" fillId="0" borderId="5" xfId="0" applyBorder="1" applyAlignment="1">
      <alignment wrapText="1"/>
    </xf>
    <xf numFmtId="0" fontId="0" fillId="0" borderId="8" xfId="0" applyBorder="1" applyAlignment="1">
      <alignment wrapText="1"/>
    </xf>
    <xf numFmtId="0" fontId="1" fillId="16" borderId="0" xfId="0" applyFont="1" applyFill="1" applyAlignment="1">
      <alignment horizontal="center" vertical="top" wrapText="1"/>
    </xf>
    <xf numFmtId="0" fontId="9" fillId="17" borderId="1" xfId="0" applyFont="1" applyFill="1" applyBorder="1" applyAlignment="1">
      <alignment vertical="top" wrapText="1"/>
    </xf>
    <xf numFmtId="0" fontId="0" fillId="0" borderId="3" xfId="0" applyBorder="1" applyAlignment="1">
      <alignment vertical="top" wrapText="1"/>
    </xf>
    <xf numFmtId="0" fontId="9" fillId="17" borderId="4" xfId="0" applyFont="1" applyFill="1" applyBorder="1" applyAlignment="1">
      <alignment vertical="top" wrapText="1"/>
    </xf>
    <xf numFmtId="0" fontId="0" fillId="0" borderId="5" xfId="0" applyBorder="1" applyAlignment="1">
      <alignment vertical="top" wrapText="1"/>
    </xf>
    <xf numFmtId="0" fontId="9" fillId="17" borderId="6" xfId="0" applyFont="1" applyFill="1"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10" fillId="0" borderId="2" xfId="0" applyFont="1" applyBorder="1" applyAlignment="1">
      <alignment vertical="top" wrapText="1"/>
    </xf>
    <xf numFmtId="0" fontId="10" fillId="0" borderId="0" xfId="0" applyFont="1" applyAlignment="1">
      <alignment vertical="top" wrapText="1"/>
    </xf>
    <xf numFmtId="0" fontId="10" fillId="0" borderId="7" xfId="0" applyFont="1" applyBorder="1" applyAlignment="1">
      <alignment vertical="top" wrapText="1"/>
    </xf>
    <xf numFmtId="0" fontId="11" fillId="14" borderId="0" xfId="0" applyFont="1" applyFill="1" applyAlignment="1">
      <alignment horizontal="left" vertical="center"/>
    </xf>
    <xf numFmtId="0" fontId="3" fillId="5" borderId="0" xfId="0" applyFont="1" applyFill="1" applyAlignment="1">
      <alignment vertical="top" wrapText="1"/>
    </xf>
    <xf numFmtId="0" fontId="3" fillId="0" borderId="0" xfId="0" applyFont="1" applyAlignment="1">
      <alignment vertical="top" wrapText="1"/>
    </xf>
    <xf numFmtId="0" fontId="6" fillId="16" borderId="1" xfId="0" applyFont="1" applyFill="1" applyBorder="1" applyAlignment="1">
      <alignment horizontal="center" vertical="top" wrapText="1"/>
    </xf>
    <xf numFmtId="0" fontId="6" fillId="16" borderId="2" xfId="0" applyFont="1" applyFill="1" applyBorder="1" applyAlignment="1">
      <alignment horizontal="center" vertical="top" wrapText="1"/>
    </xf>
    <xf numFmtId="0" fontId="6" fillId="16" borderId="3" xfId="0" applyFont="1" applyFill="1" applyBorder="1" applyAlignment="1">
      <alignment horizontal="center" vertical="top" wrapText="1"/>
    </xf>
    <xf numFmtId="0" fontId="3" fillId="5" borderId="4" xfId="0" applyFont="1" applyFill="1" applyBorder="1" applyAlignment="1">
      <alignment vertical="top" wrapText="1"/>
    </xf>
    <xf numFmtId="0" fontId="3" fillId="5" borderId="5" xfId="0" applyFont="1" applyFill="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6" borderId="0" xfId="0" applyFont="1" applyFill="1" applyAlignment="1">
      <alignment vertical="top" wrapText="1"/>
    </xf>
    <xf numFmtId="0" fontId="3" fillId="6" borderId="5" xfId="0" applyFont="1" applyFill="1" applyBorder="1" applyAlignment="1">
      <alignment vertical="top" wrapText="1"/>
    </xf>
    <xf numFmtId="0" fontId="3" fillId="5" borderId="6" xfId="0" applyFont="1" applyFill="1" applyBorder="1" applyAlignment="1">
      <alignment vertical="top" wrapText="1"/>
    </xf>
    <xf numFmtId="0" fontId="3" fillId="5" borderId="7" xfId="0" applyFont="1" applyFill="1" applyBorder="1" applyAlignment="1">
      <alignment vertical="top" wrapText="1"/>
    </xf>
    <xf numFmtId="0" fontId="3" fillId="5" borderId="8" xfId="0" applyFont="1" applyFill="1" applyBorder="1" applyAlignment="1">
      <alignment vertical="top" wrapText="1"/>
    </xf>
    <xf numFmtId="0" fontId="0" fillId="13" borderId="0" xfId="0" applyFill="1" applyAlignment="1">
      <alignment vertical="top" wrapText="1"/>
    </xf>
    <xf numFmtId="0" fontId="1" fillId="16" borderId="2" xfId="0" applyFont="1" applyFill="1" applyBorder="1" applyAlignment="1">
      <alignment horizontal="center" vertical="top" wrapText="1"/>
    </xf>
    <xf numFmtId="0" fontId="1" fillId="16" borderId="3" xfId="0" applyFont="1" applyFill="1" applyBorder="1" applyAlignment="1">
      <alignment horizontal="center" vertical="top" wrapText="1"/>
    </xf>
    <xf numFmtId="0" fontId="3" fillId="6" borderId="7" xfId="0" applyFont="1" applyFill="1" applyBorder="1" applyAlignment="1">
      <alignment vertical="top" wrapText="1"/>
    </xf>
    <xf numFmtId="0" fontId="0" fillId="13" borderId="7" xfId="0" applyFill="1" applyBorder="1" applyAlignment="1">
      <alignment vertical="top" wrapText="1"/>
    </xf>
    <xf numFmtId="0" fontId="3" fillId="7" borderId="0" xfId="0" applyFont="1" applyFill="1" applyAlignment="1">
      <alignment vertical="top" wrapText="1"/>
    </xf>
    <xf numFmtId="0" fontId="3" fillId="7" borderId="4" xfId="0" applyFont="1" applyFill="1" applyBorder="1" applyAlignment="1">
      <alignment vertical="top" wrapText="1"/>
    </xf>
    <xf numFmtId="0" fontId="3" fillId="7" borderId="5" xfId="0" applyFont="1" applyFill="1" applyBorder="1" applyAlignment="1">
      <alignment vertical="top" wrapText="1"/>
    </xf>
    <xf numFmtId="0" fontId="3" fillId="7" borderId="6" xfId="0" applyFont="1" applyFill="1" applyBorder="1" applyAlignment="1">
      <alignment vertical="top" wrapText="1"/>
    </xf>
    <xf numFmtId="0" fontId="3" fillId="7" borderId="7" xfId="0" applyFont="1" applyFill="1" applyBorder="1" applyAlignment="1">
      <alignment vertical="top" wrapText="1"/>
    </xf>
    <xf numFmtId="0" fontId="3" fillId="7" borderId="8" xfId="0" applyFont="1" applyFill="1" applyBorder="1" applyAlignment="1">
      <alignment vertical="top" wrapText="1"/>
    </xf>
    <xf numFmtId="167" fontId="3" fillId="5" borderId="0" xfId="0" applyNumberFormat="1" applyFont="1" applyFill="1" applyAlignment="1">
      <alignment vertical="top" wrapText="1"/>
    </xf>
    <xf numFmtId="167" fontId="3" fillId="0" borderId="0" xfId="0" applyNumberFormat="1" applyFont="1" applyAlignment="1">
      <alignment vertical="top" wrapText="1"/>
    </xf>
    <xf numFmtId="167" fontId="3" fillId="0" borderId="7" xfId="0" applyNumberFormat="1" applyFont="1" applyBorder="1" applyAlignment="1">
      <alignment vertical="top" wrapText="1"/>
    </xf>
    <xf numFmtId="167" fontId="3" fillId="0" borderId="5" xfId="0" applyNumberFormat="1" applyFont="1" applyBorder="1" applyAlignment="1">
      <alignment vertical="top" wrapText="1"/>
    </xf>
    <xf numFmtId="167" fontId="3" fillId="5" borderId="7" xfId="0" applyNumberFormat="1" applyFont="1" applyFill="1" applyBorder="1" applyAlignment="1">
      <alignment vertical="top" wrapText="1"/>
    </xf>
    <xf numFmtId="167" fontId="3" fillId="0" borderId="8" xfId="0" applyNumberFormat="1" applyFont="1" applyBorder="1" applyAlignment="1">
      <alignment vertical="top" wrapText="1"/>
    </xf>
    <xf numFmtId="168" fontId="3" fillId="5" borderId="0" xfId="0" applyNumberFormat="1" applyFont="1" applyFill="1" applyAlignment="1">
      <alignment vertical="top" wrapText="1"/>
    </xf>
    <xf numFmtId="168" fontId="3" fillId="5" borderId="7" xfId="0" applyNumberFormat="1" applyFont="1" applyFill="1" applyBorder="1" applyAlignment="1">
      <alignment vertical="top" wrapText="1"/>
    </xf>
    <xf numFmtId="168" fontId="12" fillId="5" borderId="0" xfId="0" applyNumberFormat="1" applyFont="1" applyFill="1" applyAlignment="1">
      <alignment vertical="top" wrapText="1"/>
    </xf>
    <xf numFmtId="168" fontId="12" fillId="5" borderId="7" xfId="0" applyNumberFormat="1" applyFont="1" applyFill="1" applyBorder="1" applyAlignment="1">
      <alignment vertical="top" wrapText="1"/>
    </xf>
    <xf numFmtId="168" fontId="12" fillId="5" borderId="0" xfId="0" applyNumberFormat="1" applyFont="1" applyFill="1" applyAlignment="1">
      <alignment wrapText="1"/>
    </xf>
    <xf numFmtId="168" fontId="10" fillId="5" borderId="0" xfId="0" applyNumberFormat="1" applyFont="1" applyFill="1" applyAlignment="1">
      <alignment wrapText="1"/>
    </xf>
    <xf numFmtId="169" fontId="3" fillId="5" borderId="0" xfId="0" applyNumberFormat="1" applyFont="1" applyFill="1" applyAlignment="1">
      <alignment vertical="top" wrapText="1"/>
    </xf>
    <xf numFmtId="169" fontId="3" fillId="5" borderId="7" xfId="0" applyNumberFormat="1" applyFont="1" applyFill="1" applyBorder="1" applyAlignment="1">
      <alignment vertical="top" wrapText="1"/>
    </xf>
    <xf numFmtId="168" fontId="3" fillId="0" borderId="0" xfId="0" applyNumberFormat="1" applyFont="1" applyAlignment="1">
      <alignment vertical="top" wrapText="1"/>
    </xf>
    <xf numFmtId="168" fontId="3" fillId="0" borderId="7" xfId="0" applyNumberFormat="1" applyFont="1" applyBorder="1" applyAlignment="1">
      <alignment vertical="top" wrapText="1"/>
    </xf>
    <xf numFmtId="168" fontId="0" fillId="0" borderId="0" xfId="0" applyNumberFormat="1" applyAlignment="1">
      <alignment vertical="top" wrapText="1"/>
    </xf>
    <xf numFmtId="168" fontId="0" fillId="0" borderId="7" xfId="0" applyNumberFormat="1" applyBorder="1" applyAlignment="1">
      <alignment vertical="top"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168" fontId="0" fillId="0" borderId="0" xfId="0" applyNumberFormat="1" applyAlignment="1">
      <alignment wrapText="1"/>
    </xf>
    <xf numFmtId="168" fontId="0" fillId="0" borderId="7" xfId="0" applyNumberFormat="1" applyBorder="1" applyAlignment="1">
      <alignment wrapText="1"/>
    </xf>
    <xf numFmtId="0" fontId="6" fillId="16" borderId="1"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6" borderId="4" xfId="0" applyFont="1" applyFill="1" applyBorder="1" applyAlignment="1">
      <alignment wrapText="1"/>
    </xf>
    <xf numFmtId="0" fontId="3" fillId="7" borderId="5" xfId="0" applyFont="1" applyFill="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13" fillId="6" borderId="0" xfId="0" applyFont="1" applyFill="1" applyAlignment="1">
      <alignment wrapText="1"/>
    </xf>
    <xf numFmtId="164" fontId="13" fillId="6" borderId="0" xfId="0" applyNumberFormat="1" applyFont="1" applyFill="1" applyAlignment="1">
      <alignment wrapText="1"/>
    </xf>
    <xf numFmtId="0" fontId="13" fillId="0" borderId="0" xfId="0" applyFont="1" applyAlignment="1">
      <alignment wrapText="1"/>
    </xf>
    <xf numFmtId="0" fontId="13" fillId="0" borderId="7" xfId="0" applyFont="1" applyBorder="1" applyAlignment="1">
      <alignment wrapText="1"/>
    </xf>
    <xf numFmtId="168" fontId="13" fillId="6" borderId="0" xfId="0" applyNumberFormat="1" applyFont="1" applyFill="1" applyAlignment="1">
      <alignment wrapText="1"/>
    </xf>
    <xf numFmtId="168" fontId="13" fillId="0" borderId="0" xfId="0" applyNumberFormat="1" applyFont="1" applyAlignment="1">
      <alignment wrapText="1"/>
    </xf>
    <xf numFmtId="170" fontId="13" fillId="6" borderId="0" xfId="0" applyNumberFormat="1" applyFont="1" applyFill="1" applyAlignment="1">
      <alignment wrapText="1"/>
    </xf>
    <xf numFmtId="169" fontId="13" fillId="0" borderId="0" xfId="0" applyNumberFormat="1" applyFont="1" applyAlignment="1">
      <alignment wrapText="1"/>
    </xf>
    <xf numFmtId="169" fontId="13" fillId="6" borderId="0" xfId="0" applyNumberFormat="1" applyFont="1" applyFill="1" applyAlignment="1">
      <alignment wrapText="1"/>
    </xf>
    <xf numFmtId="167" fontId="0" fillId="0" borderId="0" xfId="0" applyNumberFormat="1" applyAlignment="1">
      <alignment wrapText="1"/>
    </xf>
    <xf numFmtId="170" fontId="0" fillId="0" borderId="0" xfId="0" applyNumberFormat="1" applyAlignment="1">
      <alignment wrapText="1"/>
    </xf>
    <xf numFmtId="167" fontId="14" fillId="0" borderId="0" xfId="0" applyNumberFormat="1" applyFont="1" applyAlignment="1">
      <alignment wrapText="1"/>
    </xf>
    <xf numFmtId="168" fontId="14" fillId="0" borderId="0" xfId="0" applyNumberFormat="1" applyFont="1" applyAlignment="1">
      <alignment wrapText="1"/>
    </xf>
    <xf numFmtId="170" fontId="14" fillId="0" borderId="0" xfId="0" applyNumberFormat="1" applyFont="1" applyAlignment="1">
      <alignment wrapText="1"/>
    </xf>
    <xf numFmtId="168" fontId="14" fillId="0" borderId="7" xfId="0" applyNumberFormat="1" applyFont="1" applyBorder="1" applyAlignment="1">
      <alignment wrapText="1"/>
    </xf>
    <xf numFmtId="0" fontId="14" fillId="0" borderId="0" xfId="0" applyFont="1" applyAlignment="1">
      <alignment wrapText="1"/>
    </xf>
    <xf numFmtId="0" fontId="14" fillId="0" borderId="7" xfId="0" applyFont="1" applyBorder="1" applyAlignment="1">
      <alignment wrapText="1"/>
    </xf>
    <xf numFmtId="0" fontId="0" fillId="0" borderId="4" xfId="0" applyBorder="1" applyAlignment="1">
      <alignment horizontal="center"/>
    </xf>
    <xf numFmtId="0" fontId="0" fillId="0" borderId="6" xfId="0" applyBorder="1" applyAlignment="1">
      <alignment horizontal="center"/>
    </xf>
    <xf numFmtId="168" fontId="14" fillId="0" borderId="0" xfId="0" applyNumberFormat="1" applyFont="1"/>
    <xf numFmtId="170" fontId="14" fillId="0" borderId="0" xfId="0" applyNumberFormat="1" applyFont="1"/>
    <xf numFmtId="168" fontId="14" fillId="0" borderId="5" xfId="0" applyNumberFormat="1" applyFont="1" applyBorder="1"/>
    <xf numFmtId="168" fontId="14" fillId="0" borderId="7" xfId="0" applyNumberFormat="1" applyFont="1" applyBorder="1"/>
    <xf numFmtId="170" fontId="14" fillId="0" borderId="7" xfId="0" applyNumberFormat="1" applyFont="1" applyBorder="1"/>
    <xf numFmtId="168" fontId="14" fillId="0" borderId="8" xfId="0" applyNumberFormat="1" applyFont="1" applyBorder="1"/>
    <xf numFmtId="0" fontId="2" fillId="4" borderId="0" xfId="0" applyFont="1" applyFill="1" applyAlignment="1">
      <alignment wrapText="1"/>
    </xf>
    <xf numFmtId="167" fontId="13" fillId="10" borderId="3" xfId="0" applyNumberFormat="1" applyFont="1" applyFill="1" applyBorder="1" applyAlignment="1">
      <alignment wrapText="1"/>
    </xf>
    <xf numFmtId="167" fontId="13" fillId="10" borderId="5" xfId="0" applyNumberFormat="1" applyFont="1" applyFill="1" applyBorder="1" applyAlignment="1">
      <alignment wrapText="1"/>
    </xf>
    <xf numFmtId="169" fontId="13" fillId="10" borderId="5" xfId="0" applyNumberFormat="1" applyFont="1" applyFill="1" applyBorder="1" applyAlignment="1">
      <alignment wrapText="1"/>
    </xf>
    <xf numFmtId="170" fontId="13" fillId="0" borderId="7" xfId="0" applyNumberFormat="1" applyFont="1" applyBorder="1" applyAlignment="1">
      <alignment wrapText="1"/>
    </xf>
    <xf numFmtId="0" fontId="13" fillId="0" borderId="8" xfId="0" applyFont="1" applyBorder="1" applyAlignment="1">
      <alignment wrapText="1"/>
    </xf>
    <xf numFmtId="0" fontId="1" fillId="23" borderId="0" xfId="0" applyFont="1" applyFill="1" applyAlignment="1">
      <alignment horizontal="center" vertical="center" wrapText="1"/>
    </xf>
    <xf numFmtId="0" fontId="3" fillId="0" borderId="9"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13" borderId="14" xfId="0" applyFont="1" applyFill="1" applyBorder="1" applyAlignment="1">
      <alignment wrapText="1"/>
    </xf>
    <xf numFmtId="0" fontId="3" fillId="13" borderId="15" xfId="0" applyFont="1" applyFill="1" applyBorder="1" applyAlignment="1">
      <alignment wrapText="1"/>
    </xf>
    <xf numFmtId="0" fontId="3" fillId="13" borderId="16" xfId="0" applyFont="1" applyFill="1" applyBorder="1" applyAlignment="1">
      <alignment wrapText="1"/>
    </xf>
    <xf numFmtId="0" fontId="25" fillId="0" borderId="0" xfId="0" applyFont="1" applyAlignment="1">
      <alignment vertical="center" wrapText="1"/>
    </xf>
    <xf numFmtId="0" fontId="25" fillId="0" borderId="9" xfId="0" applyFont="1" applyBorder="1" applyAlignment="1">
      <alignment vertical="center" wrapText="1"/>
    </xf>
    <xf numFmtId="0" fontId="25" fillId="0" borderId="10" xfId="0" applyFont="1" applyBorder="1" applyAlignment="1">
      <alignment vertical="center" wrapText="1"/>
    </xf>
    <xf numFmtId="0" fontId="25" fillId="0" borderId="11" xfId="0" applyFont="1" applyBorder="1" applyAlignment="1">
      <alignment vertical="center" wrapText="1"/>
    </xf>
    <xf numFmtId="0" fontId="25" fillId="0" borderId="12"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5" fillId="0" borderId="15" xfId="0" applyFont="1" applyBorder="1" applyAlignment="1">
      <alignment vertical="center" wrapText="1"/>
    </xf>
    <xf numFmtId="0" fontId="25" fillId="0" borderId="16" xfId="0" applyFont="1" applyBorder="1" applyAlignment="1">
      <alignment vertical="center" wrapText="1"/>
    </xf>
    <xf numFmtId="0" fontId="26" fillId="24" borderId="9" xfId="0" applyFont="1" applyFill="1" applyBorder="1" applyAlignment="1">
      <alignment vertical="center" wrapText="1"/>
    </xf>
    <xf numFmtId="0" fontId="26" fillId="24" borderId="10" xfId="0" applyFont="1" applyFill="1" applyBorder="1" applyAlignment="1">
      <alignment vertical="center" wrapText="1"/>
    </xf>
    <xf numFmtId="0" fontId="26" fillId="24" borderId="11" xfId="0" applyFont="1" applyFill="1" applyBorder="1" applyAlignment="1">
      <alignment vertical="center" wrapText="1"/>
    </xf>
    <xf numFmtId="0" fontId="27" fillId="0" borderId="0" xfId="0" applyFont="1" applyAlignment="1">
      <alignment vertical="center" wrapText="1"/>
    </xf>
    <xf numFmtId="0" fontId="27" fillId="0" borderId="9" xfId="0" applyFont="1" applyBorder="1" applyAlignment="1">
      <alignment vertical="center" wrapText="1"/>
    </xf>
    <xf numFmtId="0" fontId="27" fillId="0" borderId="10" xfId="0" applyFont="1" applyBorder="1" applyAlignment="1">
      <alignment vertical="center" wrapText="1"/>
    </xf>
    <xf numFmtId="0" fontId="27" fillId="0" borderId="11" xfId="0" applyFont="1" applyBorder="1" applyAlignment="1">
      <alignment vertical="center" wrapText="1"/>
    </xf>
    <xf numFmtId="0" fontId="27" fillId="0" borderId="12" xfId="0" applyFont="1" applyBorder="1" applyAlignment="1">
      <alignment vertical="center" wrapText="1"/>
    </xf>
    <xf numFmtId="0" fontId="27" fillId="0" borderId="13" xfId="0" applyFont="1" applyBorder="1" applyAlignment="1">
      <alignment vertical="center" wrapText="1"/>
    </xf>
    <xf numFmtId="0" fontId="27" fillId="0" borderId="14" xfId="0" applyFont="1" applyBorder="1" applyAlignment="1">
      <alignment vertical="center" wrapText="1"/>
    </xf>
    <xf numFmtId="0" fontId="27" fillId="0" borderId="15" xfId="0" applyFont="1" applyBorder="1" applyAlignment="1">
      <alignment vertical="center" wrapText="1"/>
    </xf>
    <xf numFmtId="0" fontId="27" fillId="0" borderId="16" xfId="0" applyFont="1" applyBorder="1" applyAlignment="1">
      <alignment vertical="center" wrapText="1"/>
    </xf>
    <xf numFmtId="0" fontId="28" fillId="25" borderId="9" xfId="0" applyFont="1" applyFill="1" applyBorder="1" applyAlignment="1">
      <alignment vertical="center" wrapText="1"/>
    </xf>
    <xf numFmtId="0" fontId="28" fillId="25" borderId="12" xfId="0" applyFont="1" applyFill="1" applyBorder="1" applyAlignment="1">
      <alignment vertical="center" wrapText="1"/>
    </xf>
    <xf numFmtId="0" fontId="28" fillId="25" borderId="14" xfId="0" applyFont="1" applyFill="1" applyBorder="1" applyAlignment="1">
      <alignment vertical="center" wrapText="1"/>
    </xf>
    <xf numFmtId="0" fontId="29" fillId="26" borderId="17" xfId="0" applyFont="1" applyFill="1" applyBorder="1" applyAlignment="1">
      <alignment vertical="center" wrapText="1"/>
    </xf>
    <xf numFmtId="0" fontId="29" fillId="26" borderId="18" xfId="0" applyFont="1" applyFill="1" applyBorder="1" applyAlignment="1">
      <alignment vertical="center" wrapText="1"/>
    </xf>
    <xf numFmtId="0" fontId="29" fillId="26" borderId="19" xfId="0" applyFont="1" applyFill="1" applyBorder="1" applyAlignment="1">
      <alignment vertical="center" wrapText="1"/>
    </xf>
    <xf numFmtId="0" fontId="30" fillId="24" borderId="0" xfId="0" applyFont="1" applyFill="1" applyAlignment="1">
      <alignment vertical="center" wrapText="1"/>
    </xf>
    <xf numFmtId="0" fontId="30" fillId="24" borderId="9" xfId="0" applyFont="1" applyFill="1" applyBorder="1" applyAlignment="1">
      <alignment vertical="center" wrapText="1"/>
    </xf>
    <xf numFmtId="0" fontId="30" fillId="24" borderId="10" xfId="0" applyFont="1" applyFill="1" applyBorder="1" applyAlignment="1">
      <alignment vertical="center" wrapText="1"/>
    </xf>
    <xf numFmtId="0" fontId="30" fillId="24" borderId="11" xfId="0" applyFont="1" applyFill="1" applyBorder="1" applyAlignment="1">
      <alignment vertical="center" wrapText="1"/>
    </xf>
    <xf numFmtId="171" fontId="27" fillId="0" borderId="0" xfId="0" applyNumberFormat="1" applyFont="1" applyAlignment="1">
      <alignment vertical="center" wrapText="1"/>
    </xf>
    <xf numFmtId="171" fontId="27" fillId="0" borderId="15" xfId="0" applyNumberFormat="1" applyFont="1" applyBorder="1" applyAlignment="1">
      <alignment vertical="center" wrapText="1"/>
    </xf>
    <xf numFmtId="0" fontId="32" fillId="27" borderId="0" xfId="0" applyFont="1" applyFill="1" applyAlignment="1">
      <alignment vertical="center"/>
    </xf>
    <xf numFmtId="0" fontId="30" fillId="24" borderId="20" xfId="0" applyFont="1" applyFill="1" applyBorder="1" applyAlignment="1">
      <alignment vertical="center" wrapText="1"/>
    </xf>
    <xf numFmtId="0" fontId="30" fillId="24" borderId="21" xfId="0" applyFont="1" applyFill="1" applyBorder="1" applyAlignment="1">
      <alignment vertical="center" wrapText="1"/>
    </xf>
    <xf numFmtId="0" fontId="30" fillId="24" borderId="22" xfId="0" applyFont="1" applyFill="1" applyBorder="1" applyAlignment="1">
      <alignment vertical="center" wrapText="1"/>
    </xf>
    <xf numFmtId="174" fontId="27" fillId="0" borderId="10" xfId="0" applyNumberFormat="1" applyFont="1" applyBorder="1" applyAlignment="1">
      <alignment vertical="center" wrapText="1"/>
    </xf>
    <xf numFmtId="174" fontId="27" fillId="0" borderId="0" xfId="0" applyNumberFormat="1" applyFont="1" applyAlignment="1">
      <alignment vertical="center" wrapText="1"/>
    </xf>
    <xf numFmtId="174" fontId="27" fillId="0" borderId="15" xfId="0" applyNumberFormat="1" applyFont="1" applyBorder="1" applyAlignment="1">
      <alignment vertical="center" wrapText="1"/>
    </xf>
    <xf numFmtId="173" fontId="27" fillId="0" borderId="10" xfId="0" applyNumberFormat="1" applyFont="1" applyBorder="1" applyAlignment="1">
      <alignment vertical="center" wrapText="1"/>
    </xf>
    <xf numFmtId="173" fontId="27" fillId="0" borderId="0" xfId="0" applyNumberFormat="1" applyFont="1" applyAlignment="1">
      <alignment vertical="center" wrapText="1"/>
    </xf>
    <xf numFmtId="173" fontId="27" fillId="0" borderId="15" xfId="0" applyNumberFormat="1" applyFont="1" applyBorder="1" applyAlignment="1">
      <alignment vertical="center" wrapText="1"/>
    </xf>
    <xf numFmtId="170" fontId="27" fillId="0" borderId="11" xfId="0" applyNumberFormat="1" applyFont="1" applyBorder="1" applyAlignment="1">
      <alignment vertical="center" wrapText="1"/>
    </xf>
    <xf numFmtId="170" fontId="27" fillId="0" borderId="13" xfId="0" applyNumberFormat="1" applyFont="1" applyBorder="1" applyAlignment="1">
      <alignment vertical="center" wrapText="1"/>
    </xf>
    <xf numFmtId="170" fontId="27" fillId="0" borderId="16" xfId="0" applyNumberFormat="1" applyFont="1" applyBorder="1" applyAlignment="1">
      <alignment vertical="center" wrapText="1"/>
    </xf>
    <xf numFmtId="171" fontId="27" fillId="0" borderId="10" xfId="0" applyNumberFormat="1" applyFont="1" applyBorder="1" applyAlignment="1">
      <alignment vertical="center" wrapText="1"/>
    </xf>
    <xf numFmtId="168" fontId="27" fillId="0" borderId="10" xfId="0" applyNumberFormat="1" applyFont="1" applyBorder="1" applyAlignment="1">
      <alignment vertical="center" wrapText="1"/>
    </xf>
    <xf numFmtId="168" fontId="27" fillId="0" borderId="0" xfId="0" applyNumberFormat="1" applyFont="1" applyAlignment="1">
      <alignment vertical="center" wrapText="1"/>
    </xf>
    <xf numFmtId="168" fontId="27" fillId="0" borderId="15" xfId="0" applyNumberFormat="1" applyFont="1" applyBorder="1" applyAlignment="1">
      <alignment vertical="center" wrapText="1"/>
    </xf>
    <xf numFmtId="10" fontId="27" fillId="0" borderId="10" xfId="0" applyNumberFormat="1" applyFont="1" applyBorder="1" applyAlignment="1">
      <alignment vertical="center" wrapText="1"/>
    </xf>
    <xf numFmtId="10" fontId="27" fillId="0" borderId="0" xfId="0" applyNumberFormat="1" applyFont="1" applyAlignment="1">
      <alignment vertical="center" wrapText="1"/>
    </xf>
    <xf numFmtId="10" fontId="27" fillId="0" borderId="15" xfId="0" applyNumberFormat="1" applyFont="1" applyBorder="1" applyAlignment="1">
      <alignment vertical="center" wrapText="1"/>
    </xf>
    <xf numFmtId="169" fontId="27" fillId="0" borderId="10" xfId="0" applyNumberFormat="1" applyFont="1" applyBorder="1" applyAlignment="1">
      <alignment vertical="center" wrapText="1"/>
    </xf>
    <xf numFmtId="169" fontId="27" fillId="0" borderId="0" xfId="0" applyNumberFormat="1" applyFont="1" applyAlignment="1">
      <alignment vertical="center" wrapText="1"/>
    </xf>
    <xf numFmtId="169" fontId="27" fillId="0" borderId="15" xfId="0" applyNumberFormat="1" applyFont="1" applyBorder="1" applyAlignment="1">
      <alignment vertical="center" wrapText="1"/>
    </xf>
    <xf numFmtId="0" fontId="40" fillId="28" borderId="0" xfId="0" applyFont="1" applyFill="1" applyAlignment="1">
      <alignment vertical="center" wrapText="1"/>
    </xf>
    <xf numFmtId="0" fontId="5" fillId="2" borderId="0" xfId="0" applyFont="1" applyFill="1"/>
    <xf numFmtId="0" fontId="3" fillId="2" borderId="0" xfId="0" applyFont="1" applyFill="1"/>
    <xf numFmtId="0" fontId="4" fillId="3" borderId="0" xfId="0" applyFont="1" applyFill="1" applyAlignment="1">
      <alignment wrapText="1"/>
    </xf>
    <xf numFmtId="0" fontId="3" fillId="0" borderId="0" xfId="0" applyFont="1"/>
    <xf numFmtId="0" fontId="2" fillId="8" borderId="0" xfId="0" applyFont="1" applyFill="1"/>
    <xf numFmtId="0" fontId="11" fillId="14" borderId="0" xfId="0" applyFont="1" applyFill="1" applyAlignment="1">
      <alignment horizontal="left" vertical="center"/>
    </xf>
    <xf numFmtId="0" fontId="11" fillId="14" borderId="0" xfId="0" applyFont="1" applyFill="1" applyAlignment="1">
      <alignment horizontal="left" vertical="center" wrapText="1"/>
    </xf>
    <xf numFmtId="0" fontId="23" fillId="15" borderId="0" xfId="0" applyFont="1" applyFill="1" applyAlignment="1">
      <alignment vertical="center" wrapText="1"/>
    </xf>
    <xf numFmtId="0" fontId="15" fillId="15" borderId="0" xfId="0" applyFont="1" applyFill="1" applyAlignment="1">
      <alignment vertical="center" wrapText="1"/>
    </xf>
    <xf numFmtId="0" fontId="16" fillId="18" borderId="1" xfId="0" applyFont="1" applyFill="1" applyBorder="1" applyAlignment="1">
      <alignment horizontal="center" vertical="center" wrapText="1"/>
    </xf>
    <xf numFmtId="0" fontId="16" fillId="18" borderId="2" xfId="0" applyFont="1" applyFill="1" applyBorder="1" applyAlignment="1">
      <alignment horizontal="center" vertical="center" wrapText="1"/>
    </xf>
    <xf numFmtId="0" fontId="16" fillId="18" borderId="2" xfId="0" applyFont="1" applyFill="1" applyBorder="1" applyAlignment="1">
      <alignment vertical="center" wrapText="1"/>
    </xf>
    <xf numFmtId="0" fontId="16" fillId="18" borderId="3" xfId="0" applyFont="1" applyFill="1" applyBorder="1" applyAlignment="1">
      <alignment horizontal="center" vertical="center" wrapText="1"/>
    </xf>
    <xf numFmtId="0" fontId="17" fillId="20" borderId="6" xfId="0" applyFont="1" applyFill="1" applyBorder="1" applyAlignment="1">
      <alignment horizontal="center" vertical="center" wrapText="1"/>
    </xf>
    <xf numFmtId="0" fontId="17" fillId="20" borderId="7"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8" fillId="14" borderId="0" xfId="0" applyFont="1" applyFill="1" applyAlignment="1">
      <alignment horizontal="left" vertical="center" wrapText="1"/>
    </xf>
    <xf numFmtId="0" fontId="2" fillId="3" borderId="1" xfId="0" applyFont="1" applyFill="1" applyBorder="1" applyAlignment="1">
      <alignment wrapText="1"/>
    </xf>
    <xf numFmtId="0" fontId="2" fillId="3" borderId="2" xfId="0" applyFont="1" applyFill="1" applyBorder="1" applyAlignment="1">
      <alignment wrapText="1"/>
    </xf>
    <xf numFmtId="0" fontId="13" fillId="10" borderId="3" xfId="0" applyFont="1" applyFill="1" applyBorder="1" applyAlignment="1">
      <alignment wrapText="1"/>
    </xf>
    <xf numFmtId="0" fontId="13" fillId="10" borderId="2" xfId="0" applyFont="1" applyFill="1" applyBorder="1" applyAlignment="1">
      <alignment wrapText="1"/>
    </xf>
    <xf numFmtId="0" fontId="2" fillId="3" borderId="4" xfId="0" applyFont="1" applyFill="1" applyBorder="1" applyAlignment="1">
      <alignment wrapText="1"/>
    </xf>
    <xf numFmtId="0" fontId="2" fillId="3" borderId="0" xfId="0" applyFont="1" applyFill="1" applyAlignment="1">
      <alignment wrapText="1"/>
    </xf>
    <xf numFmtId="0" fontId="13" fillId="10" borderId="5" xfId="0" applyFont="1" applyFill="1" applyBorder="1" applyAlignment="1">
      <alignment wrapText="1"/>
    </xf>
    <xf numFmtId="0" fontId="13" fillId="10" borderId="0" xfId="0" applyFont="1" applyFill="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13" fillId="10" borderId="8" xfId="0" applyFont="1" applyFill="1" applyBorder="1" applyAlignment="1">
      <alignment wrapText="1"/>
    </xf>
    <xf numFmtId="0" fontId="13" fillId="10" borderId="7" xfId="0" applyFont="1" applyFill="1" applyBorder="1" applyAlignment="1">
      <alignment wrapText="1"/>
    </xf>
    <xf numFmtId="0" fontId="3" fillId="0" borderId="1" xfId="0" applyFont="1" applyBorder="1" applyAlignment="1">
      <alignment wrapText="1"/>
    </xf>
    <xf numFmtId="0" fontId="22" fillId="10" borderId="2"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3" fillId="0" borderId="4" xfId="0" applyFont="1" applyBorder="1" applyAlignment="1">
      <alignment wrapText="1"/>
    </xf>
    <xf numFmtId="0" fontId="21" fillId="10" borderId="0" xfId="0" applyFont="1" applyFill="1" applyAlignment="1">
      <alignment horizontal="center" vertical="center" wrapText="1"/>
    </xf>
    <xf numFmtId="0" fontId="21" fillId="10" borderId="5" xfId="0" applyFont="1" applyFill="1" applyBorder="1" applyAlignment="1">
      <alignment horizontal="center" vertical="center" wrapText="1"/>
    </xf>
    <xf numFmtId="0" fontId="22" fillId="10" borderId="0" xfId="0" applyFont="1" applyFill="1" applyAlignment="1">
      <alignment horizontal="center" vertical="center" wrapText="1"/>
    </xf>
    <xf numFmtId="0" fontId="22" fillId="10" borderId="5" xfId="0" applyFont="1" applyFill="1" applyBorder="1" applyAlignment="1">
      <alignment horizontal="center" vertical="center" wrapText="1"/>
    </xf>
    <xf numFmtId="0" fontId="3" fillId="0" borderId="6" xfId="0" applyFont="1" applyBorder="1" applyAlignment="1">
      <alignment wrapText="1"/>
    </xf>
    <xf numFmtId="0" fontId="22" fillId="10" borderId="7" xfId="0" applyFont="1" applyFill="1" applyBorder="1" applyAlignment="1">
      <alignment horizontal="center" vertical="center" wrapText="1"/>
    </xf>
    <xf numFmtId="0" fontId="22" fillId="10" borderId="8"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3" borderId="4" xfId="0" applyFont="1" applyFill="1" applyBorder="1" applyAlignment="1">
      <alignment wrapText="1"/>
    </xf>
    <xf numFmtId="0" fontId="3" fillId="3" borderId="0" xfId="0" applyFont="1" applyFill="1" applyAlignment="1">
      <alignment wrapText="1"/>
    </xf>
    <xf numFmtId="0" fontId="3" fillId="0" borderId="5" xfId="0" applyFont="1" applyBorder="1" applyAlignment="1">
      <alignment wrapText="1"/>
    </xf>
    <xf numFmtId="0" fontId="3" fillId="0" borderId="0" xfId="0" applyFont="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3" fillId="0" borderId="8" xfId="0" applyFont="1" applyBorder="1" applyAlignment="1">
      <alignment wrapText="1"/>
    </xf>
    <xf numFmtId="0" fontId="3" fillId="0" borderId="7" xfId="0" applyFont="1" applyBorder="1" applyAlignment="1">
      <alignment wrapText="1"/>
    </xf>
    <xf numFmtId="0" fontId="19" fillId="19" borderId="0" xfId="0" applyFont="1" applyFill="1" applyAlignment="1">
      <alignment vertical="center" wrapText="1"/>
    </xf>
    <xf numFmtId="0" fontId="20" fillId="10" borderId="4" xfId="0" applyFont="1" applyFill="1" applyBorder="1" applyAlignment="1">
      <alignment horizontal="center" vertical="center" wrapText="1"/>
    </xf>
    <xf numFmtId="0" fontId="20" fillId="10" borderId="0" xfId="0" applyFont="1" applyFill="1" applyAlignment="1">
      <alignment horizontal="center" vertical="center" wrapText="1"/>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20" fillId="0" borderId="0" xfId="0" applyFont="1" applyAlignment="1">
      <alignment horizontal="center" vertical="center" wrapText="1"/>
    </xf>
    <xf numFmtId="0" fontId="3" fillId="0" borderId="7" xfId="0" applyFont="1" applyBorder="1" applyAlignment="1">
      <alignment horizontal="center" vertical="center" wrapText="1"/>
    </xf>
    <xf numFmtId="0" fontId="20" fillId="10" borderId="5"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7" fillId="14" borderId="0" xfId="0" applyFont="1" applyFill="1" applyAlignment="1">
      <alignment horizontal="left" vertical="top" wrapText="1"/>
    </xf>
    <xf numFmtId="0" fontId="0" fillId="0" borderId="0" xfId="0"/>
    <xf numFmtId="0" fontId="8" fillId="15" borderId="0" xfId="0" applyFont="1" applyFill="1" applyAlignment="1">
      <alignment vertical="top" wrapText="1"/>
    </xf>
    <xf numFmtId="0" fontId="7" fillId="14" borderId="0" xfId="0" applyFont="1" applyFill="1" applyAlignment="1">
      <alignment horizontal="left" vertical="center"/>
    </xf>
    <xf numFmtId="0" fontId="8" fillId="15" borderId="0" xfId="0" applyFont="1" applyFill="1" applyAlignment="1">
      <alignment vertical="center" wrapText="1"/>
    </xf>
    <xf numFmtId="0" fontId="9" fillId="15" borderId="0" xfId="0" applyFont="1" applyFill="1" applyAlignment="1">
      <alignment vertical="top" wrapText="1"/>
    </xf>
    <xf numFmtId="0" fontId="7" fillId="21" borderId="0" xfId="0" applyFont="1" applyFill="1" applyAlignment="1">
      <alignment horizontal="left" vertical="center"/>
    </xf>
    <xf numFmtId="0" fontId="24" fillId="22" borderId="0" xfId="0" applyFont="1" applyFill="1" applyAlignment="1">
      <alignment wrapText="1"/>
    </xf>
    <xf numFmtId="0" fontId="1" fillId="27" borderId="0" xfId="0" applyFont="1" applyFill="1" applyAlignment="1">
      <alignment vertical="center"/>
    </xf>
    <xf numFmtId="0" fontId="31" fillId="28" borderId="0" xfId="0" applyFont="1" applyFill="1" applyAlignment="1">
      <alignment wrapText="1"/>
    </xf>
    <xf numFmtId="0" fontId="33" fillId="27" borderId="0" xfId="0" applyFont="1" applyFill="1" applyAlignment="1">
      <alignment vertical="center"/>
    </xf>
    <xf numFmtId="0" fontId="34" fillId="27" borderId="0" xfId="0" applyFont="1" applyFill="1" applyAlignment="1">
      <alignment vertical="center"/>
    </xf>
    <xf numFmtId="0" fontId="30" fillId="29" borderId="0" xfId="0" applyFont="1" applyFill="1" applyAlignment="1">
      <alignment vertical="center" wrapText="1"/>
    </xf>
    <xf numFmtId="0" fontId="35" fillId="27" borderId="0" xfId="0" applyFont="1" applyFill="1" applyAlignment="1">
      <alignment vertical="center" wrapText="1"/>
    </xf>
    <xf numFmtId="0" fontId="36" fillId="24" borderId="0" xfId="0" applyFont="1" applyFill="1" applyAlignment="1">
      <alignment vertical="center" wrapText="1"/>
    </xf>
    <xf numFmtId="0" fontId="37" fillId="27" borderId="0" xfId="0" applyFont="1" applyFill="1" applyAlignment="1">
      <alignment vertical="center" wrapText="1"/>
    </xf>
    <xf numFmtId="0" fontId="38" fillId="0" borderId="0" xfId="0" applyFont="1" applyAlignment="1">
      <alignment vertical="center" wrapText="1"/>
    </xf>
    <xf numFmtId="0" fontId="39" fillId="0" borderId="0" xfId="0" applyFont="1" applyAlignment="1">
      <alignment wrapText="1"/>
    </xf>
    <xf numFmtId="0" fontId="40" fillId="28" borderId="0" xfId="0" applyFont="1" applyFill="1" applyAlignment="1">
      <alignment vertical="center" wrapText="1"/>
    </xf>
    <xf numFmtId="0" fontId="41" fillId="28" borderId="20" xfId="0" applyFont="1" applyFill="1" applyBorder="1" applyAlignment="1">
      <alignment vertical="center" wrapText="1"/>
    </xf>
    <xf numFmtId="0" fontId="41" fillId="28" borderId="21" xfId="0" applyFont="1" applyFill="1" applyBorder="1" applyAlignment="1">
      <alignment vertical="center" wrapText="1"/>
    </xf>
    <xf numFmtId="0" fontId="41" fillId="28" borderId="22" xfId="0" applyFont="1" applyFill="1" applyBorder="1" applyAlignment="1">
      <alignment vertical="center" wrapText="1"/>
    </xf>
    <xf numFmtId="172" fontId="42" fillId="30" borderId="9" xfId="0" applyNumberFormat="1" applyFont="1" applyFill="1" applyBorder="1" applyAlignment="1">
      <alignment vertical="center" wrapText="1"/>
    </xf>
    <xf numFmtId="172" fontId="42" fillId="30" borderId="10" xfId="0" applyNumberFormat="1" applyFont="1" applyFill="1" applyBorder="1" applyAlignment="1">
      <alignment vertical="center" wrapText="1"/>
    </xf>
    <xf numFmtId="172" fontId="42" fillId="30" borderId="11" xfId="0" applyNumberFormat="1" applyFont="1" applyFill="1" applyBorder="1" applyAlignment="1">
      <alignment vertical="center" wrapText="1"/>
    </xf>
    <xf numFmtId="172" fontId="42" fillId="30" borderId="12" xfId="0" applyNumberFormat="1" applyFont="1" applyFill="1" applyBorder="1" applyAlignment="1">
      <alignment vertical="center" wrapText="1"/>
    </xf>
    <xf numFmtId="172" fontId="42" fillId="30" borderId="0" xfId="0" applyNumberFormat="1" applyFont="1" applyFill="1" applyAlignment="1">
      <alignment vertical="center" wrapText="1"/>
    </xf>
    <xf numFmtId="172" fontId="42" fillId="30" borderId="13" xfId="0" applyNumberFormat="1" applyFont="1" applyFill="1" applyBorder="1" applyAlignment="1">
      <alignment vertical="center" wrapText="1"/>
    </xf>
    <xf numFmtId="172" fontId="42" fillId="30" borderId="14" xfId="0" applyNumberFormat="1" applyFont="1" applyFill="1" applyBorder="1" applyAlignment="1">
      <alignment vertical="center" wrapText="1"/>
    </xf>
    <xf numFmtId="172" fontId="42" fillId="30" borderId="15" xfId="0" applyNumberFormat="1" applyFont="1" applyFill="1" applyBorder="1" applyAlignment="1">
      <alignment vertical="center" wrapText="1"/>
    </xf>
    <xf numFmtId="172" fontId="42" fillId="30" borderId="16" xfId="0" applyNumberFormat="1" applyFont="1" applyFill="1" applyBorder="1" applyAlignment="1">
      <alignment vertical="center" wrapText="1"/>
    </xf>
    <xf numFmtId="167" fontId="42" fillId="30" borderId="9" xfId="0" applyNumberFormat="1" applyFont="1" applyFill="1" applyBorder="1" applyAlignment="1">
      <alignment vertical="center" wrapText="1"/>
    </xf>
    <xf numFmtId="167" fontId="42" fillId="30" borderId="10" xfId="0" applyNumberFormat="1" applyFont="1" applyFill="1" applyBorder="1" applyAlignment="1">
      <alignment vertical="center" wrapText="1"/>
    </xf>
    <xf numFmtId="167" fontId="42" fillId="30" borderId="11" xfId="0" applyNumberFormat="1" applyFont="1" applyFill="1" applyBorder="1" applyAlignment="1">
      <alignment vertical="center" wrapText="1"/>
    </xf>
    <xf numFmtId="167" fontId="42" fillId="30" borderId="12" xfId="0" applyNumberFormat="1" applyFont="1" applyFill="1" applyBorder="1" applyAlignment="1">
      <alignment vertical="center" wrapText="1"/>
    </xf>
    <xf numFmtId="167" fontId="42" fillId="30" borderId="0" xfId="0" applyNumberFormat="1" applyFont="1" applyFill="1" applyAlignment="1">
      <alignment vertical="center" wrapText="1"/>
    </xf>
    <xf numFmtId="167" fontId="42" fillId="30" borderId="13" xfId="0" applyNumberFormat="1" applyFont="1" applyFill="1" applyBorder="1" applyAlignment="1">
      <alignment vertical="center" wrapText="1"/>
    </xf>
    <xf numFmtId="167" fontId="42" fillId="30" borderId="14" xfId="0" applyNumberFormat="1" applyFont="1" applyFill="1" applyBorder="1" applyAlignment="1">
      <alignment vertical="center" wrapText="1"/>
    </xf>
    <xf numFmtId="167" fontId="42" fillId="30" borderId="15" xfId="0" applyNumberFormat="1" applyFont="1" applyFill="1" applyBorder="1" applyAlignment="1">
      <alignment vertical="center" wrapText="1"/>
    </xf>
    <xf numFmtId="167" fontId="42" fillId="30" borderId="16" xfId="0" applyNumberFormat="1" applyFont="1" applyFill="1" applyBorder="1" applyAlignment="1">
      <alignment vertical="center" wrapText="1"/>
    </xf>
    <xf numFmtId="173" fontId="42" fillId="30" borderId="9" xfId="0" applyNumberFormat="1" applyFont="1" applyFill="1" applyBorder="1" applyAlignment="1">
      <alignment vertical="center" wrapText="1"/>
    </xf>
    <xf numFmtId="173" fontId="42" fillId="30" borderId="10" xfId="0" applyNumberFormat="1" applyFont="1" applyFill="1" applyBorder="1" applyAlignment="1">
      <alignment vertical="center" wrapText="1"/>
    </xf>
    <xf numFmtId="173" fontId="42" fillId="30" borderId="11" xfId="0" applyNumberFormat="1" applyFont="1" applyFill="1" applyBorder="1" applyAlignment="1">
      <alignment vertical="center" wrapText="1"/>
    </xf>
    <xf numFmtId="173" fontId="42" fillId="30" borderId="12" xfId="0" applyNumberFormat="1" applyFont="1" applyFill="1" applyBorder="1" applyAlignment="1">
      <alignment vertical="center" wrapText="1"/>
    </xf>
    <xf numFmtId="173" fontId="42" fillId="30" borderId="0" xfId="0" applyNumberFormat="1" applyFont="1" applyFill="1" applyAlignment="1">
      <alignment vertical="center" wrapText="1"/>
    </xf>
    <xf numFmtId="173" fontId="42" fillId="30" borderId="13" xfId="0" applyNumberFormat="1" applyFont="1" applyFill="1" applyBorder="1" applyAlignment="1">
      <alignment vertical="center" wrapText="1"/>
    </xf>
    <xf numFmtId="173" fontId="42" fillId="30" borderId="14" xfId="0" applyNumberFormat="1" applyFont="1" applyFill="1" applyBorder="1" applyAlignment="1">
      <alignment vertical="center" wrapText="1"/>
    </xf>
    <xf numFmtId="173" fontId="42" fillId="30" borderId="15" xfId="0" applyNumberFormat="1" applyFont="1" applyFill="1" applyBorder="1" applyAlignment="1">
      <alignment vertical="center" wrapText="1"/>
    </xf>
    <xf numFmtId="173" fontId="42" fillId="30" borderId="16" xfId="0" applyNumberFormat="1" applyFont="1" applyFill="1" applyBorder="1" applyAlignment="1">
      <alignment vertical="center" wrapText="1"/>
    </xf>
    <xf numFmtId="170" fontId="42" fillId="30" borderId="9" xfId="0" applyNumberFormat="1" applyFont="1" applyFill="1" applyBorder="1" applyAlignment="1">
      <alignment vertical="center" wrapText="1"/>
    </xf>
    <xf numFmtId="170" fontId="42" fillId="30" borderId="10" xfId="0" applyNumberFormat="1" applyFont="1" applyFill="1" applyBorder="1" applyAlignment="1">
      <alignment vertical="center" wrapText="1"/>
    </xf>
    <xf numFmtId="170" fontId="42" fillId="30" borderId="11" xfId="0" applyNumberFormat="1" applyFont="1" applyFill="1" applyBorder="1" applyAlignment="1">
      <alignment vertical="center" wrapText="1"/>
    </xf>
    <xf numFmtId="170" fontId="42" fillId="30" borderId="12" xfId="0" applyNumberFormat="1" applyFont="1" applyFill="1" applyBorder="1" applyAlignment="1">
      <alignment vertical="center" wrapText="1"/>
    </xf>
    <xf numFmtId="170" fontId="42" fillId="30" borderId="0" xfId="0" applyNumberFormat="1" applyFont="1" applyFill="1" applyAlignment="1">
      <alignment vertical="center" wrapText="1"/>
    </xf>
    <xf numFmtId="170" fontId="42" fillId="30" borderId="13" xfId="0" applyNumberFormat="1" applyFont="1" applyFill="1" applyBorder="1" applyAlignment="1">
      <alignment vertical="center" wrapText="1"/>
    </xf>
    <xf numFmtId="170" fontId="42" fillId="30" borderId="14" xfId="0" applyNumberFormat="1" applyFont="1" applyFill="1" applyBorder="1" applyAlignment="1">
      <alignment vertical="center" wrapText="1"/>
    </xf>
    <xf numFmtId="170" fontId="42" fillId="30" borderId="15" xfId="0" applyNumberFormat="1" applyFont="1" applyFill="1" applyBorder="1" applyAlignment="1">
      <alignment vertical="center" wrapText="1"/>
    </xf>
    <xf numFmtId="170" fontId="42" fillId="30" borderId="16" xfId="0" applyNumberFormat="1" applyFont="1" applyFill="1" applyBorder="1" applyAlignment="1">
      <alignment vertical="center" wrapText="1"/>
    </xf>
    <xf numFmtId="0" fontId="42" fillId="31" borderId="9" xfId="0" applyFont="1" applyFill="1" applyBorder="1" applyAlignment="1">
      <alignment vertical="center" wrapText="1"/>
    </xf>
    <xf numFmtId="0" fontId="42" fillId="31" borderId="11" xfId="0" applyFont="1" applyFill="1" applyBorder="1" applyAlignment="1">
      <alignment vertical="center" wrapText="1"/>
    </xf>
    <xf numFmtId="0" fontId="42" fillId="31" borderId="12" xfId="0" applyFont="1" applyFill="1" applyBorder="1" applyAlignment="1">
      <alignment vertical="center" wrapText="1"/>
    </xf>
    <xf numFmtId="0" fontId="42" fillId="31" borderId="13" xfId="0" applyFont="1" applyFill="1" applyBorder="1" applyAlignment="1">
      <alignment vertical="center" wrapText="1"/>
    </xf>
    <xf numFmtId="0" fontId="42" fillId="31" borderId="14" xfId="0" applyFont="1" applyFill="1" applyBorder="1" applyAlignment="1">
      <alignment vertical="center" wrapText="1"/>
    </xf>
    <xf numFmtId="0" fontId="42" fillId="31" borderId="16" xfId="0" applyFont="1" applyFill="1" applyBorder="1" applyAlignment="1">
      <alignment vertical="center" wrapText="1"/>
    </xf>
    <xf numFmtId="0" fontId="43" fillId="25" borderId="20" xfId="0" applyFont="1" applyFill="1" applyBorder="1" applyAlignment="1">
      <alignment vertical="center" wrapText="1"/>
    </xf>
    <xf numFmtId="0" fontId="43" fillId="25" borderId="21" xfId="0" applyFont="1" applyFill="1" applyBorder="1" applyAlignment="1">
      <alignment vertical="center" wrapText="1"/>
    </xf>
    <xf numFmtId="0" fontId="43" fillId="25" borderId="22" xfId="0" applyFont="1" applyFill="1" applyBorder="1" applyAlignment="1">
      <alignment vertical="center" wrapText="1"/>
    </xf>
    <xf numFmtId="0" fontId="30" fillId="24" borderId="0" xfId="0" applyFont="1" applyFill="1" applyAlignment="1">
      <alignment vertical="center" wrapText="1"/>
    </xf>
    <xf numFmtId="0" fontId="27" fillId="0" borderId="11" xfId="0" applyFont="1" applyBorder="1" applyAlignment="1">
      <alignment vertical="center" wrapText="1"/>
    </xf>
    <xf numFmtId="0" fontId="0" fillId="0" borderId="0" xfId="0" applyAlignment="1">
      <alignment wrapText="1"/>
    </xf>
    <xf numFmtId="0" fontId="27" fillId="0" borderId="13" xfId="0" applyFont="1" applyBorder="1" applyAlignment="1">
      <alignment vertical="center" wrapText="1"/>
    </xf>
    <xf numFmtId="0" fontId="27" fillId="0" borderId="16" xfId="0" applyFont="1" applyBorder="1" applyAlignment="1">
      <alignment vertical="center" wrapText="1"/>
    </xf>
    <xf numFmtId="0" fontId="44" fillId="32" borderId="20" xfId="0" applyFont="1" applyFill="1" applyBorder="1" applyAlignment="1">
      <alignment wrapText="1"/>
    </xf>
    <xf numFmtId="0" fontId="44" fillId="32" borderId="21" xfId="0" applyFont="1" applyFill="1" applyBorder="1" applyAlignment="1">
      <alignment wrapText="1"/>
    </xf>
    <xf numFmtId="0" fontId="44" fillId="32" borderId="22" xfId="0" applyFont="1" applyFill="1" applyBorder="1" applyAlignment="1">
      <alignment wrapText="1"/>
    </xf>
    <xf numFmtId="0" fontId="42" fillId="30" borderId="9" xfId="0" applyFont="1" applyFill="1" applyBorder="1" applyAlignment="1">
      <alignment vertical="center" wrapText="1"/>
    </xf>
    <xf numFmtId="0" fontId="42" fillId="30" borderId="10" xfId="0" applyFont="1" applyFill="1" applyBorder="1" applyAlignment="1">
      <alignment vertical="center" wrapText="1"/>
    </xf>
    <xf numFmtId="0" fontId="42" fillId="30" borderId="11" xfId="0" applyFont="1" applyFill="1" applyBorder="1" applyAlignment="1">
      <alignment vertical="center" wrapText="1"/>
    </xf>
    <xf numFmtId="0" fontId="42" fillId="30" borderId="12" xfId="0" applyFont="1" applyFill="1" applyBorder="1" applyAlignment="1">
      <alignment vertical="center" wrapText="1"/>
    </xf>
    <xf numFmtId="0" fontId="42" fillId="30" borderId="0" xfId="0" applyFont="1" applyFill="1" applyAlignment="1">
      <alignment vertical="center" wrapText="1"/>
    </xf>
    <xf numFmtId="0" fontId="42" fillId="30" borderId="13" xfId="0" applyFont="1" applyFill="1" applyBorder="1" applyAlignment="1">
      <alignment vertical="center" wrapText="1"/>
    </xf>
    <xf numFmtId="0" fontId="42" fillId="30" borderId="14" xfId="0" applyFont="1" applyFill="1" applyBorder="1" applyAlignment="1">
      <alignment vertical="center" wrapText="1"/>
    </xf>
    <xf numFmtId="0" fontId="42" fillId="30" borderId="15" xfId="0" applyFont="1" applyFill="1" applyBorder="1" applyAlignment="1">
      <alignment vertical="center" wrapText="1"/>
    </xf>
    <xf numFmtId="0" fontId="42" fillId="30" borderId="16" xfId="0" applyFont="1" applyFill="1" applyBorder="1" applyAlignment="1">
      <alignment vertical="center" wrapText="1"/>
    </xf>
    <xf numFmtId="0" fontId="42" fillId="33" borderId="9" xfId="0" applyFont="1" applyFill="1" applyBorder="1" applyAlignment="1">
      <alignment vertical="center" wrapText="1"/>
    </xf>
    <xf numFmtId="0" fontId="42" fillId="33" borderId="10" xfId="0" applyFont="1" applyFill="1" applyBorder="1" applyAlignment="1">
      <alignment vertical="center" wrapText="1"/>
    </xf>
    <xf numFmtId="0" fontId="42" fillId="33" borderId="11" xfId="0" applyFont="1" applyFill="1" applyBorder="1" applyAlignment="1">
      <alignment vertical="center" wrapText="1"/>
    </xf>
    <xf numFmtId="0" fontId="42" fillId="33" borderId="12" xfId="0" applyFont="1" applyFill="1" applyBorder="1" applyAlignment="1">
      <alignment vertical="center" wrapText="1"/>
    </xf>
    <xf numFmtId="0" fontId="42" fillId="33" borderId="0" xfId="0" applyFont="1" applyFill="1" applyAlignment="1">
      <alignment vertical="center" wrapText="1"/>
    </xf>
    <xf numFmtId="0" fontId="42" fillId="33" borderId="13" xfId="0" applyFont="1" applyFill="1" applyBorder="1" applyAlignment="1">
      <alignment vertical="center" wrapText="1"/>
    </xf>
    <xf numFmtId="0" fontId="42" fillId="33" borderId="14" xfId="0" applyFont="1" applyFill="1" applyBorder="1" applyAlignment="1">
      <alignment vertical="center" wrapText="1"/>
    </xf>
    <xf numFmtId="0" fontId="42" fillId="33" borderId="15" xfId="0" applyFont="1" applyFill="1" applyBorder="1" applyAlignment="1">
      <alignment vertical="center" wrapText="1"/>
    </xf>
    <xf numFmtId="0" fontId="42" fillId="33" borderId="16" xfId="0" applyFont="1" applyFill="1" applyBorder="1" applyAlignment="1">
      <alignment vertical="center" wrapText="1"/>
    </xf>
    <xf numFmtId="0" fontId="27" fillId="0" borderId="10" xfId="0" applyFont="1" applyBorder="1" applyAlignment="1">
      <alignment vertical="center" wrapText="1"/>
    </xf>
    <xf numFmtId="0" fontId="27" fillId="0" borderId="0" xfId="0" applyFont="1" applyAlignment="1">
      <alignment vertical="center" wrapText="1"/>
    </xf>
    <xf numFmtId="0" fontId="27" fillId="0" borderId="15" xfId="0" applyFont="1" applyBorder="1" applyAlignment="1">
      <alignment vertical="center" wrapText="1"/>
    </xf>
    <xf numFmtId="0" fontId="27" fillId="33" borderId="9" xfId="0" applyFont="1" applyFill="1" applyBorder="1" applyAlignment="1">
      <alignment vertical="top" wrapText="1"/>
    </xf>
    <xf numFmtId="0" fontId="27" fillId="33" borderId="10" xfId="0" applyFont="1" applyFill="1" applyBorder="1" applyAlignment="1">
      <alignment vertical="top" wrapText="1"/>
    </xf>
    <xf numFmtId="0" fontId="27" fillId="33" borderId="11" xfId="0" applyFont="1" applyFill="1" applyBorder="1" applyAlignment="1">
      <alignment vertical="top" wrapText="1"/>
    </xf>
    <xf numFmtId="0" fontId="27" fillId="33" borderId="12" xfId="0" applyFont="1" applyFill="1" applyBorder="1" applyAlignment="1">
      <alignment vertical="top" wrapText="1"/>
    </xf>
    <xf numFmtId="0" fontId="27" fillId="33" borderId="0" xfId="0" applyFont="1" applyFill="1" applyAlignment="1">
      <alignment vertical="top" wrapText="1"/>
    </xf>
    <xf numFmtId="0" fontId="27" fillId="33" borderId="13" xfId="0" applyFont="1" applyFill="1" applyBorder="1" applyAlignment="1">
      <alignment vertical="top" wrapText="1"/>
    </xf>
    <xf numFmtId="0" fontId="27" fillId="33" borderId="14" xfId="0" applyFont="1" applyFill="1" applyBorder="1" applyAlignment="1">
      <alignment vertical="top" wrapText="1"/>
    </xf>
    <xf numFmtId="0" fontId="27" fillId="33" borderId="15" xfId="0" applyFont="1" applyFill="1" applyBorder="1" applyAlignment="1">
      <alignment vertical="top" wrapText="1"/>
    </xf>
    <xf numFmtId="0" fontId="27" fillId="33" borderId="16" xfId="0" applyFont="1" applyFill="1" applyBorder="1" applyAlignment="1">
      <alignment vertical="top" wrapText="1"/>
    </xf>
    <xf numFmtId="0" fontId="45" fillId="32" borderId="9" xfId="0" applyFont="1" applyFill="1" applyBorder="1" applyAlignment="1">
      <alignment vertical="top" wrapText="1"/>
    </xf>
    <xf numFmtId="0" fontId="45" fillId="32" borderId="10" xfId="0" applyFont="1" applyFill="1" applyBorder="1" applyAlignment="1">
      <alignment vertical="top" wrapText="1"/>
    </xf>
    <xf numFmtId="0" fontId="45" fillId="32" borderId="11" xfId="0" applyFont="1" applyFill="1" applyBorder="1" applyAlignment="1">
      <alignment vertical="top" wrapText="1"/>
    </xf>
    <xf numFmtId="0" fontId="45" fillId="32" borderId="12" xfId="0" applyFont="1" applyFill="1" applyBorder="1" applyAlignment="1">
      <alignment vertical="top" wrapText="1"/>
    </xf>
    <xf numFmtId="0" fontId="45" fillId="32" borderId="0" xfId="0" applyFont="1" applyFill="1" applyAlignment="1">
      <alignment vertical="top" wrapText="1"/>
    </xf>
    <xf numFmtId="0" fontId="45" fillId="32" borderId="13" xfId="0" applyFont="1" applyFill="1" applyBorder="1" applyAlignment="1">
      <alignment vertical="top" wrapText="1"/>
    </xf>
    <xf numFmtId="0" fontId="45" fillId="32" borderId="14" xfId="0" applyFont="1" applyFill="1" applyBorder="1" applyAlignment="1">
      <alignment vertical="top" wrapText="1"/>
    </xf>
    <xf numFmtId="0" fontId="45" fillId="32" borderId="15" xfId="0" applyFont="1" applyFill="1" applyBorder="1" applyAlignment="1">
      <alignment vertical="top" wrapText="1"/>
    </xf>
    <xf numFmtId="0" fontId="45" fillId="32" borderId="16" xfId="0" applyFont="1" applyFill="1" applyBorder="1" applyAlignment="1">
      <alignment vertical="top" wrapText="1"/>
    </xf>
    <xf numFmtId="169" fontId="42" fillId="30" borderId="9" xfId="0" applyNumberFormat="1" applyFont="1" applyFill="1" applyBorder="1" applyAlignment="1">
      <alignment vertical="center" wrapText="1"/>
    </xf>
    <xf numFmtId="169" fontId="42" fillId="30" borderId="11" xfId="0" applyNumberFormat="1" applyFont="1" applyFill="1" applyBorder="1" applyAlignment="1">
      <alignment vertical="center" wrapText="1"/>
    </xf>
    <xf numFmtId="169" fontId="42" fillId="30" borderId="12" xfId="0" applyNumberFormat="1" applyFont="1" applyFill="1" applyBorder="1" applyAlignment="1">
      <alignment vertical="center" wrapText="1"/>
    </xf>
    <xf numFmtId="169" fontId="42" fillId="30" borderId="13" xfId="0" applyNumberFormat="1" applyFont="1" applyFill="1" applyBorder="1" applyAlignment="1">
      <alignment vertical="center" wrapText="1"/>
    </xf>
    <xf numFmtId="169" fontId="42" fillId="30" borderId="14" xfId="0" applyNumberFormat="1" applyFont="1" applyFill="1" applyBorder="1" applyAlignment="1">
      <alignment vertical="center" wrapText="1"/>
    </xf>
    <xf numFmtId="169" fontId="42" fillId="30" borderId="16" xfId="0" applyNumberFormat="1" applyFont="1" applyFill="1" applyBorder="1" applyAlignment="1">
      <alignment vertical="center" wrapText="1"/>
    </xf>
    <xf numFmtId="0" fontId="46" fillId="31" borderId="9" xfId="0" applyFont="1" applyFill="1" applyBorder="1" applyAlignment="1">
      <alignment vertical="top" wrapText="1"/>
    </xf>
    <xf numFmtId="0" fontId="46" fillId="31" borderId="10" xfId="0" applyFont="1" applyFill="1" applyBorder="1" applyAlignment="1">
      <alignment vertical="top" wrapText="1"/>
    </xf>
    <xf numFmtId="0" fontId="46" fillId="31" borderId="11" xfId="0" applyFont="1" applyFill="1" applyBorder="1" applyAlignment="1">
      <alignment vertical="top" wrapText="1"/>
    </xf>
    <xf numFmtId="0" fontId="46" fillId="31" borderId="12" xfId="0" applyFont="1" applyFill="1" applyBorder="1" applyAlignment="1">
      <alignment vertical="top" wrapText="1"/>
    </xf>
    <xf numFmtId="0" fontId="46" fillId="31" borderId="0" xfId="0" applyFont="1" applyFill="1" applyAlignment="1">
      <alignment vertical="top" wrapText="1"/>
    </xf>
    <xf numFmtId="0" fontId="46" fillId="31" borderId="13" xfId="0" applyFont="1" applyFill="1" applyBorder="1" applyAlignment="1">
      <alignment vertical="top" wrapText="1"/>
    </xf>
    <xf numFmtId="0" fontId="46" fillId="31" borderId="14" xfId="0" applyFont="1" applyFill="1" applyBorder="1" applyAlignment="1">
      <alignment vertical="top" wrapText="1"/>
    </xf>
    <xf numFmtId="0" fontId="46" fillId="31" borderId="15" xfId="0" applyFont="1" applyFill="1" applyBorder="1" applyAlignment="1">
      <alignment vertical="top" wrapText="1"/>
    </xf>
    <xf numFmtId="0" fontId="46" fillId="31" borderId="16" xfId="0" applyFont="1" applyFill="1" applyBorder="1" applyAlignment="1">
      <alignment vertical="top" wrapText="1"/>
    </xf>
  </cellXfs>
  <cellStyles count="1">
    <cellStyle name="Normal" xfId="0" builtinId="0"/>
  </cellStyles>
  <dxfs count="4">
    <dxf>
      <font>
        <b/>
        <color rgb="FFF59E0B"/>
      </font>
      <fill>
        <patternFill>
          <bgColor rgb="FFFFF4E5"/>
        </patternFill>
      </fill>
    </dxf>
    <dxf>
      <font>
        <b/>
        <color rgb="FFC62828"/>
      </font>
      <fill>
        <patternFill>
          <bgColor rgb="FFFDECEC"/>
        </patternFill>
      </fill>
    </dxf>
    <dxf>
      <font>
        <b/>
        <color rgb="FFF59E0B"/>
      </font>
      <fill>
        <patternFill>
          <bgColor rgb="FFFFF4E5"/>
        </patternFill>
      </fill>
    </dxf>
    <dxf>
      <font>
        <b/>
        <color rgb="FF138A5B"/>
      </font>
      <fill>
        <patternFill>
          <bgColor rgb="FFE8F5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Portfolio Cash Flow Trend (CAD)</a:t>
            </a:r>
          </a:p>
        </c:rich>
      </c:tx>
      <c:overlay val="1"/>
    </c:title>
    <c:autoTitleDeleted val="0"/>
    <c:plotArea>
      <c:layout/>
      <c:lineChart>
        <c:grouping val="standard"/>
        <c:varyColors val="0"/>
        <c:ser>
          <c:idx val="0"/>
          <c:order val="0"/>
          <c:tx>
            <c:v>Revenue</c:v>
          </c:tx>
          <c:marker>
            <c:symbol val="none"/>
          </c:marker>
          <c:cat>
            <c:numRef>
              <c:f>OUT_10YR_FINANCIAL_TREND!$A$4:$A$13</c:f>
              <c:numCache>
                <c:formatCode>General</c:formatCode>
                <c:ptCount val="10"/>
              </c:numCache>
            </c:numRef>
          </c:cat>
          <c:val>
            <c:numRef>
              <c:f>OUT_10YR_FINANCIAL_TREND!$B$4:$B$13</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5372-45AD-9D5C-31CA189F8AB2}"/>
            </c:ext>
          </c:extLst>
        </c:ser>
        <c:ser>
          <c:idx val="1"/>
          <c:order val="1"/>
          <c:tx>
            <c:v>Operating Expenses</c:v>
          </c:tx>
          <c:marker>
            <c:symbol val="none"/>
          </c:marker>
          <c:cat>
            <c:numRef>
              <c:f>OUT_10YR_FINANCIAL_TREND!$A$4:$A$13</c:f>
              <c:numCache>
                <c:formatCode>General</c:formatCode>
                <c:ptCount val="10"/>
              </c:numCache>
            </c:numRef>
          </c:cat>
          <c:val>
            <c:numRef>
              <c:f>OUT_10YR_FINANCIAL_TREND!$C$4:$C$13</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5372-45AD-9D5C-31CA189F8AB2}"/>
            </c:ext>
          </c:extLst>
        </c:ser>
        <c:ser>
          <c:idx val="2"/>
          <c:order val="2"/>
          <c:tx>
            <c:v>NOI / Cash Before Debt</c:v>
          </c:tx>
          <c:marker>
            <c:symbol val="none"/>
          </c:marker>
          <c:cat>
            <c:numRef>
              <c:f>OUT_10YR_FINANCIAL_TREND!$A$4:$A$13</c:f>
              <c:numCache>
                <c:formatCode>General</c:formatCode>
                <c:ptCount val="10"/>
              </c:numCache>
            </c:numRef>
          </c:cat>
          <c:val>
            <c:numRef>
              <c:f>OUT_10YR_FINANCIAL_TREND!$D$4:$D$13</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5372-45AD-9D5C-31CA189F8AB2}"/>
            </c:ext>
          </c:extLst>
        </c:ser>
        <c:ser>
          <c:idx val="3"/>
          <c:order val="3"/>
          <c:tx>
            <c:v>Debt Service</c:v>
          </c:tx>
          <c:marker>
            <c:symbol val="none"/>
          </c:marker>
          <c:cat>
            <c:numRef>
              <c:f>OUT_10YR_FINANCIAL_TREND!$A$4:$A$13</c:f>
              <c:numCache>
                <c:formatCode>General</c:formatCode>
                <c:ptCount val="10"/>
              </c:numCache>
            </c:numRef>
          </c:cat>
          <c:val>
            <c:numRef>
              <c:f>OUT_10YR_FINANCIAL_TREND!$E$4:$E$13</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3-5372-45AD-9D5C-31CA189F8AB2}"/>
            </c:ext>
          </c:extLst>
        </c:ser>
        <c:ser>
          <c:idx val="4"/>
          <c:order val="4"/>
          <c:tx>
            <c:v>Cash Flow After Debt</c:v>
          </c:tx>
          <c:marker>
            <c:symbol val="none"/>
          </c:marker>
          <c:cat>
            <c:numRef>
              <c:f>OUT_10YR_FINANCIAL_TREND!$A$4:$A$13</c:f>
              <c:numCache>
                <c:formatCode>General</c:formatCode>
                <c:ptCount val="10"/>
              </c:numCache>
            </c:numRef>
          </c:cat>
          <c:val>
            <c:numRef>
              <c:f>OUT_10YR_FINANCIAL_TREND!$F$4:$F$13</c:f>
              <c:numCache>
                <c:formatCode>\$#,##0;[Red]\(\$#,##0\);\-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4-5372-45AD-9D5C-31CA189F8AB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Financial Trend</a:t>
            </a:r>
          </a:p>
        </c:rich>
      </c:tx>
      <c:overlay val="1"/>
    </c:title>
    <c:autoTitleDeleted val="0"/>
    <c:plotArea>
      <c:layout/>
      <c:lineChart>
        <c:grouping val="standard"/>
        <c:varyColors val="1"/>
        <c:ser>
          <c:idx val="0"/>
          <c:order val="0"/>
          <c:tx>
            <c:v>Revenue</c:v>
          </c:tx>
          <c:marker>
            <c:symbol val="none"/>
          </c:marker>
          <c:cat>
            <c:numRef>
              <c:f>DASH_04_FINANCIAL!$C$12:$C$21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DASH_04_FINANCIAL!$D$12:$D$21</c:f>
              <c:numCache>
                <c:formatCode>\$0.00,,"M";[Red]\(\$0.00,,"M"\);\-</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E36F-4049-8AA8-37CDA3E75D31}"/>
            </c:ext>
          </c:extLst>
        </c:ser>
        <c:ser>
          <c:idx val="1"/>
          <c:order val="1"/>
          <c:tx>
            <c:v>OpEx</c:v>
          </c:tx>
          <c:marker>
            <c:symbol val="none"/>
          </c:marker>
          <c:cat>
            <c:numRef>
              <c:f>DASH_04_FINANCIAL!$C$12:$C$21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DASH_04_FINANCIAL!$E$12:$E$21</c:f>
              <c:numCache>
                <c:formatCode>\$0.00,,"M";[Red]\(\$0.00,,"M"\);\-</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E36F-4049-8AA8-37CDA3E75D31}"/>
            </c:ext>
          </c:extLst>
        </c:ser>
        <c:ser>
          <c:idx val="2"/>
          <c:order val="2"/>
          <c:tx>
            <c:v>NOI</c:v>
          </c:tx>
          <c:marker>
            <c:symbol val="none"/>
          </c:marker>
          <c:cat>
            <c:numRef>
              <c:f>DASH_04_FINANCIAL!$C$12:$C$21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DASH_04_FINANCIAL!$F$12:$F$21</c:f>
              <c:numCache>
                <c:formatCode>\$0.00,,"M";[Red]\(\$0.00,,"M"\);\-</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E36F-4049-8AA8-37CDA3E75D31}"/>
            </c:ext>
          </c:extLst>
        </c:ser>
        <c:ser>
          <c:idx val="3"/>
          <c:order val="3"/>
          <c:tx>
            <c:v>Debt Service</c:v>
          </c:tx>
          <c:marker>
            <c:symbol val="none"/>
          </c:marker>
          <c:cat>
            <c:numRef>
              <c:f>DASH_04_FINANCIAL!$C$12:$C$21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DASH_04_FINANCIAL!$G$12:$G$21</c:f>
              <c:numCache>
                <c:formatCode>\$0.00,,"M";[Red]\(\$0.00,,"M"\);\-</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3-E36F-4049-8AA8-37CDA3E75D31}"/>
            </c:ext>
          </c:extLst>
        </c:ser>
        <c:ser>
          <c:idx val="4"/>
          <c:order val="4"/>
          <c:tx>
            <c:v>DSCR</c:v>
          </c:tx>
          <c:marker>
            <c:symbol val="none"/>
          </c:marker>
          <c:cat>
            <c:numRef>
              <c:f>DASH_04_FINANCIAL!$C$12:$C$21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DASH_04_FINANCIAL!$H$12:$H$21</c:f>
              <c:numCache>
                <c:formatCode>0.00\x;[Red]\(0.00\x\);\-</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4-E36F-4049-8AA8-37CDA3E75D3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quot;M&quot;;[Red]\(\$0.00,,&quot;M&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18</xdr:col>
      <xdr:colOff>0</xdr:colOff>
      <xdr:row>21</xdr:row>
      <xdr:rowOff>0</xdr:rowOff>
    </xdr:to>
    <xdr:graphicFrame macro="">
      <xdr:nvGraphicFramePr>
        <xdr:cNvPr id="2" name="Chart">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28</xdr:row>
      <xdr:rowOff>0</xdr:rowOff>
    </xdr:from>
    <xdr:to>
      <xdr:col>16</xdr:col>
      <xdr:colOff>0</xdr:colOff>
      <xdr:row>36</xdr:row>
      <xdr:rowOff>0</xdr:rowOff>
    </xdr:to>
    <xdr:graphicFrame macro="">
      <xdr:nvGraphicFramePr>
        <xdr:cNvPr id="2" name="Chart">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tabSelected="1" workbookViewId="0">
      <selection sqref="A1:K1"/>
    </sheetView>
  </sheetViews>
  <sheetFormatPr defaultRowHeight="14.25"/>
  <cols>
    <col min="1" max="1" width="14" customWidth="1"/>
    <col min="2" max="4" width="70" customWidth="1"/>
    <col min="5" max="5" width="24" customWidth="1"/>
    <col min="6" max="6" width="36" customWidth="1"/>
  </cols>
  <sheetData>
    <row r="1" spans="1:17" ht="24" customHeight="1">
      <c r="A1" s="200" t="s">
        <v>510</v>
      </c>
      <c r="B1" s="201"/>
      <c r="C1" s="201"/>
      <c r="D1" s="201"/>
      <c r="E1" s="201"/>
      <c r="F1" s="201"/>
      <c r="G1" s="201"/>
      <c r="H1" s="201"/>
      <c r="I1" s="201"/>
      <c r="J1" s="201"/>
      <c r="K1" s="201"/>
      <c r="L1" s="3"/>
      <c r="M1" s="3"/>
      <c r="N1" s="3"/>
      <c r="O1" s="3"/>
      <c r="P1" s="3"/>
      <c r="Q1" s="3"/>
    </row>
    <row r="2" spans="1:17" ht="33.950000000000003" customHeight="1">
      <c r="A2" s="202" t="s">
        <v>511</v>
      </c>
      <c r="B2" s="203"/>
      <c r="C2" s="203"/>
      <c r="D2" s="203"/>
      <c r="E2" s="203"/>
      <c r="F2" s="203"/>
      <c r="G2" s="203"/>
      <c r="H2" s="203"/>
      <c r="I2" s="203"/>
      <c r="J2" s="203"/>
      <c r="K2" s="20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0</v>
      </c>
      <c r="B4" s="4" t="s">
        <v>1</v>
      </c>
      <c r="C4" s="4" t="s">
        <v>2</v>
      </c>
      <c r="D4" s="4" t="s">
        <v>3</v>
      </c>
      <c r="E4" s="4" t="s">
        <v>4</v>
      </c>
      <c r="F4" s="4" t="s">
        <v>5</v>
      </c>
      <c r="G4" s="3"/>
      <c r="H4" s="3"/>
      <c r="I4" s="3"/>
      <c r="J4" s="3"/>
      <c r="K4" s="3"/>
      <c r="L4" s="3"/>
      <c r="M4" s="3"/>
      <c r="N4" s="3"/>
      <c r="O4" s="3"/>
      <c r="P4" s="3"/>
      <c r="Q4" s="3"/>
    </row>
    <row r="5" spans="1:17" ht="15">
      <c r="A5" s="5" t="s">
        <v>6</v>
      </c>
      <c r="B5" s="5" t="s">
        <v>7</v>
      </c>
      <c r="C5" s="5" t="s">
        <v>8</v>
      </c>
      <c r="D5" s="5" t="s">
        <v>9</v>
      </c>
      <c r="E5" s="5" t="s">
        <v>10</v>
      </c>
      <c r="F5" s="5" t="s">
        <v>11</v>
      </c>
      <c r="G5" s="3"/>
      <c r="H5" s="3"/>
      <c r="I5" s="3"/>
      <c r="J5" s="3"/>
      <c r="K5" s="3"/>
      <c r="L5" s="3"/>
      <c r="M5" s="3"/>
      <c r="N5" s="3"/>
      <c r="O5" s="3"/>
      <c r="P5" s="3"/>
      <c r="Q5" s="3"/>
    </row>
    <row r="6" spans="1:17" ht="27">
      <c r="A6" s="6" t="s">
        <v>12</v>
      </c>
      <c r="B6" s="6" t="s">
        <v>13</v>
      </c>
      <c r="C6" s="6" t="s">
        <v>14</v>
      </c>
      <c r="D6" s="6" t="s">
        <v>15</v>
      </c>
      <c r="E6" s="6" t="s">
        <v>16</v>
      </c>
      <c r="F6" s="6" t="s">
        <v>17</v>
      </c>
      <c r="G6" s="3"/>
      <c r="H6" s="3"/>
      <c r="I6" s="3"/>
      <c r="J6" s="3"/>
      <c r="K6" s="3"/>
      <c r="L6" s="3"/>
      <c r="M6" s="3"/>
      <c r="N6" s="3"/>
      <c r="O6" s="3"/>
      <c r="P6" s="3"/>
      <c r="Q6" s="3"/>
    </row>
    <row r="7" spans="1:17" ht="27">
      <c r="A7" s="7" t="s">
        <v>18</v>
      </c>
      <c r="B7" s="7" t="s">
        <v>19</v>
      </c>
      <c r="C7" s="7" t="s">
        <v>20</v>
      </c>
      <c r="D7" s="7" t="s">
        <v>21</v>
      </c>
      <c r="E7" s="7" t="s">
        <v>22</v>
      </c>
      <c r="F7" s="7" t="s">
        <v>23</v>
      </c>
      <c r="G7" s="3"/>
      <c r="H7" s="3"/>
      <c r="I7" s="3"/>
      <c r="J7" s="3"/>
      <c r="K7" s="3"/>
      <c r="L7" s="3"/>
      <c r="M7" s="3"/>
      <c r="N7" s="3"/>
      <c r="O7" s="3"/>
      <c r="P7" s="3"/>
      <c r="Q7" s="3"/>
    </row>
    <row r="8" spans="1:17" ht="15">
      <c r="A8" s="8" t="s">
        <v>24</v>
      </c>
      <c r="B8" s="8" t="s">
        <v>25</v>
      </c>
      <c r="C8" s="8" t="s">
        <v>26</v>
      </c>
      <c r="D8" s="8" t="s">
        <v>27</v>
      </c>
      <c r="E8" s="8" t="s">
        <v>28</v>
      </c>
      <c r="F8" s="8" t="s">
        <v>29</v>
      </c>
      <c r="G8" s="3"/>
      <c r="H8" s="3"/>
      <c r="I8" s="3"/>
      <c r="J8" s="3"/>
      <c r="K8" s="3"/>
      <c r="L8" s="3"/>
      <c r="M8" s="3"/>
      <c r="N8" s="3"/>
      <c r="O8" s="3"/>
      <c r="P8" s="3"/>
      <c r="Q8" s="3"/>
    </row>
    <row r="9" spans="1:17" ht="15">
      <c r="A9" s="9" t="s">
        <v>30</v>
      </c>
      <c r="B9" s="9" t="s">
        <v>31</v>
      </c>
      <c r="C9" s="9" t="s">
        <v>32</v>
      </c>
      <c r="D9" s="9" t="s">
        <v>33</v>
      </c>
      <c r="E9" s="9" t="s">
        <v>34</v>
      </c>
      <c r="F9" s="9" t="s">
        <v>35</v>
      </c>
      <c r="G9" s="3"/>
      <c r="H9" s="3"/>
      <c r="I9" s="3"/>
      <c r="J9" s="3"/>
      <c r="K9" s="3"/>
      <c r="L9" s="3"/>
      <c r="M9" s="3"/>
      <c r="N9" s="3"/>
      <c r="O9" s="3"/>
      <c r="P9" s="3"/>
      <c r="Q9" s="3"/>
    </row>
    <row r="10" spans="1:17" ht="27">
      <c r="A10" s="10" t="s">
        <v>36</v>
      </c>
      <c r="B10" s="10" t="s">
        <v>37</v>
      </c>
      <c r="C10" s="10" t="s">
        <v>512</v>
      </c>
      <c r="D10" s="10" t="s">
        <v>513</v>
      </c>
      <c r="E10" s="10" t="s">
        <v>514</v>
      </c>
      <c r="F10" s="10" t="s">
        <v>38</v>
      </c>
      <c r="G10" s="3"/>
      <c r="H10" s="3"/>
      <c r="I10" s="3"/>
      <c r="J10" s="3"/>
      <c r="K10" s="3"/>
      <c r="L10" s="3"/>
      <c r="M10" s="3"/>
      <c r="N10" s="3"/>
      <c r="O10" s="3"/>
      <c r="P10" s="3"/>
      <c r="Q10" s="3"/>
    </row>
    <row r="11" spans="1:17" ht="15">
      <c r="A11" s="3" t="s">
        <v>515</v>
      </c>
      <c r="B11" s="3" t="s">
        <v>516</v>
      </c>
      <c r="C11" s="3" t="s">
        <v>517</v>
      </c>
      <c r="D11" s="3" t="s">
        <v>518</v>
      </c>
      <c r="E11" s="3" t="s">
        <v>519</v>
      </c>
      <c r="F11" s="3" t="s">
        <v>520</v>
      </c>
      <c r="G11" s="3"/>
      <c r="H11" s="3"/>
      <c r="I11" s="3"/>
      <c r="J11" s="3"/>
      <c r="K11" s="3"/>
      <c r="L11" s="3"/>
      <c r="M11" s="3"/>
      <c r="N11" s="3"/>
      <c r="O11" s="3"/>
      <c r="P11" s="3"/>
      <c r="Q11" s="3"/>
    </row>
    <row r="12" spans="1:17" ht="15">
      <c r="A12" s="3"/>
      <c r="B12" s="3"/>
      <c r="C12" s="3"/>
      <c r="D12" s="3"/>
      <c r="E12" s="3"/>
      <c r="F12" s="3"/>
      <c r="G12" s="3"/>
      <c r="H12" s="3"/>
      <c r="I12" s="3"/>
      <c r="J12" s="3"/>
      <c r="K12" s="3"/>
      <c r="L12" s="3"/>
      <c r="M12" s="3"/>
      <c r="N12" s="3"/>
      <c r="O12" s="3"/>
      <c r="P12" s="3"/>
      <c r="Q12" s="3"/>
    </row>
    <row r="13" spans="1:17" ht="26.1" customHeight="1">
      <c r="A13" s="4" t="s">
        <v>39</v>
      </c>
      <c r="B13" s="4" t="s">
        <v>40</v>
      </c>
      <c r="C13" s="4" t="s">
        <v>41</v>
      </c>
      <c r="D13" s="4" t="s">
        <v>42</v>
      </c>
      <c r="E13" s="3"/>
      <c r="F13" s="3"/>
      <c r="G13" s="3"/>
      <c r="H13" s="3"/>
      <c r="I13" s="3"/>
      <c r="J13" s="3"/>
      <c r="K13" s="3"/>
      <c r="L13" s="3"/>
      <c r="M13" s="3"/>
      <c r="N13" s="3"/>
      <c r="O13" s="3"/>
      <c r="P13" s="3"/>
      <c r="Q13" s="3"/>
    </row>
    <row r="14" spans="1:17" ht="40.5">
      <c r="A14" s="135" t="s">
        <v>521</v>
      </c>
      <c r="B14" s="136" t="s">
        <v>522</v>
      </c>
      <c r="C14" s="136" t="s">
        <v>523</v>
      </c>
      <c r="D14" s="137" t="s">
        <v>524</v>
      </c>
      <c r="E14" s="3"/>
      <c r="F14" s="3"/>
      <c r="G14" s="3"/>
      <c r="H14" s="3"/>
      <c r="I14" s="3"/>
      <c r="J14" s="3"/>
      <c r="K14" s="3"/>
      <c r="L14" s="3"/>
      <c r="M14" s="3"/>
      <c r="N14" s="3"/>
      <c r="O14" s="3"/>
      <c r="P14" s="3"/>
      <c r="Q14" s="3"/>
    </row>
    <row r="15" spans="1:17" ht="27">
      <c r="A15" s="138" t="s">
        <v>525</v>
      </c>
      <c r="B15" s="11" t="s">
        <v>526</v>
      </c>
      <c r="C15" s="11" t="s">
        <v>527</v>
      </c>
      <c r="D15" s="139" t="s">
        <v>528</v>
      </c>
      <c r="E15" s="3"/>
      <c r="F15" s="3"/>
      <c r="G15" s="3"/>
      <c r="H15" s="3"/>
      <c r="I15" s="3"/>
      <c r="J15" s="3"/>
      <c r="K15" s="3"/>
      <c r="L15" s="3"/>
      <c r="M15" s="3"/>
      <c r="N15" s="3"/>
      <c r="O15" s="3"/>
      <c r="P15" s="3"/>
      <c r="Q15" s="3"/>
    </row>
    <row r="16" spans="1:17" ht="27">
      <c r="A16" s="138" t="s">
        <v>529</v>
      </c>
      <c r="B16" s="11" t="s">
        <v>530</v>
      </c>
      <c r="C16" s="11" t="s">
        <v>531</v>
      </c>
      <c r="D16" s="139" t="s">
        <v>532</v>
      </c>
      <c r="E16" s="3"/>
      <c r="F16" s="3"/>
      <c r="G16" s="3"/>
      <c r="H16" s="3"/>
      <c r="I16" s="3"/>
      <c r="J16" s="3"/>
      <c r="K16" s="3"/>
      <c r="L16" s="3"/>
      <c r="M16" s="3"/>
      <c r="N16" s="3"/>
      <c r="O16" s="3"/>
      <c r="P16" s="3"/>
      <c r="Q16" s="3"/>
    </row>
    <row r="17" spans="1:17" ht="27">
      <c r="A17" s="138" t="s">
        <v>533</v>
      </c>
      <c r="B17" s="11" t="s">
        <v>534</v>
      </c>
      <c r="C17" s="11" t="s">
        <v>535</v>
      </c>
      <c r="D17" s="139" t="s">
        <v>536</v>
      </c>
      <c r="E17" s="3"/>
      <c r="F17" s="3"/>
      <c r="G17" s="3"/>
      <c r="H17" s="3"/>
      <c r="I17" s="3"/>
      <c r="J17" s="3"/>
      <c r="K17" s="3"/>
      <c r="L17" s="3"/>
      <c r="M17" s="3"/>
      <c r="N17" s="3"/>
      <c r="O17" s="3"/>
      <c r="P17" s="3"/>
      <c r="Q17" s="3"/>
    </row>
    <row r="18" spans="1:17" ht="27">
      <c r="A18" s="138" t="s">
        <v>537</v>
      </c>
      <c r="B18" s="11" t="s">
        <v>538</v>
      </c>
      <c r="C18" s="11" t="s">
        <v>539</v>
      </c>
      <c r="D18" s="139" t="s">
        <v>540</v>
      </c>
      <c r="E18" s="3"/>
      <c r="F18" s="3"/>
      <c r="G18" s="3"/>
      <c r="H18" s="3"/>
      <c r="I18" s="3"/>
      <c r="J18" s="3"/>
      <c r="K18" s="3"/>
      <c r="L18" s="3"/>
      <c r="M18" s="3"/>
      <c r="N18" s="3"/>
      <c r="O18" s="3"/>
      <c r="P18" s="3"/>
      <c r="Q18" s="3"/>
    </row>
    <row r="19" spans="1:17" ht="27">
      <c r="A19" s="138" t="s">
        <v>541</v>
      </c>
      <c r="B19" s="11" t="s">
        <v>542</v>
      </c>
      <c r="C19" s="11" t="s">
        <v>543</v>
      </c>
      <c r="D19" s="139" t="s">
        <v>544</v>
      </c>
      <c r="E19" s="3"/>
      <c r="F19" s="3"/>
      <c r="G19" s="3"/>
      <c r="H19" s="3"/>
      <c r="I19" s="3"/>
      <c r="J19" s="3"/>
      <c r="K19" s="3"/>
      <c r="L19" s="3"/>
      <c r="M19" s="3"/>
      <c r="N19" s="3"/>
      <c r="O19" s="3"/>
      <c r="P19" s="3"/>
      <c r="Q19" s="3"/>
    </row>
    <row r="20" spans="1:17" ht="27">
      <c r="A20" s="138" t="s">
        <v>545</v>
      </c>
      <c r="B20" s="11" t="s">
        <v>546</v>
      </c>
      <c r="C20" s="11" t="s">
        <v>547</v>
      </c>
      <c r="D20" s="139" t="s">
        <v>548</v>
      </c>
      <c r="E20" s="3"/>
      <c r="F20" s="3"/>
      <c r="G20" s="3"/>
      <c r="H20" s="3"/>
      <c r="I20" s="3"/>
      <c r="J20" s="3"/>
      <c r="K20" s="3"/>
      <c r="L20" s="3"/>
      <c r="M20" s="3"/>
      <c r="N20" s="3"/>
      <c r="O20" s="3"/>
      <c r="P20" s="3"/>
      <c r="Q20" s="3"/>
    </row>
    <row r="21" spans="1:17" ht="40.5">
      <c r="A21" s="138" t="s">
        <v>549</v>
      </c>
      <c r="B21" s="11" t="s">
        <v>550</v>
      </c>
      <c r="C21" s="11" t="s">
        <v>551</v>
      </c>
      <c r="D21" s="139" t="s">
        <v>552</v>
      </c>
      <c r="E21" s="3"/>
      <c r="F21" s="3"/>
      <c r="G21" s="3"/>
      <c r="H21" s="3"/>
      <c r="I21" s="3"/>
      <c r="J21" s="3"/>
      <c r="K21" s="3"/>
      <c r="L21" s="3"/>
      <c r="M21" s="3"/>
      <c r="N21" s="3"/>
      <c r="O21" s="3"/>
      <c r="P21" s="3"/>
      <c r="Q21" s="3"/>
    </row>
    <row r="22" spans="1:17" ht="27">
      <c r="A22" s="140" t="s">
        <v>553</v>
      </c>
      <c r="B22" s="141" t="s">
        <v>554</v>
      </c>
      <c r="C22" s="141" t="s">
        <v>555</v>
      </c>
      <c r="D22" s="142" t="s">
        <v>556</v>
      </c>
      <c r="E22" s="3"/>
      <c r="F22" s="3"/>
      <c r="G22" s="3"/>
      <c r="H22" s="3"/>
      <c r="I22" s="3"/>
      <c r="J22" s="3"/>
      <c r="K22" s="3"/>
      <c r="L22" s="3"/>
      <c r="M22" s="3"/>
      <c r="N22" s="3"/>
      <c r="O22" s="3"/>
      <c r="P22" s="3"/>
      <c r="Q22" s="3"/>
    </row>
    <row r="23" spans="1:17" ht="15">
      <c r="A23" s="204" t="s">
        <v>43</v>
      </c>
      <c r="B23" s="203"/>
      <c r="C23" s="203"/>
      <c r="D23" s="203"/>
      <c r="E23" s="3"/>
      <c r="F23" s="3"/>
      <c r="G23" s="3"/>
      <c r="H23" s="3"/>
      <c r="I23" s="3"/>
      <c r="J23" s="3"/>
      <c r="K23" s="3"/>
      <c r="L23" s="3"/>
      <c r="M23" s="3"/>
      <c r="N23" s="3"/>
      <c r="O23" s="3"/>
      <c r="P23" s="3"/>
      <c r="Q23" s="3"/>
    </row>
    <row r="24" spans="1:17" ht="26.1" customHeight="1">
      <c r="A24" s="4" t="s">
        <v>44</v>
      </c>
      <c r="B24" s="4" t="s">
        <v>45</v>
      </c>
      <c r="C24" s="3"/>
      <c r="D24" s="3"/>
      <c r="E24" s="3"/>
      <c r="F24" s="3"/>
      <c r="G24" s="3"/>
      <c r="H24" s="3"/>
      <c r="I24" s="3"/>
      <c r="J24" s="3"/>
      <c r="K24" s="3"/>
      <c r="L24" s="3"/>
      <c r="M24" s="3"/>
      <c r="N24" s="3"/>
      <c r="O24" s="3"/>
      <c r="P24" s="3"/>
      <c r="Q24" s="3"/>
    </row>
    <row r="25" spans="1:17" ht="15">
      <c r="A25" s="3">
        <v>1</v>
      </c>
      <c r="B25" s="3" t="s">
        <v>46</v>
      </c>
      <c r="C25" s="3"/>
      <c r="D25" s="3"/>
      <c r="E25" s="3"/>
      <c r="F25" s="3"/>
      <c r="G25" s="3"/>
      <c r="H25" s="3"/>
      <c r="I25" s="3"/>
      <c r="J25" s="3"/>
      <c r="K25" s="3"/>
      <c r="L25" s="3"/>
      <c r="M25" s="3"/>
      <c r="N25" s="3"/>
      <c r="O25" s="3"/>
      <c r="P25" s="3"/>
      <c r="Q25" s="3"/>
    </row>
    <row r="26" spans="1:17" ht="15">
      <c r="A26" s="3">
        <v>3</v>
      </c>
      <c r="B26" s="3" t="s">
        <v>47</v>
      </c>
      <c r="C26" s="3"/>
      <c r="D26" s="3"/>
      <c r="E26" s="3"/>
      <c r="F26" s="3"/>
      <c r="G26" s="3"/>
      <c r="H26" s="3"/>
      <c r="I26" s="3"/>
      <c r="J26" s="3"/>
      <c r="K26" s="3"/>
      <c r="L26" s="3"/>
      <c r="M26" s="3"/>
      <c r="N26" s="3"/>
      <c r="O26" s="3"/>
      <c r="P26" s="3"/>
      <c r="Q26" s="3"/>
    </row>
    <row r="27" spans="1:17" ht="15">
      <c r="A27" s="3">
        <v>5</v>
      </c>
      <c r="B27" s="3" t="s">
        <v>48</v>
      </c>
      <c r="C27" s="3"/>
      <c r="D27" s="3"/>
      <c r="E27" s="3"/>
      <c r="F27" s="3"/>
      <c r="G27" s="3"/>
      <c r="H27" s="3"/>
      <c r="I27" s="3"/>
      <c r="J27" s="3"/>
      <c r="K27" s="3"/>
      <c r="L27" s="3"/>
      <c r="M27" s="3"/>
      <c r="N27" s="3"/>
      <c r="O27" s="3"/>
      <c r="P27" s="3"/>
      <c r="Q27" s="3"/>
    </row>
    <row r="28" spans="1:17" ht="15">
      <c r="A28" s="3">
        <v>7</v>
      </c>
      <c r="B28" s="3" t="s">
        <v>49</v>
      </c>
      <c r="C28" s="3"/>
      <c r="D28" s="3"/>
      <c r="E28" s="3"/>
      <c r="F28" s="3"/>
      <c r="G28" s="3"/>
      <c r="H28" s="3"/>
      <c r="I28" s="3"/>
      <c r="J28" s="3"/>
      <c r="K28" s="3"/>
      <c r="L28" s="3"/>
      <c r="M28" s="3"/>
      <c r="N28" s="3"/>
      <c r="O28" s="3"/>
      <c r="P28" s="3"/>
      <c r="Q28" s="3"/>
    </row>
    <row r="29" spans="1:17" ht="15">
      <c r="A29" s="3">
        <v>9</v>
      </c>
      <c r="B29" s="3" t="s">
        <v>50</v>
      </c>
      <c r="C29" s="3"/>
      <c r="D29" s="3"/>
      <c r="E29" s="3"/>
      <c r="F29" s="3"/>
      <c r="G29" s="3"/>
      <c r="H29" s="3"/>
      <c r="I29" s="3"/>
      <c r="J29" s="3"/>
      <c r="K29" s="3"/>
      <c r="L29" s="3"/>
      <c r="M29" s="3"/>
      <c r="N29" s="3"/>
      <c r="O29" s="3"/>
      <c r="P29" s="3"/>
      <c r="Q29" s="3"/>
    </row>
    <row r="30" spans="1:17" ht="15">
      <c r="A30" s="3">
        <v>11</v>
      </c>
      <c r="B30" s="3" t="s">
        <v>51</v>
      </c>
      <c r="C30" s="3"/>
      <c r="D30" s="3"/>
      <c r="E30" s="3"/>
      <c r="F30" s="3"/>
      <c r="G30" s="3"/>
      <c r="H30" s="3"/>
      <c r="I30" s="3"/>
      <c r="J30" s="3"/>
      <c r="K30" s="3"/>
      <c r="L30" s="3"/>
      <c r="M30" s="3"/>
      <c r="N30" s="3"/>
      <c r="O30" s="3"/>
      <c r="P30" s="3"/>
      <c r="Q30" s="3"/>
    </row>
    <row r="31" spans="1:17" ht="15">
      <c r="A31" s="3">
        <v>13</v>
      </c>
      <c r="B31" s="3" t="s">
        <v>52</v>
      </c>
      <c r="C31" s="3"/>
      <c r="D31" s="3"/>
      <c r="E31" s="3"/>
      <c r="F31" s="3"/>
      <c r="G31" s="3"/>
      <c r="H31" s="3"/>
      <c r="I31" s="3"/>
      <c r="J31" s="3"/>
      <c r="K31" s="3"/>
      <c r="L31" s="3"/>
      <c r="M31" s="3"/>
      <c r="N31" s="3"/>
      <c r="O31" s="3"/>
      <c r="P31" s="3"/>
      <c r="Q31" s="3"/>
    </row>
    <row r="32" spans="1:17" ht="15">
      <c r="A32" s="3">
        <v>15</v>
      </c>
      <c r="B32" s="3" t="s">
        <v>53</v>
      </c>
      <c r="C32" s="3"/>
      <c r="D32" s="3"/>
      <c r="E32" s="3"/>
      <c r="F32" s="3"/>
      <c r="G32" s="3"/>
      <c r="H32" s="3"/>
      <c r="I32" s="3"/>
      <c r="J32" s="3"/>
      <c r="K32" s="3"/>
      <c r="L32" s="3"/>
      <c r="M32" s="3"/>
      <c r="N32" s="3"/>
      <c r="O32" s="3"/>
      <c r="P32" s="3"/>
      <c r="Q32" s="3"/>
    </row>
    <row r="33" spans="1:17" ht="15">
      <c r="A33" s="3">
        <v>19</v>
      </c>
      <c r="B33" s="3" t="s">
        <v>54</v>
      </c>
      <c r="C33" s="3"/>
      <c r="D33" s="3"/>
      <c r="E33" s="3"/>
      <c r="F33" s="3"/>
      <c r="G33" s="3"/>
      <c r="H33" s="3"/>
      <c r="I33" s="3"/>
      <c r="J33" s="3"/>
      <c r="K33" s="3"/>
      <c r="L33" s="3"/>
      <c r="M33" s="3"/>
      <c r="N33" s="3"/>
      <c r="O33" s="3"/>
      <c r="P33" s="3"/>
      <c r="Q33" s="3"/>
    </row>
    <row r="34" spans="1:17" ht="15">
      <c r="A34" s="3">
        <v>21</v>
      </c>
      <c r="B34" s="3" t="s">
        <v>55</v>
      </c>
      <c r="C34" s="3"/>
      <c r="D34" s="3"/>
      <c r="E34" s="3"/>
      <c r="F34" s="3"/>
      <c r="G34" s="3"/>
      <c r="H34" s="3"/>
      <c r="I34" s="3"/>
      <c r="J34" s="3"/>
      <c r="K34" s="3"/>
      <c r="L34" s="3"/>
      <c r="M34" s="3"/>
      <c r="N34" s="3"/>
      <c r="O34" s="3"/>
      <c r="P34" s="3"/>
      <c r="Q34" s="3"/>
    </row>
    <row r="35" spans="1:17" ht="15">
      <c r="A35" s="3">
        <v>23</v>
      </c>
      <c r="B35" s="3" t="s">
        <v>56</v>
      </c>
      <c r="C35" s="3"/>
      <c r="D35" s="3"/>
      <c r="E35" s="3"/>
      <c r="F35" s="3"/>
      <c r="G35" s="3"/>
      <c r="H35" s="3"/>
      <c r="I35" s="3"/>
      <c r="J35" s="3"/>
      <c r="K35" s="3"/>
      <c r="L35" s="3"/>
      <c r="M35" s="3"/>
      <c r="N35" s="3"/>
      <c r="O35" s="3"/>
      <c r="P35" s="3"/>
      <c r="Q35" s="3"/>
    </row>
    <row r="36" spans="1:17" ht="15">
      <c r="A36" s="3">
        <v>25</v>
      </c>
      <c r="B36" s="3" t="s">
        <v>57</v>
      </c>
      <c r="C36" s="3"/>
      <c r="D36" s="3"/>
      <c r="E36" s="3"/>
      <c r="F36" s="3"/>
      <c r="G36" s="3"/>
      <c r="H36" s="3"/>
      <c r="I36" s="3"/>
      <c r="J36" s="3"/>
      <c r="K36" s="3"/>
      <c r="L36" s="3"/>
      <c r="M36" s="3"/>
      <c r="N36" s="3"/>
      <c r="O36" s="3"/>
      <c r="P36" s="3"/>
      <c r="Q36" s="3"/>
    </row>
    <row r="37" spans="1:17" ht="15">
      <c r="A37" s="3">
        <v>27</v>
      </c>
      <c r="B37" s="3" t="s">
        <v>58</v>
      </c>
      <c r="C37" s="3"/>
      <c r="D37" s="3"/>
      <c r="E37" s="3"/>
      <c r="F37" s="3"/>
      <c r="G37" s="3"/>
      <c r="H37" s="3"/>
      <c r="I37" s="3"/>
      <c r="J37" s="3"/>
      <c r="K37" s="3"/>
      <c r="L37" s="3"/>
      <c r="M37" s="3"/>
      <c r="N37" s="3"/>
      <c r="O37" s="3"/>
      <c r="P37" s="3"/>
      <c r="Q37" s="3"/>
    </row>
    <row r="38" spans="1:17" ht="15">
      <c r="A38" s="3">
        <v>29</v>
      </c>
      <c r="B38" s="3" t="s">
        <v>59</v>
      </c>
      <c r="C38" s="3"/>
      <c r="D38" s="3"/>
      <c r="E38" s="3"/>
      <c r="F38" s="3"/>
      <c r="G38" s="3"/>
      <c r="H38" s="3"/>
      <c r="I38" s="3"/>
      <c r="J38" s="3"/>
      <c r="K38" s="3"/>
      <c r="L38" s="3"/>
      <c r="M38" s="3"/>
      <c r="N38" s="3"/>
      <c r="O38" s="3"/>
      <c r="P38" s="3"/>
      <c r="Q38" s="3"/>
    </row>
    <row r="39" spans="1:17" ht="15">
      <c r="A39" s="3">
        <v>31</v>
      </c>
      <c r="B39" s="3" t="s">
        <v>60</v>
      </c>
      <c r="C39" s="3"/>
      <c r="D39" s="3"/>
      <c r="E39" s="3"/>
      <c r="F39" s="3"/>
      <c r="G39" s="3"/>
      <c r="H39" s="3"/>
      <c r="I39" s="3"/>
      <c r="J39" s="3"/>
      <c r="K39" s="3"/>
      <c r="L39" s="3"/>
      <c r="M39" s="3"/>
      <c r="N39" s="3"/>
      <c r="O39" s="3"/>
      <c r="P39" s="3"/>
      <c r="Q39" s="3"/>
    </row>
    <row r="40" spans="1:17" ht="15">
      <c r="A40" s="3">
        <v>33</v>
      </c>
      <c r="B40" s="3" t="s">
        <v>61</v>
      </c>
      <c r="C40" s="3"/>
      <c r="D40" s="3"/>
      <c r="E40" s="3"/>
      <c r="F40" s="3"/>
      <c r="G40" s="3"/>
      <c r="H40" s="3"/>
      <c r="I40" s="3"/>
      <c r="J40" s="3"/>
      <c r="K40" s="3"/>
      <c r="L40" s="3"/>
      <c r="M40" s="3"/>
      <c r="N40" s="3"/>
      <c r="O40" s="3"/>
      <c r="P40" s="3"/>
      <c r="Q40" s="3"/>
    </row>
    <row r="41" spans="1:17" ht="15">
      <c r="A41" s="3">
        <v>35</v>
      </c>
      <c r="B41" s="3" t="s">
        <v>62</v>
      </c>
      <c r="C41" s="3"/>
      <c r="D41" s="3"/>
      <c r="E41" s="3"/>
      <c r="F41" s="3"/>
      <c r="G41" s="3"/>
      <c r="H41" s="3"/>
      <c r="I41" s="3"/>
      <c r="J41" s="3"/>
      <c r="K41" s="3"/>
      <c r="L41" s="3"/>
      <c r="M41" s="3"/>
      <c r="N41" s="3"/>
      <c r="O41" s="3"/>
      <c r="P41" s="3"/>
      <c r="Q41" s="3"/>
    </row>
    <row r="42" spans="1:17" ht="15">
      <c r="A42" s="3">
        <v>37</v>
      </c>
      <c r="B42" s="3" t="s">
        <v>63</v>
      </c>
      <c r="C42" s="3"/>
      <c r="D42" s="3"/>
      <c r="E42" s="3"/>
      <c r="F42" s="3"/>
      <c r="G42" s="3"/>
      <c r="H42" s="3"/>
      <c r="I42" s="3"/>
      <c r="J42" s="3"/>
      <c r="K42" s="3"/>
      <c r="L42" s="3"/>
      <c r="M42" s="3"/>
      <c r="N42" s="3"/>
      <c r="O42" s="3"/>
      <c r="P42" s="3"/>
      <c r="Q42" s="3"/>
    </row>
    <row r="43" spans="1:17" ht="15">
      <c r="A43" s="3">
        <v>39</v>
      </c>
      <c r="B43" s="3" t="s">
        <v>64</v>
      </c>
      <c r="C43" s="3"/>
      <c r="D43" s="3"/>
      <c r="E43" s="3"/>
      <c r="F43" s="3"/>
      <c r="G43" s="3"/>
      <c r="H43" s="3"/>
      <c r="I43" s="3"/>
      <c r="J43" s="3"/>
      <c r="K43" s="3"/>
      <c r="L43" s="3"/>
      <c r="M43" s="3"/>
      <c r="N43" s="3"/>
      <c r="O43" s="3"/>
      <c r="P43" s="3"/>
      <c r="Q43" s="3"/>
    </row>
    <row r="44" spans="1:17" ht="15">
      <c r="A44" s="3">
        <v>41</v>
      </c>
      <c r="B44" s="3" t="s">
        <v>65</v>
      </c>
      <c r="C44" s="3"/>
      <c r="D44" s="3"/>
      <c r="E44" s="3"/>
      <c r="F44" s="3"/>
      <c r="G44" s="3"/>
      <c r="H44" s="3"/>
      <c r="I44" s="3"/>
      <c r="J44" s="3"/>
      <c r="K44" s="3"/>
      <c r="L44" s="3"/>
      <c r="M44" s="3"/>
      <c r="N44" s="3"/>
      <c r="O44" s="3"/>
      <c r="P44" s="3"/>
      <c r="Q44" s="3"/>
    </row>
    <row r="45" spans="1:17" ht="15">
      <c r="A45" s="3">
        <v>43</v>
      </c>
      <c r="B45" s="3" t="s">
        <v>66</v>
      </c>
      <c r="C45" s="3"/>
      <c r="D45" s="3"/>
      <c r="E45" s="3"/>
      <c r="F45" s="3"/>
      <c r="G45" s="3"/>
      <c r="H45" s="3"/>
      <c r="I45" s="3"/>
      <c r="J45" s="3"/>
      <c r="K45" s="3"/>
      <c r="L45" s="3"/>
      <c r="M45" s="3"/>
      <c r="N45" s="3"/>
      <c r="O45" s="3"/>
      <c r="P45" s="3"/>
      <c r="Q45" s="3"/>
    </row>
    <row r="46" spans="1:17" ht="15">
      <c r="A46" s="3">
        <v>45</v>
      </c>
      <c r="B46" s="3" t="s">
        <v>67</v>
      </c>
      <c r="C46" s="3"/>
      <c r="D46" s="3"/>
      <c r="E46" s="3"/>
      <c r="F46" s="3"/>
      <c r="G46" s="3"/>
      <c r="H46" s="3"/>
      <c r="I46" s="3"/>
      <c r="J46" s="3"/>
      <c r="K46" s="3"/>
      <c r="L46" s="3"/>
      <c r="M46" s="3"/>
      <c r="N46" s="3"/>
      <c r="O46" s="3"/>
      <c r="P46" s="3"/>
      <c r="Q46" s="3"/>
    </row>
    <row r="47" spans="1:17" ht="15">
      <c r="A47" s="3">
        <v>47</v>
      </c>
      <c r="B47" s="3" t="s">
        <v>68</v>
      </c>
      <c r="C47" s="3"/>
      <c r="D47" s="3"/>
      <c r="E47" s="3"/>
      <c r="F47" s="3"/>
      <c r="G47" s="3"/>
      <c r="H47" s="3"/>
      <c r="I47" s="3"/>
      <c r="J47" s="3"/>
      <c r="K47" s="3"/>
      <c r="L47" s="3"/>
      <c r="M47" s="3"/>
      <c r="N47" s="3"/>
      <c r="O47" s="3"/>
      <c r="P47" s="3"/>
      <c r="Q47" s="3"/>
    </row>
    <row r="48" spans="1:17" ht="15">
      <c r="A48" s="3">
        <v>49</v>
      </c>
      <c r="B48" s="3" t="s">
        <v>69</v>
      </c>
      <c r="C48" s="3"/>
      <c r="D48" s="3"/>
      <c r="E48" s="3"/>
      <c r="F48" s="3"/>
      <c r="G48" s="3"/>
      <c r="H48" s="3"/>
      <c r="I48" s="3"/>
      <c r="J48" s="3"/>
      <c r="K48" s="3"/>
      <c r="L48" s="3"/>
      <c r="M48" s="3"/>
      <c r="N48" s="3"/>
      <c r="O48" s="3"/>
      <c r="P48" s="3"/>
      <c r="Q48" s="3"/>
    </row>
    <row r="49" spans="1:17" ht="15">
      <c r="A49" s="3">
        <v>51</v>
      </c>
      <c r="B49" s="3" t="s">
        <v>70</v>
      </c>
      <c r="C49" s="3"/>
      <c r="D49" s="3"/>
      <c r="E49" s="3"/>
      <c r="F49" s="3"/>
      <c r="G49" s="3"/>
      <c r="H49" s="3"/>
      <c r="I49" s="3"/>
      <c r="J49" s="3"/>
      <c r="K49" s="3"/>
      <c r="L49" s="3"/>
      <c r="M49" s="3"/>
      <c r="N49" s="3"/>
      <c r="O49" s="3"/>
      <c r="P49" s="3"/>
      <c r="Q49" s="3"/>
    </row>
    <row r="50" spans="1:17" ht="15">
      <c r="A50" s="3">
        <v>53</v>
      </c>
      <c r="B50" s="3" t="s">
        <v>71</v>
      </c>
      <c r="C50" s="3"/>
      <c r="D50" s="3"/>
      <c r="E50" s="3"/>
      <c r="F50" s="3"/>
      <c r="G50" s="3"/>
      <c r="H50" s="3"/>
      <c r="I50" s="3"/>
      <c r="J50" s="3"/>
      <c r="K50" s="3"/>
      <c r="L50" s="3"/>
      <c r="M50" s="3"/>
      <c r="N50" s="3"/>
      <c r="O50" s="3"/>
      <c r="P50" s="3"/>
      <c r="Q50" s="3"/>
    </row>
    <row r="51" spans="1:17" ht="15">
      <c r="A51" s="3">
        <v>55</v>
      </c>
      <c r="B51" s="3" t="s">
        <v>72</v>
      </c>
      <c r="C51" s="3"/>
      <c r="D51" s="3"/>
      <c r="E51" s="3"/>
      <c r="F51" s="3"/>
      <c r="G51" s="3"/>
      <c r="H51" s="3"/>
      <c r="I51" s="3"/>
      <c r="J51" s="3"/>
      <c r="K51" s="3"/>
      <c r="L51" s="3"/>
      <c r="M51" s="3"/>
      <c r="N51" s="3"/>
      <c r="O51" s="3"/>
      <c r="P51" s="3"/>
      <c r="Q51" s="3"/>
    </row>
    <row r="52" spans="1:17" ht="15">
      <c r="A52" s="3">
        <v>57</v>
      </c>
      <c r="B52" s="3" t="s">
        <v>73</v>
      </c>
      <c r="C52" s="3"/>
      <c r="D52" s="3"/>
      <c r="E52" s="3"/>
      <c r="F52" s="3"/>
      <c r="G52" s="3"/>
      <c r="H52" s="3"/>
      <c r="I52" s="3"/>
      <c r="J52" s="3"/>
      <c r="K52" s="3"/>
      <c r="L52" s="3"/>
      <c r="M52" s="3"/>
      <c r="N52" s="3"/>
      <c r="O52" s="3"/>
      <c r="P52" s="3"/>
      <c r="Q52" s="3"/>
    </row>
    <row r="53" spans="1:17" ht="15">
      <c r="A53" s="3">
        <v>59</v>
      </c>
      <c r="B53" s="3" t="s">
        <v>74</v>
      </c>
      <c r="C53" s="3"/>
      <c r="D53" s="3"/>
      <c r="E53" s="3"/>
      <c r="F53" s="3"/>
      <c r="G53" s="3"/>
      <c r="H53" s="3"/>
      <c r="I53" s="3"/>
      <c r="J53" s="3"/>
      <c r="K53" s="3"/>
      <c r="L53" s="3"/>
      <c r="M53" s="3"/>
      <c r="N53" s="3"/>
      <c r="O53" s="3"/>
      <c r="P53" s="3"/>
      <c r="Q53" s="3"/>
    </row>
    <row r="54" spans="1:17" ht="15">
      <c r="A54" s="3">
        <v>61</v>
      </c>
      <c r="B54" s="3" t="s">
        <v>75</v>
      </c>
      <c r="C54" s="3"/>
      <c r="D54" s="3"/>
      <c r="E54" s="3"/>
      <c r="F54" s="3"/>
      <c r="G54" s="3"/>
      <c r="H54" s="3"/>
      <c r="I54" s="3"/>
      <c r="J54" s="3"/>
      <c r="K54" s="3"/>
      <c r="L54" s="3"/>
      <c r="M54" s="3"/>
      <c r="N54" s="3"/>
      <c r="O54" s="3"/>
      <c r="P54" s="3"/>
      <c r="Q54" s="3"/>
    </row>
    <row r="55" spans="1:17" ht="15">
      <c r="A55" s="3">
        <v>63</v>
      </c>
      <c r="B55" s="3" t="s">
        <v>76</v>
      </c>
      <c r="C55" s="3"/>
      <c r="D55" s="3"/>
      <c r="E55" s="3"/>
      <c r="F55" s="3"/>
      <c r="G55" s="3"/>
      <c r="H55" s="3"/>
      <c r="I55" s="3"/>
      <c r="J55" s="3"/>
      <c r="K55" s="3"/>
      <c r="L55" s="3"/>
      <c r="M55" s="3"/>
      <c r="N55" s="3"/>
      <c r="O55" s="3"/>
      <c r="P55" s="3"/>
      <c r="Q55" s="3"/>
    </row>
    <row r="56" spans="1:17" ht="15">
      <c r="A56" s="3">
        <v>65</v>
      </c>
      <c r="B56" s="3" t="s">
        <v>77</v>
      </c>
      <c r="C56" s="3"/>
      <c r="D56" s="3"/>
      <c r="E56" s="3"/>
      <c r="F56" s="3"/>
      <c r="G56" s="3"/>
      <c r="H56" s="3"/>
      <c r="I56" s="3"/>
      <c r="J56" s="3"/>
      <c r="K56" s="3"/>
      <c r="L56" s="3"/>
      <c r="M56" s="3"/>
      <c r="N56" s="3"/>
      <c r="O56" s="3"/>
      <c r="P56" s="3"/>
      <c r="Q56" s="3"/>
    </row>
    <row r="57" spans="1:17" ht="15">
      <c r="A57" s="3">
        <v>67</v>
      </c>
      <c r="B57" s="3" t="s">
        <v>78</v>
      </c>
      <c r="C57" s="3"/>
      <c r="D57" s="3"/>
      <c r="E57" s="3"/>
      <c r="F57" s="3"/>
      <c r="G57" s="3"/>
      <c r="H57" s="3"/>
      <c r="I57" s="3"/>
      <c r="J57" s="3"/>
      <c r="K57" s="3"/>
      <c r="L57" s="3"/>
      <c r="M57" s="3"/>
      <c r="N57" s="3"/>
      <c r="O57" s="3"/>
      <c r="P57" s="3"/>
      <c r="Q57" s="3"/>
    </row>
    <row r="58" spans="1:17" ht="15">
      <c r="A58" s="3">
        <v>69</v>
      </c>
      <c r="B58" s="3" t="s">
        <v>79</v>
      </c>
      <c r="C58" s="3"/>
      <c r="D58" s="3"/>
      <c r="E58" s="3"/>
      <c r="F58" s="3"/>
      <c r="G58" s="3"/>
      <c r="H58" s="3"/>
      <c r="I58" s="3"/>
      <c r="J58" s="3"/>
      <c r="K58" s="3"/>
      <c r="L58" s="3"/>
      <c r="M58" s="3"/>
      <c r="N58" s="3"/>
      <c r="O58" s="3"/>
      <c r="P58" s="3"/>
      <c r="Q58" s="3"/>
    </row>
    <row r="59" spans="1:17" ht="15">
      <c r="A59" s="3">
        <v>71</v>
      </c>
      <c r="B59" s="3" t="s">
        <v>80</v>
      </c>
      <c r="C59" s="3"/>
      <c r="D59" s="3"/>
      <c r="E59" s="3"/>
      <c r="F59" s="3"/>
      <c r="G59" s="3"/>
      <c r="H59" s="3"/>
      <c r="I59" s="3"/>
      <c r="J59" s="3"/>
      <c r="K59" s="3"/>
      <c r="L59" s="3"/>
      <c r="M59" s="3"/>
      <c r="N59" s="3"/>
      <c r="O59" s="3"/>
      <c r="P59" s="3"/>
      <c r="Q59" s="3"/>
    </row>
    <row r="60" spans="1:17" ht="15">
      <c r="A60" s="3">
        <v>73</v>
      </c>
      <c r="B60" s="3" t="s">
        <v>81</v>
      </c>
      <c r="C60" s="3"/>
      <c r="D60" s="3"/>
      <c r="E60" s="3"/>
      <c r="F60" s="3"/>
      <c r="G60" s="3"/>
      <c r="H60" s="3"/>
      <c r="I60" s="3"/>
      <c r="J60" s="3"/>
      <c r="K60" s="3"/>
      <c r="L60" s="3"/>
      <c r="M60" s="3"/>
      <c r="N60" s="3"/>
      <c r="O60" s="3"/>
      <c r="P60" s="3"/>
      <c r="Q60" s="3"/>
    </row>
    <row r="61" spans="1:17" ht="15">
      <c r="A61" s="3">
        <v>75</v>
      </c>
      <c r="B61" s="3" t="s">
        <v>82</v>
      </c>
      <c r="C61" s="3"/>
      <c r="D61" s="3"/>
      <c r="E61" s="3"/>
      <c r="F61" s="3"/>
      <c r="G61" s="3"/>
      <c r="H61" s="3"/>
      <c r="I61" s="3"/>
      <c r="J61" s="3"/>
      <c r="K61" s="3"/>
      <c r="L61" s="3"/>
      <c r="M61" s="3"/>
      <c r="N61" s="3"/>
      <c r="O61" s="3"/>
      <c r="P61" s="3"/>
      <c r="Q61" s="3"/>
    </row>
    <row r="62" spans="1:17" ht="15">
      <c r="A62" s="3">
        <v>77</v>
      </c>
      <c r="B62" s="3" t="s">
        <v>77</v>
      </c>
      <c r="C62" s="3"/>
      <c r="D62" s="3"/>
      <c r="E62" s="3"/>
      <c r="F62" s="3"/>
      <c r="G62" s="3"/>
      <c r="H62" s="3"/>
      <c r="I62" s="3"/>
      <c r="J62" s="3"/>
      <c r="K62" s="3"/>
      <c r="L62" s="3"/>
      <c r="M62" s="3"/>
      <c r="N62" s="3"/>
      <c r="O62" s="3"/>
      <c r="P62" s="3"/>
      <c r="Q62" s="3"/>
    </row>
    <row r="63" spans="1:17" ht="15">
      <c r="A63" s="3">
        <v>79</v>
      </c>
      <c r="B63" s="3" t="s">
        <v>83</v>
      </c>
      <c r="C63" s="3"/>
      <c r="D63" s="3"/>
      <c r="E63" s="3"/>
      <c r="F63" s="3"/>
      <c r="G63" s="3"/>
      <c r="H63" s="3"/>
      <c r="I63" s="3"/>
      <c r="J63" s="3"/>
      <c r="K63" s="3"/>
      <c r="L63" s="3"/>
      <c r="M63" s="3"/>
      <c r="N63" s="3"/>
      <c r="O63" s="3"/>
      <c r="P63" s="3"/>
      <c r="Q63" s="3"/>
    </row>
    <row r="64" spans="1:17" ht="15">
      <c r="A64" s="3">
        <v>81</v>
      </c>
      <c r="B64" s="3" t="s">
        <v>84</v>
      </c>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t="s">
        <v>557</v>
      </c>
      <c r="B85" s="3"/>
      <c r="C85" s="3"/>
      <c r="D85" s="3"/>
      <c r="E85" s="3"/>
      <c r="F85" s="3"/>
      <c r="G85" s="3"/>
      <c r="H85" s="3"/>
      <c r="I85" s="3"/>
      <c r="J85" s="3"/>
      <c r="K85" s="3"/>
      <c r="L85" s="3"/>
      <c r="M85" s="3"/>
      <c r="N85" s="3"/>
      <c r="O85" s="3"/>
      <c r="P85" s="3"/>
      <c r="Q85" s="3"/>
    </row>
    <row r="86" spans="1:17" ht="15">
      <c r="A86" s="3" t="s">
        <v>558</v>
      </c>
      <c r="B86" s="3" t="s">
        <v>559</v>
      </c>
      <c r="C86" s="3" t="s">
        <v>560</v>
      </c>
      <c r="D86" s="3" t="s">
        <v>561</v>
      </c>
      <c r="E86" s="3"/>
      <c r="F86" s="3"/>
      <c r="G86" s="3"/>
      <c r="H86" s="3"/>
      <c r="I86" s="3"/>
      <c r="J86" s="3"/>
      <c r="K86" s="3"/>
      <c r="L86" s="3"/>
      <c r="M86" s="3"/>
      <c r="N86" s="3"/>
      <c r="O86" s="3"/>
      <c r="P86" s="3"/>
      <c r="Q86" s="3"/>
    </row>
    <row r="87" spans="1:17" ht="15">
      <c r="A87" s="3" t="s">
        <v>562</v>
      </c>
      <c r="B87" s="3" t="s">
        <v>563</v>
      </c>
      <c r="C87" s="3" t="s">
        <v>564</v>
      </c>
      <c r="D87" s="3" t="s">
        <v>565</v>
      </c>
      <c r="E87" s="3"/>
      <c r="F87" s="3"/>
      <c r="G87" s="3"/>
      <c r="H87" s="3"/>
      <c r="I87" s="3"/>
      <c r="J87" s="3"/>
      <c r="K87" s="3"/>
      <c r="L87" s="3"/>
      <c r="M87" s="3"/>
      <c r="N87" s="3"/>
      <c r="O87" s="3"/>
      <c r="P87" s="3"/>
      <c r="Q87" s="3"/>
    </row>
    <row r="88" spans="1:17" ht="15">
      <c r="A88" s="3" t="s">
        <v>566</v>
      </c>
      <c r="B88" s="3" t="s">
        <v>567</v>
      </c>
      <c r="C88" s="3" t="s">
        <v>568</v>
      </c>
      <c r="D88" s="3" t="s">
        <v>569</v>
      </c>
      <c r="E88" s="3"/>
      <c r="F88" s="3"/>
      <c r="G88" s="3"/>
      <c r="H88" s="3"/>
      <c r="I88" s="3"/>
      <c r="J88" s="3"/>
      <c r="K88" s="3"/>
      <c r="L88" s="3"/>
      <c r="M88" s="3"/>
      <c r="N88" s="3"/>
      <c r="O88" s="3"/>
      <c r="P88" s="3"/>
      <c r="Q88" s="3"/>
    </row>
    <row r="89" spans="1:17" ht="15">
      <c r="A89" s="3" t="s">
        <v>570</v>
      </c>
      <c r="B89" s="3" t="s">
        <v>571</v>
      </c>
      <c r="C89" s="3" t="s">
        <v>572</v>
      </c>
      <c r="D89" s="3" t="s">
        <v>573</v>
      </c>
      <c r="E89" s="3"/>
      <c r="F89" s="3"/>
      <c r="G89" s="3"/>
      <c r="H89" s="3"/>
      <c r="I89" s="3"/>
      <c r="J89" s="3"/>
      <c r="K89" s="3"/>
      <c r="L89" s="3"/>
      <c r="M89" s="3"/>
      <c r="N89" s="3"/>
      <c r="O89" s="3"/>
      <c r="P89" s="3"/>
      <c r="Q89" s="3"/>
    </row>
    <row r="90" spans="1:17" ht="15">
      <c r="A90" s="3" t="s">
        <v>574</v>
      </c>
      <c r="B90" s="3" t="s">
        <v>575</v>
      </c>
      <c r="C90" s="3" t="s">
        <v>576</v>
      </c>
      <c r="D90" s="3" t="s">
        <v>577</v>
      </c>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3">
    <mergeCell ref="A1:K1"/>
    <mergeCell ref="A2:K2"/>
    <mergeCell ref="A23:D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0"/>
  <sheetViews>
    <sheetView workbookViewId="0"/>
  </sheetViews>
  <sheetFormatPr defaultRowHeight="14.25"/>
  <cols>
    <col min="1" max="1" width="14" customWidth="1"/>
    <col min="2" max="2" width="12" customWidth="1"/>
    <col min="3" max="3" width="18" customWidth="1"/>
    <col min="4" max="4" width="28" customWidth="1"/>
    <col min="5" max="5" width="42" customWidth="1"/>
    <col min="6" max="6" width="46" customWidth="1"/>
    <col min="7" max="7" width="18" customWidth="1"/>
    <col min="8" max="8" width="34" customWidth="1"/>
    <col min="9" max="9" width="12" customWidth="1"/>
    <col min="10" max="10" width="34" customWidth="1"/>
  </cols>
  <sheetData>
    <row r="1" spans="1:17" ht="24" customHeight="1">
      <c r="A1" s="200" t="s">
        <v>578</v>
      </c>
      <c r="B1" s="201"/>
      <c r="C1" s="201"/>
      <c r="D1" s="201"/>
      <c r="E1" s="201"/>
      <c r="F1" s="201"/>
      <c r="G1" s="201"/>
      <c r="H1" s="201"/>
      <c r="I1" s="201"/>
      <c r="J1" s="201"/>
      <c r="K1" s="15"/>
      <c r="L1" s="3"/>
      <c r="M1" s="3"/>
      <c r="N1" s="3"/>
      <c r="O1" s="3"/>
      <c r="P1" s="3"/>
      <c r="Q1" s="3"/>
    </row>
    <row r="2" spans="1:17" ht="33.950000000000003" customHeight="1">
      <c r="A2" s="202" t="s">
        <v>85</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86</v>
      </c>
      <c r="B4" s="4" t="s">
        <v>87</v>
      </c>
      <c r="C4" s="4" t="s">
        <v>88</v>
      </c>
      <c r="D4" s="4" t="s">
        <v>89</v>
      </c>
      <c r="E4" s="4" t="s">
        <v>90</v>
      </c>
      <c r="F4" s="4" t="s">
        <v>91</v>
      </c>
      <c r="G4" s="4" t="s">
        <v>92</v>
      </c>
      <c r="H4" s="4" t="s">
        <v>93</v>
      </c>
      <c r="I4" s="4" t="s">
        <v>94</v>
      </c>
      <c r="J4" s="4" t="s">
        <v>95</v>
      </c>
      <c r="K4" s="3"/>
      <c r="L4" s="3"/>
      <c r="M4" s="3"/>
      <c r="N4" s="3"/>
      <c r="O4" s="3"/>
      <c r="P4" s="3"/>
      <c r="Q4" s="3"/>
    </row>
    <row r="5" spans="1:17" ht="15">
      <c r="A5" s="11" t="s">
        <v>96</v>
      </c>
      <c r="B5" s="11" t="s">
        <v>97</v>
      </c>
      <c r="C5" s="11" t="s">
        <v>98</v>
      </c>
      <c r="D5" s="11" t="s">
        <v>60</v>
      </c>
      <c r="E5" s="11" t="s">
        <v>99</v>
      </c>
      <c r="F5" s="11" t="s">
        <v>100</v>
      </c>
      <c r="G5" s="11" t="s">
        <v>101</v>
      </c>
      <c r="H5" s="11" t="s">
        <v>102</v>
      </c>
      <c r="I5" s="11" t="s">
        <v>103</v>
      </c>
      <c r="J5" s="11" t="s">
        <v>104</v>
      </c>
      <c r="K5" s="3"/>
      <c r="L5" s="3"/>
      <c r="M5" s="3"/>
      <c r="N5" s="3"/>
      <c r="O5" s="3"/>
      <c r="P5" s="3"/>
      <c r="Q5" s="3"/>
    </row>
    <row r="6" spans="1:17" ht="27">
      <c r="A6" s="11" t="s">
        <v>105</v>
      </c>
      <c r="B6" s="11" t="s">
        <v>97</v>
      </c>
      <c r="C6" s="11" t="s">
        <v>98</v>
      </c>
      <c r="D6" s="11" t="s">
        <v>106</v>
      </c>
      <c r="E6" s="11" t="s">
        <v>107</v>
      </c>
      <c r="F6" s="11" t="s">
        <v>108</v>
      </c>
      <c r="G6" s="11" t="s">
        <v>101</v>
      </c>
      <c r="H6" s="11" t="s">
        <v>109</v>
      </c>
      <c r="I6" s="11" t="s">
        <v>103</v>
      </c>
      <c r="J6" s="11" t="s">
        <v>110</v>
      </c>
      <c r="K6" s="3"/>
      <c r="L6" s="3"/>
      <c r="M6" s="3"/>
      <c r="N6" s="3"/>
      <c r="O6" s="3"/>
      <c r="P6" s="3"/>
      <c r="Q6" s="3"/>
    </row>
    <row r="7" spans="1:17" ht="27">
      <c r="A7" s="11" t="s">
        <v>111</v>
      </c>
      <c r="B7" s="11" t="s">
        <v>97</v>
      </c>
      <c r="C7" s="11" t="s">
        <v>98</v>
      </c>
      <c r="D7" s="11" t="s">
        <v>62</v>
      </c>
      <c r="E7" s="11" t="s">
        <v>112</v>
      </c>
      <c r="F7" s="11" t="s">
        <v>113</v>
      </c>
      <c r="G7" s="11" t="s">
        <v>101</v>
      </c>
      <c r="H7" s="11" t="s">
        <v>114</v>
      </c>
      <c r="I7" s="11" t="s">
        <v>103</v>
      </c>
      <c r="J7" s="11" t="s">
        <v>115</v>
      </c>
      <c r="K7" s="3"/>
      <c r="L7" s="3"/>
      <c r="M7" s="3"/>
      <c r="N7" s="3"/>
      <c r="O7" s="3"/>
      <c r="P7" s="3"/>
      <c r="Q7" s="3"/>
    </row>
    <row r="8" spans="1:17" ht="27">
      <c r="A8" s="11" t="s">
        <v>116</v>
      </c>
      <c r="B8" s="11" t="s">
        <v>97</v>
      </c>
      <c r="C8" s="11" t="s">
        <v>117</v>
      </c>
      <c r="D8" s="11" t="s">
        <v>118</v>
      </c>
      <c r="E8" s="11" t="s">
        <v>119</v>
      </c>
      <c r="F8" s="11" t="s">
        <v>120</v>
      </c>
      <c r="G8" s="11" t="s">
        <v>101</v>
      </c>
      <c r="H8" s="11" t="s">
        <v>121</v>
      </c>
      <c r="I8" s="11" t="s">
        <v>103</v>
      </c>
      <c r="J8" s="11" t="s">
        <v>122</v>
      </c>
      <c r="K8" s="3"/>
      <c r="L8" s="3"/>
      <c r="M8" s="3"/>
      <c r="N8" s="3"/>
      <c r="O8" s="3"/>
      <c r="P8" s="3"/>
      <c r="Q8" s="3"/>
    </row>
    <row r="9" spans="1:17" ht="40.5">
      <c r="A9" s="11" t="s">
        <v>123</v>
      </c>
      <c r="B9" s="11" t="s">
        <v>97</v>
      </c>
      <c r="C9" s="11" t="s">
        <v>124</v>
      </c>
      <c r="D9" s="11" t="s">
        <v>125</v>
      </c>
      <c r="E9" s="11" t="s">
        <v>126</v>
      </c>
      <c r="F9" s="11" t="s">
        <v>127</v>
      </c>
      <c r="G9" s="11" t="s">
        <v>101</v>
      </c>
      <c r="H9" s="11" t="s">
        <v>128</v>
      </c>
      <c r="I9" s="11" t="s">
        <v>103</v>
      </c>
      <c r="J9" s="11" t="s">
        <v>129</v>
      </c>
      <c r="K9" s="3"/>
      <c r="L9" s="3"/>
      <c r="M9" s="3"/>
      <c r="N9" s="3"/>
      <c r="O9" s="3"/>
      <c r="P9" s="3"/>
      <c r="Q9" s="3"/>
    </row>
    <row r="10" spans="1:17" ht="27">
      <c r="A10" s="11" t="s">
        <v>130</v>
      </c>
      <c r="B10" s="11" t="s">
        <v>97</v>
      </c>
      <c r="C10" s="11" t="s">
        <v>117</v>
      </c>
      <c r="D10" s="11" t="s">
        <v>131</v>
      </c>
      <c r="E10" s="11" t="s">
        <v>132</v>
      </c>
      <c r="F10" s="11" t="s">
        <v>133</v>
      </c>
      <c r="G10" s="11" t="s">
        <v>101</v>
      </c>
      <c r="H10" s="11" t="s">
        <v>134</v>
      </c>
      <c r="I10" s="11" t="s">
        <v>103</v>
      </c>
      <c r="J10" s="11" t="s">
        <v>135</v>
      </c>
      <c r="K10" s="3"/>
      <c r="L10" s="3"/>
      <c r="M10" s="3"/>
      <c r="N10" s="3"/>
      <c r="O10" s="3"/>
      <c r="P10" s="3"/>
      <c r="Q10" s="3"/>
    </row>
    <row r="11" spans="1:17" ht="15">
      <c r="A11" s="11" t="s">
        <v>136</v>
      </c>
      <c r="B11" s="11" t="s">
        <v>97</v>
      </c>
      <c r="C11" s="11" t="s">
        <v>137</v>
      </c>
      <c r="D11" s="11" t="s">
        <v>138</v>
      </c>
      <c r="E11" s="11" t="s">
        <v>139</v>
      </c>
      <c r="F11" s="11" t="s">
        <v>140</v>
      </c>
      <c r="G11" s="11" t="s">
        <v>101</v>
      </c>
      <c r="H11" s="11" t="s">
        <v>141</v>
      </c>
      <c r="I11" s="11" t="s">
        <v>103</v>
      </c>
      <c r="J11" s="11" t="s">
        <v>142</v>
      </c>
      <c r="K11" s="3"/>
      <c r="L11" s="3"/>
      <c r="M11" s="3"/>
      <c r="N11" s="3"/>
      <c r="O11" s="3"/>
      <c r="P11" s="3"/>
      <c r="Q11" s="3"/>
    </row>
    <row r="12" spans="1:17" ht="27">
      <c r="A12" s="11" t="s">
        <v>143</v>
      </c>
      <c r="B12" s="11" t="s">
        <v>97</v>
      </c>
      <c r="C12" s="11" t="s">
        <v>117</v>
      </c>
      <c r="D12" s="11" t="s">
        <v>144</v>
      </c>
      <c r="E12" s="11" t="s">
        <v>145</v>
      </c>
      <c r="F12" s="11" t="s">
        <v>146</v>
      </c>
      <c r="G12" s="11" t="s">
        <v>101</v>
      </c>
      <c r="H12" s="11" t="s">
        <v>147</v>
      </c>
      <c r="I12" s="11" t="s">
        <v>103</v>
      </c>
      <c r="J12" s="11" t="s">
        <v>142</v>
      </c>
      <c r="K12" s="3"/>
      <c r="L12" s="3"/>
      <c r="M12" s="3"/>
      <c r="N12" s="3"/>
      <c r="O12" s="3"/>
      <c r="P12" s="3"/>
      <c r="Q12" s="3"/>
    </row>
    <row r="13" spans="1:17" ht="27">
      <c r="A13" s="11" t="s">
        <v>148</v>
      </c>
      <c r="B13" s="11" t="s">
        <v>97</v>
      </c>
      <c r="C13" s="11" t="s">
        <v>117</v>
      </c>
      <c r="D13" s="11" t="s">
        <v>149</v>
      </c>
      <c r="E13" s="11" t="s">
        <v>150</v>
      </c>
      <c r="F13" s="11" t="s">
        <v>151</v>
      </c>
      <c r="G13" s="11" t="s">
        <v>101</v>
      </c>
      <c r="H13" s="11" t="s">
        <v>152</v>
      </c>
      <c r="I13" s="11" t="s">
        <v>103</v>
      </c>
      <c r="J13" s="11" t="s">
        <v>142</v>
      </c>
      <c r="K13" s="3"/>
      <c r="L13" s="3"/>
      <c r="M13" s="3"/>
      <c r="N13" s="3"/>
      <c r="O13" s="3"/>
      <c r="P13" s="3"/>
      <c r="Q13" s="3"/>
    </row>
    <row r="14" spans="1:17" ht="27">
      <c r="A14" s="11" t="s">
        <v>153</v>
      </c>
      <c r="B14" s="11" t="s">
        <v>97</v>
      </c>
      <c r="C14" s="11" t="s">
        <v>117</v>
      </c>
      <c r="D14" s="11" t="s">
        <v>154</v>
      </c>
      <c r="E14" s="11" t="s">
        <v>155</v>
      </c>
      <c r="F14" s="11" t="s">
        <v>156</v>
      </c>
      <c r="G14" s="11" t="s">
        <v>101</v>
      </c>
      <c r="H14" s="11" t="s">
        <v>157</v>
      </c>
      <c r="I14" s="11" t="s">
        <v>103</v>
      </c>
      <c r="J14" s="11" t="s">
        <v>158</v>
      </c>
      <c r="K14" s="3"/>
      <c r="L14" s="3"/>
      <c r="M14" s="3"/>
      <c r="N14" s="3"/>
      <c r="O14" s="3"/>
      <c r="P14" s="3"/>
      <c r="Q14" s="3"/>
    </row>
    <row r="15" spans="1:17" ht="27">
      <c r="A15" s="11" t="s">
        <v>159</v>
      </c>
      <c r="B15" s="11" t="s">
        <v>97</v>
      </c>
      <c r="C15" s="11" t="s">
        <v>160</v>
      </c>
      <c r="D15" s="11" t="s">
        <v>161</v>
      </c>
      <c r="E15" s="11" t="s">
        <v>162</v>
      </c>
      <c r="F15" s="11" t="s">
        <v>163</v>
      </c>
      <c r="G15" s="11" t="s">
        <v>101</v>
      </c>
      <c r="H15" s="11" t="s">
        <v>164</v>
      </c>
      <c r="I15" s="11" t="s">
        <v>103</v>
      </c>
      <c r="J15" s="11" t="s">
        <v>165</v>
      </c>
      <c r="K15" s="3"/>
      <c r="L15" s="3"/>
      <c r="M15" s="3"/>
      <c r="N15" s="3"/>
      <c r="O15" s="3"/>
      <c r="P15" s="3"/>
      <c r="Q15" s="3"/>
    </row>
    <row r="16" spans="1:17" ht="15">
      <c r="A16" s="11" t="s">
        <v>166</v>
      </c>
      <c r="B16" s="11" t="s">
        <v>97</v>
      </c>
      <c r="C16" s="11" t="s">
        <v>167</v>
      </c>
      <c r="D16" s="11" t="s">
        <v>58</v>
      </c>
      <c r="E16" s="11" t="s">
        <v>168</v>
      </c>
      <c r="F16" s="11" t="s">
        <v>169</v>
      </c>
      <c r="G16" s="11" t="s">
        <v>101</v>
      </c>
      <c r="H16" s="11" t="s">
        <v>170</v>
      </c>
      <c r="I16" s="11"/>
      <c r="J16" s="11"/>
      <c r="K16" s="3"/>
      <c r="L16" s="3"/>
      <c r="M16" s="3"/>
      <c r="N16" s="3"/>
      <c r="O16" s="3"/>
      <c r="P16" s="3"/>
      <c r="Q16" s="3"/>
    </row>
    <row r="17" spans="1:17" ht="15">
      <c r="A17" s="11" t="s">
        <v>171</v>
      </c>
      <c r="B17" s="11" t="s">
        <v>97</v>
      </c>
      <c r="C17" s="11" t="s">
        <v>172</v>
      </c>
      <c r="D17" s="11" t="s">
        <v>173</v>
      </c>
      <c r="E17" s="11" t="s">
        <v>174</v>
      </c>
      <c r="F17" s="11" t="s">
        <v>175</v>
      </c>
      <c r="G17" s="11" t="s">
        <v>101</v>
      </c>
      <c r="H17" s="11" t="s">
        <v>176</v>
      </c>
      <c r="I17" s="11"/>
      <c r="J17" s="11"/>
      <c r="K17" s="3"/>
      <c r="L17" s="3"/>
      <c r="M17" s="3"/>
      <c r="N17" s="3"/>
      <c r="O17" s="3"/>
      <c r="P17" s="3"/>
      <c r="Q17" s="3"/>
    </row>
    <row r="18" spans="1:17" ht="15">
      <c r="A18" s="11" t="s">
        <v>177</v>
      </c>
      <c r="B18" s="11" t="s">
        <v>97</v>
      </c>
      <c r="C18" s="11" t="s">
        <v>178</v>
      </c>
      <c r="D18" s="11" t="s">
        <v>179</v>
      </c>
      <c r="E18" s="11" t="s">
        <v>180</v>
      </c>
      <c r="F18" s="11" t="s">
        <v>181</v>
      </c>
      <c r="G18" s="11" t="s">
        <v>101</v>
      </c>
      <c r="H18" s="11" t="s">
        <v>176</v>
      </c>
      <c r="I18" s="11"/>
      <c r="J18" s="11"/>
      <c r="K18" s="3"/>
      <c r="L18" s="3"/>
      <c r="M18" s="3"/>
      <c r="N18" s="3"/>
      <c r="O18" s="3"/>
      <c r="P18" s="3"/>
      <c r="Q18" s="3"/>
    </row>
    <row r="19" spans="1:17" ht="15">
      <c r="A19" s="11" t="s">
        <v>182</v>
      </c>
      <c r="B19" s="11" t="s">
        <v>97</v>
      </c>
      <c r="C19" s="11" t="s">
        <v>183</v>
      </c>
      <c r="D19" s="11" t="s">
        <v>184</v>
      </c>
      <c r="E19" s="11" t="s">
        <v>185</v>
      </c>
      <c r="F19" s="11" t="s">
        <v>186</v>
      </c>
      <c r="G19" s="11" t="s">
        <v>101</v>
      </c>
      <c r="H19" s="11" t="s">
        <v>187</v>
      </c>
      <c r="I19" s="11"/>
      <c r="J19" s="11"/>
      <c r="K19" s="3"/>
      <c r="L19" s="3"/>
      <c r="M19" s="3"/>
      <c r="N19" s="3"/>
      <c r="O19" s="3"/>
      <c r="P19" s="3"/>
      <c r="Q19" s="3"/>
    </row>
    <row r="20" spans="1:17" ht="15">
      <c r="A20" s="11" t="s">
        <v>188</v>
      </c>
      <c r="B20" s="11" t="s">
        <v>97</v>
      </c>
      <c r="C20" s="11" t="s">
        <v>183</v>
      </c>
      <c r="D20" s="11" t="s">
        <v>189</v>
      </c>
      <c r="E20" s="11" t="s">
        <v>190</v>
      </c>
      <c r="F20" s="11" t="s">
        <v>191</v>
      </c>
      <c r="G20" s="11" t="s">
        <v>101</v>
      </c>
      <c r="H20" s="11" t="s">
        <v>187</v>
      </c>
      <c r="I20" s="11"/>
      <c r="J20" s="11"/>
      <c r="K20" s="3"/>
      <c r="L20" s="3"/>
      <c r="M20" s="3"/>
      <c r="N20" s="3"/>
      <c r="O20" s="3"/>
      <c r="P20" s="3"/>
      <c r="Q20" s="3"/>
    </row>
    <row r="21" spans="1:17" ht="15">
      <c r="A21" s="11" t="s">
        <v>192</v>
      </c>
      <c r="B21" s="11" t="s">
        <v>97</v>
      </c>
      <c r="C21" s="11" t="s">
        <v>193</v>
      </c>
      <c r="D21" s="11" t="s">
        <v>194</v>
      </c>
      <c r="E21" s="11" t="s">
        <v>195</v>
      </c>
      <c r="F21" s="11" t="s">
        <v>196</v>
      </c>
      <c r="G21" s="11" t="s">
        <v>101</v>
      </c>
      <c r="H21" s="11" t="s">
        <v>197</v>
      </c>
      <c r="I21" s="11"/>
      <c r="J21" s="11"/>
      <c r="K21" s="3"/>
      <c r="L21" s="3"/>
      <c r="M21" s="3"/>
      <c r="N21" s="3"/>
      <c r="O21" s="3"/>
      <c r="P21" s="3"/>
      <c r="Q21" s="3"/>
    </row>
    <row r="22" spans="1:17" ht="15">
      <c r="A22" s="11" t="s">
        <v>198</v>
      </c>
      <c r="B22" s="11" t="s">
        <v>97</v>
      </c>
      <c r="C22" s="11" t="s">
        <v>199</v>
      </c>
      <c r="D22" s="11" t="s">
        <v>61</v>
      </c>
      <c r="E22" s="11" t="s">
        <v>200</v>
      </c>
      <c r="F22" s="11" t="s">
        <v>201</v>
      </c>
      <c r="G22" s="11" t="s">
        <v>101</v>
      </c>
      <c r="H22" s="11" t="s">
        <v>202</v>
      </c>
      <c r="I22" s="11"/>
      <c r="J22" s="11"/>
      <c r="K22" s="3"/>
      <c r="L22" s="3"/>
      <c r="M22" s="3"/>
      <c r="N22" s="3"/>
      <c r="O22" s="3"/>
      <c r="P22" s="3"/>
      <c r="Q22" s="3"/>
    </row>
    <row r="23" spans="1:17" ht="15">
      <c r="A23" s="11" t="s">
        <v>203</v>
      </c>
      <c r="B23" s="11" t="s">
        <v>97</v>
      </c>
      <c r="C23" s="11" t="s">
        <v>37</v>
      </c>
      <c r="D23" s="11" t="s">
        <v>204</v>
      </c>
      <c r="E23" s="11" t="s">
        <v>205</v>
      </c>
      <c r="F23" s="11" t="s">
        <v>206</v>
      </c>
      <c r="G23" s="11" t="s">
        <v>101</v>
      </c>
      <c r="H23" s="11" t="s">
        <v>176</v>
      </c>
      <c r="I23" s="11"/>
      <c r="J23" s="11"/>
      <c r="K23" s="3"/>
      <c r="L23" s="3"/>
      <c r="M23" s="3"/>
      <c r="N23" s="3"/>
      <c r="O23" s="3"/>
      <c r="P23" s="3"/>
      <c r="Q23" s="3"/>
    </row>
    <row r="24" spans="1:17" ht="15">
      <c r="A24" s="11" t="s">
        <v>207</v>
      </c>
      <c r="B24" s="11" t="s">
        <v>97</v>
      </c>
      <c r="C24" s="11" t="s">
        <v>208</v>
      </c>
      <c r="D24" s="11" t="s">
        <v>209</v>
      </c>
      <c r="E24" s="11" t="s">
        <v>210</v>
      </c>
      <c r="F24" s="11" t="s">
        <v>211</v>
      </c>
      <c r="G24" s="11" t="s">
        <v>101</v>
      </c>
      <c r="H24" s="11" t="s">
        <v>212</v>
      </c>
      <c r="I24" s="11"/>
      <c r="J24" s="11"/>
      <c r="K24" s="3"/>
      <c r="L24" s="3"/>
      <c r="M24" s="3"/>
      <c r="N24" s="3"/>
      <c r="O24" s="3"/>
      <c r="P24" s="3"/>
      <c r="Q24" s="3"/>
    </row>
    <row r="25" spans="1:17" ht="27">
      <c r="A25" s="11" t="s">
        <v>213</v>
      </c>
      <c r="B25" s="11" t="s">
        <v>97</v>
      </c>
      <c r="C25" s="11" t="s">
        <v>193</v>
      </c>
      <c r="D25" s="11" t="s">
        <v>214</v>
      </c>
      <c r="E25" s="11" t="s">
        <v>215</v>
      </c>
      <c r="F25" s="11" t="s">
        <v>216</v>
      </c>
      <c r="G25" s="11" t="s">
        <v>101</v>
      </c>
      <c r="H25" s="11" t="s">
        <v>217</v>
      </c>
      <c r="I25" s="11" t="s">
        <v>103</v>
      </c>
      <c r="J25" s="11" t="s">
        <v>218</v>
      </c>
      <c r="K25" s="3"/>
      <c r="L25" s="3"/>
      <c r="M25" s="3"/>
      <c r="N25" s="3"/>
      <c r="O25" s="3"/>
      <c r="P25" s="3"/>
      <c r="Q25" s="3"/>
    </row>
    <row r="26" spans="1:17" ht="27">
      <c r="A26" s="11" t="s">
        <v>219</v>
      </c>
      <c r="B26" s="11" t="s">
        <v>97</v>
      </c>
      <c r="C26" s="11" t="s">
        <v>220</v>
      </c>
      <c r="D26" s="11" t="s">
        <v>221</v>
      </c>
      <c r="E26" s="11" t="s">
        <v>222</v>
      </c>
      <c r="F26" s="11" t="s">
        <v>223</v>
      </c>
      <c r="G26" s="11" t="s">
        <v>101</v>
      </c>
      <c r="H26" s="11" t="s">
        <v>224</v>
      </c>
      <c r="I26" s="11" t="s">
        <v>103</v>
      </c>
      <c r="J26" s="11" t="s">
        <v>225</v>
      </c>
      <c r="K26" s="3"/>
      <c r="L26" s="3"/>
      <c r="M26" s="3"/>
      <c r="N26" s="3"/>
      <c r="O26" s="3"/>
      <c r="P26" s="3"/>
      <c r="Q26" s="3"/>
    </row>
    <row r="27" spans="1:17" ht="27">
      <c r="A27" s="11" t="s">
        <v>226</v>
      </c>
      <c r="B27" s="11" t="s">
        <v>97</v>
      </c>
      <c r="C27" s="11" t="s">
        <v>220</v>
      </c>
      <c r="D27" s="11" t="s">
        <v>227</v>
      </c>
      <c r="E27" s="11" t="s">
        <v>228</v>
      </c>
      <c r="F27" s="11" t="s">
        <v>229</v>
      </c>
      <c r="G27" s="11" t="s">
        <v>101</v>
      </c>
      <c r="H27" s="11" t="s">
        <v>230</v>
      </c>
      <c r="I27" s="11" t="s">
        <v>103</v>
      </c>
      <c r="J27" s="11" t="s">
        <v>231</v>
      </c>
      <c r="K27" s="3"/>
      <c r="L27" s="3"/>
      <c r="M27" s="3"/>
      <c r="N27" s="3"/>
      <c r="O27" s="3"/>
      <c r="P27" s="3"/>
      <c r="Q27" s="3"/>
    </row>
    <row r="28" spans="1:17" ht="27">
      <c r="A28" s="11" t="s">
        <v>232</v>
      </c>
      <c r="B28" s="11" t="s">
        <v>97</v>
      </c>
      <c r="C28" s="11" t="s">
        <v>220</v>
      </c>
      <c r="D28" s="11" t="s">
        <v>233</v>
      </c>
      <c r="E28" s="11" t="s">
        <v>234</v>
      </c>
      <c r="F28" s="11" t="s">
        <v>235</v>
      </c>
      <c r="G28" s="11" t="s">
        <v>101</v>
      </c>
      <c r="H28" s="11" t="s">
        <v>236</v>
      </c>
      <c r="I28" s="11" t="s">
        <v>103</v>
      </c>
      <c r="J28" s="11" t="s">
        <v>237</v>
      </c>
      <c r="K28" s="3"/>
      <c r="L28" s="3"/>
      <c r="M28" s="3"/>
      <c r="N28" s="3"/>
      <c r="O28" s="3"/>
      <c r="P28" s="3"/>
      <c r="Q28" s="3"/>
    </row>
    <row r="29" spans="1:17" ht="27">
      <c r="A29" s="11" t="s">
        <v>238</v>
      </c>
      <c r="B29" s="11" t="s">
        <v>97</v>
      </c>
      <c r="C29" s="11" t="s">
        <v>98</v>
      </c>
      <c r="D29" s="11" t="s">
        <v>239</v>
      </c>
      <c r="E29" s="11" t="s">
        <v>240</v>
      </c>
      <c r="F29" s="11" t="s">
        <v>241</v>
      </c>
      <c r="G29" s="11" t="s">
        <v>101</v>
      </c>
      <c r="H29" s="11" t="s">
        <v>242</v>
      </c>
      <c r="I29" s="11" t="s">
        <v>103</v>
      </c>
      <c r="J29" s="11" t="s">
        <v>243</v>
      </c>
      <c r="K29" s="3"/>
      <c r="L29" s="3"/>
      <c r="M29" s="3"/>
      <c r="N29" s="3"/>
      <c r="O29" s="3"/>
      <c r="P29" s="3"/>
      <c r="Q29" s="3"/>
    </row>
    <row r="30" spans="1:17" ht="40.5">
      <c r="A30" s="11" t="s">
        <v>244</v>
      </c>
      <c r="B30" s="11" t="s">
        <v>245</v>
      </c>
      <c r="C30" s="11" t="s">
        <v>246</v>
      </c>
      <c r="D30" s="11" t="s">
        <v>247</v>
      </c>
      <c r="E30" s="11" t="s">
        <v>248</v>
      </c>
      <c r="F30" s="11" t="s">
        <v>249</v>
      </c>
      <c r="G30" s="11" t="s">
        <v>101</v>
      </c>
      <c r="H30" s="11" t="s">
        <v>250</v>
      </c>
      <c r="I30" s="11" t="s">
        <v>103</v>
      </c>
      <c r="J30" s="11" t="s">
        <v>251</v>
      </c>
      <c r="K30" s="3"/>
      <c r="L30" s="3"/>
      <c r="M30" s="3"/>
      <c r="N30" s="3"/>
      <c r="O30" s="3"/>
      <c r="P30" s="3"/>
      <c r="Q30" s="3"/>
    </row>
    <row r="31" spans="1:17" ht="27">
      <c r="A31" s="11" t="s">
        <v>252</v>
      </c>
      <c r="B31" s="11" t="s">
        <v>245</v>
      </c>
      <c r="C31" s="11" t="s">
        <v>98</v>
      </c>
      <c r="D31" s="11" t="s">
        <v>63</v>
      </c>
      <c r="E31" s="11" t="s">
        <v>253</v>
      </c>
      <c r="F31" s="11" t="s">
        <v>254</v>
      </c>
      <c r="G31" s="11" t="s">
        <v>101</v>
      </c>
      <c r="H31" s="11" t="s">
        <v>255</v>
      </c>
      <c r="I31" s="11" t="s">
        <v>103</v>
      </c>
      <c r="J31" s="11" t="s">
        <v>256</v>
      </c>
      <c r="K31" s="3"/>
      <c r="L31" s="3"/>
      <c r="M31" s="3"/>
      <c r="N31" s="3"/>
      <c r="O31" s="3"/>
      <c r="P31" s="3"/>
      <c r="Q31" s="3"/>
    </row>
    <row r="32" spans="1:17" ht="27">
      <c r="A32" s="11" t="s">
        <v>257</v>
      </c>
      <c r="B32" s="11" t="s">
        <v>245</v>
      </c>
      <c r="C32" s="11" t="s">
        <v>258</v>
      </c>
      <c r="D32" s="11" t="s">
        <v>259</v>
      </c>
      <c r="E32" s="11" t="s">
        <v>260</v>
      </c>
      <c r="F32" s="11" t="s">
        <v>261</v>
      </c>
      <c r="G32" s="11" t="s">
        <v>101</v>
      </c>
      <c r="H32" s="11" t="s">
        <v>262</v>
      </c>
      <c r="I32" s="11" t="s">
        <v>103</v>
      </c>
      <c r="J32" s="11" t="s">
        <v>263</v>
      </c>
      <c r="K32" s="3"/>
      <c r="L32" s="3"/>
      <c r="M32" s="3"/>
      <c r="N32" s="3"/>
      <c r="O32" s="3"/>
      <c r="P32" s="3"/>
      <c r="Q32" s="3"/>
    </row>
    <row r="33" spans="1:17" ht="54">
      <c r="A33" s="11" t="s">
        <v>264</v>
      </c>
      <c r="B33" s="11" t="s">
        <v>245</v>
      </c>
      <c r="C33" s="11" t="s">
        <v>265</v>
      </c>
      <c r="D33" s="11" t="s">
        <v>266</v>
      </c>
      <c r="E33" s="11" t="s">
        <v>267</v>
      </c>
      <c r="F33" s="11" t="s">
        <v>268</v>
      </c>
      <c r="G33" s="11" t="s">
        <v>101</v>
      </c>
      <c r="H33" s="11" t="s">
        <v>269</v>
      </c>
      <c r="I33" s="11" t="s">
        <v>103</v>
      </c>
      <c r="J33" s="11" t="s">
        <v>270</v>
      </c>
      <c r="K33" s="3"/>
      <c r="L33" s="3"/>
      <c r="M33" s="3"/>
      <c r="N33" s="3"/>
      <c r="O33" s="3"/>
      <c r="P33" s="3"/>
      <c r="Q33" s="3"/>
    </row>
    <row r="34" spans="1:17" ht="27">
      <c r="A34" s="11" t="s">
        <v>271</v>
      </c>
      <c r="B34" s="11" t="s">
        <v>245</v>
      </c>
      <c r="C34" s="11" t="s">
        <v>272</v>
      </c>
      <c r="D34" s="11" t="s">
        <v>28</v>
      </c>
      <c r="E34" s="11" t="s">
        <v>273</v>
      </c>
      <c r="F34" s="11" t="s">
        <v>274</v>
      </c>
      <c r="G34" s="11" t="s">
        <v>101</v>
      </c>
      <c r="H34" s="11" t="s">
        <v>275</v>
      </c>
      <c r="I34" s="11" t="s">
        <v>276</v>
      </c>
      <c r="J34" s="11" t="s">
        <v>277</v>
      </c>
      <c r="K34" s="3"/>
      <c r="L34" s="3"/>
      <c r="M34" s="3"/>
      <c r="N34" s="3"/>
      <c r="O34" s="3"/>
      <c r="P34" s="3"/>
      <c r="Q34" s="3"/>
    </row>
    <row r="35" spans="1:17" ht="40.5">
      <c r="A35" s="16" t="s">
        <v>245</v>
      </c>
      <c r="B35" s="16" t="s">
        <v>278</v>
      </c>
      <c r="C35" s="16" t="s">
        <v>189</v>
      </c>
      <c r="D35" s="16" t="s">
        <v>279</v>
      </c>
      <c r="E35" s="16" t="s">
        <v>280</v>
      </c>
      <c r="F35" s="16" t="s">
        <v>281</v>
      </c>
      <c r="G35" s="16" t="s">
        <v>282</v>
      </c>
      <c r="H35" s="16" t="s">
        <v>283</v>
      </c>
      <c r="I35" s="16" t="s">
        <v>284</v>
      </c>
      <c r="J35" s="16" t="s">
        <v>285</v>
      </c>
      <c r="K35" s="3"/>
      <c r="L35" s="3"/>
      <c r="M35" s="3"/>
      <c r="N35" s="3"/>
      <c r="O35" s="3"/>
      <c r="P35" s="3"/>
      <c r="Q35" s="3"/>
    </row>
    <row r="36" spans="1:17" ht="40.5">
      <c r="A36" s="16" t="s">
        <v>245</v>
      </c>
      <c r="B36" s="16" t="s">
        <v>278</v>
      </c>
      <c r="C36" s="16" t="s">
        <v>61</v>
      </c>
      <c r="D36" s="16" t="s">
        <v>286</v>
      </c>
      <c r="E36" s="16" t="s">
        <v>287</v>
      </c>
      <c r="F36" s="16" t="s">
        <v>281</v>
      </c>
      <c r="G36" s="16" t="s">
        <v>282</v>
      </c>
      <c r="H36" s="16" t="s">
        <v>283</v>
      </c>
      <c r="I36" s="16" t="s">
        <v>284</v>
      </c>
      <c r="J36" s="16" t="s">
        <v>288</v>
      </c>
      <c r="K36" s="3"/>
      <c r="L36" s="3"/>
      <c r="M36" s="3"/>
      <c r="N36" s="3"/>
      <c r="O36" s="3"/>
      <c r="P36" s="3"/>
      <c r="Q36" s="3"/>
    </row>
    <row r="37" spans="1:17" ht="27">
      <c r="A37" s="16" t="s">
        <v>245</v>
      </c>
      <c r="B37" s="16" t="s">
        <v>278</v>
      </c>
      <c r="C37" s="16" t="s">
        <v>289</v>
      </c>
      <c r="D37" s="16" t="s">
        <v>290</v>
      </c>
      <c r="E37" s="16" t="s">
        <v>291</v>
      </c>
      <c r="F37" s="16" t="s">
        <v>281</v>
      </c>
      <c r="G37" s="16" t="s">
        <v>282</v>
      </c>
      <c r="H37" s="16" t="s">
        <v>292</v>
      </c>
      <c r="I37" s="16" t="s">
        <v>284</v>
      </c>
      <c r="J37" s="16" t="s">
        <v>293</v>
      </c>
      <c r="K37" s="3"/>
      <c r="L37" s="3"/>
      <c r="M37" s="3"/>
      <c r="N37" s="3"/>
      <c r="O37" s="3"/>
      <c r="P37" s="3"/>
      <c r="Q37" s="3"/>
    </row>
    <row r="38" spans="1:17" ht="27">
      <c r="A38" s="16" t="s">
        <v>245</v>
      </c>
      <c r="B38" s="16" t="s">
        <v>278</v>
      </c>
      <c r="C38" s="16" t="s">
        <v>294</v>
      </c>
      <c r="D38" s="16" t="s">
        <v>295</v>
      </c>
      <c r="E38" s="16" t="s">
        <v>296</v>
      </c>
      <c r="F38" s="16" t="s">
        <v>281</v>
      </c>
      <c r="G38" s="16" t="s">
        <v>282</v>
      </c>
      <c r="H38" s="16" t="s">
        <v>292</v>
      </c>
      <c r="I38" s="16" t="s">
        <v>284</v>
      </c>
      <c r="J38" s="16" t="s">
        <v>297</v>
      </c>
      <c r="K38" s="3"/>
      <c r="L38" s="3"/>
      <c r="M38" s="3"/>
      <c r="N38" s="3"/>
      <c r="O38" s="3"/>
      <c r="P38" s="3"/>
      <c r="Q38" s="3"/>
    </row>
    <row r="39" spans="1:17" ht="40.5">
      <c r="A39" s="16" t="s">
        <v>245</v>
      </c>
      <c r="B39" s="16" t="s">
        <v>278</v>
      </c>
      <c r="C39" s="16" t="s">
        <v>194</v>
      </c>
      <c r="D39" s="16" t="s">
        <v>295</v>
      </c>
      <c r="E39" s="16" t="s">
        <v>298</v>
      </c>
      <c r="F39" s="16" t="s">
        <v>281</v>
      </c>
      <c r="G39" s="16" t="s">
        <v>282</v>
      </c>
      <c r="H39" s="16" t="s">
        <v>299</v>
      </c>
      <c r="I39" s="16" t="s">
        <v>284</v>
      </c>
      <c r="J39" s="16" t="s">
        <v>300</v>
      </c>
      <c r="K39" s="3"/>
      <c r="L39" s="3"/>
      <c r="M39" s="3"/>
      <c r="N39" s="3"/>
      <c r="O39" s="3"/>
      <c r="P39" s="3"/>
      <c r="Q39" s="3"/>
    </row>
    <row r="40" spans="1:17" ht="15">
      <c r="A40" s="3" t="s">
        <v>579</v>
      </c>
      <c r="B40" s="3" t="s">
        <v>580</v>
      </c>
      <c r="C40" s="3" t="s">
        <v>581</v>
      </c>
      <c r="D40" s="3" t="s">
        <v>173</v>
      </c>
      <c r="E40" s="3" t="s">
        <v>582</v>
      </c>
      <c r="F40" s="3" t="s">
        <v>583</v>
      </c>
      <c r="G40" s="3" t="s">
        <v>322</v>
      </c>
      <c r="H40" s="3" t="s">
        <v>584</v>
      </c>
      <c r="I40" s="3" t="s">
        <v>103</v>
      </c>
      <c r="J40" s="3" t="s">
        <v>585</v>
      </c>
      <c r="K40" s="3"/>
      <c r="L40" s="3"/>
      <c r="M40" s="3"/>
      <c r="N40" s="3"/>
      <c r="O40" s="3"/>
      <c r="P40" s="3"/>
      <c r="Q40" s="3"/>
    </row>
    <row r="41" spans="1:17" ht="15">
      <c r="A41" s="3" t="s">
        <v>586</v>
      </c>
      <c r="B41" s="3" t="s">
        <v>580</v>
      </c>
      <c r="C41" s="3" t="s">
        <v>587</v>
      </c>
      <c r="D41" s="3" t="s">
        <v>588</v>
      </c>
      <c r="E41" s="3" t="s">
        <v>589</v>
      </c>
      <c r="F41" s="3" t="s">
        <v>590</v>
      </c>
      <c r="G41" s="3" t="s">
        <v>322</v>
      </c>
      <c r="H41" s="3" t="s">
        <v>591</v>
      </c>
      <c r="I41" s="3" t="s">
        <v>103</v>
      </c>
      <c r="J41" s="3" t="s">
        <v>592</v>
      </c>
      <c r="K41" s="3"/>
      <c r="L41" s="3"/>
      <c r="M41" s="3"/>
      <c r="N41" s="3"/>
      <c r="O41" s="3"/>
      <c r="P41" s="3"/>
      <c r="Q41" s="3"/>
    </row>
    <row r="42" spans="1:17" ht="15">
      <c r="A42" s="3" t="s">
        <v>593</v>
      </c>
      <c r="B42" s="3" t="s">
        <v>580</v>
      </c>
      <c r="C42" s="3" t="s">
        <v>594</v>
      </c>
      <c r="D42" s="3" t="s">
        <v>595</v>
      </c>
      <c r="E42" s="3" t="s">
        <v>596</v>
      </c>
      <c r="F42" s="3" t="s">
        <v>597</v>
      </c>
      <c r="G42" s="3" t="s">
        <v>322</v>
      </c>
      <c r="H42" s="3" t="s">
        <v>598</v>
      </c>
      <c r="I42" s="3" t="s">
        <v>103</v>
      </c>
      <c r="J42" s="3" t="s">
        <v>599</v>
      </c>
      <c r="K42" s="3"/>
      <c r="L42" s="3"/>
      <c r="M42" s="3"/>
      <c r="N42" s="3"/>
      <c r="O42" s="3"/>
      <c r="P42" s="3"/>
      <c r="Q42" s="3"/>
    </row>
    <row r="43" spans="1:17" ht="15">
      <c r="A43" s="3" t="s">
        <v>600</v>
      </c>
      <c r="B43" s="3" t="s">
        <v>580</v>
      </c>
      <c r="C43" s="3" t="s">
        <v>601</v>
      </c>
      <c r="D43" s="3" t="s">
        <v>602</v>
      </c>
      <c r="E43" s="3" t="s">
        <v>603</v>
      </c>
      <c r="F43" s="3" t="s">
        <v>604</v>
      </c>
      <c r="G43" s="3" t="s">
        <v>322</v>
      </c>
      <c r="H43" s="3" t="s">
        <v>605</v>
      </c>
      <c r="I43" s="3" t="s">
        <v>103</v>
      </c>
      <c r="J43" s="3" t="s">
        <v>606</v>
      </c>
      <c r="K43" s="3"/>
      <c r="L43" s="3"/>
      <c r="M43" s="3"/>
      <c r="N43" s="3"/>
      <c r="O43" s="3"/>
      <c r="P43" s="3"/>
      <c r="Q43" s="3"/>
    </row>
    <row r="44" spans="1:17" ht="15">
      <c r="A44" s="3" t="s">
        <v>607</v>
      </c>
      <c r="B44" s="3" t="s">
        <v>580</v>
      </c>
      <c r="C44" s="3" t="s">
        <v>608</v>
      </c>
      <c r="D44" s="3" t="s">
        <v>609</v>
      </c>
      <c r="E44" s="3" t="s">
        <v>610</v>
      </c>
      <c r="F44" s="3" t="s">
        <v>611</v>
      </c>
      <c r="G44" s="3" t="s">
        <v>322</v>
      </c>
      <c r="H44" s="3" t="s">
        <v>612</v>
      </c>
      <c r="I44" s="3" t="s">
        <v>103</v>
      </c>
      <c r="J44" s="3" t="s">
        <v>613</v>
      </c>
      <c r="K44" s="3"/>
      <c r="L44" s="3"/>
      <c r="M44" s="3"/>
      <c r="N44" s="3"/>
      <c r="O44" s="3"/>
      <c r="P44" s="3"/>
      <c r="Q44" s="3"/>
    </row>
    <row r="45" spans="1:17" ht="15">
      <c r="A45" s="3" t="s">
        <v>614</v>
      </c>
      <c r="B45" s="3" t="s">
        <v>580</v>
      </c>
      <c r="C45" s="3" t="s">
        <v>615</v>
      </c>
      <c r="D45" s="3" t="s">
        <v>616</v>
      </c>
      <c r="E45" s="3" t="s">
        <v>617</v>
      </c>
      <c r="F45" s="3" t="s">
        <v>618</v>
      </c>
      <c r="G45" s="3" t="s">
        <v>101</v>
      </c>
      <c r="H45" s="3" t="s">
        <v>619</v>
      </c>
      <c r="I45" s="3" t="s">
        <v>276</v>
      </c>
      <c r="J45" s="3" t="s">
        <v>620</v>
      </c>
      <c r="K45" s="3"/>
      <c r="L45" s="3"/>
      <c r="M45" s="3"/>
      <c r="N45" s="3"/>
      <c r="O45" s="3"/>
      <c r="P45" s="3"/>
      <c r="Q45" s="3"/>
    </row>
    <row r="46" spans="1:17" ht="15">
      <c r="A46" s="3" t="s">
        <v>621</v>
      </c>
      <c r="B46" s="3" t="s">
        <v>580</v>
      </c>
      <c r="C46" s="3" t="s">
        <v>622</v>
      </c>
      <c r="D46" s="3" t="s">
        <v>623</v>
      </c>
      <c r="E46" s="3" t="s">
        <v>624</v>
      </c>
      <c r="F46" s="3" t="s">
        <v>625</v>
      </c>
      <c r="G46" s="3" t="s">
        <v>101</v>
      </c>
      <c r="H46" s="3" t="s">
        <v>626</v>
      </c>
      <c r="I46" s="3" t="s">
        <v>103</v>
      </c>
      <c r="J46" s="3" t="s">
        <v>627</v>
      </c>
      <c r="K46" s="3"/>
      <c r="L46" s="3"/>
      <c r="M46" s="3"/>
      <c r="N46" s="3"/>
      <c r="O46" s="3"/>
      <c r="P46" s="3"/>
      <c r="Q46" s="3"/>
    </row>
    <row r="47" spans="1:17" ht="42" customHeight="1">
      <c r="A47" s="11" t="s">
        <v>628</v>
      </c>
      <c r="B47" s="11" t="s">
        <v>580</v>
      </c>
      <c r="C47" s="11" t="s">
        <v>629</v>
      </c>
      <c r="D47" s="11" t="s">
        <v>630</v>
      </c>
      <c r="E47" s="11" t="s">
        <v>631</v>
      </c>
      <c r="F47" s="11" t="s">
        <v>632</v>
      </c>
      <c r="G47" s="11" t="s">
        <v>101</v>
      </c>
      <c r="H47" s="11" t="s">
        <v>633</v>
      </c>
      <c r="I47" s="11" t="s">
        <v>103</v>
      </c>
      <c r="J47" s="11" t="s">
        <v>634</v>
      </c>
      <c r="K47" s="3"/>
      <c r="L47" s="3"/>
      <c r="M47" s="3"/>
      <c r="N47" s="3"/>
      <c r="O47" s="3"/>
      <c r="P47" s="3"/>
      <c r="Q47" s="3"/>
    </row>
    <row r="48" spans="1:17" ht="15">
      <c r="A48" s="3" t="s">
        <v>635</v>
      </c>
      <c r="B48" s="3" t="s">
        <v>580</v>
      </c>
      <c r="C48" s="3" t="s">
        <v>636</v>
      </c>
      <c r="D48" s="3" t="s">
        <v>637</v>
      </c>
      <c r="E48" s="3" t="s">
        <v>638</v>
      </c>
      <c r="F48" s="3" t="s">
        <v>639</v>
      </c>
      <c r="G48" s="3" t="s">
        <v>322</v>
      </c>
      <c r="H48" s="3" t="s">
        <v>640</v>
      </c>
      <c r="I48" s="3" t="s">
        <v>103</v>
      </c>
      <c r="J48" s="3" t="s">
        <v>641</v>
      </c>
      <c r="K48" s="3"/>
      <c r="L48" s="3"/>
      <c r="M48" s="3"/>
      <c r="N48" s="3"/>
      <c r="O48" s="3"/>
      <c r="P48" s="3"/>
      <c r="Q48" s="3"/>
    </row>
    <row r="49" spans="1:17" ht="15">
      <c r="A49" s="3" t="s">
        <v>642</v>
      </c>
      <c r="B49" s="3" t="s">
        <v>580</v>
      </c>
      <c r="C49" s="3" t="s">
        <v>643</v>
      </c>
      <c r="D49" s="3" t="s">
        <v>644</v>
      </c>
      <c r="E49" s="3" t="s">
        <v>645</v>
      </c>
      <c r="F49" s="3" t="s">
        <v>646</v>
      </c>
      <c r="G49" s="3" t="s">
        <v>101</v>
      </c>
      <c r="H49" s="3" t="s">
        <v>647</v>
      </c>
      <c r="I49" s="3" t="s">
        <v>103</v>
      </c>
      <c r="J49" s="3" t="s">
        <v>648</v>
      </c>
      <c r="K49" s="3"/>
      <c r="L49" s="3"/>
      <c r="M49" s="3"/>
      <c r="N49" s="3"/>
      <c r="O49" s="3"/>
      <c r="P49" s="3"/>
      <c r="Q49" s="3"/>
    </row>
    <row r="50" spans="1:17" ht="15">
      <c r="A50" s="3" t="s">
        <v>649</v>
      </c>
      <c r="B50" s="3" t="s">
        <v>580</v>
      </c>
      <c r="C50" s="3" t="s">
        <v>650</v>
      </c>
      <c r="D50" s="3" t="s">
        <v>516</v>
      </c>
      <c r="E50" s="3" t="s">
        <v>651</v>
      </c>
      <c r="F50" s="3" t="s">
        <v>652</v>
      </c>
      <c r="G50" s="3" t="s">
        <v>101</v>
      </c>
      <c r="H50" s="3" t="s">
        <v>653</v>
      </c>
      <c r="I50" s="3" t="s">
        <v>103</v>
      </c>
      <c r="J50" s="3" t="s">
        <v>654</v>
      </c>
      <c r="K50" s="3"/>
      <c r="L50" s="3"/>
      <c r="M50" s="3"/>
      <c r="N50" s="3"/>
      <c r="O50" s="3"/>
      <c r="P50" s="3"/>
      <c r="Q50" s="3"/>
    </row>
    <row r="51" spans="1:17" ht="15">
      <c r="A51" s="3" t="s">
        <v>655</v>
      </c>
      <c r="B51" s="3" t="s">
        <v>580</v>
      </c>
      <c r="C51" s="3" t="s">
        <v>656</v>
      </c>
      <c r="D51" s="3" t="s">
        <v>386</v>
      </c>
      <c r="E51" s="3" t="s">
        <v>657</v>
      </c>
      <c r="F51" s="3" t="s">
        <v>658</v>
      </c>
      <c r="G51" s="3" t="s">
        <v>101</v>
      </c>
      <c r="H51" s="3" t="s">
        <v>659</v>
      </c>
      <c r="I51" s="3" t="s">
        <v>103</v>
      </c>
      <c r="J51" s="3" t="s">
        <v>660</v>
      </c>
      <c r="K51" s="3"/>
      <c r="L51" s="3"/>
      <c r="M51" s="3"/>
      <c r="N51" s="3"/>
      <c r="O51" s="3"/>
      <c r="P51" s="3"/>
      <c r="Q51" s="3"/>
    </row>
    <row r="52" spans="1:17" ht="15">
      <c r="A52" s="3" t="s">
        <v>661</v>
      </c>
      <c r="B52" s="3" t="s">
        <v>580</v>
      </c>
      <c r="C52" s="3" t="s">
        <v>662</v>
      </c>
      <c r="D52" s="3" t="s">
        <v>663</v>
      </c>
      <c r="E52" s="3" t="s">
        <v>664</v>
      </c>
      <c r="F52" s="3" t="s">
        <v>665</v>
      </c>
      <c r="G52" s="3" t="s">
        <v>101</v>
      </c>
      <c r="H52" s="3" t="s">
        <v>666</v>
      </c>
      <c r="I52" s="3" t="s">
        <v>103</v>
      </c>
      <c r="J52" s="3" t="s">
        <v>667</v>
      </c>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0"/>
  <sheetViews>
    <sheetView workbookViewId="0"/>
  </sheetViews>
  <sheetFormatPr defaultRowHeight="14.25"/>
  <cols>
    <col min="1" max="1" width="18" customWidth="1"/>
    <col min="2" max="2" width="27" customWidth="1"/>
    <col min="3" max="3" width="34" customWidth="1"/>
    <col min="4" max="4" width="24" customWidth="1"/>
    <col min="5" max="5" width="14" customWidth="1"/>
    <col min="6" max="6" width="22" customWidth="1"/>
    <col min="7" max="7" width="12" customWidth="1"/>
    <col min="8" max="8" width="40" customWidth="1"/>
  </cols>
  <sheetData>
    <row r="1" spans="1:17" ht="24" customHeight="1">
      <c r="A1" s="200" t="s">
        <v>668</v>
      </c>
      <c r="B1" s="201"/>
      <c r="C1" s="201"/>
      <c r="D1" s="201"/>
      <c r="E1" s="201"/>
      <c r="F1" s="201"/>
      <c r="G1" s="201"/>
      <c r="H1" s="201"/>
      <c r="I1" s="15"/>
      <c r="J1" s="15"/>
      <c r="K1" s="15"/>
      <c r="L1" s="3"/>
      <c r="M1" s="3"/>
      <c r="N1" s="3"/>
      <c r="O1" s="3"/>
      <c r="P1" s="3"/>
      <c r="Q1" s="3"/>
    </row>
    <row r="2" spans="1:17" ht="33.950000000000003" customHeight="1">
      <c r="A2" s="202" t="s">
        <v>669</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670</v>
      </c>
      <c r="B4" s="4" t="s">
        <v>671</v>
      </c>
      <c r="C4" s="4" t="s">
        <v>672</v>
      </c>
      <c r="D4" s="4" t="s">
        <v>673</v>
      </c>
      <c r="E4" s="4" t="s">
        <v>0</v>
      </c>
      <c r="F4" s="4" t="s">
        <v>674</v>
      </c>
      <c r="G4" s="4" t="s">
        <v>675</v>
      </c>
      <c r="H4" s="4" t="s">
        <v>309</v>
      </c>
      <c r="I4" s="3"/>
      <c r="J4" s="3"/>
      <c r="K4" s="3"/>
      <c r="L4" s="3"/>
      <c r="M4" s="3"/>
      <c r="N4" s="3"/>
      <c r="O4" s="3"/>
      <c r="P4" s="3"/>
      <c r="Q4" s="3"/>
    </row>
    <row r="5" spans="1:17" ht="15">
      <c r="A5" s="9" t="s">
        <v>98</v>
      </c>
      <c r="B5" s="9" t="s">
        <v>63</v>
      </c>
      <c r="C5" s="9" t="s">
        <v>676</v>
      </c>
      <c r="D5" s="9" t="s">
        <v>677</v>
      </c>
      <c r="E5" s="9" t="s">
        <v>30</v>
      </c>
      <c r="F5" s="9" t="s">
        <v>678</v>
      </c>
      <c r="G5" s="9" t="s">
        <v>679</v>
      </c>
      <c r="H5" s="9" t="s">
        <v>680</v>
      </c>
      <c r="I5" s="3"/>
      <c r="J5" s="3"/>
      <c r="K5" s="3"/>
      <c r="L5" s="3"/>
      <c r="M5" s="3"/>
      <c r="N5" s="3"/>
      <c r="O5" s="3"/>
      <c r="P5" s="3"/>
      <c r="Q5" s="3"/>
    </row>
    <row r="6" spans="1:17" ht="15">
      <c r="A6" s="9" t="s">
        <v>98</v>
      </c>
      <c r="B6" s="9" t="s">
        <v>681</v>
      </c>
      <c r="C6" s="9" t="s">
        <v>682</v>
      </c>
      <c r="D6" s="9" t="s">
        <v>683</v>
      </c>
      <c r="E6" s="9" t="s">
        <v>6</v>
      </c>
      <c r="F6" s="9" t="s">
        <v>684</v>
      </c>
      <c r="G6" s="9" t="s">
        <v>679</v>
      </c>
      <c r="H6" s="9" t="s">
        <v>685</v>
      </c>
      <c r="I6" s="3"/>
      <c r="J6" s="3"/>
      <c r="K6" s="3"/>
      <c r="L6" s="3"/>
      <c r="M6" s="3"/>
      <c r="N6" s="3"/>
      <c r="O6" s="3"/>
      <c r="P6" s="3"/>
      <c r="Q6" s="3"/>
    </row>
    <row r="7" spans="1:17" ht="15">
      <c r="A7" s="9" t="s">
        <v>98</v>
      </c>
      <c r="B7" s="9" t="s">
        <v>60</v>
      </c>
      <c r="C7" s="9" t="s">
        <v>686</v>
      </c>
      <c r="D7" s="9" t="s">
        <v>687</v>
      </c>
      <c r="E7" s="9" t="s">
        <v>30</v>
      </c>
      <c r="F7" s="9" t="s">
        <v>688</v>
      </c>
      <c r="G7" s="9" t="s">
        <v>679</v>
      </c>
      <c r="H7" s="9" t="s">
        <v>689</v>
      </c>
      <c r="I7" s="3"/>
      <c r="J7" s="3"/>
      <c r="K7" s="3"/>
      <c r="L7" s="3"/>
      <c r="M7" s="3"/>
      <c r="N7" s="3"/>
      <c r="O7" s="3"/>
      <c r="P7" s="3"/>
      <c r="Q7" s="3"/>
    </row>
    <row r="8" spans="1:17" ht="15">
      <c r="A8" s="5" t="s">
        <v>98</v>
      </c>
      <c r="B8" s="5" t="s">
        <v>59</v>
      </c>
      <c r="C8" s="5" t="s">
        <v>690</v>
      </c>
      <c r="D8" s="5" t="s">
        <v>691</v>
      </c>
      <c r="E8" s="5" t="s">
        <v>30</v>
      </c>
      <c r="F8" s="5" t="s">
        <v>692</v>
      </c>
      <c r="G8" s="5" t="s">
        <v>679</v>
      </c>
      <c r="H8" s="5" t="s">
        <v>693</v>
      </c>
      <c r="I8" s="3"/>
      <c r="J8" s="3"/>
      <c r="K8" s="3"/>
      <c r="L8" s="3"/>
      <c r="M8" s="3"/>
      <c r="N8" s="3"/>
      <c r="O8" s="3"/>
      <c r="P8" s="3"/>
      <c r="Q8" s="3"/>
    </row>
    <row r="9" spans="1:17" ht="27">
      <c r="A9" s="8" t="s">
        <v>694</v>
      </c>
      <c r="B9" s="8" t="s">
        <v>173</v>
      </c>
      <c r="C9" s="8" t="s">
        <v>695</v>
      </c>
      <c r="D9" s="8" t="s">
        <v>696</v>
      </c>
      <c r="E9" s="8" t="s">
        <v>6</v>
      </c>
      <c r="F9" s="8" t="s">
        <v>697</v>
      </c>
      <c r="G9" s="8" t="s">
        <v>679</v>
      </c>
      <c r="H9" s="8" t="s">
        <v>698</v>
      </c>
      <c r="I9" s="3"/>
      <c r="J9" s="3"/>
      <c r="K9" s="3"/>
      <c r="L9" s="3"/>
      <c r="M9" s="3"/>
      <c r="N9" s="3"/>
      <c r="O9" s="3"/>
      <c r="P9" s="3"/>
      <c r="Q9" s="3"/>
    </row>
    <row r="10" spans="1:17" ht="27">
      <c r="A10" s="5" t="s">
        <v>699</v>
      </c>
      <c r="B10" s="5" t="s">
        <v>700</v>
      </c>
      <c r="C10" s="5" t="s">
        <v>701</v>
      </c>
      <c r="D10" s="5" t="s">
        <v>702</v>
      </c>
      <c r="E10" s="5" t="s">
        <v>703</v>
      </c>
      <c r="F10" s="5" t="s">
        <v>704</v>
      </c>
      <c r="G10" s="5" t="s">
        <v>679</v>
      </c>
      <c r="H10" s="5" t="s">
        <v>705</v>
      </c>
      <c r="I10" s="3"/>
      <c r="J10" s="3"/>
      <c r="K10" s="3"/>
      <c r="L10" s="3"/>
      <c r="M10" s="3"/>
      <c r="N10" s="3"/>
      <c r="O10" s="3"/>
      <c r="P10" s="3"/>
      <c r="Q10" s="3"/>
    </row>
    <row r="11" spans="1:17" ht="15">
      <c r="A11" s="5" t="s">
        <v>706</v>
      </c>
      <c r="B11" s="5" t="s">
        <v>184</v>
      </c>
      <c r="C11" s="5" t="s">
        <v>707</v>
      </c>
      <c r="D11" s="5" t="s">
        <v>708</v>
      </c>
      <c r="E11" s="5" t="s">
        <v>709</v>
      </c>
      <c r="F11" s="5" t="s">
        <v>710</v>
      </c>
      <c r="G11" s="5" t="s">
        <v>679</v>
      </c>
      <c r="H11" s="5" t="s">
        <v>711</v>
      </c>
      <c r="I11" s="3"/>
      <c r="J11" s="3"/>
      <c r="K11" s="3"/>
      <c r="L11" s="3"/>
      <c r="M11" s="3"/>
      <c r="N11" s="3"/>
      <c r="O11" s="3"/>
      <c r="P11" s="3"/>
      <c r="Q11" s="3"/>
    </row>
    <row r="12" spans="1:17" ht="27">
      <c r="A12" s="5" t="s">
        <v>706</v>
      </c>
      <c r="B12" s="5" t="s">
        <v>344</v>
      </c>
      <c r="C12" s="5" t="s">
        <v>712</v>
      </c>
      <c r="D12" s="5" t="s">
        <v>696</v>
      </c>
      <c r="E12" s="5" t="s">
        <v>6</v>
      </c>
      <c r="F12" s="5" t="s">
        <v>713</v>
      </c>
      <c r="G12" s="5" t="s">
        <v>679</v>
      </c>
      <c r="H12" s="5" t="s">
        <v>714</v>
      </c>
      <c r="I12" s="3"/>
      <c r="J12" s="3"/>
      <c r="K12" s="3"/>
      <c r="L12" s="3"/>
      <c r="M12" s="3"/>
      <c r="N12" s="3"/>
      <c r="O12" s="3"/>
      <c r="P12" s="3"/>
      <c r="Q12" s="3"/>
    </row>
    <row r="13" spans="1:17" ht="27">
      <c r="A13" s="5" t="s">
        <v>706</v>
      </c>
      <c r="B13" s="5" t="s">
        <v>352</v>
      </c>
      <c r="C13" s="5" t="s">
        <v>715</v>
      </c>
      <c r="D13" s="5" t="s">
        <v>696</v>
      </c>
      <c r="E13" s="5" t="s">
        <v>6</v>
      </c>
      <c r="F13" s="5" t="s">
        <v>716</v>
      </c>
      <c r="G13" s="5" t="s">
        <v>679</v>
      </c>
      <c r="H13" s="5" t="s">
        <v>717</v>
      </c>
      <c r="I13" s="3"/>
      <c r="J13" s="3"/>
      <c r="K13" s="3"/>
      <c r="L13" s="3"/>
      <c r="M13" s="3"/>
      <c r="N13" s="3"/>
      <c r="O13" s="3"/>
      <c r="P13" s="3"/>
      <c r="Q13" s="3"/>
    </row>
    <row r="14" spans="1:17" ht="27">
      <c r="A14" s="5" t="s">
        <v>706</v>
      </c>
      <c r="B14" s="5" t="s">
        <v>189</v>
      </c>
      <c r="C14" s="5" t="s">
        <v>718</v>
      </c>
      <c r="D14" s="5" t="s">
        <v>696</v>
      </c>
      <c r="E14" s="5" t="s">
        <v>709</v>
      </c>
      <c r="F14" s="5" t="s">
        <v>719</v>
      </c>
      <c r="G14" s="5" t="s">
        <v>679</v>
      </c>
      <c r="H14" s="5" t="s">
        <v>720</v>
      </c>
      <c r="I14" s="3"/>
      <c r="J14" s="3"/>
      <c r="K14" s="3"/>
      <c r="L14" s="3"/>
      <c r="M14" s="3"/>
      <c r="N14" s="3"/>
      <c r="O14" s="3"/>
      <c r="P14" s="3"/>
      <c r="Q14" s="3"/>
    </row>
    <row r="15" spans="1:17" ht="27">
      <c r="A15" s="5" t="s">
        <v>706</v>
      </c>
      <c r="B15" s="5" t="s">
        <v>516</v>
      </c>
      <c r="C15" s="5" t="s">
        <v>721</v>
      </c>
      <c r="D15" s="5" t="s">
        <v>722</v>
      </c>
      <c r="E15" s="5" t="s">
        <v>723</v>
      </c>
      <c r="F15" s="5" t="s">
        <v>724</v>
      </c>
      <c r="G15" s="5" t="s">
        <v>679</v>
      </c>
      <c r="H15" s="5" t="s">
        <v>725</v>
      </c>
      <c r="I15" s="3"/>
      <c r="J15" s="3"/>
      <c r="K15" s="3"/>
      <c r="L15" s="3"/>
      <c r="M15" s="3"/>
      <c r="N15" s="3"/>
      <c r="O15" s="3"/>
      <c r="P15" s="3"/>
      <c r="Q15" s="3"/>
    </row>
    <row r="16" spans="1:17" ht="15">
      <c r="A16" s="5" t="s">
        <v>706</v>
      </c>
      <c r="B16" s="5" t="s">
        <v>363</v>
      </c>
      <c r="C16" s="5" t="s">
        <v>726</v>
      </c>
      <c r="D16" s="5" t="s">
        <v>696</v>
      </c>
      <c r="E16" s="5" t="s">
        <v>6</v>
      </c>
      <c r="F16" s="5" t="s">
        <v>727</v>
      </c>
      <c r="G16" s="5" t="s">
        <v>679</v>
      </c>
      <c r="H16" s="5" t="s">
        <v>728</v>
      </c>
      <c r="I16" s="3"/>
      <c r="J16" s="3"/>
      <c r="K16" s="3"/>
      <c r="L16" s="3"/>
      <c r="M16" s="3"/>
      <c r="N16" s="3"/>
      <c r="O16" s="3"/>
      <c r="P16" s="3"/>
      <c r="Q16" s="3"/>
    </row>
    <row r="17" spans="1:17" ht="27">
      <c r="A17" s="8" t="s">
        <v>706</v>
      </c>
      <c r="B17" s="8" t="s">
        <v>376</v>
      </c>
      <c r="C17" s="8" t="s">
        <v>729</v>
      </c>
      <c r="D17" s="8" t="s">
        <v>696</v>
      </c>
      <c r="E17" s="8" t="s">
        <v>6</v>
      </c>
      <c r="F17" s="8" t="s">
        <v>730</v>
      </c>
      <c r="G17" s="8" t="s">
        <v>731</v>
      </c>
      <c r="H17" s="8" t="s">
        <v>732</v>
      </c>
      <c r="I17" s="3"/>
      <c r="J17" s="3"/>
      <c r="K17" s="3"/>
      <c r="L17" s="3"/>
      <c r="M17" s="3"/>
      <c r="N17" s="3"/>
      <c r="O17" s="3"/>
      <c r="P17" s="3"/>
      <c r="Q17" s="3"/>
    </row>
    <row r="18" spans="1:17" ht="27">
      <c r="A18" s="7" t="s">
        <v>706</v>
      </c>
      <c r="B18" s="7" t="s">
        <v>369</v>
      </c>
      <c r="C18" s="7" t="s">
        <v>733</v>
      </c>
      <c r="D18" s="7" t="s">
        <v>696</v>
      </c>
      <c r="E18" s="7" t="s">
        <v>6</v>
      </c>
      <c r="F18" s="7" t="s">
        <v>734</v>
      </c>
      <c r="G18" s="7" t="s">
        <v>731</v>
      </c>
      <c r="H18" s="7" t="s">
        <v>735</v>
      </c>
      <c r="I18" s="3"/>
      <c r="J18" s="3"/>
      <c r="K18" s="3"/>
      <c r="L18" s="3"/>
      <c r="M18" s="3"/>
      <c r="N18" s="3"/>
      <c r="O18" s="3"/>
      <c r="P18" s="3"/>
      <c r="Q18" s="3"/>
    </row>
    <row r="19" spans="1:17" ht="15">
      <c r="A19" s="7" t="s">
        <v>736</v>
      </c>
      <c r="B19" s="7" t="s">
        <v>28</v>
      </c>
      <c r="C19" s="7" t="s">
        <v>737</v>
      </c>
      <c r="D19" s="7" t="s">
        <v>738</v>
      </c>
      <c r="E19" s="7" t="s">
        <v>24</v>
      </c>
      <c r="F19" s="7" t="s">
        <v>739</v>
      </c>
      <c r="G19" s="7" t="s">
        <v>679</v>
      </c>
      <c r="H19" s="7" t="s">
        <v>740</v>
      </c>
      <c r="I19" s="3"/>
      <c r="J19" s="3"/>
      <c r="K19" s="3"/>
      <c r="L19" s="3"/>
      <c r="M19" s="3"/>
      <c r="N19" s="3"/>
      <c r="O19" s="3"/>
      <c r="P19" s="3"/>
      <c r="Q19" s="3"/>
    </row>
    <row r="20" spans="1:17" ht="27">
      <c r="A20" s="16" t="s">
        <v>741</v>
      </c>
      <c r="B20" s="16" t="s">
        <v>194</v>
      </c>
      <c r="C20" s="16" t="s">
        <v>742</v>
      </c>
      <c r="D20" s="16" t="s">
        <v>743</v>
      </c>
      <c r="E20" s="16" t="s">
        <v>744</v>
      </c>
      <c r="F20" s="16" t="s">
        <v>745</v>
      </c>
      <c r="G20" s="16" t="s">
        <v>679</v>
      </c>
      <c r="H20" s="16" t="s">
        <v>746</v>
      </c>
      <c r="I20" s="3"/>
      <c r="J20" s="3"/>
      <c r="K20" s="3"/>
      <c r="L20" s="3"/>
      <c r="M20" s="3"/>
      <c r="N20" s="3"/>
      <c r="O20" s="3"/>
      <c r="P20" s="3"/>
      <c r="Q20" s="3"/>
    </row>
    <row r="21" spans="1:17" ht="15">
      <c r="A21" s="3" t="s">
        <v>747</v>
      </c>
      <c r="B21" s="3" t="s">
        <v>61</v>
      </c>
      <c r="C21" s="3" t="s">
        <v>748</v>
      </c>
      <c r="D21" s="3" t="s">
        <v>743</v>
      </c>
      <c r="E21" s="3" t="s">
        <v>744</v>
      </c>
      <c r="F21" s="3" t="s">
        <v>745</v>
      </c>
      <c r="G21" s="3" t="s">
        <v>679</v>
      </c>
      <c r="H21" s="3" t="s">
        <v>749</v>
      </c>
      <c r="I21" s="3"/>
      <c r="J21" s="3"/>
      <c r="K21" s="3"/>
      <c r="L21" s="3"/>
      <c r="M21" s="3"/>
      <c r="N21" s="3"/>
      <c r="O21" s="3"/>
      <c r="P21" s="3"/>
      <c r="Q21" s="3"/>
    </row>
    <row r="22" spans="1:17" ht="15">
      <c r="A22" s="3" t="s">
        <v>37</v>
      </c>
      <c r="B22" s="3" t="s">
        <v>386</v>
      </c>
      <c r="C22" s="3" t="s">
        <v>750</v>
      </c>
      <c r="D22" s="3" t="s">
        <v>743</v>
      </c>
      <c r="E22" s="3" t="s">
        <v>36</v>
      </c>
      <c r="F22" s="3" t="s">
        <v>751</v>
      </c>
      <c r="G22" s="3" t="s">
        <v>679</v>
      </c>
      <c r="H22" s="3" t="s">
        <v>752</v>
      </c>
      <c r="I22" s="3"/>
      <c r="J22" s="3"/>
      <c r="K22" s="3"/>
      <c r="L22" s="3"/>
      <c r="M22" s="3"/>
      <c r="N22" s="3"/>
      <c r="O22" s="3"/>
      <c r="P22" s="3"/>
      <c r="Q22" s="3"/>
    </row>
    <row r="23" spans="1:17" ht="15">
      <c r="A23" s="3" t="s">
        <v>37</v>
      </c>
      <c r="B23" s="3" t="s">
        <v>753</v>
      </c>
      <c r="C23" s="3" t="s">
        <v>754</v>
      </c>
      <c r="D23" s="3" t="s">
        <v>743</v>
      </c>
      <c r="E23" s="3" t="s">
        <v>36</v>
      </c>
      <c r="F23" s="3" t="s">
        <v>755</v>
      </c>
      <c r="G23" s="3" t="s">
        <v>756</v>
      </c>
      <c r="H23" s="3" t="s">
        <v>757</v>
      </c>
      <c r="I23" s="3"/>
      <c r="J23" s="3"/>
      <c r="K23" s="3"/>
      <c r="L23" s="3"/>
      <c r="M23" s="3"/>
      <c r="N23" s="3"/>
      <c r="O23" s="3"/>
      <c r="P23" s="3"/>
      <c r="Q23" s="3"/>
    </row>
    <row r="24" spans="1:17" ht="15">
      <c r="A24" s="3" t="s">
        <v>37</v>
      </c>
      <c r="B24" s="3" t="s">
        <v>758</v>
      </c>
      <c r="C24" s="3" t="s">
        <v>759</v>
      </c>
      <c r="D24" s="3" t="s">
        <v>702</v>
      </c>
      <c r="E24" s="3" t="s">
        <v>36</v>
      </c>
      <c r="F24" s="3" t="s">
        <v>704</v>
      </c>
      <c r="G24" s="3" t="s">
        <v>679</v>
      </c>
      <c r="H24" s="3" t="s">
        <v>760</v>
      </c>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152" t="s">
        <v>761</v>
      </c>
      <c r="B26" s="153" t="s">
        <v>762</v>
      </c>
      <c r="C26" s="153" t="s">
        <v>763</v>
      </c>
      <c r="D26" s="153" t="s">
        <v>764</v>
      </c>
      <c r="E26" s="153" t="s">
        <v>765</v>
      </c>
      <c r="F26" s="153" t="s">
        <v>766</v>
      </c>
      <c r="G26" s="153" t="s">
        <v>767</v>
      </c>
      <c r="H26" s="154" t="s">
        <v>768</v>
      </c>
      <c r="I26" s="3"/>
      <c r="J26" s="3"/>
      <c r="K26" s="3"/>
      <c r="L26" s="3"/>
      <c r="M26" s="3"/>
      <c r="N26" s="3"/>
      <c r="O26" s="3"/>
      <c r="P26" s="3"/>
      <c r="Q26" s="3"/>
    </row>
    <row r="27" spans="1:17" ht="15">
      <c r="A27" s="147" t="s">
        <v>761</v>
      </c>
      <c r="B27" s="143" t="s">
        <v>769</v>
      </c>
      <c r="C27" s="143" t="s">
        <v>770</v>
      </c>
      <c r="D27" s="143" t="s">
        <v>764</v>
      </c>
      <c r="E27" s="143" t="s">
        <v>18</v>
      </c>
      <c r="F27" s="143" t="s">
        <v>771</v>
      </c>
      <c r="G27" s="143" t="s">
        <v>767</v>
      </c>
      <c r="H27" s="148" t="s">
        <v>772</v>
      </c>
      <c r="I27" s="3"/>
      <c r="J27" s="3"/>
      <c r="K27" s="3"/>
      <c r="L27" s="3"/>
      <c r="M27" s="3"/>
      <c r="N27" s="3"/>
      <c r="O27" s="3"/>
      <c r="P27" s="3"/>
      <c r="Q27" s="3"/>
    </row>
    <row r="28" spans="1:17" ht="15">
      <c r="A28" s="147" t="s">
        <v>542</v>
      </c>
      <c r="B28" s="143" t="s">
        <v>773</v>
      </c>
      <c r="C28" s="143" t="s">
        <v>774</v>
      </c>
      <c r="D28" s="143" t="s">
        <v>775</v>
      </c>
      <c r="E28" s="143" t="s">
        <v>765</v>
      </c>
      <c r="F28" s="143" t="s">
        <v>776</v>
      </c>
      <c r="G28" s="143" t="s">
        <v>767</v>
      </c>
      <c r="H28" s="148" t="s">
        <v>777</v>
      </c>
      <c r="I28" s="3"/>
      <c r="J28" s="3"/>
      <c r="K28" s="3"/>
      <c r="L28" s="3"/>
      <c r="M28" s="3"/>
      <c r="N28" s="3"/>
      <c r="O28" s="3"/>
      <c r="P28" s="3"/>
      <c r="Q28" s="3"/>
    </row>
    <row r="29" spans="1:17" ht="15">
      <c r="A29" s="147" t="s">
        <v>542</v>
      </c>
      <c r="B29" s="143" t="s">
        <v>778</v>
      </c>
      <c r="C29" s="143" t="s">
        <v>779</v>
      </c>
      <c r="D29" s="143" t="s">
        <v>780</v>
      </c>
      <c r="E29" s="143" t="s">
        <v>781</v>
      </c>
      <c r="F29" s="143" t="s">
        <v>782</v>
      </c>
      <c r="G29" s="143" t="s">
        <v>767</v>
      </c>
      <c r="H29" s="148" t="s">
        <v>783</v>
      </c>
      <c r="I29" s="3"/>
      <c r="J29" s="3"/>
      <c r="K29" s="3"/>
      <c r="L29" s="3"/>
      <c r="M29" s="3"/>
      <c r="N29" s="3"/>
      <c r="O29" s="3"/>
      <c r="P29" s="3"/>
      <c r="Q29" s="3"/>
    </row>
    <row r="30" spans="1:17" ht="15">
      <c r="A30" s="147" t="s">
        <v>784</v>
      </c>
      <c r="B30" s="143" t="s">
        <v>785</v>
      </c>
      <c r="C30" s="143" t="s">
        <v>786</v>
      </c>
      <c r="D30" s="143" t="s">
        <v>787</v>
      </c>
      <c r="E30" s="143" t="s">
        <v>723</v>
      </c>
      <c r="F30" s="143" t="s">
        <v>788</v>
      </c>
      <c r="G30" s="143" t="s">
        <v>789</v>
      </c>
      <c r="H30" s="148" t="s">
        <v>790</v>
      </c>
      <c r="I30" s="3"/>
      <c r="J30" s="3"/>
      <c r="K30" s="3"/>
      <c r="L30" s="3"/>
      <c r="M30" s="3"/>
      <c r="N30" s="3"/>
      <c r="O30" s="3"/>
      <c r="P30" s="3"/>
      <c r="Q30" s="3"/>
    </row>
    <row r="31" spans="1:17" ht="15">
      <c r="A31" s="147" t="s">
        <v>791</v>
      </c>
      <c r="B31" s="143" t="s">
        <v>792</v>
      </c>
      <c r="C31" s="143" t="s">
        <v>793</v>
      </c>
      <c r="D31" s="143" t="s">
        <v>780</v>
      </c>
      <c r="E31" s="143" t="s">
        <v>781</v>
      </c>
      <c r="F31" s="143" t="s">
        <v>794</v>
      </c>
      <c r="G31" s="143" t="s">
        <v>767</v>
      </c>
      <c r="H31" s="148" t="s">
        <v>795</v>
      </c>
      <c r="I31" s="3"/>
      <c r="J31" s="3"/>
      <c r="K31" s="3"/>
      <c r="L31" s="3"/>
      <c r="M31" s="3"/>
      <c r="N31" s="3"/>
      <c r="O31" s="3"/>
      <c r="P31" s="3"/>
      <c r="Q31" s="3"/>
    </row>
    <row r="32" spans="1:17" ht="24">
      <c r="A32" s="147" t="s">
        <v>796</v>
      </c>
      <c r="B32" s="143" t="s">
        <v>797</v>
      </c>
      <c r="C32" s="143" t="s">
        <v>798</v>
      </c>
      <c r="D32" s="143" t="s">
        <v>799</v>
      </c>
      <c r="E32" s="143" t="s">
        <v>30</v>
      </c>
      <c r="F32" s="143" t="s">
        <v>800</v>
      </c>
      <c r="G32" s="143" t="s">
        <v>679</v>
      </c>
      <c r="H32" s="148" t="s">
        <v>801</v>
      </c>
      <c r="I32" s="3"/>
      <c r="J32" s="3"/>
      <c r="K32" s="3"/>
      <c r="L32" s="3"/>
      <c r="M32" s="3"/>
      <c r="N32" s="3"/>
      <c r="O32" s="3"/>
      <c r="P32" s="3"/>
      <c r="Q32" s="3"/>
    </row>
    <row r="33" spans="1:17" ht="15">
      <c r="A33" s="147" t="s">
        <v>802</v>
      </c>
      <c r="B33" s="143" t="s">
        <v>803</v>
      </c>
      <c r="C33" s="143" t="s">
        <v>804</v>
      </c>
      <c r="D33" s="143" t="s">
        <v>743</v>
      </c>
      <c r="E33" s="143" t="s">
        <v>36</v>
      </c>
      <c r="F33" s="143" t="s">
        <v>805</v>
      </c>
      <c r="G33" s="143" t="s">
        <v>767</v>
      </c>
      <c r="H33" s="148" t="s">
        <v>806</v>
      </c>
      <c r="I33" s="3"/>
      <c r="J33" s="3"/>
      <c r="K33" s="3"/>
      <c r="L33" s="3"/>
      <c r="M33" s="3"/>
      <c r="N33" s="3"/>
      <c r="O33" s="3"/>
      <c r="P33" s="3"/>
      <c r="Q33" s="3"/>
    </row>
    <row r="34" spans="1:17" ht="15">
      <c r="A34" s="147" t="s">
        <v>802</v>
      </c>
      <c r="B34" s="143" t="s">
        <v>807</v>
      </c>
      <c r="C34" s="143" t="s">
        <v>808</v>
      </c>
      <c r="D34" s="143" t="s">
        <v>743</v>
      </c>
      <c r="E34" s="143" t="s">
        <v>36</v>
      </c>
      <c r="F34" s="143" t="s">
        <v>805</v>
      </c>
      <c r="G34" s="143" t="s">
        <v>789</v>
      </c>
      <c r="H34" s="148" t="s">
        <v>809</v>
      </c>
      <c r="I34" s="3"/>
      <c r="J34" s="3"/>
      <c r="K34" s="3"/>
      <c r="L34" s="3"/>
      <c r="M34" s="3"/>
      <c r="N34" s="3"/>
      <c r="O34" s="3"/>
      <c r="P34" s="3"/>
      <c r="Q34" s="3"/>
    </row>
    <row r="35" spans="1:17" ht="15">
      <c r="A35" s="147" t="s">
        <v>802</v>
      </c>
      <c r="B35" s="143" t="s">
        <v>810</v>
      </c>
      <c r="C35" s="143" t="s">
        <v>811</v>
      </c>
      <c r="D35" s="143" t="s">
        <v>743</v>
      </c>
      <c r="E35" s="143" t="s">
        <v>36</v>
      </c>
      <c r="F35" s="143" t="s">
        <v>805</v>
      </c>
      <c r="G35" s="143" t="s">
        <v>767</v>
      </c>
      <c r="H35" s="148" t="s">
        <v>812</v>
      </c>
      <c r="I35" s="3"/>
      <c r="J35" s="3"/>
      <c r="K35" s="3"/>
      <c r="L35" s="3"/>
      <c r="M35" s="3"/>
      <c r="N35" s="3"/>
      <c r="O35" s="3"/>
      <c r="P35" s="3"/>
      <c r="Q35" s="3"/>
    </row>
    <row r="36" spans="1:17" ht="15">
      <c r="A36" s="147" t="s">
        <v>802</v>
      </c>
      <c r="B36" s="143" t="s">
        <v>813</v>
      </c>
      <c r="C36" s="143" t="s">
        <v>814</v>
      </c>
      <c r="D36" s="143" t="s">
        <v>743</v>
      </c>
      <c r="E36" s="143" t="s">
        <v>36</v>
      </c>
      <c r="F36" s="143" t="s">
        <v>805</v>
      </c>
      <c r="G36" s="143" t="s">
        <v>767</v>
      </c>
      <c r="H36" s="148" t="s">
        <v>815</v>
      </c>
      <c r="I36" s="3"/>
      <c r="J36" s="3"/>
      <c r="K36" s="3"/>
      <c r="L36" s="3"/>
      <c r="M36" s="3"/>
      <c r="N36" s="3"/>
      <c r="O36" s="3"/>
      <c r="P36" s="3"/>
      <c r="Q36" s="3"/>
    </row>
    <row r="37" spans="1:17" ht="15">
      <c r="A37" s="147" t="s">
        <v>802</v>
      </c>
      <c r="B37" s="143" t="s">
        <v>816</v>
      </c>
      <c r="C37" s="143" t="s">
        <v>817</v>
      </c>
      <c r="D37" s="143" t="s">
        <v>743</v>
      </c>
      <c r="E37" s="143" t="s">
        <v>36</v>
      </c>
      <c r="F37" s="143" t="s">
        <v>805</v>
      </c>
      <c r="G37" s="143" t="s">
        <v>789</v>
      </c>
      <c r="H37" s="148" t="s">
        <v>818</v>
      </c>
      <c r="I37" s="3"/>
      <c r="J37" s="3"/>
      <c r="K37" s="3"/>
      <c r="L37" s="3"/>
      <c r="M37" s="3"/>
      <c r="N37" s="3"/>
      <c r="O37" s="3"/>
      <c r="P37" s="3"/>
      <c r="Q37" s="3"/>
    </row>
    <row r="38" spans="1:17" ht="15">
      <c r="A38" s="147" t="s">
        <v>802</v>
      </c>
      <c r="B38" s="143" t="s">
        <v>819</v>
      </c>
      <c r="C38" s="143" t="s">
        <v>820</v>
      </c>
      <c r="D38" s="143" t="s">
        <v>743</v>
      </c>
      <c r="E38" s="143" t="s">
        <v>36</v>
      </c>
      <c r="F38" s="143" t="s">
        <v>805</v>
      </c>
      <c r="G38" s="143" t="s">
        <v>767</v>
      </c>
      <c r="H38" s="148" t="s">
        <v>821</v>
      </c>
      <c r="I38" s="3"/>
      <c r="J38" s="3"/>
      <c r="K38" s="3"/>
      <c r="L38" s="3"/>
      <c r="M38" s="3"/>
      <c r="N38" s="3"/>
      <c r="O38" s="3"/>
      <c r="P38" s="3"/>
      <c r="Q38" s="3"/>
    </row>
    <row r="39" spans="1:17" ht="15">
      <c r="A39" s="147" t="s">
        <v>802</v>
      </c>
      <c r="B39" s="143" t="s">
        <v>822</v>
      </c>
      <c r="C39" s="143" t="s">
        <v>823</v>
      </c>
      <c r="D39" s="143" t="s">
        <v>743</v>
      </c>
      <c r="E39" s="143" t="s">
        <v>36</v>
      </c>
      <c r="F39" s="143" t="s">
        <v>805</v>
      </c>
      <c r="G39" s="143" t="s">
        <v>767</v>
      </c>
      <c r="H39" s="148" t="s">
        <v>824</v>
      </c>
      <c r="I39" s="3"/>
      <c r="J39" s="3"/>
      <c r="K39" s="3"/>
      <c r="L39" s="3"/>
      <c r="M39" s="3"/>
      <c r="N39" s="3"/>
      <c r="O39" s="3"/>
      <c r="P39" s="3"/>
      <c r="Q39" s="3"/>
    </row>
    <row r="40" spans="1:17" ht="15">
      <c r="A40" s="149" t="s">
        <v>802</v>
      </c>
      <c r="B40" s="150" t="s">
        <v>825</v>
      </c>
      <c r="C40" s="150" t="s">
        <v>826</v>
      </c>
      <c r="D40" s="150" t="s">
        <v>743</v>
      </c>
      <c r="E40" s="150" t="s">
        <v>36</v>
      </c>
      <c r="F40" s="150" t="s">
        <v>805</v>
      </c>
      <c r="G40" s="150" t="s">
        <v>767</v>
      </c>
      <c r="H40" s="151" t="s">
        <v>827</v>
      </c>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0"/>
  <sheetViews>
    <sheetView workbookViewId="0"/>
  </sheetViews>
  <sheetFormatPr defaultRowHeight="14.25"/>
  <cols>
    <col min="1" max="1" width="18" customWidth="1"/>
    <col min="2" max="2" width="30" customWidth="1"/>
    <col min="3" max="3" width="26" customWidth="1"/>
    <col min="4" max="4" width="42" customWidth="1"/>
    <col min="5" max="5" width="34" customWidth="1"/>
    <col min="6" max="6" width="14" customWidth="1"/>
    <col min="7" max="7" width="26" customWidth="1"/>
    <col min="8" max="8" width="50" customWidth="1"/>
  </cols>
  <sheetData>
    <row r="1" spans="1:17" ht="24" customHeight="1">
      <c r="A1" s="200" t="s">
        <v>828</v>
      </c>
      <c r="B1" s="201"/>
      <c r="C1" s="201"/>
      <c r="D1" s="201"/>
      <c r="E1" s="201"/>
      <c r="F1" s="201"/>
      <c r="G1" s="201"/>
      <c r="H1" s="201"/>
      <c r="I1" s="15"/>
      <c r="J1" s="15"/>
      <c r="K1" s="15"/>
      <c r="L1" s="3"/>
      <c r="M1" s="3"/>
      <c r="N1" s="3"/>
      <c r="O1" s="3"/>
      <c r="P1" s="3"/>
      <c r="Q1" s="3"/>
    </row>
    <row r="2" spans="1:17" ht="33.950000000000003" customHeight="1">
      <c r="A2" s="202" t="s">
        <v>829</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830</v>
      </c>
      <c r="B4" s="4" t="s">
        <v>671</v>
      </c>
      <c r="C4" s="4" t="s">
        <v>831</v>
      </c>
      <c r="D4" s="4" t="s">
        <v>832</v>
      </c>
      <c r="E4" s="4" t="s">
        <v>833</v>
      </c>
      <c r="F4" s="4" t="s">
        <v>834</v>
      </c>
      <c r="G4" s="4" t="s">
        <v>835</v>
      </c>
      <c r="H4" s="4" t="s">
        <v>309</v>
      </c>
      <c r="I4" s="3"/>
      <c r="J4" s="3"/>
      <c r="K4" s="3"/>
      <c r="L4" s="3"/>
      <c r="M4" s="3"/>
      <c r="N4" s="3"/>
      <c r="O4" s="3"/>
      <c r="P4" s="3"/>
      <c r="Q4" s="3"/>
    </row>
    <row r="5" spans="1:17" ht="15">
      <c r="A5" s="5" t="s">
        <v>836</v>
      </c>
      <c r="B5" s="5" t="s">
        <v>681</v>
      </c>
      <c r="C5" s="5" t="s">
        <v>837</v>
      </c>
      <c r="D5" s="5" t="s">
        <v>838</v>
      </c>
      <c r="E5" s="5" t="s">
        <v>839</v>
      </c>
      <c r="F5" s="5" t="s">
        <v>322</v>
      </c>
      <c r="G5" s="5" t="s">
        <v>840</v>
      </c>
      <c r="H5" s="5" t="s">
        <v>841</v>
      </c>
      <c r="I5" s="3"/>
      <c r="J5" s="3"/>
      <c r="K5" s="3"/>
      <c r="L5" s="3"/>
      <c r="M5" s="3"/>
      <c r="N5" s="3"/>
      <c r="O5" s="3"/>
      <c r="P5" s="3"/>
      <c r="Q5" s="3"/>
    </row>
    <row r="6" spans="1:17" ht="15">
      <c r="A6" s="5" t="s">
        <v>842</v>
      </c>
      <c r="B6" s="5" t="s">
        <v>173</v>
      </c>
      <c r="C6" s="5" t="s">
        <v>843</v>
      </c>
      <c r="D6" s="5" t="s">
        <v>844</v>
      </c>
      <c r="E6" s="5" t="s">
        <v>845</v>
      </c>
      <c r="F6" s="5" t="s">
        <v>322</v>
      </c>
      <c r="G6" s="5" t="s">
        <v>697</v>
      </c>
      <c r="H6" s="5" t="s">
        <v>846</v>
      </c>
      <c r="I6" s="3"/>
      <c r="J6" s="3"/>
      <c r="K6" s="3"/>
      <c r="L6" s="3"/>
      <c r="M6" s="3"/>
      <c r="N6" s="3"/>
      <c r="O6" s="3"/>
      <c r="P6" s="3"/>
      <c r="Q6" s="3"/>
    </row>
    <row r="7" spans="1:17" ht="15">
      <c r="A7" s="5" t="s">
        <v>842</v>
      </c>
      <c r="B7" s="5" t="s">
        <v>184</v>
      </c>
      <c r="C7" s="5" t="s">
        <v>847</v>
      </c>
      <c r="D7" s="5" t="s">
        <v>848</v>
      </c>
      <c r="E7" s="5" t="s">
        <v>845</v>
      </c>
      <c r="F7" s="5" t="s">
        <v>322</v>
      </c>
      <c r="G7" s="5" t="s">
        <v>710</v>
      </c>
      <c r="H7" s="5" t="s">
        <v>849</v>
      </c>
      <c r="I7" s="3"/>
      <c r="J7" s="3"/>
      <c r="K7" s="3"/>
      <c r="L7" s="3"/>
      <c r="M7" s="3"/>
      <c r="N7" s="3"/>
      <c r="O7" s="3"/>
      <c r="P7" s="3"/>
      <c r="Q7" s="3"/>
    </row>
    <row r="8" spans="1:17" ht="15">
      <c r="A8" s="5" t="s">
        <v>842</v>
      </c>
      <c r="B8" s="5" t="s">
        <v>344</v>
      </c>
      <c r="C8" s="5" t="s">
        <v>847</v>
      </c>
      <c r="D8" s="5" t="s">
        <v>850</v>
      </c>
      <c r="E8" s="5" t="s">
        <v>845</v>
      </c>
      <c r="F8" s="5" t="s">
        <v>322</v>
      </c>
      <c r="G8" s="5" t="s">
        <v>713</v>
      </c>
      <c r="H8" s="5" t="s">
        <v>851</v>
      </c>
      <c r="I8" s="3"/>
      <c r="J8" s="3"/>
      <c r="K8" s="3"/>
      <c r="L8" s="3"/>
      <c r="M8" s="3"/>
      <c r="N8" s="3"/>
      <c r="O8" s="3"/>
      <c r="P8" s="3"/>
      <c r="Q8" s="3"/>
    </row>
    <row r="9" spans="1:17" ht="15">
      <c r="A9" s="5" t="s">
        <v>842</v>
      </c>
      <c r="B9" s="5" t="s">
        <v>352</v>
      </c>
      <c r="C9" s="5" t="s">
        <v>852</v>
      </c>
      <c r="D9" s="5" t="s">
        <v>853</v>
      </c>
      <c r="E9" s="5" t="s">
        <v>845</v>
      </c>
      <c r="F9" s="5" t="s">
        <v>322</v>
      </c>
      <c r="G9" s="5" t="s">
        <v>854</v>
      </c>
      <c r="H9" s="5" t="s">
        <v>855</v>
      </c>
      <c r="I9" s="3"/>
      <c r="J9" s="3"/>
      <c r="K9" s="3"/>
      <c r="L9" s="3"/>
      <c r="M9" s="3"/>
      <c r="N9" s="3"/>
      <c r="O9" s="3"/>
      <c r="P9" s="3"/>
      <c r="Q9" s="3"/>
    </row>
    <row r="10" spans="1:17" ht="27">
      <c r="A10" s="5" t="s">
        <v>842</v>
      </c>
      <c r="B10" s="5" t="s">
        <v>189</v>
      </c>
      <c r="C10" s="5" t="s">
        <v>856</v>
      </c>
      <c r="D10" s="5" t="s">
        <v>857</v>
      </c>
      <c r="E10" s="5" t="s">
        <v>845</v>
      </c>
      <c r="F10" s="5" t="s">
        <v>322</v>
      </c>
      <c r="G10" s="5" t="s">
        <v>719</v>
      </c>
      <c r="H10" s="5" t="s">
        <v>858</v>
      </c>
      <c r="I10" s="3"/>
      <c r="J10" s="3"/>
      <c r="K10" s="3"/>
      <c r="L10" s="3"/>
      <c r="M10" s="3"/>
      <c r="N10" s="3"/>
      <c r="O10" s="3"/>
      <c r="P10" s="3"/>
      <c r="Q10" s="3"/>
    </row>
    <row r="11" spans="1:17" ht="27">
      <c r="A11" s="5" t="s">
        <v>842</v>
      </c>
      <c r="B11" s="5" t="s">
        <v>516</v>
      </c>
      <c r="C11" s="5" t="s">
        <v>859</v>
      </c>
      <c r="D11" s="5" t="s">
        <v>860</v>
      </c>
      <c r="E11" s="5" t="s">
        <v>861</v>
      </c>
      <c r="F11" s="5" t="s">
        <v>322</v>
      </c>
      <c r="G11" s="5" t="s">
        <v>862</v>
      </c>
      <c r="H11" s="5" t="s">
        <v>863</v>
      </c>
      <c r="I11" s="3"/>
      <c r="J11" s="3"/>
      <c r="K11" s="3"/>
      <c r="L11" s="3"/>
      <c r="M11" s="3"/>
      <c r="N11" s="3"/>
      <c r="O11" s="3"/>
      <c r="P11" s="3"/>
      <c r="Q11" s="3"/>
    </row>
    <row r="12" spans="1:17" ht="15">
      <c r="A12" s="5" t="s">
        <v>842</v>
      </c>
      <c r="B12" s="5" t="s">
        <v>363</v>
      </c>
      <c r="C12" s="5" t="s">
        <v>864</v>
      </c>
      <c r="D12" s="5" t="s">
        <v>865</v>
      </c>
      <c r="E12" s="5" t="s">
        <v>845</v>
      </c>
      <c r="F12" s="5" t="s">
        <v>322</v>
      </c>
      <c r="G12" s="5" t="s">
        <v>727</v>
      </c>
      <c r="H12" s="5" t="s">
        <v>866</v>
      </c>
      <c r="I12" s="3"/>
      <c r="J12" s="3"/>
      <c r="K12" s="3"/>
      <c r="L12" s="3"/>
      <c r="M12" s="3"/>
      <c r="N12" s="3"/>
      <c r="O12" s="3"/>
      <c r="P12" s="3"/>
      <c r="Q12" s="3"/>
    </row>
    <row r="13" spans="1:17" ht="15">
      <c r="A13" s="5" t="s">
        <v>842</v>
      </c>
      <c r="B13" s="5" t="s">
        <v>376</v>
      </c>
      <c r="C13" s="5" t="s">
        <v>867</v>
      </c>
      <c r="D13" s="5" t="s">
        <v>868</v>
      </c>
      <c r="E13" s="5" t="s">
        <v>845</v>
      </c>
      <c r="F13" s="5" t="s">
        <v>322</v>
      </c>
      <c r="G13" s="5" t="s">
        <v>730</v>
      </c>
      <c r="H13" s="5" t="s">
        <v>869</v>
      </c>
      <c r="I13" s="3"/>
      <c r="J13" s="3"/>
      <c r="K13" s="3"/>
      <c r="L13" s="3"/>
      <c r="M13" s="3"/>
      <c r="N13" s="3"/>
      <c r="O13" s="3"/>
      <c r="P13" s="3"/>
      <c r="Q13" s="3"/>
    </row>
    <row r="14" spans="1:17" ht="15">
      <c r="A14" s="8" t="s">
        <v>842</v>
      </c>
      <c r="B14" s="8" t="s">
        <v>369</v>
      </c>
      <c r="C14" s="8" t="s">
        <v>867</v>
      </c>
      <c r="D14" s="8" t="s">
        <v>870</v>
      </c>
      <c r="E14" s="8" t="s">
        <v>845</v>
      </c>
      <c r="F14" s="8" t="s">
        <v>322</v>
      </c>
      <c r="G14" s="8" t="s">
        <v>871</v>
      </c>
      <c r="H14" s="8" t="s">
        <v>869</v>
      </c>
      <c r="I14" s="3"/>
      <c r="J14" s="3"/>
      <c r="K14" s="3"/>
      <c r="L14" s="3"/>
      <c r="M14" s="3"/>
      <c r="N14" s="3"/>
      <c r="O14" s="3"/>
      <c r="P14" s="3"/>
      <c r="Q14" s="3"/>
    </row>
    <row r="15" spans="1:17" ht="15">
      <c r="A15" s="7" t="s">
        <v>872</v>
      </c>
      <c r="B15" s="7" t="s">
        <v>28</v>
      </c>
      <c r="C15" s="7" t="s">
        <v>873</v>
      </c>
      <c r="D15" s="7" t="s">
        <v>874</v>
      </c>
      <c r="E15" s="7" t="s">
        <v>875</v>
      </c>
      <c r="F15" s="7" t="s">
        <v>322</v>
      </c>
      <c r="G15" s="7" t="s">
        <v>739</v>
      </c>
      <c r="H15" s="7" t="s">
        <v>876</v>
      </c>
      <c r="I15" s="3"/>
      <c r="J15" s="3"/>
      <c r="K15" s="3"/>
      <c r="L15" s="3"/>
      <c r="M15" s="3"/>
      <c r="N15" s="3"/>
      <c r="O15" s="3"/>
      <c r="P15" s="3"/>
      <c r="Q15" s="3"/>
    </row>
    <row r="16" spans="1:17" ht="15">
      <c r="A16" s="7" t="s">
        <v>877</v>
      </c>
      <c r="B16" s="7" t="s">
        <v>194</v>
      </c>
      <c r="C16" s="7" t="s">
        <v>878</v>
      </c>
      <c r="D16" s="7" t="s">
        <v>879</v>
      </c>
      <c r="E16" s="7" t="s">
        <v>880</v>
      </c>
      <c r="F16" s="7" t="s">
        <v>322</v>
      </c>
      <c r="G16" s="7" t="s">
        <v>745</v>
      </c>
      <c r="H16" s="7" t="s">
        <v>881</v>
      </c>
      <c r="I16" s="3"/>
      <c r="J16" s="3"/>
      <c r="K16" s="3"/>
      <c r="L16" s="3"/>
      <c r="M16" s="3"/>
      <c r="N16" s="3"/>
      <c r="O16" s="3"/>
      <c r="P16" s="3"/>
      <c r="Q16" s="3"/>
    </row>
    <row r="17" spans="1:17" ht="15">
      <c r="A17" s="10" t="s">
        <v>882</v>
      </c>
      <c r="B17" s="10" t="s">
        <v>61</v>
      </c>
      <c r="C17" s="10" t="s">
        <v>883</v>
      </c>
      <c r="D17" s="10" t="s">
        <v>884</v>
      </c>
      <c r="E17" s="10" t="s">
        <v>880</v>
      </c>
      <c r="F17" s="10" t="s">
        <v>322</v>
      </c>
      <c r="G17" s="10" t="s">
        <v>745</v>
      </c>
      <c r="H17" s="10" t="s">
        <v>885</v>
      </c>
      <c r="I17" s="3"/>
      <c r="J17" s="3"/>
      <c r="K17" s="3"/>
      <c r="L17" s="3"/>
      <c r="M17" s="3"/>
      <c r="N17" s="3"/>
      <c r="O17" s="3"/>
      <c r="P17" s="3"/>
      <c r="Q17" s="3"/>
    </row>
    <row r="18" spans="1:17" ht="15">
      <c r="A18" s="9" t="s">
        <v>886</v>
      </c>
      <c r="B18" s="9" t="s">
        <v>700</v>
      </c>
      <c r="C18" s="9" t="s">
        <v>887</v>
      </c>
      <c r="D18" s="9" t="s">
        <v>701</v>
      </c>
      <c r="E18" s="9" t="s">
        <v>702</v>
      </c>
      <c r="F18" s="9" t="s">
        <v>322</v>
      </c>
      <c r="G18" s="9" t="s">
        <v>704</v>
      </c>
      <c r="H18" s="9" t="s">
        <v>888</v>
      </c>
      <c r="I18" s="3"/>
      <c r="J18" s="3"/>
      <c r="K18" s="3"/>
      <c r="L18" s="3"/>
      <c r="M18" s="3"/>
      <c r="N18" s="3"/>
      <c r="O18" s="3"/>
      <c r="P18" s="3"/>
      <c r="Q18" s="3"/>
    </row>
    <row r="19" spans="1:17" ht="15">
      <c r="A19" s="3" t="s">
        <v>886</v>
      </c>
      <c r="B19" s="3" t="s">
        <v>386</v>
      </c>
      <c r="C19" s="3" t="s">
        <v>889</v>
      </c>
      <c r="D19" s="3" t="s">
        <v>890</v>
      </c>
      <c r="E19" s="3" t="s">
        <v>880</v>
      </c>
      <c r="F19" s="3" t="s">
        <v>322</v>
      </c>
      <c r="G19" s="3" t="s">
        <v>891</v>
      </c>
      <c r="H19" s="3" t="s">
        <v>892</v>
      </c>
      <c r="I19" s="3"/>
      <c r="J19" s="3"/>
      <c r="K19" s="3"/>
      <c r="L19" s="3"/>
      <c r="M19" s="3"/>
      <c r="N19" s="3"/>
      <c r="O19" s="3"/>
      <c r="P19" s="3"/>
      <c r="Q19" s="3"/>
    </row>
    <row r="20" spans="1:17" ht="15">
      <c r="A20" s="3" t="s">
        <v>886</v>
      </c>
      <c r="B20" s="3" t="s">
        <v>753</v>
      </c>
      <c r="C20" s="3" t="s">
        <v>893</v>
      </c>
      <c r="D20" s="3" t="s">
        <v>894</v>
      </c>
      <c r="E20" s="3" t="s">
        <v>880</v>
      </c>
      <c r="F20" s="3" t="s">
        <v>322</v>
      </c>
      <c r="G20" s="3" t="s">
        <v>704</v>
      </c>
      <c r="H20" s="3" t="s">
        <v>895</v>
      </c>
      <c r="I20" s="3"/>
      <c r="J20" s="3"/>
      <c r="K20" s="3"/>
      <c r="L20" s="3"/>
      <c r="M20" s="3"/>
      <c r="N20" s="3"/>
      <c r="O20" s="3"/>
      <c r="P20" s="3"/>
      <c r="Q20" s="3"/>
    </row>
    <row r="21" spans="1:17" ht="15">
      <c r="A21" s="3" t="s">
        <v>886</v>
      </c>
      <c r="B21" s="3" t="s">
        <v>758</v>
      </c>
      <c r="C21" s="3" t="s">
        <v>887</v>
      </c>
      <c r="D21" s="3" t="s">
        <v>896</v>
      </c>
      <c r="E21" s="3" t="s">
        <v>702</v>
      </c>
      <c r="F21" s="3" t="s">
        <v>322</v>
      </c>
      <c r="G21" s="3" t="s">
        <v>704</v>
      </c>
      <c r="H21" s="3" t="s">
        <v>897</v>
      </c>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24">
      <c r="A23" s="144" t="s">
        <v>898</v>
      </c>
      <c r="B23" s="145" t="s">
        <v>762</v>
      </c>
      <c r="C23" s="145" t="s">
        <v>899</v>
      </c>
      <c r="D23" s="145" t="s">
        <v>900</v>
      </c>
      <c r="E23" s="145" t="s">
        <v>901</v>
      </c>
      <c r="F23" s="145" t="s">
        <v>322</v>
      </c>
      <c r="G23" s="145" t="s">
        <v>902</v>
      </c>
      <c r="H23" s="146" t="s">
        <v>903</v>
      </c>
      <c r="I23" s="3"/>
      <c r="J23" s="3"/>
      <c r="K23" s="3"/>
      <c r="L23" s="3"/>
      <c r="M23" s="3"/>
      <c r="N23" s="3"/>
      <c r="O23" s="3"/>
      <c r="P23" s="3"/>
      <c r="Q23" s="3"/>
    </row>
    <row r="24" spans="1:17" ht="24">
      <c r="A24" s="147" t="s">
        <v>898</v>
      </c>
      <c r="B24" s="143" t="s">
        <v>769</v>
      </c>
      <c r="C24" s="143" t="s">
        <v>867</v>
      </c>
      <c r="D24" s="143" t="s">
        <v>904</v>
      </c>
      <c r="E24" s="143" t="s">
        <v>905</v>
      </c>
      <c r="F24" s="143" t="s">
        <v>322</v>
      </c>
      <c r="G24" s="143" t="s">
        <v>902</v>
      </c>
      <c r="H24" s="148" t="s">
        <v>906</v>
      </c>
      <c r="I24" s="3"/>
      <c r="J24" s="3"/>
      <c r="K24" s="3"/>
      <c r="L24" s="3"/>
      <c r="M24" s="3"/>
      <c r="N24" s="3"/>
      <c r="O24" s="3"/>
      <c r="P24" s="3"/>
      <c r="Q24" s="3"/>
    </row>
    <row r="25" spans="1:17" ht="15">
      <c r="A25" s="147" t="s">
        <v>898</v>
      </c>
      <c r="B25" s="143" t="s">
        <v>773</v>
      </c>
      <c r="C25" s="143" t="s">
        <v>867</v>
      </c>
      <c r="D25" s="143" t="s">
        <v>907</v>
      </c>
      <c r="E25" s="143" t="s">
        <v>908</v>
      </c>
      <c r="F25" s="143" t="s">
        <v>322</v>
      </c>
      <c r="G25" s="143" t="s">
        <v>902</v>
      </c>
      <c r="H25" s="148" t="s">
        <v>909</v>
      </c>
      <c r="I25" s="3"/>
      <c r="J25" s="3"/>
      <c r="K25" s="3"/>
      <c r="L25" s="3"/>
      <c r="M25" s="3"/>
      <c r="N25" s="3"/>
      <c r="O25" s="3"/>
      <c r="P25" s="3"/>
      <c r="Q25" s="3"/>
    </row>
    <row r="26" spans="1:17" ht="15">
      <c r="A26" s="147" t="s">
        <v>910</v>
      </c>
      <c r="B26" s="143" t="s">
        <v>778</v>
      </c>
      <c r="C26" s="143" t="s">
        <v>911</v>
      </c>
      <c r="D26" s="143" t="s">
        <v>912</v>
      </c>
      <c r="E26" s="143" t="s">
        <v>913</v>
      </c>
      <c r="F26" s="143" t="s">
        <v>322</v>
      </c>
      <c r="G26" s="143" t="s">
        <v>914</v>
      </c>
      <c r="H26" s="148" t="s">
        <v>915</v>
      </c>
      <c r="I26" s="3"/>
      <c r="J26" s="3"/>
      <c r="K26" s="3"/>
      <c r="L26" s="3"/>
      <c r="M26" s="3"/>
      <c r="N26" s="3"/>
      <c r="O26" s="3"/>
      <c r="P26" s="3"/>
      <c r="Q26" s="3"/>
    </row>
    <row r="27" spans="1:17" ht="15">
      <c r="A27" s="147" t="s">
        <v>916</v>
      </c>
      <c r="B27" s="143" t="s">
        <v>785</v>
      </c>
      <c r="C27" s="143" t="s">
        <v>867</v>
      </c>
      <c r="D27" s="143" t="s">
        <v>917</v>
      </c>
      <c r="E27" s="143" t="s">
        <v>918</v>
      </c>
      <c r="F27" s="143" t="s">
        <v>322</v>
      </c>
      <c r="G27" s="143" t="s">
        <v>914</v>
      </c>
      <c r="H27" s="148" t="s">
        <v>919</v>
      </c>
      <c r="I27" s="3"/>
      <c r="J27" s="3"/>
      <c r="K27" s="3"/>
      <c r="L27" s="3"/>
      <c r="M27" s="3"/>
      <c r="N27" s="3"/>
      <c r="O27" s="3"/>
      <c r="P27" s="3"/>
      <c r="Q27" s="3"/>
    </row>
    <row r="28" spans="1:17" ht="15">
      <c r="A28" s="147" t="s">
        <v>910</v>
      </c>
      <c r="B28" s="143" t="s">
        <v>792</v>
      </c>
      <c r="C28" s="143" t="s">
        <v>867</v>
      </c>
      <c r="D28" s="143" t="s">
        <v>793</v>
      </c>
      <c r="E28" s="143" t="s">
        <v>913</v>
      </c>
      <c r="F28" s="143" t="s">
        <v>322</v>
      </c>
      <c r="G28" s="143" t="s">
        <v>914</v>
      </c>
      <c r="H28" s="148" t="s">
        <v>920</v>
      </c>
      <c r="I28" s="3"/>
      <c r="J28" s="3"/>
      <c r="K28" s="3"/>
      <c r="L28" s="3"/>
      <c r="M28" s="3"/>
      <c r="N28" s="3"/>
      <c r="O28" s="3"/>
      <c r="P28" s="3"/>
      <c r="Q28" s="3"/>
    </row>
    <row r="29" spans="1:17" ht="24">
      <c r="A29" s="149" t="s">
        <v>921</v>
      </c>
      <c r="B29" s="150" t="s">
        <v>922</v>
      </c>
      <c r="C29" s="150" t="s">
        <v>923</v>
      </c>
      <c r="D29" s="150" t="s">
        <v>924</v>
      </c>
      <c r="E29" s="150" t="s">
        <v>925</v>
      </c>
      <c r="F29" s="150" t="s">
        <v>322</v>
      </c>
      <c r="G29" s="150" t="s">
        <v>37</v>
      </c>
      <c r="H29" s="151" t="s">
        <v>926</v>
      </c>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0"/>
  <sheetViews>
    <sheetView workbookViewId="0"/>
  </sheetViews>
  <sheetFormatPr defaultRowHeight="14.25"/>
  <cols>
    <col min="1" max="1" width="15" customWidth="1"/>
    <col min="2" max="2" width="28" customWidth="1"/>
    <col min="3" max="4" width="16" customWidth="1"/>
    <col min="5" max="9" width="18" customWidth="1"/>
    <col min="10" max="10" width="50" customWidth="1"/>
  </cols>
  <sheetData>
    <row r="1" spans="1:17" ht="24" customHeight="1">
      <c r="A1" s="205" t="s">
        <v>927</v>
      </c>
      <c r="B1" s="205"/>
      <c r="C1" s="205"/>
      <c r="D1" s="205"/>
      <c r="E1" s="205"/>
      <c r="F1" s="205"/>
      <c r="G1" s="205"/>
      <c r="H1" s="205"/>
      <c r="I1" s="205"/>
      <c r="J1" s="205"/>
      <c r="K1" s="15"/>
      <c r="L1" s="3"/>
      <c r="M1" s="3"/>
      <c r="N1" s="3"/>
      <c r="O1" s="3"/>
      <c r="P1" s="3"/>
      <c r="Q1" s="3"/>
    </row>
    <row r="2" spans="1:17" ht="33.950000000000003" customHeight="1">
      <c r="A2" s="202" t="s">
        <v>928</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301</v>
      </c>
      <c r="B4" s="4" t="s">
        <v>302</v>
      </c>
      <c r="C4" s="4" t="s">
        <v>303</v>
      </c>
      <c r="D4" s="4" t="s">
        <v>304</v>
      </c>
      <c r="E4" s="4" t="s">
        <v>305</v>
      </c>
      <c r="F4" s="4" t="s">
        <v>306</v>
      </c>
      <c r="G4" s="4" t="s">
        <v>307</v>
      </c>
      <c r="H4" s="4" t="s">
        <v>308</v>
      </c>
      <c r="I4" s="4" t="s">
        <v>309</v>
      </c>
      <c r="J4" s="4" t="s">
        <v>310</v>
      </c>
      <c r="K4" s="3"/>
      <c r="L4" s="3"/>
      <c r="M4" s="3"/>
      <c r="N4" s="3"/>
      <c r="O4" s="3"/>
      <c r="P4" s="3"/>
      <c r="Q4" s="3"/>
    </row>
    <row r="5" spans="1:17" ht="15">
      <c r="A5" s="5"/>
      <c r="B5" s="5"/>
      <c r="C5" s="5"/>
      <c r="D5" s="5"/>
      <c r="E5" s="5"/>
      <c r="F5" s="5"/>
      <c r="G5" s="5"/>
      <c r="H5" s="5"/>
      <c r="I5" s="5"/>
      <c r="J5" s="5"/>
      <c r="K5" s="3"/>
      <c r="L5" s="3"/>
      <c r="M5" s="3"/>
      <c r="N5" s="3"/>
      <c r="O5" s="3"/>
      <c r="P5" s="3"/>
      <c r="Q5" s="3"/>
    </row>
    <row r="6" spans="1:17" ht="15">
      <c r="A6" s="41"/>
      <c r="B6" s="42"/>
      <c r="C6" s="42"/>
      <c r="D6" s="42"/>
      <c r="E6" s="42"/>
      <c r="F6" s="42"/>
      <c r="G6" s="42"/>
      <c r="H6" s="42"/>
      <c r="I6" s="42"/>
      <c r="J6" s="43"/>
      <c r="K6" s="3"/>
      <c r="L6" s="3"/>
      <c r="M6" s="3"/>
      <c r="N6" s="3"/>
      <c r="O6" s="3"/>
      <c r="P6" s="3"/>
      <c r="Q6" s="3"/>
    </row>
    <row r="7" spans="1:17" ht="15">
      <c r="A7" s="44"/>
      <c r="B7" s="39"/>
      <c r="C7" s="39"/>
      <c r="D7" s="39"/>
      <c r="E7" s="39"/>
      <c r="F7" s="39"/>
      <c r="G7" s="39"/>
      <c r="H7" s="39"/>
      <c r="I7" s="39"/>
      <c r="J7" s="45"/>
      <c r="K7" s="3"/>
      <c r="L7" s="3"/>
      <c r="M7" s="3"/>
      <c r="N7" s="3"/>
      <c r="O7" s="3"/>
      <c r="P7" s="3"/>
      <c r="Q7" s="3"/>
    </row>
    <row r="8" spans="1:17" ht="15">
      <c r="A8" s="44"/>
      <c r="B8" s="39"/>
      <c r="C8" s="39"/>
      <c r="D8" s="39"/>
      <c r="E8" s="39"/>
      <c r="F8" s="39"/>
      <c r="G8" s="39"/>
      <c r="H8" s="39"/>
      <c r="I8" s="39"/>
      <c r="J8" s="45"/>
      <c r="K8" s="3"/>
      <c r="L8" s="3"/>
      <c r="M8" s="3"/>
      <c r="N8" s="3"/>
      <c r="O8" s="3"/>
      <c r="P8" s="3"/>
      <c r="Q8" s="3"/>
    </row>
    <row r="9" spans="1:17" ht="15">
      <c r="A9" s="44"/>
      <c r="B9" s="39"/>
      <c r="C9" s="39"/>
      <c r="D9" s="39"/>
      <c r="E9" s="39"/>
      <c r="F9" s="39"/>
      <c r="G9" s="39"/>
      <c r="H9" s="39"/>
      <c r="I9" s="39"/>
      <c r="J9" s="45"/>
      <c r="K9" s="3"/>
      <c r="L9" s="3"/>
      <c r="M9" s="3"/>
      <c r="N9" s="3"/>
      <c r="O9" s="3"/>
      <c r="P9" s="3"/>
      <c r="Q9" s="3"/>
    </row>
    <row r="10" spans="1:17" ht="15">
      <c r="A10" s="46"/>
      <c r="B10" s="40"/>
      <c r="C10" s="40"/>
      <c r="D10" s="40"/>
      <c r="E10" s="40"/>
      <c r="F10" s="40"/>
      <c r="G10" s="40"/>
      <c r="H10" s="40"/>
      <c r="I10" s="40"/>
      <c r="J10" s="47"/>
      <c r="K10" s="3"/>
      <c r="L10" s="3"/>
      <c r="M10" s="3"/>
      <c r="N10" s="3"/>
      <c r="O10" s="3"/>
      <c r="P10" s="3"/>
      <c r="Q10" s="3"/>
    </row>
    <row r="11" spans="1:17" ht="15">
      <c r="A11" s="46"/>
      <c r="B11" s="40"/>
      <c r="C11" s="40"/>
      <c r="D11" s="40"/>
      <c r="E11" s="40"/>
      <c r="F11" s="40"/>
      <c r="G11" s="40"/>
      <c r="H11" s="40"/>
      <c r="I11" s="40"/>
      <c r="J11" s="47"/>
      <c r="K11" s="3"/>
      <c r="L11" s="3"/>
      <c r="M11" s="3"/>
      <c r="N11" s="3"/>
      <c r="O11" s="3"/>
      <c r="P11" s="3"/>
      <c r="Q11" s="3"/>
    </row>
    <row r="12" spans="1:17" ht="15">
      <c r="A12" s="46"/>
      <c r="B12" s="40"/>
      <c r="C12" s="40"/>
      <c r="D12" s="40"/>
      <c r="E12" s="40"/>
      <c r="F12" s="40"/>
      <c r="G12" s="40"/>
      <c r="H12" s="40"/>
      <c r="I12" s="40"/>
      <c r="J12" s="47"/>
      <c r="K12" s="3"/>
      <c r="L12" s="3"/>
      <c r="M12" s="3"/>
      <c r="N12" s="3"/>
      <c r="O12" s="3"/>
      <c r="P12" s="3"/>
      <c r="Q12" s="3"/>
    </row>
    <row r="13" spans="1:17" ht="15">
      <c r="A13" s="46"/>
      <c r="B13" s="40"/>
      <c r="C13" s="40"/>
      <c r="D13" s="40"/>
      <c r="E13" s="40"/>
      <c r="F13" s="40"/>
      <c r="G13" s="40"/>
      <c r="H13" s="40"/>
      <c r="I13" s="40"/>
      <c r="J13" s="47"/>
      <c r="K13" s="3"/>
      <c r="L13" s="3"/>
      <c r="M13" s="3"/>
      <c r="N13" s="3"/>
      <c r="O13" s="3"/>
      <c r="P13" s="3"/>
      <c r="Q13" s="3"/>
    </row>
    <row r="14" spans="1:17" ht="15">
      <c r="A14" s="46"/>
      <c r="B14" s="40"/>
      <c r="C14" s="40"/>
      <c r="D14" s="40"/>
      <c r="E14" s="40"/>
      <c r="F14" s="40"/>
      <c r="G14" s="40"/>
      <c r="H14" s="40"/>
      <c r="I14" s="40"/>
      <c r="J14" s="47"/>
      <c r="K14" s="3"/>
      <c r="L14" s="3"/>
      <c r="M14" s="3"/>
      <c r="N14" s="3"/>
      <c r="O14" s="3"/>
      <c r="P14" s="3"/>
      <c r="Q14" s="3"/>
    </row>
    <row r="15" spans="1:17" ht="15">
      <c r="A15" s="46"/>
      <c r="B15" s="40"/>
      <c r="C15" s="40"/>
      <c r="D15" s="40"/>
      <c r="E15" s="40"/>
      <c r="F15" s="40"/>
      <c r="G15" s="40"/>
      <c r="H15" s="40"/>
      <c r="I15" s="40"/>
      <c r="J15" s="47"/>
      <c r="K15" s="3"/>
      <c r="L15" s="3"/>
      <c r="M15" s="3"/>
      <c r="N15" s="3"/>
      <c r="O15" s="3"/>
      <c r="P15" s="3"/>
      <c r="Q15" s="3"/>
    </row>
    <row r="16" spans="1:17" ht="15">
      <c r="A16" s="46"/>
      <c r="B16" s="40"/>
      <c r="C16" s="40"/>
      <c r="D16" s="40"/>
      <c r="E16" s="40"/>
      <c r="F16" s="40"/>
      <c r="G16" s="40"/>
      <c r="H16" s="40"/>
      <c r="I16" s="40"/>
      <c r="J16" s="47"/>
      <c r="K16" s="3"/>
      <c r="L16" s="3"/>
      <c r="M16" s="3"/>
      <c r="N16" s="3"/>
      <c r="O16" s="3"/>
      <c r="P16" s="3"/>
      <c r="Q16" s="3"/>
    </row>
    <row r="17" spans="1:17" ht="15">
      <c r="A17" s="46"/>
      <c r="B17" s="40"/>
      <c r="C17" s="40"/>
      <c r="D17" s="40"/>
      <c r="E17" s="40"/>
      <c r="F17" s="40"/>
      <c r="G17" s="40"/>
      <c r="H17" s="40"/>
      <c r="I17" s="40"/>
      <c r="J17" s="47"/>
      <c r="K17" s="3"/>
      <c r="L17" s="3"/>
      <c r="M17" s="3"/>
      <c r="N17" s="3"/>
      <c r="O17" s="3"/>
      <c r="P17" s="3"/>
      <c r="Q17" s="3"/>
    </row>
    <row r="18" spans="1:17" ht="15">
      <c r="A18" s="46"/>
      <c r="B18" s="40"/>
      <c r="C18" s="40"/>
      <c r="D18" s="40"/>
      <c r="E18" s="40"/>
      <c r="F18" s="40"/>
      <c r="G18" s="40"/>
      <c r="H18" s="40"/>
      <c r="I18" s="40"/>
      <c r="J18" s="47"/>
      <c r="K18" s="3"/>
      <c r="L18" s="3"/>
      <c r="M18" s="3"/>
      <c r="N18" s="3"/>
      <c r="O18" s="3"/>
      <c r="P18" s="3"/>
      <c r="Q18" s="3"/>
    </row>
    <row r="19" spans="1:17" ht="15">
      <c r="A19" s="46"/>
      <c r="B19" s="40"/>
      <c r="C19" s="40"/>
      <c r="D19" s="40"/>
      <c r="E19" s="40"/>
      <c r="F19" s="40"/>
      <c r="G19" s="40"/>
      <c r="H19" s="40"/>
      <c r="I19" s="40"/>
      <c r="J19" s="47"/>
      <c r="K19" s="3"/>
      <c r="L19" s="3"/>
      <c r="M19" s="3"/>
      <c r="N19" s="3"/>
      <c r="O19" s="3"/>
      <c r="P19" s="3"/>
      <c r="Q19" s="3"/>
    </row>
    <row r="20" spans="1:17" ht="15">
      <c r="A20" s="46"/>
      <c r="B20" s="40"/>
      <c r="C20" s="40"/>
      <c r="D20" s="40"/>
      <c r="E20" s="40"/>
      <c r="F20" s="40"/>
      <c r="G20" s="40"/>
      <c r="H20" s="40"/>
      <c r="I20" s="40"/>
      <c r="J20" s="47"/>
      <c r="K20" s="3"/>
      <c r="L20" s="3"/>
      <c r="M20" s="3"/>
      <c r="N20" s="3"/>
      <c r="O20" s="3"/>
      <c r="P20" s="3"/>
      <c r="Q20" s="3"/>
    </row>
    <row r="21" spans="1:17" ht="15">
      <c r="A21" s="46"/>
      <c r="B21" s="40"/>
      <c r="C21" s="40"/>
      <c r="D21" s="40"/>
      <c r="E21" s="40"/>
      <c r="F21" s="40"/>
      <c r="G21" s="40"/>
      <c r="H21" s="40"/>
      <c r="I21" s="40"/>
      <c r="J21" s="47"/>
      <c r="K21" s="3"/>
      <c r="L21" s="3"/>
      <c r="M21" s="3"/>
      <c r="N21" s="3"/>
      <c r="O21" s="3"/>
      <c r="P21" s="3"/>
      <c r="Q21" s="3"/>
    </row>
    <row r="22" spans="1:17" ht="15">
      <c r="A22" s="46"/>
      <c r="B22" s="40"/>
      <c r="C22" s="40"/>
      <c r="D22" s="40"/>
      <c r="E22" s="40"/>
      <c r="F22" s="40"/>
      <c r="G22" s="40"/>
      <c r="H22" s="40"/>
      <c r="I22" s="40"/>
      <c r="J22" s="47"/>
      <c r="K22" s="3"/>
      <c r="L22" s="3"/>
      <c r="M22" s="3"/>
      <c r="N22" s="3"/>
      <c r="O22" s="3"/>
      <c r="P22" s="3"/>
      <c r="Q22" s="3"/>
    </row>
    <row r="23" spans="1:17" ht="15">
      <c r="A23" s="46"/>
      <c r="B23" s="40"/>
      <c r="C23" s="40"/>
      <c r="D23" s="40"/>
      <c r="E23" s="40"/>
      <c r="F23" s="40"/>
      <c r="G23" s="40"/>
      <c r="H23" s="40"/>
      <c r="I23" s="40"/>
      <c r="J23" s="47"/>
      <c r="K23" s="3"/>
      <c r="L23" s="3"/>
      <c r="M23" s="3"/>
      <c r="N23" s="3"/>
      <c r="O23" s="3"/>
      <c r="P23" s="3"/>
      <c r="Q23" s="3"/>
    </row>
    <row r="24" spans="1:17" ht="15">
      <c r="A24" s="46"/>
      <c r="B24" s="40"/>
      <c r="C24" s="40"/>
      <c r="D24" s="40"/>
      <c r="E24" s="40"/>
      <c r="F24" s="40"/>
      <c r="G24" s="40"/>
      <c r="H24" s="40"/>
      <c r="I24" s="40"/>
      <c r="J24" s="47"/>
      <c r="K24" s="3"/>
      <c r="L24" s="3"/>
      <c r="M24" s="3"/>
      <c r="N24" s="3"/>
      <c r="O24" s="3"/>
      <c r="P24" s="3"/>
      <c r="Q24" s="3"/>
    </row>
    <row r="25" spans="1:17" ht="15">
      <c r="A25" s="46"/>
      <c r="B25" s="40"/>
      <c r="C25" s="40"/>
      <c r="D25" s="40"/>
      <c r="E25" s="40"/>
      <c r="F25" s="40"/>
      <c r="G25" s="40"/>
      <c r="H25" s="40"/>
      <c r="I25" s="40"/>
      <c r="J25" s="47"/>
      <c r="K25" s="3"/>
      <c r="L25" s="3"/>
      <c r="M25" s="3"/>
      <c r="N25" s="3"/>
      <c r="O25" s="3"/>
      <c r="P25" s="3"/>
      <c r="Q25" s="3"/>
    </row>
    <row r="26" spans="1:17" ht="15">
      <c r="A26" s="46"/>
      <c r="B26" s="40"/>
      <c r="C26" s="40"/>
      <c r="D26" s="40"/>
      <c r="E26" s="40"/>
      <c r="F26" s="40"/>
      <c r="G26" s="40"/>
      <c r="H26" s="40"/>
      <c r="I26" s="40"/>
      <c r="J26" s="47"/>
      <c r="K26" s="3"/>
      <c r="L26" s="3"/>
      <c r="M26" s="3"/>
      <c r="N26" s="3"/>
      <c r="O26" s="3"/>
      <c r="P26" s="3"/>
      <c r="Q26" s="3"/>
    </row>
    <row r="27" spans="1:17" ht="15">
      <c r="A27" s="46"/>
      <c r="B27" s="40"/>
      <c r="C27" s="40"/>
      <c r="D27" s="40"/>
      <c r="E27" s="40"/>
      <c r="F27" s="40"/>
      <c r="G27" s="40"/>
      <c r="H27" s="40"/>
      <c r="I27" s="40"/>
      <c r="J27" s="47"/>
      <c r="K27" s="3"/>
      <c r="L27" s="3"/>
      <c r="M27" s="3"/>
      <c r="N27" s="3"/>
      <c r="O27" s="3"/>
      <c r="P27" s="3"/>
      <c r="Q27" s="3"/>
    </row>
    <row r="28" spans="1:17" ht="15">
      <c r="A28" s="46"/>
      <c r="B28" s="40"/>
      <c r="C28" s="40"/>
      <c r="D28" s="40"/>
      <c r="E28" s="40"/>
      <c r="F28" s="40"/>
      <c r="G28" s="40"/>
      <c r="H28" s="40"/>
      <c r="I28" s="40"/>
      <c r="J28" s="47"/>
      <c r="K28" s="3"/>
      <c r="L28" s="3"/>
      <c r="M28" s="3"/>
      <c r="N28" s="3"/>
      <c r="O28" s="3"/>
      <c r="P28" s="3"/>
      <c r="Q28" s="3"/>
    </row>
    <row r="29" spans="1:17" ht="15">
      <c r="A29" s="46"/>
      <c r="B29" s="40"/>
      <c r="C29" s="40"/>
      <c r="D29" s="40"/>
      <c r="E29" s="40"/>
      <c r="F29" s="40"/>
      <c r="G29" s="40"/>
      <c r="H29" s="40"/>
      <c r="I29" s="40"/>
      <c r="J29" s="47"/>
      <c r="K29" s="3"/>
      <c r="L29" s="3"/>
      <c r="M29" s="3"/>
      <c r="N29" s="3"/>
      <c r="O29" s="3"/>
      <c r="P29" s="3"/>
      <c r="Q29" s="3"/>
    </row>
    <row r="30" spans="1:17" ht="15">
      <c r="A30" s="46"/>
      <c r="B30" s="40"/>
      <c r="C30" s="40"/>
      <c r="D30" s="40"/>
      <c r="E30" s="40"/>
      <c r="F30" s="40"/>
      <c r="G30" s="40"/>
      <c r="H30" s="40"/>
      <c r="I30" s="40"/>
      <c r="J30" s="47"/>
      <c r="K30" s="3"/>
      <c r="L30" s="3"/>
      <c r="M30" s="3"/>
      <c r="N30" s="3"/>
      <c r="O30" s="3"/>
      <c r="P30" s="3"/>
      <c r="Q30" s="3"/>
    </row>
    <row r="31" spans="1:17" ht="15">
      <c r="A31" s="46"/>
      <c r="B31" s="40"/>
      <c r="C31" s="40"/>
      <c r="D31" s="40"/>
      <c r="E31" s="40"/>
      <c r="F31" s="40"/>
      <c r="G31" s="40"/>
      <c r="H31" s="40"/>
      <c r="I31" s="40"/>
      <c r="J31" s="47"/>
      <c r="K31" s="3"/>
      <c r="L31" s="3"/>
      <c r="M31" s="3"/>
      <c r="N31" s="3"/>
      <c r="O31" s="3"/>
      <c r="P31" s="3"/>
      <c r="Q31" s="3"/>
    </row>
    <row r="32" spans="1:17" ht="15">
      <c r="A32" s="46"/>
      <c r="B32" s="40"/>
      <c r="C32" s="40"/>
      <c r="D32" s="40"/>
      <c r="E32" s="40"/>
      <c r="F32" s="40"/>
      <c r="G32" s="40"/>
      <c r="H32" s="40"/>
      <c r="I32" s="40"/>
      <c r="J32" s="47"/>
      <c r="K32" s="3"/>
      <c r="L32" s="3"/>
      <c r="M32" s="3"/>
      <c r="N32" s="3"/>
      <c r="O32" s="3"/>
      <c r="P32" s="3"/>
      <c r="Q32" s="3"/>
    </row>
    <row r="33" spans="1:17" ht="15">
      <c r="A33" s="46"/>
      <c r="B33" s="40"/>
      <c r="C33" s="40"/>
      <c r="D33" s="40"/>
      <c r="E33" s="40"/>
      <c r="F33" s="40"/>
      <c r="G33" s="40"/>
      <c r="H33" s="40"/>
      <c r="I33" s="40"/>
      <c r="J33" s="47"/>
      <c r="K33" s="3"/>
      <c r="L33" s="3"/>
      <c r="M33" s="3"/>
      <c r="N33" s="3"/>
      <c r="O33" s="3"/>
      <c r="P33" s="3"/>
      <c r="Q33" s="3"/>
    </row>
    <row r="34" spans="1:17" ht="15">
      <c r="A34" s="46"/>
      <c r="B34" s="40"/>
      <c r="C34" s="40"/>
      <c r="D34" s="40"/>
      <c r="E34" s="40"/>
      <c r="F34" s="40"/>
      <c r="G34" s="40"/>
      <c r="H34" s="40"/>
      <c r="I34" s="40"/>
      <c r="J34" s="47"/>
      <c r="K34" s="3"/>
      <c r="L34" s="3"/>
      <c r="M34" s="3"/>
      <c r="N34" s="3"/>
      <c r="O34" s="3"/>
      <c r="P34" s="3"/>
      <c r="Q34" s="3"/>
    </row>
    <row r="35" spans="1:17" ht="15">
      <c r="A35" s="46"/>
      <c r="B35" s="40"/>
      <c r="C35" s="40"/>
      <c r="D35" s="40"/>
      <c r="E35" s="40"/>
      <c r="F35" s="40"/>
      <c r="G35" s="40"/>
      <c r="H35" s="40"/>
      <c r="I35" s="40"/>
      <c r="J35" s="47"/>
      <c r="K35" s="3"/>
      <c r="L35" s="3"/>
      <c r="M35" s="3"/>
      <c r="N35" s="3"/>
      <c r="O35" s="3"/>
      <c r="P35" s="3"/>
      <c r="Q35" s="3"/>
    </row>
    <row r="36" spans="1:17" ht="15">
      <c r="A36" s="46"/>
      <c r="B36" s="40"/>
      <c r="C36" s="40"/>
      <c r="D36" s="40"/>
      <c r="E36" s="40"/>
      <c r="F36" s="40"/>
      <c r="G36" s="40"/>
      <c r="H36" s="40"/>
      <c r="I36" s="40"/>
      <c r="J36" s="47"/>
      <c r="K36" s="3"/>
      <c r="L36" s="3"/>
      <c r="M36" s="3"/>
      <c r="N36" s="3"/>
      <c r="O36" s="3"/>
      <c r="P36" s="3"/>
      <c r="Q36" s="3"/>
    </row>
    <row r="37" spans="1:17" ht="15">
      <c r="A37" s="46"/>
      <c r="B37" s="40"/>
      <c r="C37" s="40"/>
      <c r="D37" s="40"/>
      <c r="E37" s="40"/>
      <c r="F37" s="40"/>
      <c r="G37" s="40"/>
      <c r="H37" s="40"/>
      <c r="I37" s="40"/>
      <c r="J37" s="47"/>
      <c r="K37" s="3"/>
      <c r="L37" s="3"/>
      <c r="M37" s="3"/>
      <c r="N37" s="3"/>
      <c r="O37" s="3"/>
      <c r="P37" s="3"/>
      <c r="Q37" s="3"/>
    </row>
    <row r="38" spans="1:17" ht="15">
      <c r="A38" s="46"/>
      <c r="B38" s="40"/>
      <c r="C38" s="40"/>
      <c r="D38" s="40"/>
      <c r="E38" s="40"/>
      <c r="F38" s="40"/>
      <c r="G38" s="40"/>
      <c r="H38" s="40"/>
      <c r="I38" s="40"/>
      <c r="J38" s="47"/>
      <c r="K38" s="3"/>
      <c r="L38" s="3"/>
      <c r="M38" s="3"/>
      <c r="N38" s="3"/>
      <c r="O38" s="3"/>
      <c r="P38" s="3"/>
      <c r="Q38" s="3"/>
    </row>
    <row r="39" spans="1:17" ht="15">
      <c r="A39" s="46"/>
      <c r="B39" s="40"/>
      <c r="C39" s="40"/>
      <c r="D39" s="40"/>
      <c r="E39" s="40"/>
      <c r="F39" s="40"/>
      <c r="G39" s="40"/>
      <c r="H39" s="40"/>
      <c r="I39" s="40"/>
      <c r="J39" s="47"/>
      <c r="K39" s="3"/>
      <c r="L39" s="3"/>
      <c r="M39" s="3"/>
      <c r="N39" s="3"/>
      <c r="O39" s="3"/>
      <c r="P39" s="3"/>
      <c r="Q39" s="3"/>
    </row>
    <row r="40" spans="1:17" ht="15">
      <c r="A40" s="46"/>
      <c r="B40" s="40"/>
      <c r="C40" s="40"/>
      <c r="D40" s="40"/>
      <c r="E40" s="40"/>
      <c r="F40" s="40"/>
      <c r="G40" s="40"/>
      <c r="H40" s="40"/>
      <c r="I40" s="40"/>
      <c r="J40" s="47"/>
      <c r="K40" s="3"/>
      <c r="L40" s="3"/>
      <c r="M40" s="3"/>
      <c r="N40" s="3"/>
      <c r="O40" s="3"/>
      <c r="P40" s="3"/>
      <c r="Q40" s="3"/>
    </row>
    <row r="41" spans="1:17" ht="15">
      <c r="A41" s="46"/>
      <c r="B41" s="40"/>
      <c r="C41" s="40"/>
      <c r="D41" s="40"/>
      <c r="E41" s="40"/>
      <c r="F41" s="40"/>
      <c r="G41" s="40"/>
      <c r="H41" s="40"/>
      <c r="I41" s="40"/>
      <c r="J41" s="47"/>
      <c r="K41" s="3"/>
      <c r="L41" s="3"/>
      <c r="M41" s="3"/>
      <c r="N41" s="3"/>
      <c r="O41" s="3"/>
      <c r="P41" s="3"/>
      <c r="Q41" s="3"/>
    </row>
    <row r="42" spans="1:17" ht="15">
      <c r="A42" s="46"/>
      <c r="B42" s="40"/>
      <c r="C42" s="40"/>
      <c r="D42" s="40"/>
      <c r="E42" s="40"/>
      <c r="F42" s="40"/>
      <c r="G42" s="40"/>
      <c r="H42" s="40"/>
      <c r="I42" s="40"/>
      <c r="J42" s="47"/>
      <c r="K42" s="3"/>
      <c r="L42" s="3"/>
      <c r="M42" s="3"/>
      <c r="N42" s="3"/>
      <c r="O42" s="3"/>
      <c r="P42" s="3"/>
      <c r="Q42" s="3"/>
    </row>
    <row r="43" spans="1:17" ht="15">
      <c r="A43" s="46"/>
      <c r="B43" s="40"/>
      <c r="C43" s="40"/>
      <c r="D43" s="40"/>
      <c r="E43" s="40"/>
      <c r="F43" s="40"/>
      <c r="G43" s="40"/>
      <c r="H43" s="40"/>
      <c r="I43" s="40"/>
      <c r="J43" s="47"/>
      <c r="K43" s="3"/>
      <c r="L43" s="3"/>
      <c r="M43" s="3"/>
      <c r="N43" s="3"/>
      <c r="O43" s="3"/>
      <c r="P43" s="3"/>
      <c r="Q43" s="3"/>
    </row>
    <row r="44" spans="1:17" ht="15">
      <c r="A44" s="46"/>
      <c r="B44" s="40"/>
      <c r="C44" s="40"/>
      <c r="D44" s="40"/>
      <c r="E44" s="40"/>
      <c r="F44" s="40"/>
      <c r="G44" s="40"/>
      <c r="H44" s="40"/>
      <c r="I44" s="40"/>
      <c r="J44" s="47"/>
      <c r="K44" s="3"/>
      <c r="L44" s="3"/>
      <c r="M44" s="3"/>
      <c r="N44" s="3"/>
      <c r="O44" s="3"/>
      <c r="P44" s="3"/>
      <c r="Q44" s="3"/>
    </row>
    <row r="45" spans="1:17" ht="15">
      <c r="A45" s="46"/>
      <c r="B45" s="40"/>
      <c r="C45" s="40"/>
      <c r="D45" s="40"/>
      <c r="E45" s="40"/>
      <c r="F45" s="40"/>
      <c r="G45" s="40"/>
      <c r="H45" s="40"/>
      <c r="I45" s="40"/>
      <c r="J45" s="47"/>
      <c r="K45" s="3"/>
      <c r="L45" s="3"/>
      <c r="M45" s="3"/>
      <c r="N45" s="3"/>
      <c r="O45" s="3"/>
      <c r="P45" s="3"/>
      <c r="Q45" s="3"/>
    </row>
    <row r="46" spans="1:17" ht="15">
      <c r="A46" s="46"/>
      <c r="B46" s="40"/>
      <c r="C46" s="40"/>
      <c r="D46" s="40"/>
      <c r="E46" s="40"/>
      <c r="F46" s="40"/>
      <c r="G46" s="40"/>
      <c r="H46" s="40"/>
      <c r="I46" s="40"/>
      <c r="J46" s="47"/>
      <c r="K46" s="3"/>
      <c r="L46" s="3"/>
      <c r="M46" s="3"/>
      <c r="N46" s="3"/>
      <c r="O46" s="3"/>
      <c r="P46" s="3"/>
      <c r="Q46" s="3"/>
    </row>
    <row r="47" spans="1:17" ht="15">
      <c r="A47" s="46"/>
      <c r="B47" s="40"/>
      <c r="C47" s="40"/>
      <c r="D47" s="40"/>
      <c r="E47" s="40"/>
      <c r="F47" s="40"/>
      <c r="G47" s="40"/>
      <c r="H47" s="40"/>
      <c r="I47" s="40"/>
      <c r="J47" s="47"/>
      <c r="K47" s="3"/>
      <c r="L47" s="3"/>
      <c r="M47" s="3"/>
      <c r="N47" s="3"/>
      <c r="O47" s="3"/>
      <c r="P47" s="3"/>
      <c r="Q47" s="3"/>
    </row>
    <row r="48" spans="1:17" ht="15">
      <c r="A48" s="46"/>
      <c r="B48" s="40"/>
      <c r="C48" s="40"/>
      <c r="D48" s="40"/>
      <c r="E48" s="40"/>
      <c r="F48" s="40"/>
      <c r="G48" s="40"/>
      <c r="H48" s="40"/>
      <c r="I48" s="40"/>
      <c r="J48" s="47"/>
      <c r="K48" s="3"/>
      <c r="L48" s="3"/>
      <c r="M48" s="3"/>
      <c r="N48" s="3"/>
      <c r="O48" s="3"/>
      <c r="P48" s="3"/>
      <c r="Q48" s="3"/>
    </row>
    <row r="49" spans="1:17" ht="15">
      <c r="A49" s="46"/>
      <c r="B49" s="40"/>
      <c r="C49" s="40"/>
      <c r="D49" s="40"/>
      <c r="E49" s="40"/>
      <c r="F49" s="40"/>
      <c r="G49" s="40"/>
      <c r="H49" s="40"/>
      <c r="I49" s="40"/>
      <c r="J49" s="47"/>
      <c r="K49" s="3"/>
      <c r="L49" s="3"/>
      <c r="M49" s="3"/>
      <c r="N49" s="3"/>
      <c r="O49" s="3"/>
      <c r="P49" s="3"/>
      <c r="Q49" s="3"/>
    </row>
    <row r="50" spans="1:17" ht="15">
      <c r="A50" s="46"/>
      <c r="B50" s="40"/>
      <c r="C50" s="40"/>
      <c r="D50" s="40"/>
      <c r="E50" s="40"/>
      <c r="F50" s="40"/>
      <c r="G50" s="40"/>
      <c r="H50" s="40"/>
      <c r="I50" s="40"/>
      <c r="J50" s="47"/>
      <c r="K50" s="3"/>
      <c r="L50" s="3"/>
      <c r="M50" s="3"/>
      <c r="N50" s="3"/>
      <c r="O50" s="3"/>
      <c r="P50" s="3"/>
      <c r="Q50" s="3"/>
    </row>
    <row r="51" spans="1:17" ht="15">
      <c r="A51" s="46"/>
      <c r="B51" s="40"/>
      <c r="C51" s="40"/>
      <c r="D51" s="40"/>
      <c r="E51" s="40"/>
      <c r="F51" s="40"/>
      <c r="G51" s="40"/>
      <c r="H51" s="40"/>
      <c r="I51" s="40"/>
      <c r="J51" s="47"/>
      <c r="K51" s="3"/>
      <c r="L51" s="3"/>
      <c r="M51" s="3"/>
      <c r="N51" s="3"/>
      <c r="O51" s="3"/>
      <c r="P51" s="3"/>
      <c r="Q51" s="3"/>
    </row>
    <row r="52" spans="1:17" ht="15">
      <c r="A52" s="46"/>
      <c r="B52" s="40"/>
      <c r="C52" s="40"/>
      <c r="D52" s="40"/>
      <c r="E52" s="40"/>
      <c r="F52" s="40"/>
      <c r="G52" s="40"/>
      <c r="H52" s="40"/>
      <c r="I52" s="40"/>
      <c r="J52" s="47"/>
      <c r="K52" s="3"/>
      <c r="L52" s="3"/>
      <c r="M52" s="3"/>
      <c r="N52" s="3"/>
      <c r="O52" s="3"/>
      <c r="P52" s="3"/>
      <c r="Q52" s="3"/>
    </row>
    <row r="53" spans="1:17" ht="15">
      <c r="A53" s="46"/>
      <c r="B53" s="40"/>
      <c r="C53" s="40"/>
      <c r="D53" s="40"/>
      <c r="E53" s="40"/>
      <c r="F53" s="40"/>
      <c r="G53" s="40"/>
      <c r="H53" s="40"/>
      <c r="I53" s="40"/>
      <c r="J53" s="47"/>
      <c r="K53" s="3"/>
      <c r="L53" s="3"/>
      <c r="M53" s="3"/>
      <c r="N53" s="3"/>
      <c r="O53" s="3"/>
      <c r="P53" s="3"/>
      <c r="Q53" s="3"/>
    </row>
    <row r="54" spans="1:17" ht="15">
      <c r="A54" s="46"/>
      <c r="B54" s="40"/>
      <c r="C54" s="40"/>
      <c r="D54" s="40"/>
      <c r="E54" s="40"/>
      <c r="F54" s="40"/>
      <c r="G54" s="40"/>
      <c r="H54" s="40"/>
      <c r="I54" s="40"/>
      <c r="J54" s="47"/>
      <c r="K54" s="3"/>
      <c r="L54" s="3"/>
      <c r="M54" s="3"/>
      <c r="N54" s="3"/>
      <c r="O54" s="3"/>
      <c r="P54" s="3"/>
      <c r="Q54" s="3"/>
    </row>
    <row r="55" spans="1:17" ht="15">
      <c r="A55" s="46"/>
      <c r="B55" s="40"/>
      <c r="C55" s="40"/>
      <c r="D55" s="40"/>
      <c r="E55" s="40"/>
      <c r="F55" s="40"/>
      <c r="G55" s="40"/>
      <c r="H55" s="40"/>
      <c r="I55" s="40"/>
      <c r="J55" s="47"/>
      <c r="K55" s="3"/>
      <c r="L55" s="3"/>
      <c r="M55" s="3"/>
      <c r="N55" s="3"/>
      <c r="O55" s="3"/>
      <c r="P55" s="3"/>
      <c r="Q55" s="3"/>
    </row>
    <row r="56" spans="1:17" ht="15">
      <c r="A56" s="46"/>
      <c r="B56" s="40"/>
      <c r="C56" s="40"/>
      <c r="D56" s="40"/>
      <c r="E56" s="40"/>
      <c r="F56" s="40"/>
      <c r="G56" s="40"/>
      <c r="H56" s="40"/>
      <c r="I56" s="40"/>
      <c r="J56" s="47"/>
      <c r="K56" s="3"/>
      <c r="L56" s="3"/>
      <c r="M56" s="3"/>
      <c r="N56" s="3"/>
      <c r="O56" s="3"/>
      <c r="P56" s="3"/>
      <c r="Q56" s="3"/>
    </row>
    <row r="57" spans="1:17" ht="15">
      <c r="A57" s="46"/>
      <c r="B57" s="40"/>
      <c r="C57" s="40"/>
      <c r="D57" s="40"/>
      <c r="E57" s="40"/>
      <c r="F57" s="40"/>
      <c r="G57" s="40"/>
      <c r="H57" s="40"/>
      <c r="I57" s="40"/>
      <c r="J57" s="47"/>
      <c r="K57" s="3"/>
      <c r="L57" s="3"/>
      <c r="M57" s="3"/>
      <c r="N57" s="3"/>
      <c r="O57" s="3"/>
      <c r="P57" s="3"/>
      <c r="Q57" s="3"/>
    </row>
    <row r="58" spans="1:17" ht="15">
      <c r="A58" s="46"/>
      <c r="B58" s="40"/>
      <c r="C58" s="40"/>
      <c r="D58" s="40"/>
      <c r="E58" s="40"/>
      <c r="F58" s="40"/>
      <c r="G58" s="40"/>
      <c r="H58" s="40"/>
      <c r="I58" s="40"/>
      <c r="J58" s="47"/>
      <c r="K58" s="3"/>
      <c r="L58" s="3"/>
      <c r="M58" s="3"/>
      <c r="N58" s="3"/>
      <c r="O58" s="3"/>
      <c r="P58" s="3"/>
      <c r="Q58" s="3"/>
    </row>
    <row r="59" spans="1:17" ht="15">
      <c r="A59" s="46"/>
      <c r="B59" s="40"/>
      <c r="C59" s="40"/>
      <c r="D59" s="40"/>
      <c r="E59" s="40"/>
      <c r="F59" s="40"/>
      <c r="G59" s="40"/>
      <c r="H59" s="40"/>
      <c r="I59" s="40"/>
      <c r="J59" s="47"/>
      <c r="K59" s="3"/>
      <c r="L59" s="3"/>
      <c r="M59" s="3"/>
      <c r="N59" s="3"/>
      <c r="O59" s="3"/>
      <c r="P59" s="3"/>
      <c r="Q59" s="3"/>
    </row>
    <row r="60" spans="1:17" ht="15">
      <c r="A60" s="46"/>
      <c r="B60" s="40"/>
      <c r="C60" s="40"/>
      <c r="D60" s="40"/>
      <c r="E60" s="40"/>
      <c r="F60" s="40"/>
      <c r="G60" s="40"/>
      <c r="H60" s="40"/>
      <c r="I60" s="40"/>
      <c r="J60" s="47"/>
      <c r="K60" s="3"/>
      <c r="L60" s="3"/>
      <c r="M60" s="3"/>
      <c r="N60" s="3"/>
      <c r="O60" s="3"/>
      <c r="P60" s="3"/>
      <c r="Q60" s="3"/>
    </row>
    <row r="61" spans="1:17" ht="15">
      <c r="A61" s="46"/>
      <c r="B61" s="40"/>
      <c r="C61" s="40"/>
      <c r="D61" s="40"/>
      <c r="E61" s="40"/>
      <c r="F61" s="40"/>
      <c r="G61" s="40"/>
      <c r="H61" s="40"/>
      <c r="I61" s="40"/>
      <c r="J61" s="47"/>
      <c r="K61" s="3"/>
      <c r="L61" s="3"/>
      <c r="M61" s="3"/>
      <c r="N61" s="3"/>
      <c r="O61" s="3"/>
      <c r="P61" s="3"/>
      <c r="Q61" s="3"/>
    </row>
    <row r="62" spans="1:17" ht="15">
      <c r="A62" s="46"/>
      <c r="B62" s="40"/>
      <c r="C62" s="40"/>
      <c r="D62" s="40"/>
      <c r="E62" s="40"/>
      <c r="F62" s="40"/>
      <c r="G62" s="40"/>
      <c r="H62" s="40"/>
      <c r="I62" s="40"/>
      <c r="J62" s="47"/>
      <c r="K62" s="3"/>
      <c r="L62" s="3"/>
      <c r="M62" s="3"/>
      <c r="N62" s="3"/>
      <c r="O62" s="3"/>
      <c r="P62" s="3"/>
      <c r="Q62" s="3"/>
    </row>
    <row r="63" spans="1:17" ht="15">
      <c r="A63" s="46"/>
      <c r="B63" s="40"/>
      <c r="C63" s="40"/>
      <c r="D63" s="40"/>
      <c r="E63" s="40"/>
      <c r="F63" s="40"/>
      <c r="G63" s="40"/>
      <c r="H63" s="40"/>
      <c r="I63" s="40"/>
      <c r="J63" s="47"/>
      <c r="K63" s="3"/>
      <c r="L63" s="3"/>
      <c r="M63" s="3"/>
      <c r="N63" s="3"/>
      <c r="O63" s="3"/>
      <c r="P63" s="3"/>
      <c r="Q63" s="3"/>
    </row>
    <row r="64" spans="1:17" ht="15">
      <c r="A64" s="46"/>
      <c r="B64" s="40"/>
      <c r="C64" s="40"/>
      <c r="D64" s="40"/>
      <c r="E64" s="40"/>
      <c r="F64" s="40"/>
      <c r="G64" s="40"/>
      <c r="H64" s="40"/>
      <c r="I64" s="40"/>
      <c r="J64" s="47"/>
      <c r="K64" s="3"/>
      <c r="L64" s="3"/>
      <c r="M64" s="3"/>
      <c r="N64" s="3"/>
      <c r="O64" s="3"/>
      <c r="P64" s="3"/>
      <c r="Q64" s="3"/>
    </row>
    <row r="65" spans="1:17" ht="15">
      <c r="A65" s="46"/>
      <c r="B65" s="40"/>
      <c r="C65" s="40"/>
      <c r="D65" s="40"/>
      <c r="E65" s="40"/>
      <c r="F65" s="40"/>
      <c r="G65" s="40"/>
      <c r="H65" s="40"/>
      <c r="I65" s="40"/>
      <c r="J65" s="47"/>
      <c r="K65" s="3"/>
      <c r="L65" s="3"/>
      <c r="M65" s="3"/>
      <c r="N65" s="3"/>
      <c r="O65" s="3"/>
      <c r="P65" s="3"/>
      <c r="Q65" s="3"/>
    </row>
    <row r="66" spans="1:17" ht="15">
      <c r="A66" s="46"/>
      <c r="B66" s="40"/>
      <c r="C66" s="40"/>
      <c r="D66" s="40"/>
      <c r="E66" s="40"/>
      <c r="F66" s="40"/>
      <c r="G66" s="40"/>
      <c r="H66" s="40"/>
      <c r="I66" s="40"/>
      <c r="J66" s="47"/>
      <c r="K66" s="3"/>
      <c r="L66" s="3"/>
      <c r="M66" s="3"/>
      <c r="N66" s="3"/>
      <c r="O66" s="3"/>
      <c r="P66" s="3"/>
      <c r="Q66" s="3"/>
    </row>
    <row r="67" spans="1:17" ht="15">
      <c r="A67" s="46"/>
      <c r="B67" s="40"/>
      <c r="C67" s="40"/>
      <c r="D67" s="40"/>
      <c r="E67" s="40"/>
      <c r="F67" s="40"/>
      <c r="G67" s="40"/>
      <c r="H67" s="40"/>
      <c r="I67" s="40"/>
      <c r="J67" s="47"/>
      <c r="K67" s="3"/>
      <c r="L67" s="3"/>
      <c r="M67" s="3"/>
      <c r="N67" s="3"/>
      <c r="O67" s="3"/>
      <c r="P67" s="3"/>
      <c r="Q67" s="3"/>
    </row>
    <row r="68" spans="1:17" ht="15">
      <c r="A68" s="46"/>
      <c r="B68" s="40"/>
      <c r="C68" s="40"/>
      <c r="D68" s="40"/>
      <c r="E68" s="40"/>
      <c r="F68" s="40"/>
      <c r="G68" s="40"/>
      <c r="H68" s="40"/>
      <c r="I68" s="40"/>
      <c r="J68" s="47"/>
      <c r="K68" s="3"/>
      <c r="L68" s="3"/>
      <c r="M68" s="3"/>
      <c r="N68" s="3"/>
      <c r="O68" s="3"/>
      <c r="P68" s="3"/>
      <c r="Q68" s="3"/>
    </row>
    <row r="69" spans="1:17" ht="15">
      <c r="A69" s="46"/>
      <c r="B69" s="40"/>
      <c r="C69" s="40"/>
      <c r="D69" s="40"/>
      <c r="E69" s="40"/>
      <c r="F69" s="40"/>
      <c r="G69" s="40"/>
      <c r="H69" s="40"/>
      <c r="I69" s="40"/>
      <c r="J69" s="47"/>
      <c r="K69" s="3"/>
      <c r="L69" s="3"/>
      <c r="M69" s="3"/>
      <c r="N69" s="3"/>
      <c r="O69" s="3"/>
      <c r="P69" s="3"/>
      <c r="Q69" s="3"/>
    </row>
    <row r="70" spans="1:17" ht="15">
      <c r="A70" s="46"/>
      <c r="B70" s="40"/>
      <c r="C70" s="40"/>
      <c r="D70" s="40"/>
      <c r="E70" s="40"/>
      <c r="F70" s="40"/>
      <c r="G70" s="40"/>
      <c r="H70" s="40"/>
      <c r="I70" s="40"/>
      <c r="J70" s="47"/>
      <c r="K70" s="3"/>
      <c r="L70" s="3"/>
      <c r="M70" s="3"/>
      <c r="N70" s="3"/>
      <c r="O70" s="3"/>
      <c r="P70" s="3"/>
      <c r="Q70" s="3"/>
    </row>
    <row r="71" spans="1:17" ht="15">
      <c r="A71" s="46"/>
      <c r="B71" s="40"/>
      <c r="C71" s="40"/>
      <c r="D71" s="40"/>
      <c r="E71" s="40"/>
      <c r="F71" s="40"/>
      <c r="G71" s="40"/>
      <c r="H71" s="40"/>
      <c r="I71" s="40"/>
      <c r="J71" s="47"/>
      <c r="K71" s="3"/>
      <c r="L71" s="3"/>
      <c r="M71" s="3"/>
      <c r="N71" s="3"/>
      <c r="O71" s="3"/>
      <c r="P71" s="3"/>
      <c r="Q71" s="3"/>
    </row>
    <row r="72" spans="1:17" ht="15">
      <c r="A72" s="46"/>
      <c r="B72" s="40"/>
      <c r="C72" s="40"/>
      <c r="D72" s="40"/>
      <c r="E72" s="40"/>
      <c r="F72" s="40"/>
      <c r="G72" s="40"/>
      <c r="H72" s="40"/>
      <c r="I72" s="40"/>
      <c r="J72" s="47"/>
      <c r="K72" s="3"/>
      <c r="L72" s="3"/>
      <c r="M72" s="3"/>
      <c r="N72" s="3"/>
      <c r="O72" s="3"/>
      <c r="P72" s="3"/>
      <c r="Q72" s="3"/>
    </row>
    <row r="73" spans="1:17" ht="15">
      <c r="A73" s="46"/>
      <c r="B73" s="40"/>
      <c r="C73" s="40"/>
      <c r="D73" s="40"/>
      <c r="E73" s="40"/>
      <c r="F73" s="40"/>
      <c r="G73" s="40"/>
      <c r="H73" s="40"/>
      <c r="I73" s="40"/>
      <c r="J73" s="47"/>
      <c r="K73" s="3"/>
      <c r="L73" s="3"/>
      <c r="M73" s="3"/>
      <c r="N73" s="3"/>
      <c r="O73" s="3"/>
      <c r="P73" s="3"/>
      <c r="Q73" s="3"/>
    </row>
    <row r="74" spans="1:17" ht="15">
      <c r="A74" s="46"/>
      <c r="B74" s="40"/>
      <c r="C74" s="40"/>
      <c r="D74" s="40"/>
      <c r="E74" s="40"/>
      <c r="F74" s="40"/>
      <c r="G74" s="40"/>
      <c r="H74" s="40"/>
      <c r="I74" s="40"/>
      <c r="J74" s="47"/>
      <c r="K74" s="3"/>
      <c r="L74" s="3"/>
      <c r="M74" s="3"/>
      <c r="N74" s="3"/>
      <c r="O74" s="3"/>
      <c r="P74" s="3"/>
      <c r="Q74" s="3"/>
    </row>
    <row r="75" spans="1:17" ht="15">
      <c r="A75" s="46"/>
      <c r="B75" s="40"/>
      <c r="C75" s="40"/>
      <c r="D75" s="40"/>
      <c r="E75" s="40"/>
      <c r="F75" s="40"/>
      <c r="G75" s="40"/>
      <c r="H75" s="40"/>
      <c r="I75" s="40"/>
      <c r="J75" s="47"/>
      <c r="K75" s="3"/>
      <c r="L75" s="3"/>
      <c r="M75" s="3"/>
      <c r="N75" s="3"/>
      <c r="O75" s="3"/>
      <c r="P75" s="3"/>
      <c r="Q75" s="3"/>
    </row>
    <row r="76" spans="1:17" ht="15">
      <c r="A76" s="46"/>
      <c r="B76" s="40"/>
      <c r="C76" s="40"/>
      <c r="D76" s="40"/>
      <c r="E76" s="40"/>
      <c r="F76" s="40"/>
      <c r="G76" s="40"/>
      <c r="H76" s="40"/>
      <c r="I76" s="40"/>
      <c r="J76" s="47"/>
      <c r="K76" s="3"/>
      <c r="L76" s="3"/>
      <c r="M76" s="3"/>
      <c r="N76" s="3"/>
      <c r="O76" s="3"/>
      <c r="P76" s="3"/>
      <c r="Q76" s="3"/>
    </row>
    <row r="77" spans="1:17" ht="15">
      <c r="A77" s="46"/>
      <c r="B77" s="40"/>
      <c r="C77" s="40"/>
      <c r="D77" s="40"/>
      <c r="E77" s="40"/>
      <c r="F77" s="40"/>
      <c r="G77" s="40"/>
      <c r="H77" s="40"/>
      <c r="I77" s="40"/>
      <c r="J77" s="47"/>
      <c r="K77" s="3"/>
      <c r="L77" s="3"/>
      <c r="M77" s="3"/>
      <c r="N77" s="3"/>
      <c r="O77" s="3"/>
      <c r="P77" s="3"/>
      <c r="Q77" s="3"/>
    </row>
    <row r="78" spans="1:17" ht="15">
      <c r="A78" s="46"/>
      <c r="B78" s="40"/>
      <c r="C78" s="40"/>
      <c r="D78" s="40"/>
      <c r="E78" s="40"/>
      <c r="F78" s="40"/>
      <c r="G78" s="40"/>
      <c r="H78" s="40"/>
      <c r="I78" s="40"/>
      <c r="J78" s="47"/>
      <c r="K78" s="3"/>
      <c r="L78" s="3"/>
      <c r="M78" s="3"/>
      <c r="N78" s="3"/>
      <c r="O78" s="3"/>
      <c r="P78" s="3"/>
      <c r="Q78" s="3"/>
    </row>
    <row r="79" spans="1:17" ht="15">
      <c r="A79" s="46"/>
      <c r="B79" s="40"/>
      <c r="C79" s="40"/>
      <c r="D79" s="40"/>
      <c r="E79" s="40"/>
      <c r="F79" s="40"/>
      <c r="G79" s="40"/>
      <c r="H79" s="40"/>
      <c r="I79" s="40"/>
      <c r="J79" s="47"/>
      <c r="K79" s="3"/>
      <c r="L79" s="3"/>
      <c r="M79" s="3"/>
      <c r="N79" s="3"/>
      <c r="O79" s="3"/>
      <c r="P79" s="3"/>
      <c r="Q79" s="3"/>
    </row>
    <row r="80" spans="1:17" ht="15">
      <c r="A80" s="46"/>
      <c r="B80" s="40"/>
      <c r="C80" s="40"/>
      <c r="D80" s="40"/>
      <c r="E80" s="40"/>
      <c r="F80" s="40"/>
      <c r="G80" s="40"/>
      <c r="H80" s="40"/>
      <c r="I80" s="40"/>
      <c r="J80" s="47"/>
      <c r="K80" s="3"/>
      <c r="L80" s="3"/>
      <c r="M80" s="3"/>
      <c r="N80" s="3"/>
      <c r="O80" s="3"/>
      <c r="P80" s="3"/>
      <c r="Q80" s="3"/>
    </row>
    <row r="81" spans="1:17" ht="15">
      <c r="A81" s="46"/>
      <c r="B81" s="40"/>
      <c r="C81" s="40"/>
      <c r="D81" s="40"/>
      <c r="E81" s="40"/>
      <c r="F81" s="40"/>
      <c r="G81" s="40"/>
      <c r="H81" s="40"/>
      <c r="I81" s="40"/>
      <c r="J81" s="47"/>
      <c r="K81" s="3"/>
      <c r="L81" s="3"/>
      <c r="M81" s="3"/>
      <c r="N81" s="3"/>
      <c r="O81" s="3"/>
      <c r="P81" s="3"/>
      <c r="Q81" s="3"/>
    </row>
    <row r="82" spans="1:17" ht="15">
      <c r="A82" s="46"/>
      <c r="B82" s="40"/>
      <c r="C82" s="40"/>
      <c r="D82" s="40"/>
      <c r="E82" s="40"/>
      <c r="F82" s="40"/>
      <c r="G82" s="40"/>
      <c r="H82" s="40"/>
      <c r="I82" s="40"/>
      <c r="J82" s="47"/>
      <c r="K82" s="3"/>
      <c r="L82" s="3"/>
      <c r="M82" s="3"/>
      <c r="N82" s="3"/>
      <c r="O82" s="3"/>
      <c r="P82" s="3"/>
      <c r="Q82" s="3"/>
    </row>
    <row r="83" spans="1:17" ht="15">
      <c r="A83" s="46"/>
      <c r="B83" s="40"/>
      <c r="C83" s="40"/>
      <c r="D83" s="40"/>
      <c r="E83" s="40"/>
      <c r="F83" s="40"/>
      <c r="G83" s="40"/>
      <c r="H83" s="40"/>
      <c r="I83" s="40"/>
      <c r="J83" s="47"/>
      <c r="K83" s="3"/>
      <c r="L83" s="3"/>
      <c r="M83" s="3"/>
      <c r="N83" s="3"/>
      <c r="O83" s="3"/>
      <c r="P83" s="3"/>
      <c r="Q83" s="3"/>
    </row>
    <row r="84" spans="1:17" ht="15">
      <c r="A84" s="46"/>
      <c r="B84" s="40"/>
      <c r="C84" s="40"/>
      <c r="D84" s="40"/>
      <c r="E84" s="40"/>
      <c r="F84" s="40"/>
      <c r="G84" s="40"/>
      <c r="H84" s="40"/>
      <c r="I84" s="40"/>
      <c r="J84" s="47"/>
      <c r="K84" s="3"/>
      <c r="L84" s="3"/>
      <c r="M84" s="3"/>
      <c r="N84" s="3"/>
      <c r="O84" s="3"/>
      <c r="P84" s="3"/>
      <c r="Q84" s="3"/>
    </row>
    <row r="85" spans="1:17" ht="15">
      <c r="A85" s="46"/>
      <c r="B85" s="40"/>
      <c r="C85" s="40"/>
      <c r="D85" s="40"/>
      <c r="E85" s="40"/>
      <c r="F85" s="40"/>
      <c r="G85" s="40"/>
      <c r="H85" s="40"/>
      <c r="I85" s="40"/>
      <c r="J85" s="47"/>
      <c r="K85" s="3"/>
      <c r="L85" s="3"/>
      <c r="M85" s="3"/>
      <c r="N85" s="3"/>
      <c r="O85" s="3"/>
      <c r="P85" s="3"/>
      <c r="Q85" s="3"/>
    </row>
    <row r="86" spans="1:17" ht="15">
      <c r="A86" s="46"/>
      <c r="B86" s="40"/>
      <c r="C86" s="40"/>
      <c r="D86" s="40"/>
      <c r="E86" s="40"/>
      <c r="F86" s="40"/>
      <c r="G86" s="40"/>
      <c r="H86" s="40"/>
      <c r="I86" s="40"/>
      <c r="J86" s="47"/>
      <c r="K86" s="3"/>
      <c r="L86" s="3"/>
      <c r="M86" s="3"/>
      <c r="N86" s="3"/>
      <c r="O86" s="3"/>
      <c r="P86" s="3"/>
      <c r="Q86" s="3"/>
    </row>
    <row r="87" spans="1:17" ht="15">
      <c r="A87" s="46"/>
      <c r="B87" s="40"/>
      <c r="C87" s="40"/>
      <c r="D87" s="40"/>
      <c r="E87" s="40"/>
      <c r="F87" s="40"/>
      <c r="G87" s="40"/>
      <c r="H87" s="40"/>
      <c r="I87" s="40"/>
      <c r="J87" s="47"/>
      <c r="K87" s="3"/>
      <c r="L87" s="3"/>
      <c r="M87" s="3"/>
      <c r="N87" s="3"/>
      <c r="O87" s="3"/>
      <c r="P87" s="3"/>
      <c r="Q87" s="3"/>
    </row>
    <row r="88" spans="1:17" ht="15">
      <c r="A88" s="46"/>
      <c r="B88" s="40"/>
      <c r="C88" s="40"/>
      <c r="D88" s="40"/>
      <c r="E88" s="40"/>
      <c r="F88" s="40"/>
      <c r="G88" s="40"/>
      <c r="H88" s="40"/>
      <c r="I88" s="40"/>
      <c r="J88" s="47"/>
      <c r="K88" s="3"/>
      <c r="L88" s="3"/>
      <c r="M88" s="3"/>
      <c r="N88" s="3"/>
      <c r="O88" s="3"/>
      <c r="P88" s="3"/>
      <c r="Q88" s="3"/>
    </row>
    <row r="89" spans="1:17" ht="15">
      <c r="A89" s="46"/>
      <c r="B89" s="40"/>
      <c r="C89" s="40"/>
      <c r="D89" s="40"/>
      <c r="E89" s="40"/>
      <c r="F89" s="40"/>
      <c r="G89" s="40"/>
      <c r="H89" s="40"/>
      <c r="I89" s="40"/>
      <c r="J89" s="47"/>
      <c r="K89" s="3"/>
      <c r="L89" s="3"/>
      <c r="M89" s="3"/>
      <c r="N89" s="3"/>
      <c r="O89" s="3"/>
      <c r="P89" s="3"/>
      <c r="Q89" s="3"/>
    </row>
    <row r="90" spans="1:17" ht="15">
      <c r="A90" s="46"/>
      <c r="B90" s="40"/>
      <c r="C90" s="40"/>
      <c r="D90" s="40"/>
      <c r="E90" s="40"/>
      <c r="F90" s="40"/>
      <c r="G90" s="40"/>
      <c r="H90" s="40"/>
      <c r="I90" s="40"/>
      <c r="J90" s="47"/>
      <c r="K90" s="3"/>
      <c r="L90" s="3"/>
      <c r="M90" s="3"/>
      <c r="N90" s="3"/>
      <c r="O90" s="3"/>
      <c r="P90" s="3"/>
      <c r="Q90" s="3"/>
    </row>
    <row r="91" spans="1:17" ht="15">
      <c r="A91" s="46"/>
      <c r="B91" s="40"/>
      <c r="C91" s="40"/>
      <c r="D91" s="40"/>
      <c r="E91" s="40"/>
      <c r="F91" s="40"/>
      <c r="G91" s="40"/>
      <c r="H91" s="40"/>
      <c r="I91" s="40"/>
      <c r="J91" s="47"/>
      <c r="K91" s="3"/>
      <c r="L91" s="3"/>
      <c r="M91" s="3"/>
      <c r="N91" s="3"/>
      <c r="O91" s="3"/>
      <c r="P91" s="3"/>
      <c r="Q91" s="3"/>
    </row>
    <row r="92" spans="1:17" ht="15">
      <c r="A92" s="46"/>
      <c r="B92" s="40"/>
      <c r="C92" s="40"/>
      <c r="D92" s="40"/>
      <c r="E92" s="40"/>
      <c r="F92" s="40"/>
      <c r="G92" s="40"/>
      <c r="H92" s="40"/>
      <c r="I92" s="40"/>
      <c r="J92" s="47"/>
      <c r="K92" s="3"/>
      <c r="L92" s="3"/>
      <c r="M92" s="3"/>
      <c r="N92" s="3"/>
      <c r="O92" s="3"/>
      <c r="P92" s="3"/>
      <c r="Q92" s="3"/>
    </row>
    <row r="93" spans="1:17" ht="15">
      <c r="A93" s="46"/>
      <c r="B93" s="40"/>
      <c r="C93" s="40"/>
      <c r="D93" s="40"/>
      <c r="E93" s="40"/>
      <c r="F93" s="40"/>
      <c r="G93" s="40"/>
      <c r="H93" s="40"/>
      <c r="I93" s="40"/>
      <c r="J93" s="47"/>
      <c r="K93" s="3"/>
      <c r="L93" s="3"/>
      <c r="M93" s="3"/>
      <c r="N93" s="3"/>
      <c r="O93" s="3"/>
      <c r="P93" s="3"/>
      <c r="Q93" s="3"/>
    </row>
    <row r="94" spans="1:17" ht="15">
      <c r="A94" s="46"/>
      <c r="B94" s="40"/>
      <c r="C94" s="40"/>
      <c r="D94" s="40"/>
      <c r="E94" s="40"/>
      <c r="F94" s="40"/>
      <c r="G94" s="40"/>
      <c r="H94" s="40"/>
      <c r="I94" s="40"/>
      <c r="J94" s="47"/>
      <c r="K94" s="3"/>
      <c r="L94" s="3"/>
      <c r="M94" s="3"/>
      <c r="N94" s="3"/>
      <c r="O94" s="3"/>
      <c r="P94" s="3"/>
      <c r="Q94" s="3"/>
    </row>
    <row r="95" spans="1:17" ht="15">
      <c r="A95" s="46"/>
      <c r="B95" s="40"/>
      <c r="C95" s="40"/>
      <c r="D95" s="40"/>
      <c r="E95" s="40"/>
      <c r="F95" s="40"/>
      <c r="G95" s="40"/>
      <c r="H95" s="40"/>
      <c r="I95" s="40"/>
      <c r="J95" s="47"/>
      <c r="K95" s="3"/>
      <c r="L95" s="3"/>
      <c r="M95" s="3"/>
      <c r="N95" s="3"/>
      <c r="O95" s="3"/>
      <c r="P95" s="3"/>
      <c r="Q95" s="3"/>
    </row>
    <row r="96" spans="1:17" ht="15">
      <c r="A96" s="46"/>
      <c r="B96" s="40"/>
      <c r="C96" s="40"/>
      <c r="D96" s="40"/>
      <c r="E96" s="40"/>
      <c r="F96" s="40"/>
      <c r="G96" s="40"/>
      <c r="H96" s="40"/>
      <c r="I96" s="40"/>
      <c r="J96" s="47"/>
      <c r="K96" s="3"/>
      <c r="L96" s="3"/>
      <c r="M96" s="3"/>
      <c r="N96" s="3"/>
      <c r="O96" s="3"/>
      <c r="P96" s="3"/>
      <c r="Q96" s="3"/>
    </row>
    <row r="97" spans="1:17" ht="15">
      <c r="A97" s="46"/>
      <c r="B97" s="40"/>
      <c r="C97" s="40"/>
      <c r="D97" s="40"/>
      <c r="E97" s="40"/>
      <c r="F97" s="40"/>
      <c r="G97" s="40"/>
      <c r="H97" s="40"/>
      <c r="I97" s="40"/>
      <c r="J97" s="47"/>
      <c r="K97" s="3"/>
      <c r="L97" s="3"/>
      <c r="M97" s="3"/>
      <c r="N97" s="3"/>
      <c r="O97" s="3"/>
      <c r="P97" s="3"/>
      <c r="Q97" s="3"/>
    </row>
    <row r="98" spans="1:17" ht="15">
      <c r="A98" s="46"/>
      <c r="B98" s="40"/>
      <c r="C98" s="40"/>
      <c r="D98" s="40"/>
      <c r="E98" s="40"/>
      <c r="F98" s="40"/>
      <c r="G98" s="40"/>
      <c r="H98" s="40"/>
      <c r="I98" s="40"/>
      <c r="J98" s="47"/>
      <c r="K98" s="3"/>
      <c r="L98" s="3"/>
      <c r="M98" s="3"/>
      <c r="N98" s="3"/>
      <c r="O98" s="3"/>
      <c r="P98" s="3"/>
      <c r="Q98" s="3"/>
    </row>
    <row r="99" spans="1:17" ht="15">
      <c r="A99" s="46"/>
      <c r="B99" s="40"/>
      <c r="C99" s="40"/>
      <c r="D99" s="40"/>
      <c r="E99" s="40"/>
      <c r="F99" s="40"/>
      <c r="G99" s="40"/>
      <c r="H99" s="40"/>
      <c r="I99" s="40"/>
      <c r="J99" s="47"/>
      <c r="K99" s="3"/>
      <c r="L99" s="3"/>
      <c r="M99" s="3"/>
      <c r="N99" s="3"/>
      <c r="O99" s="3"/>
      <c r="P99" s="3"/>
      <c r="Q99" s="3"/>
    </row>
    <row r="100" spans="1:17" ht="15">
      <c r="A100" s="46"/>
      <c r="B100" s="40"/>
      <c r="C100" s="40"/>
      <c r="D100" s="40"/>
      <c r="E100" s="40"/>
      <c r="F100" s="40"/>
      <c r="G100" s="40"/>
      <c r="H100" s="40"/>
      <c r="I100" s="40"/>
      <c r="J100" s="47"/>
      <c r="K100" s="3"/>
      <c r="L100" s="3"/>
      <c r="M100" s="3"/>
      <c r="N100" s="3"/>
      <c r="O100" s="3"/>
      <c r="P100" s="3"/>
      <c r="Q100" s="3"/>
    </row>
    <row r="101" spans="1:17" ht="15">
      <c r="A101" s="46"/>
      <c r="B101" s="40"/>
      <c r="C101" s="40"/>
      <c r="D101" s="40"/>
      <c r="E101" s="40"/>
      <c r="F101" s="40"/>
      <c r="G101" s="40"/>
      <c r="H101" s="40"/>
      <c r="I101" s="40"/>
      <c r="J101" s="47"/>
      <c r="K101" s="3"/>
      <c r="L101" s="3"/>
      <c r="M101" s="3"/>
      <c r="N101" s="3"/>
      <c r="O101" s="3"/>
      <c r="P101" s="3"/>
      <c r="Q101" s="3"/>
    </row>
    <row r="102" spans="1:17" ht="15">
      <c r="A102" s="46"/>
      <c r="B102" s="40"/>
      <c r="C102" s="40"/>
      <c r="D102" s="40"/>
      <c r="E102" s="40"/>
      <c r="F102" s="40"/>
      <c r="G102" s="40"/>
      <c r="H102" s="40"/>
      <c r="I102" s="40"/>
      <c r="J102" s="47"/>
      <c r="K102" s="3"/>
      <c r="L102" s="3"/>
      <c r="M102" s="3"/>
      <c r="N102" s="3"/>
      <c r="O102" s="3"/>
      <c r="P102" s="3"/>
      <c r="Q102" s="3"/>
    </row>
    <row r="103" spans="1:17" ht="15">
      <c r="A103" s="46"/>
      <c r="B103" s="40"/>
      <c r="C103" s="40"/>
      <c r="D103" s="40"/>
      <c r="E103" s="40"/>
      <c r="F103" s="40"/>
      <c r="G103" s="40"/>
      <c r="H103" s="40"/>
      <c r="I103" s="40"/>
      <c r="J103" s="47"/>
      <c r="K103" s="3"/>
      <c r="L103" s="3"/>
      <c r="M103" s="3"/>
      <c r="N103" s="3"/>
      <c r="O103" s="3"/>
      <c r="P103" s="3"/>
      <c r="Q103" s="3"/>
    </row>
    <row r="104" spans="1:17" ht="15">
      <c r="A104" s="46"/>
      <c r="B104" s="40"/>
      <c r="C104" s="40"/>
      <c r="D104" s="40"/>
      <c r="E104" s="40"/>
      <c r="F104" s="40"/>
      <c r="G104" s="40"/>
      <c r="H104" s="40"/>
      <c r="I104" s="40"/>
      <c r="J104" s="47"/>
      <c r="K104" s="3"/>
      <c r="L104" s="3"/>
      <c r="M104" s="3"/>
      <c r="N104" s="3"/>
      <c r="O104" s="3"/>
      <c r="P104" s="3"/>
      <c r="Q104" s="3"/>
    </row>
    <row r="105" spans="1:17" ht="15">
      <c r="A105" s="46"/>
      <c r="B105" s="40"/>
      <c r="C105" s="40"/>
      <c r="D105" s="40"/>
      <c r="E105" s="40"/>
      <c r="F105" s="40"/>
      <c r="G105" s="40"/>
      <c r="H105" s="40"/>
      <c r="I105" s="40"/>
      <c r="J105" s="47"/>
      <c r="K105" s="3"/>
      <c r="L105" s="3"/>
      <c r="M105" s="3"/>
      <c r="N105" s="3"/>
      <c r="O105" s="3"/>
      <c r="P105" s="3"/>
      <c r="Q105" s="3"/>
    </row>
    <row r="106" spans="1:17" ht="15">
      <c r="A106" s="46"/>
      <c r="B106" s="40"/>
      <c r="C106" s="40"/>
      <c r="D106" s="40"/>
      <c r="E106" s="40"/>
      <c r="F106" s="40"/>
      <c r="G106" s="40"/>
      <c r="H106" s="40"/>
      <c r="I106" s="40"/>
      <c r="J106" s="47"/>
      <c r="K106" s="3"/>
      <c r="L106" s="3"/>
      <c r="M106" s="3"/>
      <c r="N106" s="3"/>
      <c r="O106" s="3"/>
      <c r="P106" s="3"/>
      <c r="Q106" s="3"/>
    </row>
    <row r="107" spans="1:17" ht="15">
      <c r="A107" s="46"/>
      <c r="B107" s="40"/>
      <c r="C107" s="40"/>
      <c r="D107" s="40"/>
      <c r="E107" s="40"/>
      <c r="F107" s="40"/>
      <c r="G107" s="40"/>
      <c r="H107" s="40"/>
      <c r="I107" s="40"/>
      <c r="J107" s="47"/>
      <c r="K107" s="3"/>
      <c r="L107" s="3"/>
      <c r="M107" s="3"/>
      <c r="N107" s="3"/>
      <c r="O107" s="3"/>
      <c r="P107" s="3"/>
      <c r="Q107" s="3"/>
    </row>
    <row r="108" spans="1:17" ht="15">
      <c r="A108" s="46"/>
      <c r="B108" s="40"/>
      <c r="C108" s="40"/>
      <c r="D108" s="40"/>
      <c r="E108" s="40"/>
      <c r="F108" s="40"/>
      <c r="G108" s="40"/>
      <c r="H108" s="40"/>
      <c r="I108" s="40"/>
      <c r="J108" s="47"/>
      <c r="K108" s="3"/>
      <c r="L108" s="3"/>
      <c r="M108" s="3"/>
      <c r="N108" s="3"/>
      <c r="O108" s="3"/>
      <c r="P108" s="3"/>
      <c r="Q108" s="3"/>
    </row>
    <row r="109" spans="1:17" ht="15">
      <c r="A109" s="46"/>
      <c r="B109" s="40"/>
      <c r="C109" s="40"/>
      <c r="D109" s="40"/>
      <c r="E109" s="40"/>
      <c r="F109" s="40"/>
      <c r="G109" s="40"/>
      <c r="H109" s="40"/>
      <c r="I109" s="40"/>
      <c r="J109" s="47"/>
      <c r="K109" s="3"/>
      <c r="L109" s="3"/>
      <c r="M109" s="3"/>
      <c r="N109" s="3"/>
      <c r="O109" s="3"/>
      <c r="P109" s="3"/>
      <c r="Q109" s="3"/>
    </row>
    <row r="110" spans="1:17" ht="15">
      <c r="A110" s="46"/>
      <c r="B110" s="40"/>
      <c r="C110" s="40"/>
      <c r="D110" s="40"/>
      <c r="E110" s="40"/>
      <c r="F110" s="40"/>
      <c r="G110" s="40"/>
      <c r="H110" s="40"/>
      <c r="I110" s="40"/>
      <c r="J110" s="47"/>
      <c r="K110" s="3"/>
      <c r="L110" s="3"/>
      <c r="M110" s="3"/>
      <c r="N110" s="3"/>
      <c r="O110" s="3"/>
      <c r="P110" s="3"/>
      <c r="Q110" s="3"/>
    </row>
    <row r="111" spans="1:17" ht="15">
      <c r="A111" s="46"/>
      <c r="B111" s="40"/>
      <c r="C111" s="40"/>
      <c r="D111" s="40"/>
      <c r="E111" s="40"/>
      <c r="F111" s="40"/>
      <c r="G111" s="40"/>
      <c r="H111" s="40"/>
      <c r="I111" s="40"/>
      <c r="J111" s="47"/>
      <c r="K111" s="3"/>
      <c r="L111" s="3"/>
      <c r="M111" s="3"/>
      <c r="N111" s="3"/>
      <c r="O111" s="3"/>
      <c r="P111" s="3"/>
      <c r="Q111" s="3"/>
    </row>
    <row r="112" spans="1:17" ht="15">
      <c r="A112" s="46"/>
      <c r="B112" s="40"/>
      <c r="C112" s="40"/>
      <c r="D112" s="40"/>
      <c r="E112" s="40"/>
      <c r="F112" s="40"/>
      <c r="G112" s="40"/>
      <c r="H112" s="40"/>
      <c r="I112" s="40"/>
      <c r="J112" s="47"/>
      <c r="K112" s="3"/>
      <c r="L112" s="3"/>
      <c r="M112" s="3"/>
      <c r="N112" s="3"/>
      <c r="O112" s="3"/>
      <c r="P112" s="3"/>
      <c r="Q112" s="3"/>
    </row>
    <row r="113" spans="1:17" ht="15">
      <c r="A113" s="46"/>
      <c r="B113" s="40"/>
      <c r="C113" s="40"/>
      <c r="D113" s="40"/>
      <c r="E113" s="40"/>
      <c r="F113" s="40"/>
      <c r="G113" s="40"/>
      <c r="H113" s="40"/>
      <c r="I113" s="40"/>
      <c r="J113" s="47"/>
      <c r="K113" s="3"/>
      <c r="L113" s="3"/>
      <c r="M113" s="3"/>
      <c r="N113" s="3"/>
      <c r="O113" s="3"/>
      <c r="P113" s="3"/>
      <c r="Q113" s="3"/>
    </row>
    <row r="114" spans="1:17" ht="15">
      <c r="A114" s="46"/>
      <c r="B114" s="40"/>
      <c r="C114" s="40"/>
      <c r="D114" s="40"/>
      <c r="E114" s="40"/>
      <c r="F114" s="40"/>
      <c r="G114" s="40"/>
      <c r="H114" s="40"/>
      <c r="I114" s="40"/>
      <c r="J114" s="47"/>
      <c r="K114" s="3"/>
      <c r="L114" s="3"/>
      <c r="M114" s="3"/>
      <c r="N114" s="3"/>
      <c r="O114" s="3"/>
      <c r="P114" s="3"/>
      <c r="Q114" s="3"/>
    </row>
    <row r="115" spans="1:17" ht="15">
      <c r="A115" s="46"/>
      <c r="B115" s="40"/>
      <c r="C115" s="40"/>
      <c r="D115" s="40"/>
      <c r="E115" s="40"/>
      <c r="F115" s="40"/>
      <c r="G115" s="40"/>
      <c r="H115" s="40"/>
      <c r="I115" s="40"/>
      <c r="J115" s="47"/>
      <c r="K115" s="3"/>
      <c r="L115" s="3"/>
      <c r="M115" s="3"/>
      <c r="N115" s="3"/>
      <c r="O115" s="3"/>
      <c r="P115" s="3"/>
      <c r="Q115" s="3"/>
    </row>
    <row r="116" spans="1:17" ht="15">
      <c r="A116" s="46"/>
      <c r="B116" s="40"/>
      <c r="C116" s="40"/>
      <c r="D116" s="40"/>
      <c r="E116" s="40"/>
      <c r="F116" s="40"/>
      <c r="G116" s="40"/>
      <c r="H116" s="40"/>
      <c r="I116" s="40"/>
      <c r="J116" s="47"/>
      <c r="K116" s="3"/>
      <c r="L116" s="3"/>
      <c r="M116" s="3"/>
      <c r="N116" s="3"/>
      <c r="O116" s="3"/>
      <c r="P116" s="3"/>
      <c r="Q116" s="3"/>
    </row>
    <row r="117" spans="1:17" ht="15">
      <c r="A117" s="46"/>
      <c r="B117" s="40"/>
      <c r="C117" s="40"/>
      <c r="D117" s="40"/>
      <c r="E117" s="40"/>
      <c r="F117" s="40"/>
      <c r="G117" s="40"/>
      <c r="H117" s="40"/>
      <c r="I117" s="40"/>
      <c r="J117" s="47"/>
      <c r="K117" s="3"/>
      <c r="L117" s="3"/>
      <c r="M117" s="3"/>
      <c r="N117" s="3"/>
      <c r="O117" s="3"/>
      <c r="P117" s="3"/>
      <c r="Q117" s="3"/>
    </row>
    <row r="118" spans="1:17" ht="15">
      <c r="A118" s="46"/>
      <c r="B118" s="40"/>
      <c r="C118" s="40"/>
      <c r="D118" s="40"/>
      <c r="E118" s="40"/>
      <c r="F118" s="40"/>
      <c r="G118" s="40"/>
      <c r="H118" s="40"/>
      <c r="I118" s="40"/>
      <c r="J118" s="47"/>
      <c r="K118" s="3"/>
      <c r="L118" s="3"/>
      <c r="M118" s="3"/>
      <c r="N118" s="3"/>
      <c r="O118" s="3"/>
      <c r="P118" s="3"/>
      <c r="Q118" s="3"/>
    </row>
    <row r="119" spans="1:17" ht="15">
      <c r="A119" s="46"/>
      <c r="B119" s="40"/>
      <c r="C119" s="40"/>
      <c r="D119" s="40"/>
      <c r="E119" s="40"/>
      <c r="F119" s="40"/>
      <c r="G119" s="40"/>
      <c r="H119" s="40"/>
      <c r="I119" s="40"/>
      <c r="J119" s="47"/>
      <c r="K119" s="3"/>
      <c r="L119" s="3"/>
      <c r="M119" s="3"/>
      <c r="N119" s="3"/>
      <c r="O119" s="3"/>
      <c r="P119" s="3"/>
      <c r="Q119" s="3"/>
    </row>
    <row r="120" spans="1:17" ht="15">
      <c r="A120" s="46"/>
      <c r="B120" s="40"/>
      <c r="C120" s="40"/>
      <c r="D120" s="40"/>
      <c r="E120" s="40"/>
      <c r="F120" s="40"/>
      <c r="G120" s="40"/>
      <c r="H120" s="40"/>
      <c r="I120" s="40"/>
      <c r="J120" s="47"/>
      <c r="K120" s="3"/>
      <c r="L120" s="3"/>
      <c r="M120" s="3"/>
      <c r="N120" s="3"/>
      <c r="O120" s="3"/>
      <c r="P120" s="3"/>
      <c r="Q120" s="3"/>
    </row>
    <row r="121" spans="1:17" ht="15">
      <c r="A121" s="46"/>
      <c r="B121" s="40"/>
      <c r="C121" s="40"/>
      <c r="D121" s="40"/>
      <c r="E121" s="40"/>
      <c r="F121" s="40"/>
      <c r="G121" s="40"/>
      <c r="H121" s="40"/>
      <c r="I121" s="40"/>
      <c r="J121" s="47"/>
      <c r="K121" s="3"/>
      <c r="L121" s="3"/>
      <c r="M121" s="3"/>
      <c r="N121" s="3"/>
      <c r="O121" s="3"/>
      <c r="P121" s="3"/>
      <c r="Q121" s="3"/>
    </row>
    <row r="122" spans="1:17" ht="15">
      <c r="A122" s="46"/>
      <c r="B122" s="40"/>
      <c r="C122" s="40"/>
      <c r="D122" s="40"/>
      <c r="E122" s="40"/>
      <c r="F122" s="40"/>
      <c r="G122" s="40"/>
      <c r="H122" s="40"/>
      <c r="I122" s="40"/>
      <c r="J122" s="47"/>
      <c r="K122" s="3"/>
      <c r="L122" s="3"/>
      <c r="M122" s="3"/>
      <c r="N122" s="3"/>
      <c r="O122" s="3"/>
      <c r="P122" s="3"/>
      <c r="Q122" s="3"/>
    </row>
    <row r="123" spans="1:17" ht="15">
      <c r="A123" s="46"/>
      <c r="B123" s="40"/>
      <c r="C123" s="40"/>
      <c r="D123" s="40"/>
      <c r="E123" s="40"/>
      <c r="F123" s="40"/>
      <c r="G123" s="40"/>
      <c r="H123" s="40"/>
      <c r="I123" s="40"/>
      <c r="J123" s="47"/>
      <c r="K123" s="3"/>
      <c r="L123" s="3"/>
      <c r="M123" s="3"/>
      <c r="N123" s="3"/>
      <c r="O123" s="3"/>
      <c r="P123" s="3"/>
      <c r="Q123" s="3"/>
    </row>
    <row r="124" spans="1:17" ht="15">
      <c r="A124" s="46"/>
      <c r="B124" s="40"/>
      <c r="C124" s="40"/>
      <c r="D124" s="40"/>
      <c r="E124" s="40"/>
      <c r="F124" s="40"/>
      <c r="G124" s="40"/>
      <c r="H124" s="40"/>
      <c r="I124" s="40"/>
      <c r="J124" s="47"/>
      <c r="K124" s="3"/>
      <c r="L124" s="3"/>
      <c r="M124" s="3"/>
      <c r="N124" s="3"/>
      <c r="O124" s="3"/>
      <c r="P124" s="3"/>
      <c r="Q124" s="3"/>
    </row>
    <row r="125" spans="1:17" ht="15">
      <c r="A125" s="46"/>
      <c r="B125" s="40"/>
      <c r="C125" s="40"/>
      <c r="D125" s="40"/>
      <c r="E125" s="40"/>
      <c r="F125" s="40"/>
      <c r="G125" s="40"/>
      <c r="H125" s="40"/>
      <c r="I125" s="40"/>
      <c r="J125" s="47"/>
      <c r="K125" s="3"/>
      <c r="L125" s="3"/>
      <c r="M125" s="3"/>
      <c r="N125" s="3"/>
      <c r="O125" s="3"/>
      <c r="P125" s="3"/>
      <c r="Q125" s="3"/>
    </row>
    <row r="126" spans="1:17" ht="15">
      <c r="A126" s="46"/>
      <c r="B126" s="40"/>
      <c r="C126" s="40"/>
      <c r="D126" s="40"/>
      <c r="E126" s="40"/>
      <c r="F126" s="40"/>
      <c r="G126" s="40"/>
      <c r="H126" s="40"/>
      <c r="I126" s="40"/>
      <c r="J126" s="47"/>
      <c r="K126" s="3"/>
      <c r="L126" s="3"/>
      <c r="M126" s="3"/>
      <c r="N126" s="3"/>
      <c r="O126" s="3"/>
      <c r="P126" s="3"/>
      <c r="Q126" s="3"/>
    </row>
    <row r="127" spans="1:17" ht="15">
      <c r="A127" s="46"/>
      <c r="B127" s="40"/>
      <c r="C127" s="40"/>
      <c r="D127" s="40"/>
      <c r="E127" s="40"/>
      <c r="F127" s="40"/>
      <c r="G127" s="40"/>
      <c r="H127" s="40"/>
      <c r="I127" s="40"/>
      <c r="J127" s="47"/>
      <c r="K127" s="3"/>
      <c r="L127" s="3"/>
      <c r="M127" s="3"/>
      <c r="N127" s="3"/>
      <c r="O127" s="3"/>
      <c r="P127" s="3"/>
      <c r="Q127" s="3"/>
    </row>
    <row r="128" spans="1:17" ht="15">
      <c r="A128" s="46"/>
      <c r="B128" s="40"/>
      <c r="C128" s="40"/>
      <c r="D128" s="40"/>
      <c r="E128" s="40"/>
      <c r="F128" s="40"/>
      <c r="G128" s="40"/>
      <c r="H128" s="40"/>
      <c r="I128" s="40"/>
      <c r="J128" s="47"/>
      <c r="K128" s="3"/>
      <c r="L128" s="3"/>
      <c r="M128" s="3"/>
      <c r="N128" s="3"/>
      <c r="O128" s="3"/>
      <c r="P128" s="3"/>
      <c r="Q128" s="3"/>
    </row>
    <row r="129" spans="1:17" ht="15">
      <c r="A129" s="46"/>
      <c r="B129" s="40"/>
      <c r="C129" s="40"/>
      <c r="D129" s="40"/>
      <c r="E129" s="40"/>
      <c r="F129" s="40"/>
      <c r="G129" s="40"/>
      <c r="H129" s="40"/>
      <c r="I129" s="40"/>
      <c r="J129" s="47"/>
      <c r="K129" s="3"/>
      <c r="L129" s="3"/>
      <c r="M129" s="3"/>
      <c r="N129" s="3"/>
      <c r="O129" s="3"/>
      <c r="P129" s="3"/>
      <c r="Q129" s="3"/>
    </row>
    <row r="130" spans="1:17" ht="15">
      <c r="A130" s="46"/>
      <c r="B130" s="40"/>
      <c r="C130" s="40"/>
      <c r="D130" s="40"/>
      <c r="E130" s="40"/>
      <c r="F130" s="40"/>
      <c r="G130" s="40"/>
      <c r="H130" s="40"/>
      <c r="I130" s="40"/>
      <c r="J130" s="47"/>
      <c r="K130" s="3"/>
      <c r="L130" s="3"/>
      <c r="M130" s="3"/>
      <c r="N130" s="3"/>
      <c r="O130" s="3"/>
      <c r="P130" s="3"/>
      <c r="Q130" s="3"/>
    </row>
    <row r="131" spans="1:17" ht="15">
      <c r="A131" s="46"/>
      <c r="B131" s="40"/>
      <c r="C131" s="40"/>
      <c r="D131" s="40"/>
      <c r="E131" s="40"/>
      <c r="F131" s="40"/>
      <c r="G131" s="40"/>
      <c r="H131" s="40"/>
      <c r="I131" s="40"/>
      <c r="J131" s="47"/>
      <c r="K131" s="3"/>
      <c r="L131" s="3"/>
      <c r="M131" s="3"/>
      <c r="N131" s="3"/>
      <c r="O131" s="3"/>
      <c r="P131" s="3"/>
      <c r="Q131" s="3"/>
    </row>
    <row r="132" spans="1:17" ht="15">
      <c r="A132" s="46"/>
      <c r="B132" s="40"/>
      <c r="C132" s="40"/>
      <c r="D132" s="40"/>
      <c r="E132" s="40"/>
      <c r="F132" s="40"/>
      <c r="G132" s="40"/>
      <c r="H132" s="40"/>
      <c r="I132" s="40"/>
      <c r="J132" s="47"/>
      <c r="K132" s="3"/>
      <c r="L132" s="3"/>
      <c r="M132" s="3"/>
      <c r="N132" s="3"/>
      <c r="O132" s="3"/>
      <c r="P132" s="3"/>
      <c r="Q132" s="3"/>
    </row>
    <row r="133" spans="1:17" ht="15">
      <c r="A133" s="46"/>
      <c r="B133" s="40"/>
      <c r="C133" s="40"/>
      <c r="D133" s="40"/>
      <c r="E133" s="40"/>
      <c r="F133" s="40"/>
      <c r="G133" s="40"/>
      <c r="H133" s="40"/>
      <c r="I133" s="40"/>
      <c r="J133" s="47"/>
      <c r="K133" s="3"/>
      <c r="L133" s="3"/>
      <c r="M133" s="3"/>
      <c r="N133" s="3"/>
      <c r="O133" s="3"/>
      <c r="P133" s="3"/>
      <c r="Q133" s="3"/>
    </row>
    <row r="134" spans="1:17" ht="15">
      <c r="A134" s="46"/>
      <c r="B134" s="40"/>
      <c r="C134" s="40"/>
      <c r="D134" s="40"/>
      <c r="E134" s="40"/>
      <c r="F134" s="40"/>
      <c r="G134" s="40"/>
      <c r="H134" s="40"/>
      <c r="I134" s="40"/>
      <c r="J134" s="47"/>
      <c r="K134" s="3"/>
      <c r="L134" s="3"/>
      <c r="M134" s="3"/>
      <c r="N134" s="3"/>
      <c r="O134" s="3"/>
      <c r="P134" s="3"/>
      <c r="Q134" s="3"/>
    </row>
    <row r="135" spans="1:17" ht="15">
      <c r="A135" s="46"/>
      <c r="B135" s="40"/>
      <c r="C135" s="40"/>
      <c r="D135" s="40"/>
      <c r="E135" s="40"/>
      <c r="F135" s="40"/>
      <c r="G135" s="40"/>
      <c r="H135" s="40"/>
      <c r="I135" s="40"/>
      <c r="J135" s="47"/>
      <c r="K135" s="3"/>
      <c r="L135" s="3"/>
      <c r="M135" s="3"/>
      <c r="N135" s="3"/>
      <c r="O135" s="3"/>
      <c r="P135" s="3"/>
      <c r="Q135" s="3"/>
    </row>
    <row r="136" spans="1:17" ht="15">
      <c r="A136" s="46"/>
      <c r="B136" s="40"/>
      <c r="C136" s="40"/>
      <c r="D136" s="40"/>
      <c r="E136" s="40"/>
      <c r="F136" s="40"/>
      <c r="G136" s="40"/>
      <c r="H136" s="40"/>
      <c r="I136" s="40"/>
      <c r="J136" s="47"/>
      <c r="K136" s="3"/>
      <c r="L136" s="3"/>
      <c r="M136" s="3"/>
      <c r="N136" s="3"/>
      <c r="O136" s="3"/>
      <c r="P136" s="3"/>
      <c r="Q136" s="3"/>
    </row>
    <row r="137" spans="1:17" ht="15">
      <c r="A137" s="46"/>
      <c r="B137" s="40"/>
      <c r="C137" s="40"/>
      <c r="D137" s="40"/>
      <c r="E137" s="40"/>
      <c r="F137" s="40"/>
      <c r="G137" s="40"/>
      <c r="H137" s="40"/>
      <c r="I137" s="40"/>
      <c r="J137" s="47"/>
      <c r="K137" s="3"/>
      <c r="L137" s="3"/>
      <c r="M137" s="3"/>
      <c r="N137" s="3"/>
      <c r="O137" s="3"/>
      <c r="P137" s="3"/>
      <c r="Q137" s="3"/>
    </row>
    <row r="138" spans="1:17" ht="15">
      <c r="A138" s="46"/>
      <c r="B138" s="40"/>
      <c r="C138" s="40"/>
      <c r="D138" s="40"/>
      <c r="E138" s="40"/>
      <c r="F138" s="40"/>
      <c r="G138" s="40"/>
      <c r="H138" s="40"/>
      <c r="I138" s="40"/>
      <c r="J138" s="47"/>
      <c r="K138" s="3"/>
      <c r="L138" s="3"/>
      <c r="M138" s="3"/>
      <c r="N138" s="3"/>
      <c r="O138" s="3"/>
      <c r="P138" s="3"/>
      <c r="Q138" s="3"/>
    </row>
    <row r="139" spans="1:17" ht="15">
      <c r="A139" s="46"/>
      <c r="B139" s="40"/>
      <c r="C139" s="40"/>
      <c r="D139" s="40"/>
      <c r="E139" s="40"/>
      <c r="F139" s="40"/>
      <c r="G139" s="40"/>
      <c r="H139" s="40"/>
      <c r="I139" s="40"/>
      <c r="J139" s="47"/>
      <c r="K139" s="3"/>
      <c r="L139" s="3"/>
      <c r="M139" s="3"/>
      <c r="N139" s="3"/>
      <c r="O139" s="3"/>
      <c r="P139" s="3"/>
      <c r="Q139" s="3"/>
    </row>
    <row r="140" spans="1:17" ht="15">
      <c r="A140" s="46"/>
      <c r="B140" s="40"/>
      <c r="C140" s="40"/>
      <c r="D140" s="40"/>
      <c r="E140" s="40"/>
      <c r="F140" s="40"/>
      <c r="G140" s="40"/>
      <c r="H140" s="40"/>
      <c r="I140" s="40"/>
      <c r="J140" s="47"/>
      <c r="K140" s="3"/>
      <c r="L140" s="3"/>
      <c r="M140" s="3"/>
      <c r="N140" s="3"/>
      <c r="O140" s="3"/>
      <c r="P140" s="3"/>
      <c r="Q140" s="3"/>
    </row>
    <row r="141" spans="1:17" ht="15">
      <c r="A141" s="46"/>
      <c r="B141" s="40"/>
      <c r="C141" s="40"/>
      <c r="D141" s="40"/>
      <c r="E141" s="40"/>
      <c r="F141" s="40"/>
      <c r="G141" s="40"/>
      <c r="H141" s="40"/>
      <c r="I141" s="40"/>
      <c r="J141" s="47"/>
      <c r="K141" s="3"/>
      <c r="L141" s="3"/>
      <c r="M141" s="3"/>
      <c r="N141" s="3"/>
      <c r="O141" s="3"/>
      <c r="P141" s="3"/>
      <c r="Q141" s="3"/>
    </row>
    <row r="142" spans="1:17" ht="15">
      <c r="A142" s="46"/>
      <c r="B142" s="40"/>
      <c r="C142" s="40"/>
      <c r="D142" s="40"/>
      <c r="E142" s="40"/>
      <c r="F142" s="40"/>
      <c r="G142" s="40"/>
      <c r="H142" s="40"/>
      <c r="I142" s="40"/>
      <c r="J142" s="47"/>
      <c r="K142" s="3"/>
      <c r="L142" s="3"/>
      <c r="M142" s="3"/>
      <c r="N142" s="3"/>
      <c r="O142" s="3"/>
      <c r="P142" s="3"/>
      <c r="Q142" s="3"/>
    </row>
    <row r="143" spans="1:17" ht="15">
      <c r="A143" s="46"/>
      <c r="B143" s="40"/>
      <c r="C143" s="40"/>
      <c r="D143" s="40"/>
      <c r="E143" s="40"/>
      <c r="F143" s="40"/>
      <c r="G143" s="40"/>
      <c r="H143" s="40"/>
      <c r="I143" s="40"/>
      <c r="J143" s="47"/>
      <c r="K143" s="3"/>
      <c r="L143" s="3"/>
      <c r="M143" s="3"/>
      <c r="N143" s="3"/>
      <c r="O143" s="3"/>
      <c r="P143" s="3"/>
      <c r="Q143" s="3"/>
    </row>
    <row r="144" spans="1:17" ht="15">
      <c r="A144" s="46"/>
      <c r="B144" s="40"/>
      <c r="C144" s="40"/>
      <c r="D144" s="40"/>
      <c r="E144" s="40"/>
      <c r="F144" s="40"/>
      <c r="G144" s="40"/>
      <c r="H144" s="40"/>
      <c r="I144" s="40"/>
      <c r="J144" s="47"/>
      <c r="K144" s="3"/>
      <c r="L144" s="3"/>
      <c r="M144" s="3"/>
      <c r="N144" s="3"/>
      <c r="O144" s="3"/>
      <c r="P144" s="3"/>
      <c r="Q144" s="3"/>
    </row>
    <row r="145" spans="1:17" ht="15">
      <c r="A145" s="46"/>
      <c r="B145" s="40"/>
      <c r="C145" s="40"/>
      <c r="D145" s="40"/>
      <c r="E145" s="40"/>
      <c r="F145" s="40"/>
      <c r="G145" s="40"/>
      <c r="H145" s="40"/>
      <c r="I145" s="40"/>
      <c r="J145" s="47"/>
      <c r="K145" s="3"/>
      <c r="L145" s="3"/>
      <c r="M145" s="3"/>
      <c r="N145" s="3"/>
      <c r="O145" s="3"/>
      <c r="P145" s="3"/>
      <c r="Q145" s="3"/>
    </row>
    <row r="146" spans="1:17" ht="15">
      <c r="A146" s="46"/>
      <c r="B146" s="40"/>
      <c r="C146" s="40"/>
      <c r="D146" s="40"/>
      <c r="E146" s="40"/>
      <c r="F146" s="40"/>
      <c r="G146" s="40"/>
      <c r="H146" s="40"/>
      <c r="I146" s="40"/>
      <c r="J146" s="47"/>
      <c r="K146" s="3"/>
      <c r="L146" s="3"/>
      <c r="M146" s="3"/>
      <c r="N146" s="3"/>
      <c r="O146" s="3"/>
      <c r="P146" s="3"/>
      <c r="Q146" s="3"/>
    </row>
    <row r="147" spans="1:17" ht="15">
      <c r="A147" s="46"/>
      <c r="B147" s="40"/>
      <c r="C147" s="40"/>
      <c r="D147" s="40"/>
      <c r="E147" s="40"/>
      <c r="F147" s="40"/>
      <c r="G147" s="40"/>
      <c r="H147" s="40"/>
      <c r="I147" s="40"/>
      <c r="J147" s="47"/>
      <c r="K147" s="3"/>
      <c r="L147" s="3"/>
      <c r="M147" s="3"/>
      <c r="N147" s="3"/>
      <c r="O147" s="3"/>
      <c r="P147" s="3"/>
      <c r="Q147" s="3"/>
    </row>
    <row r="148" spans="1:17" ht="15">
      <c r="A148" s="46"/>
      <c r="B148" s="40"/>
      <c r="C148" s="40"/>
      <c r="D148" s="40"/>
      <c r="E148" s="40"/>
      <c r="F148" s="40"/>
      <c r="G148" s="40"/>
      <c r="H148" s="40"/>
      <c r="I148" s="40"/>
      <c r="J148" s="47"/>
      <c r="K148" s="3"/>
      <c r="L148" s="3"/>
      <c r="M148" s="3"/>
      <c r="N148" s="3"/>
      <c r="O148" s="3"/>
      <c r="P148" s="3"/>
      <c r="Q148" s="3"/>
    </row>
    <row r="149" spans="1:17" ht="15">
      <c r="A149" s="46"/>
      <c r="B149" s="40"/>
      <c r="C149" s="40"/>
      <c r="D149" s="40"/>
      <c r="E149" s="40"/>
      <c r="F149" s="40"/>
      <c r="G149" s="40"/>
      <c r="H149" s="40"/>
      <c r="I149" s="40"/>
      <c r="J149" s="47"/>
      <c r="K149" s="3"/>
      <c r="L149" s="3"/>
      <c r="M149" s="3"/>
      <c r="N149" s="3"/>
      <c r="O149" s="3"/>
      <c r="P149" s="3"/>
      <c r="Q149" s="3"/>
    </row>
    <row r="150" spans="1:17" ht="15">
      <c r="A150" s="46"/>
      <c r="B150" s="40"/>
      <c r="C150" s="40"/>
      <c r="D150" s="40"/>
      <c r="E150" s="40"/>
      <c r="F150" s="40"/>
      <c r="G150" s="40"/>
      <c r="H150" s="40"/>
      <c r="I150" s="40"/>
      <c r="J150" s="47"/>
      <c r="K150" s="3"/>
      <c r="L150" s="3"/>
      <c r="M150" s="3"/>
      <c r="N150" s="3"/>
      <c r="O150" s="3"/>
      <c r="P150" s="3"/>
      <c r="Q150" s="3"/>
    </row>
    <row r="151" spans="1:17" ht="15">
      <c r="A151" s="46"/>
      <c r="B151" s="40"/>
      <c r="C151" s="40"/>
      <c r="D151" s="40"/>
      <c r="E151" s="40"/>
      <c r="F151" s="40"/>
      <c r="G151" s="40"/>
      <c r="H151" s="40"/>
      <c r="I151" s="40"/>
      <c r="J151" s="47"/>
      <c r="K151" s="3"/>
      <c r="L151" s="3"/>
      <c r="M151" s="3"/>
      <c r="N151" s="3"/>
      <c r="O151" s="3"/>
      <c r="P151" s="3"/>
      <c r="Q151" s="3"/>
    </row>
    <row r="152" spans="1:17" ht="15">
      <c r="A152" s="46"/>
      <c r="B152" s="40"/>
      <c r="C152" s="40"/>
      <c r="D152" s="40"/>
      <c r="E152" s="40"/>
      <c r="F152" s="40"/>
      <c r="G152" s="40"/>
      <c r="H152" s="40"/>
      <c r="I152" s="40"/>
      <c r="J152" s="47"/>
      <c r="K152" s="3"/>
      <c r="L152" s="3"/>
      <c r="M152" s="3"/>
      <c r="N152" s="3"/>
      <c r="O152" s="3"/>
      <c r="P152" s="3"/>
      <c r="Q152" s="3"/>
    </row>
    <row r="153" spans="1:17" ht="15">
      <c r="A153" s="46"/>
      <c r="B153" s="40"/>
      <c r="C153" s="40"/>
      <c r="D153" s="40"/>
      <c r="E153" s="40"/>
      <c r="F153" s="40"/>
      <c r="G153" s="40"/>
      <c r="H153" s="40"/>
      <c r="I153" s="40"/>
      <c r="J153" s="47"/>
      <c r="K153" s="3"/>
      <c r="L153" s="3"/>
      <c r="M153" s="3"/>
      <c r="N153" s="3"/>
      <c r="O153" s="3"/>
      <c r="P153" s="3"/>
      <c r="Q153" s="3"/>
    </row>
    <row r="154" spans="1:17" ht="15">
      <c r="A154" s="46"/>
      <c r="B154" s="40"/>
      <c r="C154" s="40"/>
      <c r="D154" s="40"/>
      <c r="E154" s="40"/>
      <c r="F154" s="40"/>
      <c r="G154" s="40"/>
      <c r="H154" s="40"/>
      <c r="I154" s="40"/>
      <c r="J154" s="47"/>
      <c r="K154" s="3"/>
      <c r="L154" s="3"/>
      <c r="M154" s="3"/>
      <c r="N154" s="3"/>
      <c r="O154" s="3"/>
      <c r="P154" s="3"/>
      <c r="Q154" s="3"/>
    </row>
    <row r="155" spans="1:17" ht="15">
      <c r="A155" s="46"/>
      <c r="B155" s="40"/>
      <c r="C155" s="40"/>
      <c r="D155" s="40"/>
      <c r="E155" s="40"/>
      <c r="F155" s="40"/>
      <c r="G155" s="40"/>
      <c r="H155" s="40"/>
      <c r="I155" s="40"/>
      <c r="J155" s="47"/>
      <c r="K155" s="3"/>
      <c r="L155" s="3"/>
      <c r="M155" s="3"/>
      <c r="N155" s="3"/>
      <c r="O155" s="3"/>
      <c r="P155" s="3"/>
      <c r="Q155" s="3"/>
    </row>
    <row r="156" spans="1:17" ht="15">
      <c r="A156" s="46"/>
      <c r="B156" s="40"/>
      <c r="C156" s="40"/>
      <c r="D156" s="40"/>
      <c r="E156" s="40"/>
      <c r="F156" s="40"/>
      <c r="G156" s="40"/>
      <c r="H156" s="40"/>
      <c r="I156" s="40"/>
      <c r="J156" s="47"/>
      <c r="K156" s="3"/>
      <c r="L156" s="3"/>
      <c r="M156" s="3"/>
      <c r="N156" s="3"/>
      <c r="O156" s="3"/>
      <c r="P156" s="3"/>
      <c r="Q156" s="3"/>
    </row>
    <row r="157" spans="1:17" ht="15">
      <c r="A157" s="46"/>
      <c r="B157" s="40"/>
      <c r="C157" s="40"/>
      <c r="D157" s="40"/>
      <c r="E157" s="40"/>
      <c r="F157" s="40"/>
      <c r="G157" s="40"/>
      <c r="H157" s="40"/>
      <c r="I157" s="40"/>
      <c r="J157" s="47"/>
      <c r="K157" s="3"/>
      <c r="L157" s="3"/>
      <c r="M157" s="3"/>
      <c r="N157" s="3"/>
      <c r="O157" s="3"/>
      <c r="P157" s="3"/>
      <c r="Q157" s="3"/>
    </row>
    <row r="158" spans="1:17" ht="15">
      <c r="A158" s="46"/>
      <c r="B158" s="40"/>
      <c r="C158" s="40"/>
      <c r="D158" s="40"/>
      <c r="E158" s="40"/>
      <c r="F158" s="40"/>
      <c r="G158" s="40"/>
      <c r="H158" s="40"/>
      <c r="I158" s="40"/>
      <c r="J158" s="47"/>
      <c r="K158" s="3"/>
      <c r="L158" s="3"/>
      <c r="M158" s="3"/>
      <c r="N158" s="3"/>
      <c r="O158" s="3"/>
      <c r="P158" s="3"/>
      <c r="Q158" s="3"/>
    </row>
    <row r="159" spans="1:17" ht="15">
      <c r="A159" s="46"/>
      <c r="B159" s="40"/>
      <c r="C159" s="40"/>
      <c r="D159" s="40"/>
      <c r="E159" s="40"/>
      <c r="F159" s="40"/>
      <c r="G159" s="40"/>
      <c r="H159" s="40"/>
      <c r="I159" s="40"/>
      <c r="J159" s="47"/>
      <c r="K159" s="3"/>
      <c r="L159" s="3"/>
      <c r="M159" s="3"/>
      <c r="N159" s="3"/>
      <c r="O159" s="3"/>
      <c r="P159" s="3"/>
      <c r="Q159" s="3"/>
    </row>
    <row r="160" spans="1:17" ht="15">
      <c r="A160" s="46"/>
      <c r="B160" s="40"/>
      <c r="C160" s="40"/>
      <c r="D160" s="40"/>
      <c r="E160" s="40"/>
      <c r="F160" s="40"/>
      <c r="G160" s="40"/>
      <c r="H160" s="40"/>
      <c r="I160" s="40"/>
      <c r="J160" s="47"/>
      <c r="K160" s="3"/>
      <c r="L160" s="3"/>
      <c r="M160" s="3"/>
      <c r="N160" s="3"/>
      <c r="O160" s="3"/>
      <c r="P160" s="3"/>
      <c r="Q160" s="3"/>
    </row>
    <row r="161" spans="1:17" ht="15">
      <c r="A161" s="46"/>
      <c r="B161" s="40"/>
      <c r="C161" s="40"/>
      <c r="D161" s="40"/>
      <c r="E161" s="40"/>
      <c r="F161" s="40"/>
      <c r="G161" s="40"/>
      <c r="H161" s="40"/>
      <c r="I161" s="40"/>
      <c r="J161" s="47"/>
      <c r="K161" s="3"/>
      <c r="L161" s="3"/>
      <c r="M161" s="3"/>
      <c r="N161" s="3"/>
      <c r="O161" s="3"/>
      <c r="P161" s="3"/>
      <c r="Q161" s="3"/>
    </row>
    <row r="162" spans="1:17" ht="15">
      <c r="A162" s="46"/>
      <c r="B162" s="40"/>
      <c r="C162" s="40"/>
      <c r="D162" s="40"/>
      <c r="E162" s="40"/>
      <c r="F162" s="40"/>
      <c r="G162" s="40"/>
      <c r="H162" s="40"/>
      <c r="I162" s="40"/>
      <c r="J162" s="47"/>
      <c r="K162" s="3"/>
      <c r="L162" s="3"/>
      <c r="M162" s="3"/>
      <c r="N162" s="3"/>
      <c r="O162" s="3"/>
      <c r="P162" s="3"/>
      <c r="Q162" s="3"/>
    </row>
    <row r="163" spans="1:17" ht="15">
      <c r="A163" s="46"/>
      <c r="B163" s="40"/>
      <c r="C163" s="40"/>
      <c r="D163" s="40"/>
      <c r="E163" s="40"/>
      <c r="F163" s="40"/>
      <c r="G163" s="40"/>
      <c r="H163" s="40"/>
      <c r="I163" s="40"/>
      <c r="J163" s="47"/>
      <c r="K163" s="3"/>
      <c r="L163" s="3"/>
      <c r="M163" s="3"/>
      <c r="N163" s="3"/>
      <c r="O163" s="3"/>
      <c r="P163" s="3"/>
      <c r="Q163" s="3"/>
    </row>
    <row r="164" spans="1:17" ht="15">
      <c r="A164" s="46"/>
      <c r="B164" s="40"/>
      <c r="C164" s="40"/>
      <c r="D164" s="40"/>
      <c r="E164" s="40"/>
      <c r="F164" s="40"/>
      <c r="G164" s="40"/>
      <c r="H164" s="40"/>
      <c r="I164" s="40"/>
      <c r="J164" s="47"/>
      <c r="K164" s="3"/>
      <c r="L164" s="3"/>
      <c r="M164" s="3"/>
      <c r="N164" s="3"/>
      <c r="O164" s="3"/>
      <c r="P164" s="3"/>
      <c r="Q164" s="3"/>
    </row>
    <row r="165" spans="1:17" ht="15">
      <c r="A165" s="46"/>
      <c r="B165" s="40"/>
      <c r="C165" s="40"/>
      <c r="D165" s="40"/>
      <c r="E165" s="40"/>
      <c r="F165" s="40"/>
      <c r="G165" s="40"/>
      <c r="H165" s="40"/>
      <c r="I165" s="40"/>
      <c r="J165" s="47"/>
      <c r="K165" s="3"/>
      <c r="L165" s="3"/>
      <c r="M165" s="3"/>
      <c r="N165" s="3"/>
      <c r="O165" s="3"/>
      <c r="P165" s="3"/>
      <c r="Q165" s="3"/>
    </row>
    <row r="166" spans="1:17" ht="15">
      <c r="A166" s="46"/>
      <c r="B166" s="40"/>
      <c r="C166" s="40"/>
      <c r="D166" s="40"/>
      <c r="E166" s="40"/>
      <c r="F166" s="40"/>
      <c r="G166" s="40"/>
      <c r="H166" s="40"/>
      <c r="I166" s="40"/>
      <c r="J166" s="47"/>
      <c r="K166" s="3"/>
      <c r="L166" s="3"/>
      <c r="M166" s="3"/>
      <c r="N166" s="3"/>
      <c r="O166" s="3"/>
      <c r="P166" s="3"/>
      <c r="Q166" s="3"/>
    </row>
    <row r="167" spans="1:17" ht="15">
      <c r="A167" s="46"/>
      <c r="B167" s="40"/>
      <c r="C167" s="40"/>
      <c r="D167" s="40"/>
      <c r="E167" s="40"/>
      <c r="F167" s="40"/>
      <c r="G167" s="40"/>
      <c r="H167" s="40"/>
      <c r="I167" s="40"/>
      <c r="J167" s="47"/>
      <c r="K167" s="3"/>
      <c r="L167" s="3"/>
      <c r="M167" s="3"/>
      <c r="N167" s="3"/>
      <c r="O167" s="3"/>
      <c r="P167" s="3"/>
      <c r="Q167" s="3"/>
    </row>
    <row r="168" spans="1:17" ht="15">
      <c r="A168" s="46"/>
      <c r="B168" s="40"/>
      <c r="C168" s="40"/>
      <c r="D168" s="40"/>
      <c r="E168" s="40"/>
      <c r="F168" s="40"/>
      <c r="G168" s="40"/>
      <c r="H168" s="40"/>
      <c r="I168" s="40"/>
      <c r="J168" s="47"/>
      <c r="K168" s="3"/>
      <c r="L168" s="3"/>
      <c r="M168" s="3"/>
      <c r="N168" s="3"/>
      <c r="O168" s="3"/>
      <c r="P168" s="3"/>
      <c r="Q168" s="3"/>
    </row>
    <row r="169" spans="1:17" ht="15">
      <c r="A169" s="46"/>
      <c r="B169" s="40"/>
      <c r="C169" s="40"/>
      <c r="D169" s="40"/>
      <c r="E169" s="40"/>
      <c r="F169" s="40"/>
      <c r="G169" s="40"/>
      <c r="H169" s="40"/>
      <c r="I169" s="40"/>
      <c r="J169" s="47"/>
      <c r="K169" s="3"/>
      <c r="L169" s="3"/>
      <c r="M169" s="3"/>
      <c r="N169" s="3"/>
      <c r="O169" s="3"/>
      <c r="P169" s="3"/>
      <c r="Q169" s="3"/>
    </row>
    <row r="170" spans="1:17" ht="15">
      <c r="A170" s="46"/>
      <c r="B170" s="40"/>
      <c r="C170" s="40"/>
      <c r="D170" s="40"/>
      <c r="E170" s="40"/>
      <c r="F170" s="40"/>
      <c r="G170" s="40"/>
      <c r="H170" s="40"/>
      <c r="I170" s="40"/>
      <c r="J170" s="47"/>
      <c r="K170" s="3"/>
      <c r="L170" s="3"/>
      <c r="M170" s="3"/>
      <c r="N170" s="3"/>
      <c r="O170" s="3"/>
      <c r="P170" s="3"/>
      <c r="Q170" s="3"/>
    </row>
    <row r="171" spans="1:17" ht="15">
      <c r="A171" s="46"/>
      <c r="B171" s="40"/>
      <c r="C171" s="40"/>
      <c r="D171" s="40"/>
      <c r="E171" s="40"/>
      <c r="F171" s="40"/>
      <c r="G171" s="40"/>
      <c r="H171" s="40"/>
      <c r="I171" s="40"/>
      <c r="J171" s="47"/>
      <c r="K171" s="3"/>
      <c r="L171" s="3"/>
      <c r="M171" s="3"/>
      <c r="N171" s="3"/>
      <c r="O171" s="3"/>
      <c r="P171" s="3"/>
      <c r="Q171" s="3"/>
    </row>
    <row r="172" spans="1:17" ht="15">
      <c r="A172" s="46"/>
      <c r="B172" s="40"/>
      <c r="C172" s="40"/>
      <c r="D172" s="40"/>
      <c r="E172" s="40"/>
      <c r="F172" s="40"/>
      <c r="G172" s="40"/>
      <c r="H172" s="40"/>
      <c r="I172" s="40"/>
      <c r="J172" s="47"/>
      <c r="K172" s="3"/>
      <c r="L172" s="3"/>
      <c r="M172" s="3"/>
      <c r="N172" s="3"/>
      <c r="O172" s="3"/>
      <c r="P172" s="3"/>
      <c r="Q172" s="3"/>
    </row>
    <row r="173" spans="1:17" ht="15">
      <c r="A173" s="46"/>
      <c r="B173" s="40"/>
      <c r="C173" s="40"/>
      <c r="D173" s="40"/>
      <c r="E173" s="40"/>
      <c r="F173" s="40"/>
      <c r="G173" s="40"/>
      <c r="H173" s="40"/>
      <c r="I173" s="40"/>
      <c r="J173" s="47"/>
      <c r="K173" s="3"/>
      <c r="L173" s="3"/>
      <c r="M173" s="3"/>
      <c r="N173" s="3"/>
      <c r="O173" s="3"/>
      <c r="P173" s="3"/>
      <c r="Q173" s="3"/>
    </row>
    <row r="174" spans="1:17" ht="15">
      <c r="A174" s="46"/>
      <c r="B174" s="40"/>
      <c r="C174" s="40"/>
      <c r="D174" s="40"/>
      <c r="E174" s="40"/>
      <c r="F174" s="40"/>
      <c r="G174" s="40"/>
      <c r="H174" s="40"/>
      <c r="I174" s="40"/>
      <c r="J174" s="47"/>
      <c r="K174" s="3"/>
      <c r="L174" s="3"/>
      <c r="M174" s="3"/>
      <c r="N174" s="3"/>
      <c r="O174" s="3"/>
      <c r="P174" s="3"/>
      <c r="Q174" s="3"/>
    </row>
    <row r="175" spans="1:17" ht="15">
      <c r="A175" s="46"/>
      <c r="B175" s="40"/>
      <c r="C175" s="40"/>
      <c r="D175" s="40"/>
      <c r="E175" s="40"/>
      <c r="F175" s="40"/>
      <c r="G175" s="40"/>
      <c r="H175" s="40"/>
      <c r="I175" s="40"/>
      <c r="J175" s="47"/>
      <c r="K175" s="3"/>
      <c r="L175" s="3"/>
      <c r="M175" s="3"/>
      <c r="N175" s="3"/>
      <c r="O175" s="3"/>
      <c r="P175" s="3"/>
      <c r="Q175" s="3"/>
    </row>
    <row r="176" spans="1:17" ht="15">
      <c r="A176" s="46"/>
      <c r="B176" s="40"/>
      <c r="C176" s="40"/>
      <c r="D176" s="40"/>
      <c r="E176" s="40"/>
      <c r="F176" s="40"/>
      <c r="G176" s="40"/>
      <c r="H176" s="40"/>
      <c r="I176" s="40"/>
      <c r="J176" s="47"/>
      <c r="K176" s="3"/>
      <c r="L176" s="3"/>
      <c r="M176" s="3"/>
      <c r="N176" s="3"/>
      <c r="O176" s="3"/>
      <c r="P176" s="3"/>
      <c r="Q176" s="3"/>
    </row>
    <row r="177" spans="1:17" ht="15">
      <c r="A177" s="46"/>
      <c r="B177" s="40"/>
      <c r="C177" s="40"/>
      <c r="D177" s="40"/>
      <c r="E177" s="40"/>
      <c r="F177" s="40"/>
      <c r="G177" s="40"/>
      <c r="H177" s="40"/>
      <c r="I177" s="40"/>
      <c r="J177" s="47"/>
      <c r="K177" s="3"/>
      <c r="L177" s="3"/>
      <c r="M177" s="3"/>
      <c r="N177" s="3"/>
      <c r="O177" s="3"/>
      <c r="P177" s="3"/>
      <c r="Q177" s="3"/>
    </row>
    <row r="178" spans="1:17" ht="15">
      <c r="A178" s="46"/>
      <c r="B178" s="40"/>
      <c r="C178" s="40"/>
      <c r="D178" s="40"/>
      <c r="E178" s="40"/>
      <c r="F178" s="40"/>
      <c r="G178" s="40"/>
      <c r="H178" s="40"/>
      <c r="I178" s="40"/>
      <c r="J178" s="47"/>
      <c r="K178" s="3"/>
      <c r="L178" s="3"/>
      <c r="M178" s="3"/>
      <c r="N178" s="3"/>
      <c r="O178" s="3"/>
      <c r="P178" s="3"/>
      <c r="Q178" s="3"/>
    </row>
    <row r="179" spans="1:17" ht="15">
      <c r="A179" s="46"/>
      <c r="B179" s="40"/>
      <c r="C179" s="40"/>
      <c r="D179" s="40"/>
      <c r="E179" s="40"/>
      <c r="F179" s="40"/>
      <c r="G179" s="40"/>
      <c r="H179" s="40"/>
      <c r="I179" s="40"/>
      <c r="J179" s="47"/>
      <c r="K179" s="3"/>
      <c r="L179" s="3"/>
      <c r="M179" s="3"/>
      <c r="N179" s="3"/>
      <c r="O179" s="3"/>
      <c r="P179" s="3"/>
      <c r="Q179" s="3"/>
    </row>
    <row r="180" spans="1:17" ht="15">
      <c r="A180" s="46"/>
      <c r="B180" s="40"/>
      <c r="C180" s="40"/>
      <c r="D180" s="40"/>
      <c r="E180" s="40"/>
      <c r="F180" s="40"/>
      <c r="G180" s="40"/>
      <c r="H180" s="40"/>
      <c r="I180" s="40"/>
      <c r="J180" s="47"/>
      <c r="K180" s="3"/>
      <c r="L180" s="3"/>
      <c r="M180" s="3"/>
      <c r="N180" s="3"/>
      <c r="O180" s="3"/>
      <c r="P180" s="3"/>
      <c r="Q180" s="3"/>
    </row>
    <row r="181" spans="1:17" ht="15">
      <c r="A181" s="46"/>
      <c r="B181" s="40"/>
      <c r="C181" s="40"/>
      <c r="D181" s="40"/>
      <c r="E181" s="40"/>
      <c r="F181" s="40"/>
      <c r="G181" s="40"/>
      <c r="H181" s="40"/>
      <c r="I181" s="40"/>
      <c r="J181" s="47"/>
      <c r="K181" s="3"/>
      <c r="L181" s="3"/>
      <c r="M181" s="3"/>
      <c r="N181" s="3"/>
      <c r="O181" s="3"/>
      <c r="P181" s="3"/>
      <c r="Q181" s="3"/>
    </row>
    <row r="182" spans="1:17" ht="15">
      <c r="A182" s="46"/>
      <c r="B182" s="40"/>
      <c r="C182" s="40"/>
      <c r="D182" s="40"/>
      <c r="E182" s="40"/>
      <c r="F182" s="40"/>
      <c r="G182" s="40"/>
      <c r="H182" s="40"/>
      <c r="I182" s="40"/>
      <c r="J182" s="47"/>
      <c r="K182" s="3"/>
      <c r="L182" s="3"/>
      <c r="M182" s="3"/>
      <c r="N182" s="3"/>
      <c r="O182" s="3"/>
      <c r="P182" s="3"/>
      <c r="Q182" s="3"/>
    </row>
    <row r="183" spans="1:17" ht="15">
      <c r="A183" s="46"/>
      <c r="B183" s="40"/>
      <c r="C183" s="40"/>
      <c r="D183" s="40"/>
      <c r="E183" s="40"/>
      <c r="F183" s="40"/>
      <c r="G183" s="40"/>
      <c r="H183" s="40"/>
      <c r="I183" s="40"/>
      <c r="J183" s="47"/>
      <c r="K183" s="3"/>
      <c r="L183" s="3"/>
      <c r="M183" s="3"/>
      <c r="N183" s="3"/>
      <c r="O183" s="3"/>
      <c r="P183" s="3"/>
      <c r="Q183" s="3"/>
    </row>
    <row r="184" spans="1:17" ht="15">
      <c r="A184" s="46"/>
      <c r="B184" s="40"/>
      <c r="C184" s="40"/>
      <c r="D184" s="40"/>
      <c r="E184" s="40"/>
      <c r="F184" s="40"/>
      <c r="G184" s="40"/>
      <c r="H184" s="40"/>
      <c r="I184" s="40"/>
      <c r="J184" s="47"/>
      <c r="K184" s="3"/>
      <c r="L184" s="3"/>
      <c r="M184" s="3"/>
      <c r="N184" s="3"/>
      <c r="O184" s="3"/>
      <c r="P184" s="3"/>
      <c r="Q184" s="3"/>
    </row>
    <row r="185" spans="1:17" ht="15">
      <c r="A185" s="46"/>
      <c r="B185" s="40"/>
      <c r="C185" s="40"/>
      <c r="D185" s="40"/>
      <c r="E185" s="40"/>
      <c r="F185" s="40"/>
      <c r="G185" s="40"/>
      <c r="H185" s="40"/>
      <c r="I185" s="40"/>
      <c r="J185" s="47"/>
      <c r="K185" s="3"/>
      <c r="L185" s="3"/>
      <c r="M185" s="3"/>
      <c r="N185" s="3"/>
      <c r="O185" s="3"/>
      <c r="P185" s="3"/>
      <c r="Q185" s="3"/>
    </row>
    <row r="186" spans="1:17" ht="15">
      <c r="A186" s="46"/>
      <c r="B186" s="40"/>
      <c r="C186" s="40"/>
      <c r="D186" s="40"/>
      <c r="E186" s="40"/>
      <c r="F186" s="40"/>
      <c r="G186" s="40"/>
      <c r="H186" s="40"/>
      <c r="I186" s="40"/>
      <c r="J186" s="47"/>
      <c r="K186" s="3"/>
      <c r="L186" s="3"/>
      <c r="M186" s="3"/>
      <c r="N186" s="3"/>
      <c r="O186" s="3"/>
      <c r="P186" s="3"/>
      <c r="Q186" s="3"/>
    </row>
    <row r="187" spans="1:17" ht="15">
      <c r="A187" s="46"/>
      <c r="B187" s="40"/>
      <c r="C187" s="40"/>
      <c r="D187" s="40"/>
      <c r="E187" s="40"/>
      <c r="F187" s="40"/>
      <c r="G187" s="40"/>
      <c r="H187" s="40"/>
      <c r="I187" s="40"/>
      <c r="J187" s="47"/>
      <c r="K187" s="3"/>
      <c r="L187" s="3"/>
      <c r="M187" s="3"/>
      <c r="N187" s="3"/>
      <c r="O187" s="3"/>
      <c r="P187" s="3"/>
      <c r="Q187" s="3"/>
    </row>
    <row r="188" spans="1:17" ht="15">
      <c r="A188" s="46"/>
      <c r="B188" s="40"/>
      <c r="C188" s="40"/>
      <c r="D188" s="40"/>
      <c r="E188" s="40"/>
      <c r="F188" s="40"/>
      <c r="G188" s="40"/>
      <c r="H188" s="40"/>
      <c r="I188" s="40"/>
      <c r="J188" s="47"/>
      <c r="K188" s="3"/>
      <c r="L188" s="3"/>
      <c r="M188" s="3"/>
      <c r="N188" s="3"/>
      <c r="O188" s="3"/>
      <c r="P188" s="3"/>
      <c r="Q188" s="3"/>
    </row>
    <row r="189" spans="1:17" ht="15">
      <c r="A189" s="46"/>
      <c r="B189" s="40"/>
      <c r="C189" s="40"/>
      <c r="D189" s="40"/>
      <c r="E189" s="40"/>
      <c r="F189" s="40"/>
      <c r="G189" s="40"/>
      <c r="H189" s="40"/>
      <c r="I189" s="40"/>
      <c r="J189" s="47"/>
      <c r="K189" s="3"/>
      <c r="L189" s="3"/>
      <c r="M189" s="3"/>
      <c r="N189" s="3"/>
      <c r="O189" s="3"/>
      <c r="P189" s="3"/>
      <c r="Q189" s="3"/>
    </row>
    <row r="190" spans="1:17" ht="15">
      <c r="A190" s="46"/>
      <c r="B190" s="40"/>
      <c r="C190" s="40"/>
      <c r="D190" s="40"/>
      <c r="E190" s="40"/>
      <c r="F190" s="40"/>
      <c r="G190" s="40"/>
      <c r="H190" s="40"/>
      <c r="I190" s="40"/>
      <c r="J190" s="47"/>
      <c r="K190" s="3"/>
      <c r="L190" s="3"/>
      <c r="M190" s="3"/>
      <c r="N190" s="3"/>
      <c r="O190" s="3"/>
      <c r="P190" s="3"/>
      <c r="Q190" s="3"/>
    </row>
    <row r="191" spans="1:17" ht="15">
      <c r="A191" s="46"/>
      <c r="B191" s="40"/>
      <c r="C191" s="40"/>
      <c r="D191" s="40"/>
      <c r="E191" s="40"/>
      <c r="F191" s="40"/>
      <c r="G191" s="40"/>
      <c r="H191" s="40"/>
      <c r="I191" s="40"/>
      <c r="J191" s="47"/>
      <c r="K191" s="3"/>
      <c r="L191" s="3"/>
      <c r="M191" s="3"/>
      <c r="N191" s="3"/>
      <c r="O191" s="3"/>
      <c r="P191" s="3"/>
      <c r="Q191" s="3"/>
    </row>
    <row r="192" spans="1:17" ht="15">
      <c r="A192" s="46"/>
      <c r="B192" s="40"/>
      <c r="C192" s="40"/>
      <c r="D192" s="40"/>
      <c r="E192" s="40"/>
      <c r="F192" s="40"/>
      <c r="G192" s="40"/>
      <c r="H192" s="40"/>
      <c r="I192" s="40"/>
      <c r="J192" s="47"/>
      <c r="K192" s="3"/>
      <c r="L192" s="3"/>
      <c r="M192" s="3"/>
      <c r="N192" s="3"/>
      <c r="O192" s="3"/>
      <c r="P192" s="3"/>
      <c r="Q192" s="3"/>
    </row>
    <row r="193" spans="1:17" ht="15">
      <c r="A193" s="46"/>
      <c r="B193" s="40"/>
      <c r="C193" s="40"/>
      <c r="D193" s="40"/>
      <c r="E193" s="40"/>
      <c r="F193" s="40"/>
      <c r="G193" s="40"/>
      <c r="H193" s="40"/>
      <c r="I193" s="40"/>
      <c r="J193" s="47"/>
      <c r="K193" s="3"/>
      <c r="L193" s="3"/>
      <c r="M193" s="3"/>
      <c r="N193" s="3"/>
      <c r="O193" s="3"/>
      <c r="P193" s="3"/>
      <c r="Q193" s="3"/>
    </row>
    <row r="194" spans="1:17" ht="15">
      <c r="A194" s="46"/>
      <c r="B194" s="40"/>
      <c r="C194" s="40"/>
      <c r="D194" s="40"/>
      <c r="E194" s="40"/>
      <c r="F194" s="40"/>
      <c r="G194" s="40"/>
      <c r="H194" s="40"/>
      <c r="I194" s="40"/>
      <c r="J194" s="47"/>
      <c r="K194" s="3"/>
      <c r="L194" s="3"/>
      <c r="M194" s="3"/>
      <c r="N194" s="3"/>
      <c r="O194" s="3"/>
      <c r="P194" s="3"/>
      <c r="Q194" s="3"/>
    </row>
    <row r="195" spans="1:17" ht="15">
      <c r="A195" s="46"/>
      <c r="B195" s="40"/>
      <c r="C195" s="40"/>
      <c r="D195" s="40"/>
      <c r="E195" s="40"/>
      <c r="F195" s="40"/>
      <c r="G195" s="40"/>
      <c r="H195" s="40"/>
      <c r="I195" s="40"/>
      <c r="J195" s="47"/>
      <c r="K195" s="3"/>
      <c r="L195" s="3"/>
      <c r="M195" s="3"/>
      <c r="N195" s="3"/>
      <c r="O195" s="3"/>
      <c r="P195" s="3"/>
      <c r="Q195" s="3"/>
    </row>
    <row r="196" spans="1:17" ht="15">
      <c r="A196" s="46"/>
      <c r="B196" s="40"/>
      <c r="C196" s="40"/>
      <c r="D196" s="40"/>
      <c r="E196" s="40"/>
      <c r="F196" s="40"/>
      <c r="G196" s="40"/>
      <c r="H196" s="40"/>
      <c r="I196" s="40"/>
      <c r="J196" s="47"/>
      <c r="K196" s="3"/>
      <c r="L196" s="3"/>
      <c r="M196" s="3"/>
      <c r="N196" s="3"/>
      <c r="O196" s="3"/>
      <c r="P196" s="3"/>
      <c r="Q196" s="3"/>
    </row>
    <row r="197" spans="1:17" ht="15">
      <c r="A197" s="46"/>
      <c r="B197" s="40"/>
      <c r="C197" s="40"/>
      <c r="D197" s="40"/>
      <c r="E197" s="40"/>
      <c r="F197" s="40"/>
      <c r="G197" s="40"/>
      <c r="H197" s="40"/>
      <c r="I197" s="40"/>
      <c r="J197" s="47"/>
      <c r="K197" s="3"/>
      <c r="L197" s="3"/>
      <c r="M197" s="3"/>
      <c r="N197" s="3"/>
      <c r="O197" s="3"/>
      <c r="P197" s="3"/>
      <c r="Q197" s="3"/>
    </row>
    <row r="198" spans="1:17" ht="15">
      <c r="A198" s="46"/>
      <c r="B198" s="40"/>
      <c r="C198" s="40"/>
      <c r="D198" s="40"/>
      <c r="E198" s="40"/>
      <c r="F198" s="40"/>
      <c r="G198" s="40"/>
      <c r="H198" s="40"/>
      <c r="I198" s="40"/>
      <c r="J198" s="47"/>
      <c r="K198" s="3"/>
      <c r="L198" s="3"/>
      <c r="M198" s="3"/>
      <c r="N198" s="3"/>
      <c r="O198" s="3"/>
      <c r="P198" s="3"/>
      <c r="Q198" s="3"/>
    </row>
    <row r="199" spans="1:17" ht="15">
      <c r="A199" s="46"/>
      <c r="B199" s="40"/>
      <c r="C199" s="40"/>
      <c r="D199" s="40"/>
      <c r="E199" s="40"/>
      <c r="F199" s="40"/>
      <c r="G199" s="40"/>
      <c r="H199" s="40"/>
      <c r="I199" s="40"/>
      <c r="J199" s="47"/>
      <c r="K199" s="3"/>
      <c r="L199" s="3"/>
      <c r="M199" s="3"/>
      <c r="N199" s="3"/>
      <c r="O199" s="3"/>
      <c r="P199" s="3"/>
      <c r="Q199" s="3"/>
    </row>
    <row r="200" spans="1:17" ht="15">
      <c r="A200" s="46"/>
      <c r="B200" s="40"/>
      <c r="C200" s="40"/>
      <c r="D200" s="40"/>
      <c r="E200" s="40"/>
      <c r="F200" s="40"/>
      <c r="G200" s="40"/>
      <c r="H200" s="40"/>
      <c r="I200" s="40"/>
      <c r="J200" s="47"/>
      <c r="K200" s="3"/>
      <c r="L200" s="3"/>
      <c r="M200" s="3"/>
      <c r="N200" s="3"/>
      <c r="O200" s="3"/>
      <c r="P200" s="3"/>
      <c r="Q200" s="3"/>
    </row>
    <row r="201" spans="1:17" ht="15">
      <c r="A201" s="46"/>
      <c r="B201" s="40"/>
      <c r="C201" s="40"/>
      <c r="D201" s="40"/>
      <c r="E201" s="40"/>
      <c r="F201" s="40"/>
      <c r="G201" s="40"/>
      <c r="H201" s="40"/>
      <c r="I201" s="40"/>
      <c r="J201" s="47"/>
      <c r="K201" s="3"/>
      <c r="L201" s="3"/>
      <c r="M201" s="3"/>
      <c r="N201" s="3"/>
      <c r="O201" s="3"/>
      <c r="P201" s="3"/>
      <c r="Q201" s="3"/>
    </row>
    <row r="202" spans="1:17" ht="15">
      <c r="A202" s="46"/>
      <c r="B202" s="40"/>
      <c r="C202" s="40"/>
      <c r="D202" s="40"/>
      <c r="E202" s="40"/>
      <c r="F202" s="40"/>
      <c r="G202" s="40"/>
      <c r="H202" s="40"/>
      <c r="I202" s="40"/>
      <c r="J202" s="47"/>
      <c r="K202" s="3"/>
      <c r="L202" s="3"/>
      <c r="M202" s="3"/>
      <c r="N202" s="3"/>
      <c r="O202" s="3"/>
      <c r="P202" s="3"/>
      <c r="Q202" s="3"/>
    </row>
    <row r="203" spans="1:17" ht="15">
      <c r="A203" s="46"/>
      <c r="B203" s="40"/>
      <c r="C203" s="40"/>
      <c r="D203" s="40"/>
      <c r="E203" s="40"/>
      <c r="F203" s="40"/>
      <c r="G203" s="40"/>
      <c r="H203" s="40"/>
      <c r="I203" s="40"/>
      <c r="J203" s="47"/>
      <c r="K203" s="3"/>
      <c r="L203" s="3"/>
      <c r="M203" s="3"/>
      <c r="N203" s="3"/>
      <c r="O203" s="3"/>
      <c r="P203" s="3"/>
      <c r="Q203" s="3"/>
    </row>
    <row r="204" spans="1:17" ht="15">
      <c r="A204" s="46"/>
      <c r="B204" s="40"/>
      <c r="C204" s="40"/>
      <c r="D204" s="40"/>
      <c r="E204" s="40"/>
      <c r="F204" s="40"/>
      <c r="G204" s="40"/>
      <c r="H204" s="40"/>
      <c r="I204" s="40"/>
      <c r="J204" s="47"/>
      <c r="K204" s="3"/>
      <c r="L204" s="3"/>
      <c r="M204" s="3"/>
      <c r="N204" s="3"/>
      <c r="O204" s="3"/>
      <c r="P204" s="3"/>
      <c r="Q204" s="3"/>
    </row>
    <row r="205" spans="1:17" ht="15">
      <c r="A205" s="46"/>
      <c r="B205" s="40"/>
      <c r="C205" s="40"/>
      <c r="D205" s="40"/>
      <c r="E205" s="40"/>
      <c r="F205" s="40"/>
      <c r="G205" s="40"/>
      <c r="H205" s="40"/>
      <c r="I205" s="40"/>
      <c r="J205" s="47"/>
      <c r="K205" s="3"/>
      <c r="L205" s="3"/>
      <c r="M205" s="3"/>
      <c r="N205" s="3"/>
      <c r="O205" s="3"/>
      <c r="P205" s="3"/>
      <c r="Q205" s="3"/>
    </row>
    <row r="206" spans="1:17" ht="15">
      <c r="A206" s="48"/>
      <c r="B206" s="49"/>
      <c r="C206" s="49"/>
      <c r="D206" s="49"/>
      <c r="E206" s="49"/>
      <c r="F206" s="49"/>
      <c r="G206" s="49"/>
      <c r="H206" s="49"/>
      <c r="I206" s="49"/>
      <c r="J206" s="50"/>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0"/>
  <sheetViews>
    <sheetView workbookViewId="0"/>
  </sheetViews>
  <sheetFormatPr defaultRowHeight="14.25"/>
  <cols>
    <col min="1" max="1" width="12" customWidth="1"/>
    <col min="2" max="2" width="34" customWidth="1"/>
    <col min="3" max="3" width="28" customWidth="1"/>
    <col min="4" max="4" width="32" customWidth="1"/>
    <col min="5" max="5" width="18" customWidth="1"/>
    <col min="6" max="6" width="34" customWidth="1"/>
    <col min="7" max="7" width="12" customWidth="1"/>
    <col min="8" max="8" width="50" customWidth="1"/>
  </cols>
  <sheetData>
    <row r="1" spans="1:17" ht="24" customHeight="1">
      <c r="A1" s="200" t="s">
        <v>311</v>
      </c>
      <c r="B1" s="201"/>
      <c r="C1" s="201"/>
      <c r="D1" s="201"/>
      <c r="E1" s="201"/>
      <c r="F1" s="201"/>
      <c r="G1" s="201"/>
      <c r="H1" s="201"/>
      <c r="I1" s="15"/>
      <c r="J1" s="15"/>
      <c r="K1" s="15"/>
      <c r="L1" s="3"/>
      <c r="M1" s="3"/>
      <c r="N1" s="3"/>
      <c r="O1" s="3"/>
      <c r="P1" s="3"/>
      <c r="Q1" s="3"/>
    </row>
    <row r="2" spans="1:17" ht="33.950000000000003" customHeight="1">
      <c r="A2" s="202" t="s">
        <v>312</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313</v>
      </c>
      <c r="B4" s="4" t="s">
        <v>314</v>
      </c>
      <c r="C4" s="4" t="s">
        <v>315</v>
      </c>
      <c r="D4" s="4" t="s">
        <v>316</v>
      </c>
      <c r="E4" s="4" t="s">
        <v>317</v>
      </c>
      <c r="F4" s="4" t="s">
        <v>318</v>
      </c>
      <c r="G4" s="4" t="s">
        <v>94</v>
      </c>
      <c r="H4" s="4" t="s">
        <v>309</v>
      </c>
      <c r="I4" s="3"/>
      <c r="J4" s="3"/>
      <c r="K4" s="3"/>
      <c r="L4" s="3"/>
      <c r="M4" s="3"/>
      <c r="N4" s="3"/>
      <c r="O4" s="3"/>
      <c r="P4" s="3"/>
      <c r="Q4" s="3"/>
    </row>
    <row r="5" spans="1:17" ht="15">
      <c r="A5" s="7" t="s">
        <v>319</v>
      </c>
      <c r="B5" s="7" t="s">
        <v>320</v>
      </c>
      <c r="C5" s="7" t="s">
        <v>184</v>
      </c>
      <c r="D5" s="7" t="s">
        <v>321</v>
      </c>
      <c r="E5" s="7" t="s">
        <v>322</v>
      </c>
      <c r="F5" s="7" t="s">
        <v>323</v>
      </c>
      <c r="G5" s="7" t="s">
        <v>324</v>
      </c>
      <c r="H5" s="7" t="s">
        <v>325</v>
      </c>
      <c r="I5" s="3"/>
      <c r="J5" s="3"/>
      <c r="K5" s="3"/>
      <c r="L5" s="3"/>
      <c r="M5" s="3"/>
      <c r="N5" s="3"/>
      <c r="O5" s="3"/>
      <c r="P5" s="3"/>
      <c r="Q5" s="3"/>
    </row>
    <row r="6" spans="1:17" ht="15">
      <c r="A6" s="7" t="s">
        <v>326</v>
      </c>
      <c r="B6" s="7" t="s">
        <v>327</v>
      </c>
      <c r="C6" s="7" t="s">
        <v>184</v>
      </c>
      <c r="D6" s="7" t="s">
        <v>328</v>
      </c>
      <c r="E6" s="7" t="s">
        <v>322</v>
      </c>
      <c r="F6" s="7" t="s">
        <v>329</v>
      </c>
      <c r="G6" s="7" t="s">
        <v>324</v>
      </c>
      <c r="H6" s="7" t="s">
        <v>330</v>
      </c>
      <c r="I6" s="3"/>
      <c r="J6" s="3"/>
      <c r="K6" s="3"/>
      <c r="L6" s="3"/>
      <c r="M6" s="3"/>
      <c r="N6" s="3"/>
      <c r="O6" s="3"/>
      <c r="P6" s="3"/>
      <c r="Q6" s="3"/>
    </row>
    <row r="7" spans="1:17" ht="15">
      <c r="A7" s="7" t="s">
        <v>331</v>
      </c>
      <c r="B7" s="7" t="s">
        <v>332</v>
      </c>
      <c r="C7" s="7" t="s">
        <v>184</v>
      </c>
      <c r="D7" s="7" t="s">
        <v>333</v>
      </c>
      <c r="E7" s="7" t="s">
        <v>322</v>
      </c>
      <c r="F7" s="7" t="s">
        <v>334</v>
      </c>
      <c r="G7" s="7" t="s">
        <v>324</v>
      </c>
      <c r="H7" s="7" t="s">
        <v>335</v>
      </c>
      <c r="I7" s="3"/>
      <c r="J7" s="3"/>
      <c r="K7" s="3"/>
      <c r="L7" s="3"/>
      <c r="M7" s="3"/>
      <c r="N7" s="3"/>
      <c r="O7" s="3"/>
      <c r="P7" s="3"/>
      <c r="Q7" s="3"/>
    </row>
    <row r="8" spans="1:17" ht="27">
      <c r="A8" s="8" t="s">
        <v>336</v>
      </c>
      <c r="B8" s="8" t="s">
        <v>337</v>
      </c>
      <c r="C8" s="8" t="s">
        <v>184</v>
      </c>
      <c r="D8" s="8" t="s">
        <v>338</v>
      </c>
      <c r="E8" s="8" t="s">
        <v>322</v>
      </c>
      <c r="F8" s="8" t="s">
        <v>339</v>
      </c>
      <c r="G8" s="8" t="s">
        <v>340</v>
      </c>
      <c r="H8" s="8" t="s">
        <v>341</v>
      </c>
      <c r="I8" s="3"/>
      <c r="J8" s="3"/>
      <c r="K8" s="3"/>
      <c r="L8" s="3"/>
      <c r="M8" s="3"/>
      <c r="N8" s="3"/>
      <c r="O8" s="3"/>
      <c r="P8" s="3"/>
      <c r="Q8" s="3"/>
    </row>
    <row r="9" spans="1:17" ht="15">
      <c r="A9" s="8" t="s">
        <v>342</v>
      </c>
      <c r="B9" s="8" t="s">
        <v>343</v>
      </c>
      <c r="C9" s="8" t="s">
        <v>344</v>
      </c>
      <c r="D9" s="8" t="s">
        <v>345</v>
      </c>
      <c r="E9" s="8" t="s">
        <v>346</v>
      </c>
      <c r="F9" s="8" t="s">
        <v>347</v>
      </c>
      <c r="G9" s="8" t="s">
        <v>348</v>
      </c>
      <c r="H9" s="8" t="s">
        <v>349</v>
      </c>
      <c r="I9" s="3"/>
      <c r="J9" s="3"/>
      <c r="K9" s="3"/>
      <c r="L9" s="3"/>
      <c r="M9" s="3"/>
      <c r="N9" s="3"/>
      <c r="O9" s="3"/>
      <c r="P9" s="3"/>
      <c r="Q9" s="3"/>
    </row>
    <row r="10" spans="1:17" ht="15">
      <c r="A10" s="8" t="s">
        <v>350</v>
      </c>
      <c r="B10" s="8" t="s">
        <v>351</v>
      </c>
      <c r="C10" s="8" t="s">
        <v>352</v>
      </c>
      <c r="D10" s="8" t="s">
        <v>353</v>
      </c>
      <c r="E10" s="8" t="s">
        <v>322</v>
      </c>
      <c r="F10" s="8" t="s">
        <v>354</v>
      </c>
      <c r="G10" s="8" t="s">
        <v>348</v>
      </c>
      <c r="H10" s="8" t="s">
        <v>355</v>
      </c>
      <c r="I10" s="3"/>
      <c r="J10" s="3"/>
      <c r="K10" s="3"/>
      <c r="L10" s="3"/>
      <c r="M10" s="3"/>
      <c r="N10" s="3"/>
      <c r="O10" s="3"/>
      <c r="P10" s="3"/>
      <c r="Q10" s="3"/>
    </row>
    <row r="11" spans="1:17" ht="15">
      <c r="A11" s="8" t="s">
        <v>356</v>
      </c>
      <c r="B11" s="8" t="s">
        <v>357</v>
      </c>
      <c r="C11" s="8" t="s">
        <v>189</v>
      </c>
      <c r="D11" s="8" t="s">
        <v>358</v>
      </c>
      <c r="E11" s="8" t="s">
        <v>322</v>
      </c>
      <c r="F11" s="8" t="s">
        <v>359</v>
      </c>
      <c r="G11" s="8" t="s">
        <v>348</v>
      </c>
      <c r="H11" s="8" t="s">
        <v>360</v>
      </c>
      <c r="I11" s="3"/>
      <c r="J11" s="3"/>
      <c r="K11" s="3"/>
      <c r="L11" s="3"/>
      <c r="M11" s="3"/>
      <c r="N11" s="3"/>
      <c r="O11" s="3"/>
      <c r="P11" s="3"/>
      <c r="Q11" s="3"/>
    </row>
    <row r="12" spans="1:17" ht="15">
      <c r="A12" s="8" t="s">
        <v>361</v>
      </c>
      <c r="B12" s="8" t="s">
        <v>362</v>
      </c>
      <c r="C12" s="8" t="s">
        <v>363</v>
      </c>
      <c r="D12" s="8" t="s">
        <v>364</v>
      </c>
      <c r="E12" s="8" t="s">
        <v>322</v>
      </c>
      <c r="F12" s="8" t="s">
        <v>365</v>
      </c>
      <c r="G12" s="8" t="s">
        <v>340</v>
      </c>
      <c r="H12" s="8" t="s">
        <v>366</v>
      </c>
      <c r="I12" s="3"/>
      <c r="J12" s="3"/>
      <c r="K12" s="3"/>
      <c r="L12" s="3"/>
      <c r="M12" s="3"/>
      <c r="N12" s="3"/>
      <c r="O12" s="3"/>
      <c r="P12" s="3"/>
      <c r="Q12" s="3"/>
    </row>
    <row r="13" spans="1:17" ht="15">
      <c r="A13" s="8" t="s">
        <v>367</v>
      </c>
      <c r="B13" s="8" t="s">
        <v>368</v>
      </c>
      <c r="C13" s="8" t="s">
        <v>369</v>
      </c>
      <c r="D13" s="8" t="s">
        <v>370</v>
      </c>
      <c r="E13" s="8" t="s">
        <v>371</v>
      </c>
      <c r="F13" s="8" t="s">
        <v>372</v>
      </c>
      <c r="G13" s="8" t="s">
        <v>276</v>
      </c>
      <c r="H13" s="8" t="s">
        <v>373</v>
      </c>
      <c r="I13" s="3"/>
      <c r="J13" s="3"/>
      <c r="K13" s="3"/>
      <c r="L13" s="3"/>
      <c r="M13" s="3"/>
      <c r="N13" s="3"/>
      <c r="O13" s="3"/>
      <c r="P13" s="3"/>
      <c r="Q13" s="3"/>
    </row>
    <row r="14" spans="1:17" ht="15">
      <c r="A14" s="8" t="s">
        <v>374</v>
      </c>
      <c r="B14" s="8" t="s">
        <v>375</v>
      </c>
      <c r="C14" s="8" t="s">
        <v>376</v>
      </c>
      <c r="D14" s="8" t="s">
        <v>377</v>
      </c>
      <c r="E14" s="8" t="s">
        <v>371</v>
      </c>
      <c r="F14" s="8" t="s">
        <v>378</v>
      </c>
      <c r="G14" s="8" t="s">
        <v>276</v>
      </c>
      <c r="H14" s="8" t="s">
        <v>379</v>
      </c>
      <c r="I14" s="3"/>
      <c r="J14" s="3"/>
      <c r="K14" s="3"/>
      <c r="L14" s="3"/>
      <c r="M14" s="3"/>
      <c r="N14" s="3"/>
      <c r="O14" s="3"/>
      <c r="P14" s="3"/>
      <c r="Q14" s="3"/>
    </row>
    <row r="15" spans="1:17" ht="15">
      <c r="A15" s="7" t="s">
        <v>380</v>
      </c>
      <c r="B15" s="7" t="s">
        <v>381</v>
      </c>
      <c r="C15" s="7" t="s">
        <v>61</v>
      </c>
      <c r="D15" s="7" t="s">
        <v>94</v>
      </c>
      <c r="E15" s="7" t="s">
        <v>322</v>
      </c>
      <c r="F15" s="7" t="s">
        <v>382</v>
      </c>
      <c r="G15" s="7" t="s">
        <v>324</v>
      </c>
      <c r="H15" s="7" t="s">
        <v>383</v>
      </c>
      <c r="I15" s="3"/>
      <c r="J15" s="3"/>
      <c r="K15" s="3"/>
      <c r="L15" s="3"/>
      <c r="M15" s="3"/>
      <c r="N15" s="3"/>
      <c r="O15" s="3"/>
      <c r="P15" s="3"/>
      <c r="Q15" s="3"/>
    </row>
    <row r="16" spans="1:17" ht="27">
      <c r="A16" s="7" t="s">
        <v>384</v>
      </c>
      <c r="B16" s="7" t="s">
        <v>385</v>
      </c>
      <c r="C16" s="7" t="s">
        <v>386</v>
      </c>
      <c r="D16" s="7" t="s">
        <v>387</v>
      </c>
      <c r="E16" s="7" t="s">
        <v>322</v>
      </c>
      <c r="F16" s="7" t="s">
        <v>382</v>
      </c>
      <c r="G16" s="7" t="s">
        <v>324</v>
      </c>
      <c r="H16" s="7" t="s">
        <v>388</v>
      </c>
      <c r="I16" s="3"/>
      <c r="J16" s="3"/>
      <c r="K16" s="3"/>
      <c r="L16" s="3"/>
      <c r="M16" s="3"/>
      <c r="N16" s="3"/>
      <c r="O16" s="3"/>
      <c r="P16" s="3"/>
      <c r="Q16" s="3"/>
    </row>
    <row r="17" spans="1:17" ht="15">
      <c r="A17" s="3"/>
      <c r="B17" s="3"/>
      <c r="C17" s="3"/>
      <c r="D17" s="3"/>
      <c r="E17" s="3"/>
      <c r="F17" s="3"/>
      <c r="G17" s="3"/>
      <c r="H17" s="3"/>
      <c r="I17" s="3"/>
      <c r="J17" s="3"/>
      <c r="K17" s="3"/>
      <c r="L17" s="3"/>
      <c r="M17" s="3"/>
      <c r="N17" s="3"/>
      <c r="O17" s="3"/>
      <c r="P17" s="3"/>
      <c r="Q17" s="3"/>
    </row>
    <row r="18" spans="1:17" ht="15">
      <c r="A18" s="3"/>
      <c r="B18" s="3"/>
      <c r="C18" s="3"/>
      <c r="D18" s="3"/>
      <c r="E18" s="3"/>
      <c r="F18" s="3"/>
      <c r="G18" s="3"/>
      <c r="H18" s="3"/>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50"/>
  <sheetViews>
    <sheetView workbookViewId="0"/>
  </sheetViews>
  <sheetFormatPr defaultRowHeight="14.25"/>
  <cols>
    <col min="1" max="1" width="14" customWidth="1"/>
    <col min="2" max="2" width="28" customWidth="1"/>
    <col min="3" max="3" width="18" customWidth="1"/>
    <col min="4" max="4" width="13" customWidth="1"/>
    <col min="5" max="5" width="12" customWidth="1"/>
    <col min="6" max="6" width="18" customWidth="1"/>
    <col min="7" max="7" width="20" customWidth="1"/>
    <col min="8" max="8" width="12" customWidth="1"/>
    <col min="9" max="10" width="14" customWidth="1"/>
    <col min="11" max="12" width="12" customWidth="1"/>
    <col min="13" max="13" width="22" customWidth="1"/>
    <col min="14" max="14" width="16" customWidth="1"/>
    <col min="15" max="15" width="20" customWidth="1"/>
    <col min="16" max="16" width="46" customWidth="1"/>
    <col min="17" max="17" width="14" customWidth="1"/>
  </cols>
  <sheetData>
    <row r="1" spans="1:17" ht="24" customHeight="1">
      <c r="A1" s="205" t="s">
        <v>389</v>
      </c>
      <c r="B1" s="205"/>
      <c r="C1" s="205"/>
      <c r="D1" s="205"/>
      <c r="E1" s="205"/>
      <c r="F1" s="205"/>
      <c r="G1" s="205"/>
      <c r="H1" s="205"/>
      <c r="I1" s="205"/>
      <c r="J1" s="205"/>
      <c r="K1" s="205"/>
      <c r="L1" s="205"/>
      <c r="M1" s="205"/>
      <c r="N1" s="205"/>
      <c r="O1" s="205"/>
      <c r="P1" s="205"/>
      <c r="Q1" s="205"/>
    </row>
    <row r="2" spans="1:17" ht="33.950000000000003" customHeight="1">
      <c r="A2" s="202" t="s">
        <v>390</v>
      </c>
      <c r="B2" s="203"/>
      <c r="C2" s="203"/>
      <c r="D2" s="203"/>
      <c r="E2" s="203"/>
      <c r="F2" s="203"/>
      <c r="G2" s="203"/>
      <c r="H2" s="203"/>
      <c r="I2" s="203"/>
      <c r="J2" s="203"/>
      <c r="K2" s="203"/>
      <c r="L2" s="203"/>
      <c r="M2" s="203"/>
      <c r="N2" s="203"/>
      <c r="O2" s="203"/>
      <c r="P2" s="203"/>
      <c r="Q2" s="20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328</v>
      </c>
      <c r="B6" s="42" t="s">
        <v>321</v>
      </c>
      <c r="C6" s="42" t="s">
        <v>391</v>
      </c>
      <c r="D6" s="42" t="s">
        <v>94</v>
      </c>
      <c r="E6" s="42" t="s">
        <v>333</v>
      </c>
      <c r="F6" s="42" t="s">
        <v>392</v>
      </c>
      <c r="G6" s="42" t="s">
        <v>393</v>
      </c>
      <c r="H6" s="42" t="s">
        <v>394</v>
      </c>
      <c r="I6" s="42" t="s">
        <v>395</v>
      </c>
      <c r="J6" s="42" t="s">
        <v>396</v>
      </c>
      <c r="K6" s="42" t="s">
        <v>397</v>
      </c>
      <c r="L6" s="42" t="s">
        <v>398</v>
      </c>
      <c r="M6" s="42" t="s">
        <v>399</v>
      </c>
      <c r="N6" s="42" t="s">
        <v>400</v>
      </c>
      <c r="O6" s="42" t="s">
        <v>401</v>
      </c>
      <c r="P6" s="42" t="s">
        <v>402</v>
      </c>
      <c r="Q6" s="43" t="s">
        <v>403</v>
      </c>
    </row>
    <row r="7" spans="1:17">
      <c r="A7" s="44"/>
      <c r="B7" s="39"/>
      <c r="C7" s="39"/>
      <c r="D7" s="39"/>
      <c r="E7" s="39"/>
      <c r="F7" s="39"/>
      <c r="G7" s="39"/>
      <c r="H7" s="67"/>
      <c r="I7" s="67"/>
      <c r="J7" s="67"/>
      <c r="K7" s="51" t="str">
        <f t="shared" ref="K7:K23" si="0">IF(A7="","",IF(J7="","No",IF(I7=J7,"No","Yes")))</f>
        <v/>
      </c>
      <c r="L7" s="39"/>
      <c r="M7" s="39"/>
      <c r="N7" s="39"/>
      <c r="O7" s="39"/>
      <c r="P7" s="39"/>
      <c r="Q7" s="52" t="str">
        <f t="shared" ref="Q7:Q23" si="1">IF(A7="","",IF(K7="Yes","Review",IF(COUNTA(A7:I7)&gt;=8,"Ready","Partial")))</f>
        <v/>
      </c>
    </row>
    <row r="8" spans="1:17">
      <c r="A8" s="44"/>
      <c r="B8" s="39"/>
      <c r="C8" s="39"/>
      <c r="D8" s="39"/>
      <c r="E8" s="39"/>
      <c r="F8" s="39"/>
      <c r="G8" s="39"/>
      <c r="H8" s="67"/>
      <c r="I8" s="67"/>
      <c r="J8" s="67"/>
      <c r="K8" s="51" t="str">
        <f t="shared" si="0"/>
        <v/>
      </c>
      <c r="L8" s="39"/>
      <c r="M8" s="39"/>
      <c r="N8" s="39"/>
      <c r="O8" s="39"/>
      <c r="P8" s="39"/>
      <c r="Q8" s="52" t="str">
        <f t="shared" si="1"/>
        <v/>
      </c>
    </row>
    <row r="9" spans="1:17">
      <c r="A9" s="44"/>
      <c r="B9" s="39"/>
      <c r="C9" s="39"/>
      <c r="D9" s="39"/>
      <c r="E9" s="39"/>
      <c r="F9" s="39"/>
      <c r="G9" s="39"/>
      <c r="H9" s="67"/>
      <c r="I9" s="67"/>
      <c r="J9" s="67"/>
      <c r="K9" s="51" t="str">
        <f t="shared" si="0"/>
        <v/>
      </c>
      <c r="L9" s="39"/>
      <c r="M9" s="39"/>
      <c r="N9" s="39"/>
      <c r="O9" s="39"/>
      <c r="P9" s="39"/>
      <c r="Q9" s="52" t="str">
        <f t="shared" si="1"/>
        <v/>
      </c>
    </row>
    <row r="10" spans="1:17">
      <c r="A10" s="44"/>
      <c r="B10" s="39"/>
      <c r="C10" s="39"/>
      <c r="D10" s="39"/>
      <c r="E10" s="39"/>
      <c r="F10" s="39"/>
      <c r="G10" s="39"/>
      <c r="H10" s="67"/>
      <c r="I10" s="67"/>
      <c r="J10" s="67"/>
      <c r="K10" s="51" t="str">
        <f t="shared" si="0"/>
        <v/>
      </c>
      <c r="L10" s="39"/>
      <c r="M10" s="39"/>
      <c r="N10" s="39"/>
      <c r="O10" s="39"/>
      <c r="P10" s="39"/>
      <c r="Q10" s="52" t="str">
        <f t="shared" si="1"/>
        <v/>
      </c>
    </row>
    <row r="11" spans="1:17">
      <c r="A11" s="44"/>
      <c r="B11" s="39"/>
      <c r="C11" s="39"/>
      <c r="D11" s="39"/>
      <c r="E11" s="39"/>
      <c r="F11" s="39"/>
      <c r="G11" s="39"/>
      <c r="H11" s="67"/>
      <c r="I11" s="67"/>
      <c r="J11" s="67"/>
      <c r="K11" s="51" t="str">
        <f t="shared" si="0"/>
        <v/>
      </c>
      <c r="L11" s="39"/>
      <c r="M11" s="39"/>
      <c r="N11" s="39"/>
      <c r="O11" s="39"/>
      <c r="P11" s="39"/>
      <c r="Q11" s="52" t="str">
        <f t="shared" si="1"/>
        <v/>
      </c>
    </row>
    <row r="12" spans="1:17">
      <c r="A12" s="44"/>
      <c r="B12" s="39"/>
      <c r="C12" s="39"/>
      <c r="D12" s="39"/>
      <c r="E12" s="39"/>
      <c r="F12" s="39"/>
      <c r="G12" s="39"/>
      <c r="H12" s="67"/>
      <c r="I12" s="67"/>
      <c r="J12" s="67"/>
      <c r="K12" s="51" t="str">
        <f t="shared" si="0"/>
        <v/>
      </c>
      <c r="L12" s="39"/>
      <c r="M12" s="39"/>
      <c r="N12" s="39"/>
      <c r="O12" s="39"/>
      <c r="P12" s="39"/>
      <c r="Q12" s="52" t="str">
        <f t="shared" si="1"/>
        <v/>
      </c>
    </row>
    <row r="13" spans="1:17">
      <c r="A13" s="44"/>
      <c r="B13" s="39"/>
      <c r="C13" s="39"/>
      <c r="D13" s="39"/>
      <c r="E13" s="39"/>
      <c r="F13" s="39"/>
      <c r="G13" s="39"/>
      <c r="H13" s="67"/>
      <c r="I13" s="67"/>
      <c r="J13" s="67"/>
      <c r="K13" s="51" t="str">
        <f t="shared" si="0"/>
        <v/>
      </c>
      <c r="L13" s="39"/>
      <c r="M13" s="39"/>
      <c r="N13" s="39"/>
      <c r="O13" s="39"/>
      <c r="P13" s="39"/>
      <c r="Q13" s="52" t="str">
        <f t="shared" si="1"/>
        <v/>
      </c>
    </row>
    <row r="14" spans="1:17">
      <c r="A14" s="44"/>
      <c r="B14" s="39"/>
      <c r="C14" s="39"/>
      <c r="D14" s="39"/>
      <c r="E14" s="39"/>
      <c r="F14" s="39"/>
      <c r="G14" s="39"/>
      <c r="H14" s="67"/>
      <c r="I14" s="67"/>
      <c r="J14" s="67"/>
      <c r="K14" s="51" t="str">
        <f t="shared" si="0"/>
        <v/>
      </c>
      <c r="L14" s="39"/>
      <c r="M14" s="39"/>
      <c r="N14" s="39"/>
      <c r="O14" s="39"/>
      <c r="P14" s="39"/>
      <c r="Q14" s="52" t="str">
        <f t="shared" si="1"/>
        <v/>
      </c>
    </row>
    <row r="15" spans="1:17">
      <c r="A15" s="44"/>
      <c r="B15" s="39"/>
      <c r="C15" s="39"/>
      <c r="D15" s="39"/>
      <c r="E15" s="39"/>
      <c r="F15" s="39"/>
      <c r="G15" s="39"/>
      <c r="H15" s="67"/>
      <c r="I15" s="67"/>
      <c r="J15" s="67"/>
      <c r="K15" s="51" t="str">
        <f t="shared" si="0"/>
        <v/>
      </c>
      <c r="L15" s="39"/>
      <c r="M15" s="39"/>
      <c r="N15" s="39"/>
      <c r="O15" s="39"/>
      <c r="P15" s="39"/>
      <c r="Q15" s="52" t="str">
        <f t="shared" si="1"/>
        <v/>
      </c>
    </row>
    <row r="16" spans="1:17">
      <c r="A16" s="44"/>
      <c r="B16" s="39"/>
      <c r="C16" s="39"/>
      <c r="D16" s="39"/>
      <c r="E16" s="39"/>
      <c r="F16" s="39"/>
      <c r="G16" s="39"/>
      <c r="H16" s="67"/>
      <c r="I16" s="67"/>
      <c r="J16" s="67"/>
      <c r="K16" s="51" t="str">
        <f t="shared" si="0"/>
        <v/>
      </c>
      <c r="L16" s="39"/>
      <c r="M16" s="39"/>
      <c r="N16" s="39"/>
      <c r="O16" s="39"/>
      <c r="P16" s="39"/>
      <c r="Q16" s="52" t="str">
        <f t="shared" si="1"/>
        <v/>
      </c>
    </row>
    <row r="17" spans="1:17">
      <c r="A17" s="44"/>
      <c r="B17" s="39"/>
      <c r="C17" s="39"/>
      <c r="D17" s="39"/>
      <c r="E17" s="39"/>
      <c r="F17" s="39"/>
      <c r="G17" s="39"/>
      <c r="H17" s="67"/>
      <c r="I17" s="67"/>
      <c r="J17" s="67"/>
      <c r="K17" s="51" t="str">
        <f t="shared" si="0"/>
        <v/>
      </c>
      <c r="L17" s="39"/>
      <c r="M17" s="39"/>
      <c r="N17" s="39"/>
      <c r="O17" s="39"/>
      <c r="P17" s="39"/>
      <c r="Q17" s="52" t="str">
        <f t="shared" si="1"/>
        <v/>
      </c>
    </row>
    <row r="18" spans="1:17">
      <c r="A18" s="44"/>
      <c r="B18" s="39"/>
      <c r="C18" s="39"/>
      <c r="D18" s="39"/>
      <c r="E18" s="39"/>
      <c r="F18" s="39"/>
      <c r="G18" s="39"/>
      <c r="H18" s="67"/>
      <c r="I18" s="67"/>
      <c r="J18" s="67"/>
      <c r="K18" s="51" t="str">
        <f t="shared" si="0"/>
        <v/>
      </c>
      <c r="L18" s="39"/>
      <c r="M18" s="39"/>
      <c r="N18" s="39"/>
      <c r="O18" s="39"/>
      <c r="P18" s="39"/>
      <c r="Q18" s="52" t="str">
        <f t="shared" si="1"/>
        <v/>
      </c>
    </row>
    <row r="19" spans="1:17">
      <c r="A19" s="44"/>
      <c r="B19" s="39"/>
      <c r="C19" s="39"/>
      <c r="D19" s="39"/>
      <c r="E19" s="39"/>
      <c r="F19" s="39"/>
      <c r="G19" s="39"/>
      <c r="H19" s="67"/>
      <c r="I19" s="67"/>
      <c r="J19" s="67"/>
      <c r="K19" s="51" t="str">
        <f t="shared" si="0"/>
        <v/>
      </c>
      <c r="L19" s="39"/>
      <c r="M19" s="39"/>
      <c r="N19" s="39"/>
      <c r="O19" s="39"/>
      <c r="P19" s="39"/>
      <c r="Q19" s="52" t="str">
        <f t="shared" si="1"/>
        <v/>
      </c>
    </row>
    <row r="20" spans="1:17">
      <c r="A20" s="44"/>
      <c r="B20" s="39"/>
      <c r="C20" s="39"/>
      <c r="D20" s="39"/>
      <c r="E20" s="39"/>
      <c r="F20" s="39"/>
      <c r="G20" s="39"/>
      <c r="H20" s="67"/>
      <c r="I20" s="67"/>
      <c r="J20" s="67"/>
      <c r="K20" s="51" t="str">
        <f t="shared" si="0"/>
        <v/>
      </c>
      <c r="L20" s="39"/>
      <c r="M20" s="39"/>
      <c r="N20" s="39"/>
      <c r="O20" s="39"/>
      <c r="P20" s="39"/>
      <c r="Q20" s="52" t="str">
        <f t="shared" si="1"/>
        <v/>
      </c>
    </row>
    <row r="21" spans="1:17">
      <c r="A21" s="44"/>
      <c r="B21" s="39"/>
      <c r="C21" s="39"/>
      <c r="D21" s="39"/>
      <c r="E21" s="39"/>
      <c r="F21" s="39"/>
      <c r="G21" s="39"/>
      <c r="H21" s="67"/>
      <c r="I21" s="67"/>
      <c r="J21" s="67"/>
      <c r="K21" s="51" t="str">
        <f t="shared" si="0"/>
        <v/>
      </c>
      <c r="L21" s="39"/>
      <c r="M21" s="39"/>
      <c r="N21" s="39"/>
      <c r="O21" s="39"/>
      <c r="P21" s="39"/>
      <c r="Q21" s="52" t="str">
        <f t="shared" si="1"/>
        <v/>
      </c>
    </row>
    <row r="22" spans="1:17">
      <c r="A22" s="44"/>
      <c r="B22" s="39"/>
      <c r="C22" s="39"/>
      <c r="D22" s="39"/>
      <c r="E22" s="39"/>
      <c r="F22" s="39"/>
      <c r="G22" s="39"/>
      <c r="H22" s="67"/>
      <c r="I22" s="67"/>
      <c r="J22" s="67"/>
      <c r="K22" s="51" t="str">
        <f t="shared" si="0"/>
        <v/>
      </c>
      <c r="L22" s="39"/>
      <c r="M22" s="39"/>
      <c r="N22" s="39"/>
      <c r="O22" s="39"/>
      <c r="P22" s="39"/>
      <c r="Q22" s="52" t="str">
        <f t="shared" si="1"/>
        <v/>
      </c>
    </row>
    <row r="23" spans="1:17">
      <c r="A23" s="44"/>
      <c r="B23" s="39"/>
      <c r="C23" s="39"/>
      <c r="D23" s="39"/>
      <c r="E23" s="39"/>
      <c r="F23" s="39"/>
      <c r="G23" s="39"/>
      <c r="H23" s="67"/>
      <c r="I23" s="67"/>
      <c r="J23" s="67"/>
      <c r="K23" s="51" t="str">
        <f t="shared" si="0"/>
        <v/>
      </c>
      <c r="L23" s="39"/>
      <c r="M23" s="39"/>
      <c r="N23" s="39"/>
      <c r="O23" s="39"/>
      <c r="P23" s="39"/>
      <c r="Q23" s="52" t="str">
        <f t="shared" si="1"/>
        <v/>
      </c>
    </row>
    <row r="24" spans="1:17">
      <c r="A24" s="46"/>
      <c r="B24" s="40"/>
      <c r="C24" s="40"/>
      <c r="D24" s="40"/>
      <c r="E24" s="40"/>
      <c r="F24" s="40"/>
      <c r="G24" s="40"/>
      <c r="H24" s="68"/>
      <c r="I24" s="68"/>
      <c r="J24" s="68"/>
      <c r="K24" s="40" t="str">
        <f t="shared" ref="K24:K55" si="2">IF(A24="","",IF(J24="","No",IF(I24=J24,"No","Yes")))</f>
        <v/>
      </c>
      <c r="L24" s="40"/>
      <c r="M24" s="40"/>
      <c r="N24" s="40"/>
      <c r="O24" s="40"/>
      <c r="P24" s="40"/>
      <c r="Q24" s="47" t="str">
        <f t="shared" ref="Q24:Q55" si="3">IF(A24="","",IF(K24="Yes","Review",IF(COUNTA(A24:I24)&gt;=8,"Ready","Partial")))</f>
        <v/>
      </c>
    </row>
    <row r="25" spans="1:17">
      <c r="A25" s="46"/>
      <c r="B25" s="40"/>
      <c r="C25" s="40"/>
      <c r="D25" s="40"/>
      <c r="E25" s="40"/>
      <c r="F25" s="40"/>
      <c r="G25" s="40"/>
      <c r="H25" s="68"/>
      <c r="I25" s="68"/>
      <c r="J25" s="68"/>
      <c r="K25" s="40" t="str">
        <f t="shared" si="2"/>
        <v/>
      </c>
      <c r="L25" s="40"/>
      <c r="M25" s="40"/>
      <c r="N25" s="40"/>
      <c r="O25" s="40"/>
      <c r="P25" s="40"/>
      <c r="Q25" s="47" t="str">
        <f t="shared" si="3"/>
        <v/>
      </c>
    </row>
    <row r="26" spans="1:17">
      <c r="A26" s="46"/>
      <c r="B26" s="40"/>
      <c r="C26" s="40"/>
      <c r="D26" s="40"/>
      <c r="E26" s="40"/>
      <c r="F26" s="40"/>
      <c r="G26" s="40"/>
      <c r="H26" s="68"/>
      <c r="I26" s="68"/>
      <c r="J26" s="68"/>
      <c r="K26" s="40" t="str">
        <f t="shared" si="2"/>
        <v/>
      </c>
      <c r="L26" s="40"/>
      <c r="M26" s="40"/>
      <c r="N26" s="40"/>
      <c r="O26" s="40"/>
      <c r="P26" s="40"/>
      <c r="Q26" s="47" t="str">
        <f t="shared" si="3"/>
        <v/>
      </c>
    </row>
    <row r="27" spans="1:17">
      <c r="A27" s="46"/>
      <c r="B27" s="40"/>
      <c r="C27" s="40"/>
      <c r="D27" s="40"/>
      <c r="E27" s="40"/>
      <c r="F27" s="40"/>
      <c r="G27" s="40"/>
      <c r="H27" s="68"/>
      <c r="I27" s="68"/>
      <c r="J27" s="68"/>
      <c r="K27" s="40" t="str">
        <f t="shared" si="2"/>
        <v/>
      </c>
      <c r="L27" s="40"/>
      <c r="M27" s="40"/>
      <c r="N27" s="40"/>
      <c r="O27" s="40"/>
      <c r="P27" s="40"/>
      <c r="Q27" s="47" t="str">
        <f t="shared" si="3"/>
        <v/>
      </c>
    </row>
    <row r="28" spans="1:17">
      <c r="A28" s="46"/>
      <c r="B28" s="40"/>
      <c r="C28" s="40"/>
      <c r="D28" s="40"/>
      <c r="E28" s="40"/>
      <c r="F28" s="40"/>
      <c r="G28" s="40"/>
      <c r="H28" s="68"/>
      <c r="I28" s="68"/>
      <c r="J28" s="68"/>
      <c r="K28" s="40" t="str">
        <f t="shared" si="2"/>
        <v/>
      </c>
      <c r="L28" s="40"/>
      <c r="M28" s="40"/>
      <c r="N28" s="40"/>
      <c r="O28" s="40"/>
      <c r="P28" s="40"/>
      <c r="Q28" s="47" t="str">
        <f t="shared" si="3"/>
        <v/>
      </c>
    </row>
    <row r="29" spans="1:17">
      <c r="A29" s="46"/>
      <c r="B29" s="40"/>
      <c r="C29" s="40"/>
      <c r="D29" s="40"/>
      <c r="E29" s="40"/>
      <c r="F29" s="40"/>
      <c r="G29" s="40"/>
      <c r="H29" s="68"/>
      <c r="I29" s="68"/>
      <c r="J29" s="68"/>
      <c r="K29" s="40" t="str">
        <f t="shared" si="2"/>
        <v/>
      </c>
      <c r="L29" s="40"/>
      <c r="M29" s="40"/>
      <c r="N29" s="40"/>
      <c r="O29" s="40"/>
      <c r="P29" s="40"/>
      <c r="Q29" s="47" t="str">
        <f t="shared" si="3"/>
        <v/>
      </c>
    </row>
    <row r="30" spans="1:17">
      <c r="A30" s="46"/>
      <c r="B30" s="40"/>
      <c r="C30" s="40"/>
      <c r="D30" s="40"/>
      <c r="E30" s="40"/>
      <c r="F30" s="40"/>
      <c r="G30" s="40"/>
      <c r="H30" s="68"/>
      <c r="I30" s="68"/>
      <c r="J30" s="68"/>
      <c r="K30" s="40" t="str">
        <f t="shared" si="2"/>
        <v/>
      </c>
      <c r="L30" s="40"/>
      <c r="M30" s="40"/>
      <c r="N30" s="40"/>
      <c r="O30" s="40"/>
      <c r="P30" s="40"/>
      <c r="Q30" s="47" t="str">
        <f t="shared" si="3"/>
        <v/>
      </c>
    </row>
    <row r="31" spans="1:17">
      <c r="A31" s="46"/>
      <c r="B31" s="40"/>
      <c r="C31" s="40"/>
      <c r="D31" s="40"/>
      <c r="E31" s="40"/>
      <c r="F31" s="40"/>
      <c r="G31" s="40"/>
      <c r="H31" s="68"/>
      <c r="I31" s="68"/>
      <c r="J31" s="68"/>
      <c r="K31" s="40" t="str">
        <f t="shared" si="2"/>
        <v/>
      </c>
      <c r="L31" s="40"/>
      <c r="M31" s="40"/>
      <c r="N31" s="40"/>
      <c r="O31" s="40"/>
      <c r="P31" s="40"/>
      <c r="Q31" s="47" t="str">
        <f t="shared" si="3"/>
        <v/>
      </c>
    </row>
    <row r="32" spans="1:17">
      <c r="A32" s="46"/>
      <c r="B32" s="40"/>
      <c r="C32" s="40"/>
      <c r="D32" s="40"/>
      <c r="E32" s="40"/>
      <c r="F32" s="40"/>
      <c r="G32" s="40"/>
      <c r="H32" s="68"/>
      <c r="I32" s="68"/>
      <c r="J32" s="68"/>
      <c r="K32" s="40" t="str">
        <f t="shared" si="2"/>
        <v/>
      </c>
      <c r="L32" s="40"/>
      <c r="M32" s="40"/>
      <c r="N32" s="40"/>
      <c r="O32" s="40"/>
      <c r="P32" s="40"/>
      <c r="Q32" s="47" t="str">
        <f t="shared" si="3"/>
        <v/>
      </c>
    </row>
    <row r="33" spans="1:17">
      <c r="A33" s="46"/>
      <c r="B33" s="40"/>
      <c r="C33" s="40"/>
      <c r="D33" s="40"/>
      <c r="E33" s="40"/>
      <c r="F33" s="40"/>
      <c r="G33" s="40"/>
      <c r="H33" s="68"/>
      <c r="I33" s="68"/>
      <c r="J33" s="68"/>
      <c r="K33" s="40" t="str">
        <f t="shared" si="2"/>
        <v/>
      </c>
      <c r="L33" s="40"/>
      <c r="M33" s="40"/>
      <c r="N33" s="40"/>
      <c r="O33" s="40"/>
      <c r="P33" s="40"/>
      <c r="Q33" s="47" t="str">
        <f t="shared" si="3"/>
        <v/>
      </c>
    </row>
    <row r="34" spans="1:17">
      <c r="A34" s="46"/>
      <c r="B34" s="40"/>
      <c r="C34" s="40"/>
      <c r="D34" s="40"/>
      <c r="E34" s="40"/>
      <c r="F34" s="40"/>
      <c r="G34" s="40"/>
      <c r="H34" s="68"/>
      <c r="I34" s="68"/>
      <c r="J34" s="68"/>
      <c r="K34" s="40" t="str">
        <f t="shared" si="2"/>
        <v/>
      </c>
      <c r="L34" s="40"/>
      <c r="M34" s="40"/>
      <c r="N34" s="40"/>
      <c r="O34" s="40"/>
      <c r="P34" s="40"/>
      <c r="Q34" s="47" t="str">
        <f t="shared" si="3"/>
        <v/>
      </c>
    </row>
    <row r="35" spans="1:17">
      <c r="A35" s="46"/>
      <c r="B35" s="40"/>
      <c r="C35" s="40"/>
      <c r="D35" s="40"/>
      <c r="E35" s="40"/>
      <c r="F35" s="40"/>
      <c r="G35" s="40"/>
      <c r="H35" s="68"/>
      <c r="I35" s="68"/>
      <c r="J35" s="68"/>
      <c r="K35" s="40" t="str">
        <f t="shared" si="2"/>
        <v/>
      </c>
      <c r="L35" s="40"/>
      <c r="M35" s="40"/>
      <c r="N35" s="40"/>
      <c r="O35" s="40"/>
      <c r="P35" s="40"/>
      <c r="Q35" s="47" t="str">
        <f t="shared" si="3"/>
        <v/>
      </c>
    </row>
    <row r="36" spans="1:17">
      <c r="A36" s="46"/>
      <c r="B36" s="40"/>
      <c r="C36" s="40"/>
      <c r="D36" s="40"/>
      <c r="E36" s="40"/>
      <c r="F36" s="40"/>
      <c r="G36" s="40"/>
      <c r="H36" s="68"/>
      <c r="I36" s="68"/>
      <c r="J36" s="68"/>
      <c r="K36" s="40" t="str">
        <f t="shared" si="2"/>
        <v/>
      </c>
      <c r="L36" s="40"/>
      <c r="M36" s="40"/>
      <c r="N36" s="40"/>
      <c r="O36" s="40"/>
      <c r="P36" s="40"/>
      <c r="Q36" s="47" t="str">
        <f t="shared" si="3"/>
        <v/>
      </c>
    </row>
    <row r="37" spans="1:17">
      <c r="A37" s="46"/>
      <c r="B37" s="40"/>
      <c r="C37" s="40"/>
      <c r="D37" s="40"/>
      <c r="E37" s="40"/>
      <c r="F37" s="40"/>
      <c r="G37" s="40"/>
      <c r="H37" s="68"/>
      <c r="I37" s="68"/>
      <c r="J37" s="68"/>
      <c r="K37" s="40" t="str">
        <f t="shared" si="2"/>
        <v/>
      </c>
      <c r="L37" s="40"/>
      <c r="M37" s="40"/>
      <c r="N37" s="40"/>
      <c r="O37" s="40"/>
      <c r="P37" s="40"/>
      <c r="Q37" s="47" t="str">
        <f t="shared" si="3"/>
        <v/>
      </c>
    </row>
    <row r="38" spans="1:17">
      <c r="A38" s="46"/>
      <c r="B38" s="40"/>
      <c r="C38" s="40"/>
      <c r="D38" s="40"/>
      <c r="E38" s="40"/>
      <c r="F38" s="40"/>
      <c r="G38" s="40"/>
      <c r="H38" s="68"/>
      <c r="I38" s="68"/>
      <c r="J38" s="68"/>
      <c r="K38" s="40" t="str">
        <f t="shared" si="2"/>
        <v/>
      </c>
      <c r="L38" s="40"/>
      <c r="M38" s="40"/>
      <c r="N38" s="40"/>
      <c r="O38" s="40"/>
      <c r="P38" s="40"/>
      <c r="Q38" s="47" t="str">
        <f t="shared" si="3"/>
        <v/>
      </c>
    </row>
    <row r="39" spans="1:17">
      <c r="A39" s="46"/>
      <c r="B39" s="40"/>
      <c r="C39" s="40"/>
      <c r="D39" s="40"/>
      <c r="E39" s="40"/>
      <c r="F39" s="40"/>
      <c r="G39" s="40"/>
      <c r="H39" s="68"/>
      <c r="I39" s="68"/>
      <c r="J39" s="68"/>
      <c r="K39" s="40" t="str">
        <f t="shared" si="2"/>
        <v/>
      </c>
      <c r="L39" s="40"/>
      <c r="M39" s="40"/>
      <c r="N39" s="40"/>
      <c r="O39" s="40"/>
      <c r="P39" s="40"/>
      <c r="Q39" s="47" t="str">
        <f t="shared" si="3"/>
        <v/>
      </c>
    </row>
    <row r="40" spans="1:17">
      <c r="A40" s="46"/>
      <c r="B40" s="40"/>
      <c r="C40" s="40"/>
      <c r="D40" s="40"/>
      <c r="E40" s="40"/>
      <c r="F40" s="40"/>
      <c r="G40" s="40"/>
      <c r="H40" s="68"/>
      <c r="I40" s="68"/>
      <c r="J40" s="68"/>
      <c r="K40" s="40" t="str">
        <f t="shared" si="2"/>
        <v/>
      </c>
      <c r="L40" s="40"/>
      <c r="M40" s="40"/>
      <c r="N40" s="40"/>
      <c r="O40" s="40"/>
      <c r="P40" s="40"/>
      <c r="Q40" s="47" t="str">
        <f t="shared" si="3"/>
        <v/>
      </c>
    </row>
    <row r="41" spans="1:17">
      <c r="A41" s="46"/>
      <c r="B41" s="40"/>
      <c r="C41" s="40"/>
      <c r="D41" s="40"/>
      <c r="E41" s="40"/>
      <c r="F41" s="40"/>
      <c r="G41" s="40"/>
      <c r="H41" s="68"/>
      <c r="I41" s="68"/>
      <c r="J41" s="68"/>
      <c r="K41" s="40" t="str">
        <f t="shared" si="2"/>
        <v/>
      </c>
      <c r="L41" s="40"/>
      <c r="M41" s="40"/>
      <c r="N41" s="40"/>
      <c r="O41" s="40"/>
      <c r="P41" s="40"/>
      <c r="Q41" s="47" t="str">
        <f t="shared" si="3"/>
        <v/>
      </c>
    </row>
    <row r="42" spans="1:17">
      <c r="A42" s="46"/>
      <c r="B42" s="40"/>
      <c r="C42" s="40"/>
      <c r="D42" s="40"/>
      <c r="E42" s="40"/>
      <c r="F42" s="40"/>
      <c r="G42" s="40"/>
      <c r="H42" s="68"/>
      <c r="I42" s="68"/>
      <c r="J42" s="68"/>
      <c r="K42" s="40" t="str">
        <f t="shared" si="2"/>
        <v/>
      </c>
      <c r="L42" s="40"/>
      <c r="M42" s="40"/>
      <c r="N42" s="40"/>
      <c r="O42" s="40"/>
      <c r="P42" s="40"/>
      <c r="Q42" s="47" t="str">
        <f t="shared" si="3"/>
        <v/>
      </c>
    </row>
    <row r="43" spans="1:17">
      <c r="A43" s="46"/>
      <c r="B43" s="40"/>
      <c r="C43" s="40"/>
      <c r="D43" s="40"/>
      <c r="E43" s="40"/>
      <c r="F43" s="40"/>
      <c r="G43" s="40"/>
      <c r="H43" s="68"/>
      <c r="I43" s="68"/>
      <c r="J43" s="68"/>
      <c r="K43" s="40" t="str">
        <f t="shared" si="2"/>
        <v/>
      </c>
      <c r="L43" s="40"/>
      <c r="M43" s="40"/>
      <c r="N43" s="40"/>
      <c r="O43" s="40"/>
      <c r="P43" s="40"/>
      <c r="Q43" s="47" t="str">
        <f t="shared" si="3"/>
        <v/>
      </c>
    </row>
    <row r="44" spans="1:17">
      <c r="A44" s="46"/>
      <c r="B44" s="40"/>
      <c r="C44" s="40"/>
      <c r="D44" s="40"/>
      <c r="E44" s="40"/>
      <c r="F44" s="40"/>
      <c r="G44" s="40"/>
      <c r="H44" s="68"/>
      <c r="I44" s="68"/>
      <c r="J44" s="68"/>
      <c r="K44" s="40" t="str">
        <f t="shared" si="2"/>
        <v/>
      </c>
      <c r="L44" s="40"/>
      <c r="M44" s="40"/>
      <c r="N44" s="40"/>
      <c r="O44" s="40"/>
      <c r="P44" s="40"/>
      <c r="Q44" s="47" t="str">
        <f t="shared" si="3"/>
        <v/>
      </c>
    </row>
    <row r="45" spans="1:17">
      <c r="A45" s="46"/>
      <c r="B45" s="40"/>
      <c r="C45" s="40"/>
      <c r="D45" s="40"/>
      <c r="E45" s="40"/>
      <c r="F45" s="40"/>
      <c r="G45" s="40"/>
      <c r="H45" s="68"/>
      <c r="I45" s="68"/>
      <c r="J45" s="68"/>
      <c r="K45" s="40" t="str">
        <f t="shared" si="2"/>
        <v/>
      </c>
      <c r="L45" s="40"/>
      <c r="M45" s="40"/>
      <c r="N45" s="40"/>
      <c r="O45" s="40"/>
      <c r="P45" s="40"/>
      <c r="Q45" s="47" t="str">
        <f t="shared" si="3"/>
        <v/>
      </c>
    </row>
    <row r="46" spans="1:17">
      <c r="A46" s="46"/>
      <c r="B46" s="40"/>
      <c r="C46" s="40"/>
      <c r="D46" s="40"/>
      <c r="E46" s="40"/>
      <c r="F46" s="40"/>
      <c r="G46" s="40"/>
      <c r="H46" s="68"/>
      <c r="I46" s="68"/>
      <c r="J46" s="68"/>
      <c r="K46" s="40" t="str">
        <f t="shared" si="2"/>
        <v/>
      </c>
      <c r="L46" s="40"/>
      <c r="M46" s="40"/>
      <c r="N46" s="40"/>
      <c r="O46" s="40"/>
      <c r="P46" s="40"/>
      <c r="Q46" s="47" t="str">
        <f t="shared" si="3"/>
        <v/>
      </c>
    </row>
    <row r="47" spans="1:17">
      <c r="A47" s="46"/>
      <c r="B47" s="40"/>
      <c r="C47" s="40"/>
      <c r="D47" s="40"/>
      <c r="E47" s="40"/>
      <c r="F47" s="40"/>
      <c r="G47" s="40"/>
      <c r="H47" s="68"/>
      <c r="I47" s="68"/>
      <c r="J47" s="68"/>
      <c r="K47" s="40" t="str">
        <f t="shared" si="2"/>
        <v/>
      </c>
      <c r="L47" s="40"/>
      <c r="M47" s="40"/>
      <c r="N47" s="40"/>
      <c r="O47" s="40"/>
      <c r="P47" s="40"/>
      <c r="Q47" s="47" t="str">
        <f t="shared" si="3"/>
        <v/>
      </c>
    </row>
    <row r="48" spans="1:17">
      <c r="A48" s="46"/>
      <c r="B48" s="40"/>
      <c r="C48" s="40"/>
      <c r="D48" s="40"/>
      <c r="E48" s="40"/>
      <c r="F48" s="40"/>
      <c r="G48" s="40"/>
      <c r="H48" s="68"/>
      <c r="I48" s="68"/>
      <c r="J48" s="68"/>
      <c r="K48" s="40" t="str">
        <f t="shared" si="2"/>
        <v/>
      </c>
      <c r="L48" s="40"/>
      <c r="M48" s="40"/>
      <c r="N48" s="40"/>
      <c r="O48" s="40"/>
      <c r="P48" s="40"/>
      <c r="Q48" s="47" t="str">
        <f t="shared" si="3"/>
        <v/>
      </c>
    </row>
    <row r="49" spans="1:17">
      <c r="A49" s="46"/>
      <c r="B49" s="40"/>
      <c r="C49" s="40"/>
      <c r="D49" s="40"/>
      <c r="E49" s="40"/>
      <c r="F49" s="40"/>
      <c r="G49" s="40"/>
      <c r="H49" s="68"/>
      <c r="I49" s="68"/>
      <c r="J49" s="68"/>
      <c r="K49" s="40" t="str">
        <f t="shared" si="2"/>
        <v/>
      </c>
      <c r="L49" s="40"/>
      <c r="M49" s="40"/>
      <c r="N49" s="40"/>
      <c r="O49" s="40"/>
      <c r="P49" s="40"/>
      <c r="Q49" s="47" t="str">
        <f t="shared" si="3"/>
        <v/>
      </c>
    </row>
    <row r="50" spans="1:17">
      <c r="A50" s="46"/>
      <c r="B50" s="40"/>
      <c r="C50" s="40"/>
      <c r="D50" s="40"/>
      <c r="E50" s="40"/>
      <c r="F50" s="40"/>
      <c r="G50" s="40"/>
      <c r="H50" s="68"/>
      <c r="I50" s="68"/>
      <c r="J50" s="68"/>
      <c r="K50" s="40" t="str">
        <f t="shared" si="2"/>
        <v/>
      </c>
      <c r="L50" s="40"/>
      <c r="M50" s="40"/>
      <c r="N50" s="40"/>
      <c r="O50" s="40"/>
      <c r="P50" s="40"/>
      <c r="Q50" s="47" t="str">
        <f t="shared" si="3"/>
        <v/>
      </c>
    </row>
    <row r="51" spans="1:17">
      <c r="A51" s="46"/>
      <c r="B51" s="40"/>
      <c r="C51" s="40"/>
      <c r="D51" s="40"/>
      <c r="E51" s="40"/>
      <c r="F51" s="40"/>
      <c r="G51" s="40"/>
      <c r="H51" s="68"/>
      <c r="I51" s="68"/>
      <c r="J51" s="68"/>
      <c r="K51" s="40" t="str">
        <f t="shared" si="2"/>
        <v/>
      </c>
      <c r="L51" s="40"/>
      <c r="M51" s="40"/>
      <c r="N51" s="40"/>
      <c r="O51" s="40"/>
      <c r="P51" s="40"/>
      <c r="Q51" s="47" t="str">
        <f t="shared" si="3"/>
        <v/>
      </c>
    </row>
    <row r="52" spans="1:17">
      <c r="A52" s="46"/>
      <c r="B52" s="40"/>
      <c r="C52" s="40"/>
      <c r="D52" s="40"/>
      <c r="E52" s="40"/>
      <c r="F52" s="40"/>
      <c r="G52" s="40"/>
      <c r="H52" s="68"/>
      <c r="I52" s="68"/>
      <c r="J52" s="68"/>
      <c r="K52" s="40" t="str">
        <f t="shared" si="2"/>
        <v/>
      </c>
      <c r="L52" s="40"/>
      <c r="M52" s="40"/>
      <c r="N52" s="40"/>
      <c r="O52" s="40"/>
      <c r="P52" s="40"/>
      <c r="Q52" s="47" t="str">
        <f t="shared" si="3"/>
        <v/>
      </c>
    </row>
    <row r="53" spans="1:17">
      <c r="A53" s="46"/>
      <c r="B53" s="40"/>
      <c r="C53" s="40"/>
      <c r="D53" s="40"/>
      <c r="E53" s="40"/>
      <c r="F53" s="40"/>
      <c r="G53" s="40"/>
      <c r="H53" s="68"/>
      <c r="I53" s="68"/>
      <c r="J53" s="68"/>
      <c r="K53" s="40" t="str">
        <f t="shared" si="2"/>
        <v/>
      </c>
      <c r="L53" s="40"/>
      <c r="M53" s="40"/>
      <c r="N53" s="40"/>
      <c r="O53" s="40"/>
      <c r="P53" s="40"/>
      <c r="Q53" s="47" t="str">
        <f t="shared" si="3"/>
        <v/>
      </c>
    </row>
    <row r="54" spans="1:17">
      <c r="A54" s="46"/>
      <c r="B54" s="40"/>
      <c r="C54" s="40"/>
      <c r="D54" s="40"/>
      <c r="E54" s="40"/>
      <c r="F54" s="40"/>
      <c r="G54" s="40"/>
      <c r="H54" s="68"/>
      <c r="I54" s="68"/>
      <c r="J54" s="68"/>
      <c r="K54" s="40" t="str">
        <f t="shared" si="2"/>
        <v/>
      </c>
      <c r="L54" s="40"/>
      <c r="M54" s="40"/>
      <c r="N54" s="40"/>
      <c r="O54" s="40"/>
      <c r="P54" s="40"/>
      <c r="Q54" s="47" t="str">
        <f t="shared" si="3"/>
        <v/>
      </c>
    </row>
    <row r="55" spans="1:17">
      <c r="A55" s="46"/>
      <c r="B55" s="40"/>
      <c r="C55" s="40"/>
      <c r="D55" s="40"/>
      <c r="E55" s="40"/>
      <c r="F55" s="40"/>
      <c r="G55" s="40"/>
      <c r="H55" s="68"/>
      <c r="I55" s="68"/>
      <c r="J55" s="68"/>
      <c r="K55" s="40" t="str">
        <f t="shared" si="2"/>
        <v/>
      </c>
      <c r="L55" s="40"/>
      <c r="M55" s="40"/>
      <c r="N55" s="40"/>
      <c r="O55" s="40"/>
      <c r="P55" s="40"/>
      <c r="Q55" s="47" t="str">
        <f t="shared" si="3"/>
        <v/>
      </c>
    </row>
    <row r="56" spans="1:17">
      <c r="A56" s="46"/>
      <c r="B56" s="40"/>
      <c r="C56" s="40"/>
      <c r="D56" s="40"/>
      <c r="E56" s="40"/>
      <c r="F56" s="40"/>
      <c r="G56" s="40"/>
      <c r="H56" s="68"/>
      <c r="I56" s="68"/>
      <c r="J56" s="68"/>
      <c r="K56" s="40" t="str">
        <f t="shared" ref="K56:K87" si="4">IF(A56="","",IF(J56="","No",IF(I56=J56,"No","Yes")))</f>
        <v/>
      </c>
      <c r="L56" s="40"/>
      <c r="M56" s="40"/>
      <c r="N56" s="40"/>
      <c r="O56" s="40"/>
      <c r="P56" s="40"/>
      <c r="Q56" s="47" t="str">
        <f t="shared" ref="Q56:Q87" si="5">IF(A56="","",IF(K56="Yes","Review",IF(COUNTA(A56:I56)&gt;=8,"Ready","Partial")))</f>
        <v/>
      </c>
    </row>
    <row r="57" spans="1:17">
      <c r="A57" s="46"/>
      <c r="B57" s="40"/>
      <c r="C57" s="40"/>
      <c r="D57" s="40"/>
      <c r="E57" s="40"/>
      <c r="F57" s="40"/>
      <c r="G57" s="40"/>
      <c r="H57" s="68"/>
      <c r="I57" s="68"/>
      <c r="J57" s="68"/>
      <c r="K57" s="40" t="str">
        <f t="shared" si="4"/>
        <v/>
      </c>
      <c r="L57" s="40"/>
      <c r="M57" s="40"/>
      <c r="N57" s="40"/>
      <c r="O57" s="40"/>
      <c r="P57" s="40"/>
      <c r="Q57" s="47" t="str">
        <f t="shared" si="5"/>
        <v/>
      </c>
    </row>
    <row r="58" spans="1:17">
      <c r="A58" s="46"/>
      <c r="B58" s="40"/>
      <c r="C58" s="40"/>
      <c r="D58" s="40"/>
      <c r="E58" s="40"/>
      <c r="F58" s="40"/>
      <c r="G58" s="40"/>
      <c r="H58" s="68"/>
      <c r="I58" s="68"/>
      <c r="J58" s="68"/>
      <c r="K58" s="40" t="str">
        <f t="shared" si="4"/>
        <v/>
      </c>
      <c r="L58" s="40"/>
      <c r="M58" s="40"/>
      <c r="N58" s="40"/>
      <c r="O58" s="40"/>
      <c r="P58" s="40"/>
      <c r="Q58" s="47" t="str">
        <f t="shared" si="5"/>
        <v/>
      </c>
    </row>
    <row r="59" spans="1:17">
      <c r="A59" s="46"/>
      <c r="B59" s="40"/>
      <c r="C59" s="40"/>
      <c r="D59" s="40"/>
      <c r="E59" s="40"/>
      <c r="F59" s="40"/>
      <c r="G59" s="40"/>
      <c r="H59" s="68"/>
      <c r="I59" s="68"/>
      <c r="J59" s="68"/>
      <c r="K59" s="40" t="str">
        <f t="shared" si="4"/>
        <v/>
      </c>
      <c r="L59" s="40"/>
      <c r="M59" s="40"/>
      <c r="N59" s="40"/>
      <c r="O59" s="40"/>
      <c r="P59" s="40"/>
      <c r="Q59" s="47" t="str">
        <f t="shared" si="5"/>
        <v/>
      </c>
    </row>
    <row r="60" spans="1:17">
      <c r="A60" s="46"/>
      <c r="B60" s="40"/>
      <c r="C60" s="40"/>
      <c r="D60" s="40"/>
      <c r="E60" s="40"/>
      <c r="F60" s="40"/>
      <c r="G60" s="40"/>
      <c r="H60" s="68"/>
      <c r="I60" s="68"/>
      <c r="J60" s="68"/>
      <c r="K60" s="40" t="str">
        <f t="shared" si="4"/>
        <v/>
      </c>
      <c r="L60" s="40"/>
      <c r="M60" s="40"/>
      <c r="N60" s="40"/>
      <c r="O60" s="40"/>
      <c r="P60" s="40"/>
      <c r="Q60" s="47" t="str">
        <f t="shared" si="5"/>
        <v/>
      </c>
    </row>
    <row r="61" spans="1:17">
      <c r="A61" s="46"/>
      <c r="B61" s="40"/>
      <c r="C61" s="40"/>
      <c r="D61" s="40"/>
      <c r="E61" s="40"/>
      <c r="F61" s="40"/>
      <c r="G61" s="40"/>
      <c r="H61" s="68"/>
      <c r="I61" s="68"/>
      <c r="J61" s="68"/>
      <c r="K61" s="40" t="str">
        <f t="shared" si="4"/>
        <v/>
      </c>
      <c r="L61" s="40"/>
      <c r="M61" s="40"/>
      <c r="N61" s="40"/>
      <c r="O61" s="40"/>
      <c r="P61" s="40"/>
      <c r="Q61" s="47" t="str">
        <f t="shared" si="5"/>
        <v/>
      </c>
    </row>
    <row r="62" spans="1:17">
      <c r="A62" s="46"/>
      <c r="B62" s="40"/>
      <c r="C62" s="40"/>
      <c r="D62" s="40"/>
      <c r="E62" s="40"/>
      <c r="F62" s="40"/>
      <c r="G62" s="40"/>
      <c r="H62" s="68"/>
      <c r="I62" s="68"/>
      <c r="J62" s="68"/>
      <c r="K62" s="40" t="str">
        <f t="shared" si="4"/>
        <v/>
      </c>
      <c r="L62" s="40"/>
      <c r="M62" s="40"/>
      <c r="N62" s="40"/>
      <c r="O62" s="40"/>
      <c r="P62" s="40"/>
      <c r="Q62" s="47" t="str">
        <f t="shared" si="5"/>
        <v/>
      </c>
    </row>
    <row r="63" spans="1:17">
      <c r="A63" s="46"/>
      <c r="B63" s="40"/>
      <c r="C63" s="40"/>
      <c r="D63" s="40"/>
      <c r="E63" s="40"/>
      <c r="F63" s="40"/>
      <c r="G63" s="40"/>
      <c r="H63" s="68"/>
      <c r="I63" s="68"/>
      <c r="J63" s="68"/>
      <c r="K63" s="40" t="str">
        <f t="shared" si="4"/>
        <v/>
      </c>
      <c r="L63" s="40"/>
      <c r="M63" s="40"/>
      <c r="N63" s="40"/>
      <c r="O63" s="40"/>
      <c r="P63" s="40"/>
      <c r="Q63" s="47" t="str">
        <f t="shared" si="5"/>
        <v/>
      </c>
    </row>
    <row r="64" spans="1:17">
      <c r="A64" s="46"/>
      <c r="B64" s="40"/>
      <c r="C64" s="40"/>
      <c r="D64" s="40"/>
      <c r="E64" s="40"/>
      <c r="F64" s="40"/>
      <c r="G64" s="40"/>
      <c r="H64" s="68"/>
      <c r="I64" s="68"/>
      <c r="J64" s="68"/>
      <c r="K64" s="40" t="str">
        <f t="shared" si="4"/>
        <v/>
      </c>
      <c r="L64" s="40"/>
      <c r="M64" s="40"/>
      <c r="N64" s="40"/>
      <c r="O64" s="40"/>
      <c r="P64" s="40"/>
      <c r="Q64" s="47" t="str">
        <f t="shared" si="5"/>
        <v/>
      </c>
    </row>
    <row r="65" spans="1:17">
      <c r="A65" s="46"/>
      <c r="B65" s="40"/>
      <c r="C65" s="40"/>
      <c r="D65" s="40"/>
      <c r="E65" s="40"/>
      <c r="F65" s="40"/>
      <c r="G65" s="40"/>
      <c r="H65" s="68"/>
      <c r="I65" s="68"/>
      <c r="J65" s="68"/>
      <c r="K65" s="40" t="str">
        <f t="shared" si="4"/>
        <v/>
      </c>
      <c r="L65" s="40"/>
      <c r="M65" s="40"/>
      <c r="N65" s="40"/>
      <c r="O65" s="40"/>
      <c r="P65" s="40"/>
      <c r="Q65" s="47" t="str">
        <f t="shared" si="5"/>
        <v/>
      </c>
    </row>
    <row r="66" spans="1:17">
      <c r="A66" s="46"/>
      <c r="B66" s="40"/>
      <c r="C66" s="40"/>
      <c r="D66" s="40"/>
      <c r="E66" s="40"/>
      <c r="F66" s="40"/>
      <c r="G66" s="40"/>
      <c r="H66" s="68"/>
      <c r="I66" s="68"/>
      <c r="J66" s="68"/>
      <c r="K66" s="40" t="str">
        <f t="shared" si="4"/>
        <v/>
      </c>
      <c r="L66" s="40"/>
      <c r="M66" s="40"/>
      <c r="N66" s="40"/>
      <c r="O66" s="40"/>
      <c r="P66" s="40"/>
      <c r="Q66" s="47" t="str">
        <f t="shared" si="5"/>
        <v/>
      </c>
    </row>
    <row r="67" spans="1:17">
      <c r="A67" s="46"/>
      <c r="B67" s="40"/>
      <c r="C67" s="40"/>
      <c r="D67" s="40"/>
      <c r="E67" s="40"/>
      <c r="F67" s="40"/>
      <c r="G67" s="40"/>
      <c r="H67" s="68"/>
      <c r="I67" s="68"/>
      <c r="J67" s="68"/>
      <c r="K67" s="40" t="str">
        <f t="shared" si="4"/>
        <v/>
      </c>
      <c r="L67" s="40"/>
      <c r="M67" s="40"/>
      <c r="N67" s="40"/>
      <c r="O67" s="40"/>
      <c r="P67" s="40"/>
      <c r="Q67" s="47" t="str">
        <f t="shared" si="5"/>
        <v/>
      </c>
    </row>
    <row r="68" spans="1:17">
      <c r="A68" s="46"/>
      <c r="B68" s="40"/>
      <c r="C68" s="40"/>
      <c r="D68" s="40"/>
      <c r="E68" s="40"/>
      <c r="F68" s="40"/>
      <c r="G68" s="40"/>
      <c r="H68" s="68"/>
      <c r="I68" s="68"/>
      <c r="J68" s="68"/>
      <c r="K68" s="40" t="str">
        <f t="shared" si="4"/>
        <v/>
      </c>
      <c r="L68" s="40"/>
      <c r="M68" s="40"/>
      <c r="N68" s="40"/>
      <c r="O68" s="40"/>
      <c r="P68" s="40"/>
      <c r="Q68" s="47" t="str">
        <f t="shared" si="5"/>
        <v/>
      </c>
    </row>
    <row r="69" spans="1:17">
      <c r="A69" s="46"/>
      <c r="B69" s="40"/>
      <c r="C69" s="40"/>
      <c r="D69" s="40"/>
      <c r="E69" s="40"/>
      <c r="F69" s="40"/>
      <c r="G69" s="40"/>
      <c r="H69" s="68"/>
      <c r="I69" s="68"/>
      <c r="J69" s="68"/>
      <c r="K69" s="40" t="str">
        <f t="shared" si="4"/>
        <v/>
      </c>
      <c r="L69" s="40"/>
      <c r="M69" s="40"/>
      <c r="N69" s="40"/>
      <c r="O69" s="40"/>
      <c r="P69" s="40"/>
      <c r="Q69" s="47" t="str">
        <f t="shared" si="5"/>
        <v/>
      </c>
    </row>
    <row r="70" spans="1:17">
      <c r="A70" s="46"/>
      <c r="B70" s="40"/>
      <c r="C70" s="40"/>
      <c r="D70" s="40"/>
      <c r="E70" s="40"/>
      <c r="F70" s="40"/>
      <c r="G70" s="40"/>
      <c r="H70" s="68"/>
      <c r="I70" s="68"/>
      <c r="J70" s="68"/>
      <c r="K70" s="40" t="str">
        <f t="shared" si="4"/>
        <v/>
      </c>
      <c r="L70" s="40"/>
      <c r="M70" s="40"/>
      <c r="N70" s="40"/>
      <c r="O70" s="40"/>
      <c r="P70" s="40"/>
      <c r="Q70" s="47" t="str">
        <f t="shared" si="5"/>
        <v/>
      </c>
    </row>
    <row r="71" spans="1:17">
      <c r="A71" s="46"/>
      <c r="B71" s="40"/>
      <c r="C71" s="40"/>
      <c r="D71" s="40"/>
      <c r="E71" s="40"/>
      <c r="F71" s="40"/>
      <c r="G71" s="40"/>
      <c r="H71" s="68"/>
      <c r="I71" s="68"/>
      <c r="J71" s="68"/>
      <c r="K71" s="40" t="str">
        <f t="shared" si="4"/>
        <v/>
      </c>
      <c r="L71" s="40"/>
      <c r="M71" s="40"/>
      <c r="N71" s="40"/>
      <c r="O71" s="40"/>
      <c r="P71" s="40"/>
      <c r="Q71" s="47" t="str">
        <f t="shared" si="5"/>
        <v/>
      </c>
    </row>
    <row r="72" spans="1:17">
      <c r="A72" s="46"/>
      <c r="B72" s="40"/>
      <c r="C72" s="40"/>
      <c r="D72" s="40"/>
      <c r="E72" s="40"/>
      <c r="F72" s="40"/>
      <c r="G72" s="40"/>
      <c r="H72" s="68"/>
      <c r="I72" s="68"/>
      <c r="J72" s="68"/>
      <c r="K72" s="40" t="str">
        <f t="shared" si="4"/>
        <v/>
      </c>
      <c r="L72" s="40"/>
      <c r="M72" s="40"/>
      <c r="N72" s="40"/>
      <c r="O72" s="40"/>
      <c r="P72" s="40"/>
      <c r="Q72" s="47" t="str">
        <f t="shared" si="5"/>
        <v/>
      </c>
    </row>
    <row r="73" spans="1:17">
      <c r="A73" s="46"/>
      <c r="B73" s="40"/>
      <c r="C73" s="40"/>
      <c r="D73" s="40"/>
      <c r="E73" s="40"/>
      <c r="F73" s="40"/>
      <c r="G73" s="40"/>
      <c r="H73" s="68"/>
      <c r="I73" s="68"/>
      <c r="J73" s="68"/>
      <c r="K73" s="40" t="str">
        <f t="shared" si="4"/>
        <v/>
      </c>
      <c r="L73" s="40"/>
      <c r="M73" s="40"/>
      <c r="N73" s="40"/>
      <c r="O73" s="40"/>
      <c r="P73" s="40"/>
      <c r="Q73" s="47" t="str">
        <f t="shared" si="5"/>
        <v/>
      </c>
    </row>
    <row r="74" spans="1:17">
      <c r="A74" s="46"/>
      <c r="B74" s="40"/>
      <c r="C74" s="40"/>
      <c r="D74" s="40"/>
      <c r="E74" s="40"/>
      <c r="F74" s="40"/>
      <c r="G74" s="40"/>
      <c r="H74" s="68"/>
      <c r="I74" s="68"/>
      <c r="J74" s="68"/>
      <c r="K74" s="40" t="str">
        <f t="shared" si="4"/>
        <v/>
      </c>
      <c r="L74" s="40"/>
      <c r="M74" s="40"/>
      <c r="N74" s="40"/>
      <c r="O74" s="40"/>
      <c r="P74" s="40"/>
      <c r="Q74" s="47" t="str">
        <f t="shared" si="5"/>
        <v/>
      </c>
    </row>
    <row r="75" spans="1:17">
      <c r="A75" s="46"/>
      <c r="B75" s="40"/>
      <c r="C75" s="40"/>
      <c r="D75" s="40"/>
      <c r="E75" s="40"/>
      <c r="F75" s="40"/>
      <c r="G75" s="40"/>
      <c r="H75" s="68"/>
      <c r="I75" s="68"/>
      <c r="J75" s="68"/>
      <c r="K75" s="40" t="str">
        <f t="shared" si="4"/>
        <v/>
      </c>
      <c r="L75" s="40"/>
      <c r="M75" s="40"/>
      <c r="N75" s="40"/>
      <c r="O75" s="40"/>
      <c r="P75" s="40"/>
      <c r="Q75" s="47" t="str">
        <f t="shared" si="5"/>
        <v/>
      </c>
    </row>
    <row r="76" spans="1:17">
      <c r="A76" s="46"/>
      <c r="B76" s="40"/>
      <c r="C76" s="40"/>
      <c r="D76" s="40"/>
      <c r="E76" s="40"/>
      <c r="F76" s="40"/>
      <c r="G76" s="40"/>
      <c r="H76" s="68"/>
      <c r="I76" s="68"/>
      <c r="J76" s="68"/>
      <c r="K76" s="40" t="str">
        <f t="shared" si="4"/>
        <v/>
      </c>
      <c r="L76" s="40"/>
      <c r="M76" s="40"/>
      <c r="N76" s="40"/>
      <c r="O76" s="40"/>
      <c r="P76" s="40"/>
      <c r="Q76" s="47" t="str">
        <f t="shared" si="5"/>
        <v/>
      </c>
    </row>
    <row r="77" spans="1:17">
      <c r="A77" s="46"/>
      <c r="B77" s="40"/>
      <c r="C77" s="40"/>
      <c r="D77" s="40"/>
      <c r="E77" s="40"/>
      <c r="F77" s="40"/>
      <c r="G77" s="40"/>
      <c r="H77" s="68"/>
      <c r="I77" s="68"/>
      <c r="J77" s="68"/>
      <c r="K77" s="40" t="str">
        <f t="shared" si="4"/>
        <v/>
      </c>
      <c r="L77" s="40"/>
      <c r="M77" s="40"/>
      <c r="N77" s="40"/>
      <c r="O77" s="40"/>
      <c r="P77" s="40"/>
      <c r="Q77" s="47" t="str">
        <f t="shared" si="5"/>
        <v/>
      </c>
    </row>
    <row r="78" spans="1:17">
      <c r="A78" s="46"/>
      <c r="B78" s="40"/>
      <c r="C78" s="40"/>
      <c r="D78" s="40"/>
      <c r="E78" s="40"/>
      <c r="F78" s="40"/>
      <c r="G78" s="40"/>
      <c r="H78" s="68"/>
      <c r="I78" s="68"/>
      <c r="J78" s="68"/>
      <c r="K78" s="40" t="str">
        <f t="shared" si="4"/>
        <v/>
      </c>
      <c r="L78" s="40"/>
      <c r="M78" s="40"/>
      <c r="N78" s="40"/>
      <c r="O78" s="40"/>
      <c r="P78" s="40"/>
      <c r="Q78" s="47" t="str">
        <f t="shared" si="5"/>
        <v/>
      </c>
    </row>
    <row r="79" spans="1:17">
      <c r="A79" s="46"/>
      <c r="B79" s="40"/>
      <c r="C79" s="40"/>
      <c r="D79" s="40"/>
      <c r="E79" s="40"/>
      <c r="F79" s="40"/>
      <c r="G79" s="40"/>
      <c r="H79" s="68"/>
      <c r="I79" s="68"/>
      <c r="J79" s="68"/>
      <c r="K79" s="40" t="str">
        <f t="shared" si="4"/>
        <v/>
      </c>
      <c r="L79" s="40"/>
      <c r="M79" s="40"/>
      <c r="N79" s="40"/>
      <c r="O79" s="40"/>
      <c r="P79" s="40"/>
      <c r="Q79" s="47" t="str">
        <f t="shared" si="5"/>
        <v/>
      </c>
    </row>
    <row r="80" spans="1:17">
      <c r="A80" s="46"/>
      <c r="B80" s="40"/>
      <c r="C80" s="40"/>
      <c r="D80" s="40"/>
      <c r="E80" s="40"/>
      <c r="F80" s="40"/>
      <c r="G80" s="40"/>
      <c r="H80" s="68"/>
      <c r="I80" s="68"/>
      <c r="J80" s="68"/>
      <c r="K80" s="40" t="str">
        <f t="shared" si="4"/>
        <v/>
      </c>
      <c r="L80" s="40"/>
      <c r="M80" s="40"/>
      <c r="N80" s="40"/>
      <c r="O80" s="40"/>
      <c r="P80" s="40"/>
      <c r="Q80" s="47" t="str">
        <f t="shared" si="5"/>
        <v/>
      </c>
    </row>
    <row r="81" spans="1:17">
      <c r="A81" s="46"/>
      <c r="B81" s="40"/>
      <c r="C81" s="40"/>
      <c r="D81" s="40"/>
      <c r="E81" s="40"/>
      <c r="F81" s="40"/>
      <c r="G81" s="40"/>
      <c r="H81" s="68"/>
      <c r="I81" s="68"/>
      <c r="J81" s="68"/>
      <c r="K81" s="40" t="str">
        <f t="shared" si="4"/>
        <v/>
      </c>
      <c r="L81" s="40"/>
      <c r="M81" s="40"/>
      <c r="N81" s="40"/>
      <c r="O81" s="40"/>
      <c r="P81" s="40"/>
      <c r="Q81" s="47" t="str">
        <f t="shared" si="5"/>
        <v/>
      </c>
    </row>
    <row r="82" spans="1:17">
      <c r="A82" s="46"/>
      <c r="B82" s="40"/>
      <c r="C82" s="40"/>
      <c r="D82" s="40"/>
      <c r="E82" s="40"/>
      <c r="F82" s="40"/>
      <c r="G82" s="40"/>
      <c r="H82" s="68"/>
      <c r="I82" s="68"/>
      <c r="J82" s="68"/>
      <c r="K82" s="40" t="str">
        <f t="shared" si="4"/>
        <v/>
      </c>
      <c r="L82" s="40"/>
      <c r="M82" s="40"/>
      <c r="N82" s="40"/>
      <c r="O82" s="40"/>
      <c r="P82" s="40"/>
      <c r="Q82" s="47" t="str">
        <f t="shared" si="5"/>
        <v/>
      </c>
    </row>
    <row r="83" spans="1:17">
      <c r="A83" s="46"/>
      <c r="B83" s="40"/>
      <c r="C83" s="40"/>
      <c r="D83" s="40"/>
      <c r="E83" s="40"/>
      <c r="F83" s="40"/>
      <c r="G83" s="40"/>
      <c r="H83" s="68"/>
      <c r="I83" s="68"/>
      <c r="J83" s="68"/>
      <c r="K83" s="40" t="str">
        <f t="shared" si="4"/>
        <v/>
      </c>
      <c r="L83" s="40"/>
      <c r="M83" s="40"/>
      <c r="N83" s="40"/>
      <c r="O83" s="40"/>
      <c r="P83" s="40"/>
      <c r="Q83" s="47" t="str">
        <f t="shared" si="5"/>
        <v/>
      </c>
    </row>
    <row r="84" spans="1:17">
      <c r="A84" s="46"/>
      <c r="B84" s="40"/>
      <c r="C84" s="40"/>
      <c r="D84" s="40"/>
      <c r="E84" s="40"/>
      <c r="F84" s="40"/>
      <c r="G84" s="40"/>
      <c r="H84" s="68"/>
      <c r="I84" s="68"/>
      <c r="J84" s="68"/>
      <c r="K84" s="40" t="str">
        <f t="shared" si="4"/>
        <v/>
      </c>
      <c r="L84" s="40"/>
      <c r="M84" s="40"/>
      <c r="N84" s="40"/>
      <c r="O84" s="40"/>
      <c r="P84" s="40"/>
      <c r="Q84" s="47" t="str">
        <f t="shared" si="5"/>
        <v/>
      </c>
    </row>
    <row r="85" spans="1:17">
      <c r="A85" s="46"/>
      <c r="B85" s="40"/>
      <c r="C85" s="40"/>
      <c r="D85" s="40"/>
      <c r="E85" s="40"/>
      <c r="F85" s="40"/>
      <c r="G85" s="40"/>
      <c r="H85" s="68"/>
      <c r="I85" s="68"/>
      <c r="J85" s="68"/>
      <c r="K85" s="40" t="str">
        <f t="shared" si="4"/>
        <v/>
      </c>
      <c r="L85" s="40"/>
      <c r="M85" s="40"/>
      <c r="N85" s="40"/>
      <c r="O85" s="40"/>
      <c r="P85" s="40"/>
      <c r="Q85" s="47" t="str">
        <f t="shared" si="5"/>
        <v/>
      </c>
    </row>
    <row r="86" spans="1:17">
      <c r="A86" s="46"/>
      <c r="B86" s="40"/>
      <c r="C86" s="40"/>
      <c r="D86" s="40"/>
      <c r="E86" s="40"/>
      <c r="F86" s="40"/>
      <c r="G86" s="40"/>
      <c r="H86" s="68"/>
      <c r="I86" s="68"/>
      <c r="J86" s="68"/>
      <c r="K86" s="40" t="str">
        <f t="shared" si="4"/>
        <v/>
      </c>
      <c r="L86" s="40"/>
      <c r="M86" s="40"/>
      <c r="N86" s="40"/>
      <c r="O86" s="40"/>
      <c r="P86" s="40"/>
      <c r="Q86" s="47" t="str">
        <f t="shared" si="5"/>
        <v/>
      </c>
    </row>
    <row r="87" spans="1:17">
      <c r="A87" s="46"/>
      <c r="B87" s="40"/>
      <c r="C87" s="40"/>
      <c r="D87" s="40"/>
      <c r="E87" s="40"/>
      <c r="F87" s="40"/>
      <c r="G87" s="40"/>
      <c r="H87" s="68"/>
      <c r="I87" s="68"/>
      <c r="J87" s="68"/>
      <c r="K87" s="40" t="str">
        <f t="shared" si="4"/>
        <v/>
      </c>
      <c r="L87" s="40"/>
      <c r="M87" s="40"/>
      <c r="N87" s="40"/>
      <c r="O87" s="40"/>
      <c r="P87" s="40"/>
      <c r="Q87" s="47" t="str">
        <f t="shared" si="5"/>
        <v/>
      </c>
    </row>
    <row r="88" spans="1:17">
      <c r="A88" s="46"/>
      <c r="B88" s="40"/>
      <c r="C88" s="40"/>
      <c r="D88" s="40"/>
      <c r="E88" s="40"/>
      <c r="F88" s="40"/>
      <c r="G88" s="40"/>
      <c r="H88" s="68"/>
      <c r="I88" s="68"/>
      <c r="J88" s="68"/>
      <c r="K88" s="40" t="str">
        <f t="shared" ref="K88:K119" si="6">IF(A88="","",IF(J88="","No",IF(I88=J88,"No","Yes")))</f>
        <v/>
      </c>
      <c r="L88" s="40"/>
      <c r="M88" s="40"/>
      <c r="N88" s="40"/>
      <c r="O88" s="40"/>
      <c r="P88" s="40"/>
      <c r="Q88" s="47" t="str">
        <f t="shared" ref="Q88:Q119" si="7">IF(A88="","",IF(K88="Yes","Review",IF(COUNTA(A88:I88)&gt;=8,"Ready","Partial")))</f>
        <v/>
      </c>
    </row>
    <row r="89" spans="1:17">
      <c r="A89" s="46"/>
      <c r="B89" s="40"/>
      <c r="C89" s="40"/>
      <c r="D89" s="40"/>
      <c r="E89" s="40"/>
      <c r="F89" s="40"/>
      <c r="G89" s="40"/>
      <c r="H89" s="68"/>
      <c r="I89" s="68"/>
      <c r="J89" s="68"/>
      <c r="K89" s="40" t="str">
        <f t="shared" si="6"/>
        <v/>
      </c>
      <c r="L89" s="40"/>
      <c r="M89" s="40"/>
      <c r="N89" s="40"/>
      <c r="O89" s="40"/>
      <c r="P89" s="40"/>
      <c r="Q89" s="47" t="str">
        <f t="shared" si="7"/>
        <v/>
      </c>
    </row>
    <row r="90" spans="1:17">
      <c r="A90" s="46"/>
      <c r="B90" s="40"/>
      <c r="C90" s="40"/>
      <c r="D90" s="40"/>
      <c r="E90" s="40"/>
      <c r="F90" s="40"/>
      <c r="G90" s="40"/>
      <c r="H90" s="68"/>
      <c r="I90" s="68"/>
      <c r="J90" s="68"/>
      <c r="K90" s="40" t="str">
        <f t="shared" si="6"/>
        <v/>
      </c>
      <c r="L90" s="40"/>
      <c r="M90" s="40"/>
      <c r="N90" s="40"/>
      <c r="O90" s="40"/>
      <c r="P90" s="40"/>
      <c r="Q90" s="47" t="str">
        <f t="shared" si="7"/>
        <v/>
      </c>
    </row>
    <row r="91" spans="1:17">
      <c r="A91" s="46"/>
      <c r="B91" s="40"/>
      <c r="C91" s="40"/>
      <c r="D91" s="40"/>
      <c r="E91" s="40"/>
      <c r="F91" s="40"/>
      <c r="G91" s="40"/>
      <c r="H91" s="68"/>
      <c r="I91" s="68"/>
      <c r="J91" s="68"/>
      <c r="K91" s="40" t="str">
        <f t="shared" si="6"/>
        <v/>
      </c>
      <c r="L91" s="40"/>
      <c r="M91" s="40"/>
      <c r="N91" s="40"/>
      <c r="O91" s="40"/>
      <c r="P91" s="40"/>
      <c r="Q91" s="47" t="str">
        <f t="shared" si="7"/>
        <v/>
      </c>
    </row>
    <row r="92" spans="1:17">
      <c r="A92" s="46"/>
      <c r="B92" s="40"/>
      <c r="C92" s="40"/>
      <c r="D92" s="40"/>
      <c r="E92" s="40"/>
      <c r="F92" s="40"/>
      <c r="G92" s="40"/>
      <c r="H92" s="68"/>
      <c r="I92" s="68"/>
      <c r="J92" s="68"/>
      <c r="K92" s="40" t="str">
        <f t="shared" si="6"/>
        <v/>
      </c>
      <c r="L92" s="40"/>
      <c r="M92" s="40"/>
      <c r="N92" s="40"/>
      <c r="O92" s="40"/>
      <c r="P92" s="40"/>
      <c r="Q92" s="47" t="str">
        <f t="shared" si="7"/>
        <v/>
      </c>
    </row>
    <row r="93" spans="1:17">
      <c r="A93" s="46"/>
      <c r="B93" s="40"/>
      <c r="C93" s="40"/>
      <c r="D93" s="40"/>
      <c r="E93" s="40"/>
      <c r="F93" s="40"/>
      <c r="G93" s="40"/>
      <c r="H93" s="68"/>
      <c r="I93" s="68"/>
      <c r="J93" s="68"/>
      <c r="K93" s="40" t="str">
        <f t="shared" si="6"/>
        <v/>
      </c>
      <c r="L93" s="40"/>
      <c r="M93" s="40"/>
      <c r="N93" s="40"/>
      <c r="O93" s="40"/>
      <c r="P93" s="40"/>
      <c r="Q93" s="47" t="str">
        <f t="shared" si="7"/>
        <v/>
      </c>
    </row>
    <row r="94" spans="1:17">
      <c r="A94" s="46"/>
      <c r="B94" s="40"/>
      <c r="C94" s="40"/>
      <c r="D94" s="40"/>
      <c r="E94" s="40"/>
      <c r="F94" s="40"/>
      <c r="G94" s="40"/>
      <c r="H94" s="68"/>
      <c r="I94" s="68"/>
      <c r="J94" s="68"/>
      <c r="K94" s="40" t="str">
        <f t="shared" si="6"/>
        <v/>
      </c>
      <c r="L94" s="40"/>
      <c r="M94" s="40"/>
      <c r="N94" s="40"/>
      <c r="O94" s="40"/>
      <c r="P94" s="40"/>
      <c r="Q94" s="47" t="str">
        <f t="shared" si="7"/>
        <v/>
      </c>
    </row>
    <row r="95" spans="1:17">
      <c r="A95" s="46"/>
      <c r="B95" s="40"/>
      <c r="C95" s="40"/>
      <c r="D95" s="40"/>
      <c r="E95" s="40"/>
      <c r="F95" s="40"/>
      <c r="G95" s="40"/>
      <c r="H95" s="68"/>
      <c r="I95" s="68"/>
      <c r="J95" s="68"/>
      <c r="K95" s="40" t="str">
        <f t="shared" si="6"/>
        <v/>
      </c>
      <c r="L95" s="40"/>
      <c r="M95" s="40"/>
      <c r="N95" s="40"/>
      <c r="O95" s="40"/>
      <c r="P95" s="40"/>
      <c r="Q95" s="47" t="str">
        <f t="shared" si="7"/>
        <v/>
      </c>
    </row>
    <row r="96" spans="1:17">
      <c r="A96" s="46"/>
      <c r="B96" s="40"/>
      <c r="C96" s="40"/>
      <c r="D96" s="40"/>
      <c r="E96" s="40"/>
      <c r="F96" s="40"/>
      <c r="G96" s="40"/>
      <c r="H96" s="68"/>
      <c r="I96" s="68"/>
      <c r="J96" s="68"/>
      <c r="K96" s="40" t="str">
        <f t="shared" si="6"/>
        <v/>
      </c>
      <c r="L96" s="40"/>
      <c r="M96" s="40"/>
      <c r="N96" s="40"/>
      <c r="O96" s="40"/>
      <c r="P96" s="40"/>
      <c r="Q96" s="47" t="str">
        <f t="shared" si="7"/>
        <v/>
      </c>
    </row>
    <row r="97" spans="1:17">
      <c r="A97" s="46"/>
      <c r="B97" s="40"/>
      <c r="C97" s="40"/>
      <c r="D97" s="40"/>
      <c r="E97" s="40"/>
      <c r="F97" s="40"/>
      <c r="G97" s="40"/>
      <c r="H97" s="68"/>
      <c r="I97" s="68"/>
      <c r="J97" s="68"/>
      <c r="K97" s="40" t="str">
        <f t="shared" si="6"/>
        <v/>
      </c>
      <c r="L97" s="40"/>
      <c r="M97" s="40"/>
      <c r="N97" s="40"/>
      <c r="O97" s="40"/>
      <c r="P97" s="40"/>
      <c r="Q97" s="47" t="str">
        <f t="shared" si="7"/>
        <v/>
      </c>
    </row>
    <row r="98" spans="1:17">
      <c r="A98" s="46"/>
      <c r="B98" s="40"/>
      <c r="C98" s="40"/>
      <c r="D98" s="40"/>
      <c r="E98" s="40"/>
      <c r="F98" s="40"/>
      <c r="G98" s="40"/>
      <c r="H98" s="68"/>
      <c r="I98" s="68"/>
      <c r="J98" s="68"/>
      <c r="K98" s="40" t="str">
        <f t="shared" si="6"/>
        <v/>
      </c>
      <c r="L98" s="40"/>
      <c r="M98" s="40"/>
      <c r="N98" s="40"/>
      <c r="O98" s="40"/>
      <c r="P98" s="40"/>
      <c r="Q98" s="47" t="str">
        <f t="shared" si="7"/>
        <v/>
      </c>
    </row>
    <row r="99" spans="1:17">
      <c r="A99" s="46"/>
      <c r="B99" s="40"/>
      <c r="C99" s="40"/>
      <c r="D99" s="40"/>
      <c r="E99" s="40"/>
      <c r="F99" s="40"/>
      <c r="G99" s="40"/>
      <c r="H99" s="68"/>
      <c r="I99" s="68"/>
      <c r="J99" s="68"/>
      <c r="K99" s="40" t="str">
        <f t="shared" si="6"/>
        <v/>
      </c>
      <c r="L99" s="40"/>
      <c r="M99" s="40"/>
      <c r="N99" s="40"/>
      <c r="O99" s="40"/>
      <c r="P99" s="40"/>
      <c r="Q99" s="47" t="str">
        <f t="shared" si="7"/>
        <v/>
      </c>
    </row>
    <row r="100" spans="1:17">
      <c r="A100" s="46"/>
      <c r="B100" s="40"/>
      <c r="C100" s="40"/>
      <c r="D100" s="40"/>
      <c r="E100" s="40"/>
      <c r="F100" s="40"/>
      <c r="G100" s="40"/>
      <c r="H100" s="68"/>
      <c r="I100" s="68"/>
      <c r="J100" s="68"/>
      <c r="K100" s="40" t="str">
        <f t="shared" si="6"/>
        <v/>
      </c>
      <c r="L100" s="40"/>
      <c r="M100" s="40"/>
      <c r="N100" s="40"/>
      <c r="O100" s="40"/>
      <c r="P100" s="40"/>
      <c r="Q100" s="47" t="str">
        <f t="shared" si="7"/>
        <v/>
      </c>
    </row>
    <row r="101" spans="1:17">
      <c r="A101" s="46"/>
      <c r="B101" s="40"/>
      <c r="C101" s="40"/>
      <c r="D101" s="40"/>
      <c r="E101" s="40"/>
      <c r="F101" s="40"/>
      <c r="G101" s="40"/>
      <c r="H101" s="68"/>
      <c r="I101" s="68"/>
      <c r="J101" s="68"/>
      <c r="K101" s="40" t="str">
        <f t="shared" si="6"/>
        <v/>
      </c>
      <c r="L101" s="40"/>
      <c r="M101" s="40"/>
      <c r="N101" s="40"/>
      <c r="O101" s="40"/>
      <c r="P101" s="40"/>
      <c r="Q101" s="47" t="str">
        <f t="shared" si="7"/>
        <v/>
      </c>
    </row>
    <row r="102" spans="1:17">
      <c r="A102" s="46"/>
      <c r="B102" s="40"/>
      <c r="C102" s="40"/>
      <c r="D102" s="40"/>
      <c r="E102" s="40"/>
      <c r="F102" s="40"/>
      <c r="G102" s="40"/>
      <c r="H102" s="68"/>
      <c r="I102" s="68"/>
      <c r="J102" s="68"/>
      <c r="K102" s="40" t="str">
        <f t="shared" si="6"/>
        <v/>
      </c>
      <c r="L102" s="40"/>
      <c r="M102" s="40"/>
      <c r="N102" s="40"/>
      <c r="O102" s="40"/>
      <c r="P102" s="40"/>
      <c r="Q102" s="47" t="str">
        <f t="shared" si="7"/>
        <v/>
      </c>
    </row>
    <row r="103" spans="1:17">
      <c r="A103" s="46"/>
      <c r="B103" s="40"/>
      <c r="C103" s="40"/>
      <c r="D103" s="40"/>
      <c r="E103" s="40"/>
      <c r="F103" s="40"/>
      <c r="G103" s="40"/>
      <c r="H103" s="68"/>
      <c r="I103" s="68"/>
      <c r="J103" s="68"/>
      <c r="K103" s="40" t="str">
        <f t="shared" si="6"/>
        <v/>
      </c>
      <c r="L103" s="40"/>
      <c r="M103" s="40"/>
      <c r="N103" s="40"/>
      <c r="O103" s="40"/>
      <c r="P103" s="40"/>
      <c r="Q103" s="47" t="str">
        <f t="shared" si="7"/>
        <v/>
      </c>
    </row>
    <row r="104" spans="1:17">
      <c r="A104" s="46"/>
      <c r="B104" s="40"/>
      <c r="C104" s="40"/>
      <c r="D104" s="40"/>
      <c r="E104" s="40"/>
      <c r="F104" s="40"/>
      <c r="G104" s="40"/>
      <c r="H104" s="68"/>
      <c r="I104" s="68"/>
      <c r="J104" s="68"/>
      <c r="K104" s="40" t="str">
        <f t="shared" si="6"/>
        <v/>
      </c>
      <c r="L104" s="40"/>
      <c r="M104" s="40"/>
      <c r="N104" s="40"/>
      <c r="O104" s="40"/>
      <c r="P104" s="40"/>
      <c r="Q104" s="47" t="str">
        <f t="shared" si="7"/>
        <v/>
      </c>
    </row>
    <row r="105" spans="1:17">
      <c r="A105" s="46"/>
      <c r="B105" s="40"/>
      <c r="C105" s="40"/>
      <c r="D105" s="40"/>
      <c r="E105" s="40"/>
      <c r="F105" s="40"/>
      <c r="G105" s="40"/>
      <c r="H105" s="68"/>
      <c r="I105" s="68"/>
      <c r="J105" s="68"/>
      <c r="K105" s="40" t="str">
        <f t="shared" si="6"/>
        <v/>
      </c>
      <c r="L105" s="40"/>
      <c r="M105" s="40"/>
      <c r="N105" s="40"/>
      <c r="O105" s="40"/>
      <c r="P105" s="40"/>
      <c r="Q105" s="47" t="str">
        <f t="shared" si="7"/>
        <v/>
      </c>
    </row>
    <row r="106" spans="1:17">
      <c r="A106" s="46"/>
      <c r="B106" s="40"/>
      <c r="C106" s="40"/>
      <c r="D106" s="40"/>
      <c r="E106" s="40"/>
      <c r="F106" s="40"/>
      <c r="G106" s="40"/>
      <c r="H106" s="68"/>
      <c r="I106" s="68"/>
      <c r="J106" s="68"/>
      <c r="K106" s="40" t="str">
        <f t="shared" si="6"/>
        <v/>
      </c>
      <c r="L106" s="40"/>
      <c r="M106" s="40"/>
      <c r="N106" s="40"/>
      <c r="O106" s="40"/>
      <c r="P106" s="40"/>
      <c r="Q106" s="47" t="str">
        <f t="shared" si="7"/>
        <v/>
      </c>
    </row>
    <row r="107" spans="1:17">
      <c r="A107" s="46"/>
      <c r="B107" s="40"/>
      <c r="C107" s="40"/>
      <c r="D107" s="40"/>
      <c r="E107" s="40"/>
      <c r="F107" s="40"/>
      <c r="G107" s="40"/>
      <c r="H107" s="68"/>
      <c r="I107" s="68"/>
      <c r="J107" s="68"/>
      <c r="K107" s="40" t="str">
        <f t="shared" si="6"/>
        <v/>
      </c>
      <c r="L107" s="40"/>
      <c r="M107" s="40"/>
      <c r="N107" s="40"/>
      <c r="O107" s="40"/>
      <c r="P107" s="40"/>
      <c r="Q107" s="47" t="str">
        <f t="shared" si="7"/>
        <v/>
      </c>
    </row>
    <row r="108" spans="1:17">
      <c r="A108" s="46"/>
      <c r="B108" s="40"/>
      <c r="C108" s="40"/>
      <c r="D108" s="40"/>
      <c r="E108" s="40"/>
      <c r="F108" s="40"/>
      <c r="G108" s="40"/>
      <c r="H108" s="68"/>
      <c r="I108" s="68"/>
      <c r="J108" s="68"/>
      <c r="K108" s="40" t="str">
        <f t="shared" si="6"/>
        <v/>
      </c>
      <c r="L108" s="40"/>
      <c r="M108" s="40"/>
      <c r="N108" s="40"/>
      <c r="O108" s="40"/>
      <c r="P108" s="40"/>
      <c r="Q108" s="47" t="str">
        <f t="shared" si="7"/>
        <v/>
      </c>
    </row>
    <row r="109" spans="1:17">
      <c r="A109" s="46"/>
      <c r="B109" s="40"/>
      <c r="C109" s="40"/>
      <c r="D109" s="40"/>
      <c r="E109" s="40"/>
      <c r="F109" s="40"/>
      <c r="G109" s="40"/>
      <c r="H109" s="68"/>
      <c r="I109" s="68"/>
      <c r="J109" s="68"/>
      <c r="K109" s="40" t="str">
        <f t="shared" si="6"/>
        <v/>
      </c>
      <c r="L109" s="40"/>
      <c r="M109" s="40"/>
      <c r="N109" s="40"/>
      <c r="O109" s="40"/>
      <c r="P109" s="40"/>
      <c r="Q109" s="47" t="str">
        <f t="shared" si="7"/>
        <v/>
      </c>
    </row>
    <row r="110" spans="1:17">
      <c r="A110" s="46"/>
      <c r="B110" s="40"/>
      <c r="C110" s="40"/>
      <c r="D110" s="40"/>
      <c r="E110" s="40"/>
      <c r="F110" s="40"/>
      <c r="G110" s="40"/>
      <c r="H110" s="68"/>
      <c r="I110" s="68"/>
      <c r="J110" s="68"/>
      <c r="K110" s="40" t="str">
        <f t="shared" si="6"/>
        <v/>
      </c>
      <c r="L110" s="40"/>
      <c r="M110" s="40"/>
      <c r="N110" s="40"/>
      <c r="O110" s="40"/>
      <c r="P110" s="40"/>
      <c r="Q110" s="47" t="str">
        <f t="shared" si="7"/>
        <v/>
      </c>
    </row>
    <row r="111" spans="1:17">
      <c r="A111" s="46"/>
      <c r="B111" s="40"/>
      <c r="C111" s="40"/>
      <c r="D111" s="40"/>
      <c r="E111" s="40"/>
      <c r="F111" s="40"/>
      <c r="G111" s="40"/>
      <c r="H111" s="68"/>
      <c r="I111" s="68"/>
      <c r="J111" s="68"/>
      <c r="K111" s="40" t="str">
        <f t="shared" si="6"/>
        <v/>
      </c>
      <c r="L111" s="40"/>
      <c r="M111" s="40"/>
      <c r="N111" s="40"/>
      <c r="O111" s="40"/>
      <c r="P111" s="40"/>
      <c r="Q111" s="47" t="str">
        <f t="shared" si="7"/>
        <v/>
      </c>
    </row>
    <row r="112" spans="1:17">
      <c r="A112" s="46"/>
      <c r="B112" s="40"/>
      <c r="C112" s="40"/>
      <c r="D112" s="40"/>
      <c r="E112" s="40"/>
      <c r="F112" s="40"/>
      <c r="G112" s="40"/>
      <c r="H112" s="68"/>
      <c r="I112" s="68"/>
      <c r="J112" s="68"/>
      <c r="K112" s="40" t="str">
        <f t="shared" si="6"/>
        <v/>
      </c>
      <c r="L112" s="40"/>
      <c r="M112" s="40"/>
      <c r="N112" s="40"/>
      <c r="O112" s="40"/>
      <c r="P112" s="40"/>
      <c r="Q112" s="47" t="str">
        <f t="shared" si="7"/>
        <v/>
      </c>
    </row>
    <row r="113" spans="1:17">
      <c r="A113" s="46"/>
      <c r="B113" s="40"/>
      <c r="C113" s="40"/>
      <c r="D113" s="40"/>
      <c r="E113" s="40"/>
      <c r="F113" s="40"/>
      <c r="G113" s="40"/>
      <c r="H113" s="68"/>
      <c r="I113" s="68"/>
      <c r="J113" s="68"/>
      <c r="K113" s="40" t="str">
        <f t="shared" si="6"/>
        <v/>
      </c>
      <c r="L113" s="40"/>
      <c r="M113" s="40"/>
      <c r="N113" s="40"/>
      <c r="O113" s="40"/>
      <c r="P113" s="40"/>
      <c r="Q113" s="47" t="str">
        <f t="shared" si="7"/>
        <v/>
      </c>
    </row>
    <row r="114" spans="1:17">
      <c r="A114" s="46"/>
      <c r="B114" s="40"/>
      <c r="C114" s="40"/>
      <c r="D114" s="40"/>
      <c r="E114" s="40"/>
      <c r="F114" s="40"/>
      <c r="G114" s="40"/>
      <c r="H114" s="68"/>
      <c r="I114" s="68"/>
      <c r="J114" s="68"/>
      <c r="K114" s="40" t="str">
        <f t="shared" si="6"/>
        <v/>
      </c>
      <c r="L114" s="40"/>
      <c r="M114" s="40"/>
      <c r="N114" s="40"/>
      <c r="O114" s="40"/>
      <c r="P114" s="40"/>
      <c r="Q114" s="47" t="str">
        <f t="shared" si="7"/>
        <v/>
      </c>
    </row>
    <row r="115" spans="1:17">
      <c r="A115" s="46"/>
      <c r="B115" s="40"/>
      <c r="C115" s="40"/>
      <c r="D115" s="40"/>
      <c r="E115" s="40"/>
      <c r="F115" s="40"/>
      <c r="G115" s="40"/>
      <c r="H115" s="68"/>
      <c r="I115" s="68"/>
      <c r="J115" s="68"/>
      <c r="K115" s="40" t="str">
        <f t="shared" si="6"/>
        <v/>
      </c>
      <c r="L115" s="40"/>
      <c r="M115" s="40"/>
      <c r="N115" s="40"/>
      <c r="O115" s="40"/>
      <c r="P115" s="40"/>
      <c r="Q115" s="47" t="str">
        <f t="shared" si="7"/>
        <v/>
      </c>
    </row>
    <row r="116" spans="1:17">
      <c r="A116" s="46"/>
      <c r="B116" s="40"/>
      <c r="C116" s="40"/>
      <c r="D116" s="40"/>
      <c r="E116" s="40"/>
      <c r="F116" s="40"/>
      <c r="G116" s="40"/>
      <c r="H116" s="68"/>
      <c r="I116" s="68"/>
      <c r="J116" s="68"/>
      <c r="K116" s="40" t="str">
        <f t="shared" si="6"/>
        <v/>
      </c>
      <c r="L116" s="40"/>
      <c r="M116" s="40"/>
      <c r="N116" s="40"/>
      <c r="O116" s="40"/>
      <c r="P116" s="40"/>
      <c r="Q116" s="47" t="str">
        <f t="shared" si="7"/>
        <v/>
      </c>
    </row>
    <row r="117" spans="1:17">
      <c r="A117" s="46"/>
      <c r="B117" s="40"/>
      <c r="C117" s="40"/>
      <c r="D117" s="40"/>
      <c r="E117" s="40"/>
      <c r="F117" s="40"/>
      <c r="G117" s="40"/>
      <c r="H117" s="68"/>
      <c r="I117" s="68"/>
      <c r="J117" s="68"/>
      <c r="K117" s="40" t="str">
        <f t="shared" si="6"/>
        <v/>
      </c>
      <c r="L117" s="40"/>
      <c r="M117" s="40"/>
      <c r="N117" s="40"/>
      <c r="O117" s="40"/>
      <c r="P117" s="40"/>
      <c r="Q117" s="47" t="str">
        <f t="shared" si="7"/>
        <v/>
      </c>
    </row>
    <row r="118" spans="1:17">
      <c r="A118" s="46"/>
      <c r="B118" s="40"/>
      <c r="C118" s="40"/>
      <c r="D118" s="40"/>
      <c r="E118" s="40"/>
      <c r="F118" s="40"/>
      <c r="G118" s="40"/>
      <c r="H118" s="68"/>
      <c r="I118" s="68"/>
      <c r="J118" s="68"/>
      <c r="K118" s="40" t="str">
        <f t="shared" si="6"/>
        <v/>
      </c>
      <c r="L118" s="40"/>
      <c r="M118" s="40"/>
      <c r="N118" s="40"/>
      <c r="O118" s="40"/>
      <c r="P118" s="40"/>
      <c r="Q118" s="47" t="str">
        <f t="shared" si="7"/>
        <v/>
      </c>
    </row>
    <row r="119" spans="1:17">
      <c r="A119" s="46"/>
      <c r="B119" s="40"/>
      <c r="C119" s="40"/>
      <c r="D119" s="40"/>
      <c r="E119" s="40"/>
      <c r="F119" s="40"/>
      <c r="G119" s="40"/>
      <c r="H119" s="68"/>
      <c r="I119" s="68"/>
      <c r="J119" s="68"/>
      <c r="K119" s="40" t="str">
        <f t="shared" si="6"/>
        <v/>
      </c>
      <c r="L119" s="40"/>
      <c r="M119" s="40"/>
      <c r="N119" s="40"/>
      <c r="O119" s="40"/>
      <c r="P119" s="40"/>
      <c r="Q119" s="47" t="str">
        <f t="shared" si="7"/>
        <v/>
      </c>
    </row>
    <row r="120" spans="1:17">
      <c r="A120" s="46"/>
      <c r="B120" s="40"/>
      <c r="C120" s="40"/>
      <c r="D120" s="40"/>
      <c r="E120" s="40"/>
      <c r="F120" s="40"/>
      <c r="G120" s="40"/>
      <c r="H120" s="68"/>
      <c r="I120" s="68"/>
      <c r="J120" s="68"/>
      <c r="K120" s="40" t="str">
        <f t="shared" ref="K120:K151" si="8">IF(A120="","",IF(J120="","No",IF(I120=J120,"No","Yes")))</f>
        <v/>
      </c>
      <c r="L120" s="40"/>
      <c r="M120" s="40"/>
      <c r="N120" s="40"/>
      <c r="O120" s="40"/>
      <c r="P120" s="40"/>
      <c r="Q120" s="47" t="str">
        <f t="shared" ref="Q120:Q151" si="9">IF(A120="","",IF(K120="Yes","Review",IF(COUNTA(A120:I120)&gt;=8,"Ready","Partial")))</f>
        <v/>
      </c>
    </row>
    <row r="121" spans="1:17">
      <c r="A121" s="46"/>
      <c r="B121" s="40"/>
      <c r="C121" s="40"/>
      <c r="D121" s="40"/>
      <c r="E121" s="40"/>
      <c r="F121" s="40"/>
      <c r="G121" s="40"/>
      <c r="H121" s="68"/>
      <c r="I121" s="68"/>
      <c r="J121" s="68"/>
      <c r="K121" s="40" t="str">
        <f t="shared" si="8"/>
        <v/>
      </c>
      <c r="L121" s="40"/>
      <c r="M121" s="40"/>
      <c r="N121" s="40"/>
      <c r="O121" s="40"/>
      <c r="P121" s="40"/>
      <c r="Q121" s="47" t="str">
        <f t="shared" si="9"/>
        <v/>
      </c>
    </row>
    <row r="122" spans="1:17">
      <c r="A122" s="46"/>
      <c r="B122" s="40"/>
      <c r="C122" s="40"/>
      <c r="D122" s="40"/>
      <c r="E122" s="40"/>
      <c r="F122" s="40"/>
      <c r="G122" s="40"/>
      <c r="H122" s="68"/>
      <c r="I122" s="68"/>
      <c r="J122" s="68"/>
      <c r="K122" s="40" t="str">
        <f t="shared" si="8"/>
        <v/>
      </c>
      <c r="L122" s="40"/>
      <c r="M122" s="40"/>
      <c r="N122" s="40"/>
      <c r="O122" s="40"/>
      <c r="P122" s="40"/>
      <c r="Q122" s="47" t="str">
        <f t="shared" si="9"/>
        <v/>
      </c>
    </row>
    <row r="123" spans="1:17">
      <c r="A123" s="46"/>
      <c r="B123" s="40"/>
      <c r="C123" s="40"/>
      <c r="D123" s="40"/>
      <c r="E123" s="40"/>
      <c r="F123" s="40"/>
      <c r="G123" s="40"/>
      <c r="H123" s="68"/>
      <c r="I123" s="68"/>
      <c r="J123" s="68"/>
      <c r="K123" s="40" t="str">
        <f t="shared" si="8"/>
        <v/>
      </c>
      <c r="L123" s="40"/>
      <c r="M123" s="40"/>
      <c r="N123" s="40"/>
      <c r="O123" s="40"/>
      <c r="P123" s="40"/>
      <c r="Q123" s="47" t="str">
        <f t="shared" si="9"/>
        <v/>
      </c>
    </row>
    <row r="124" spans="1:17">
      <c r="A124" s="46"/>
      <c r="B124" s="40"/>
      <c r="C124" s="40"/>
      <c r="D124" s="40"/>
      <c r="E124" s="40"/>
      <c r="F124" s="40"/>
      <c r="G124" s="40"/>
      <c r="H124" s="68"/>
      <c r="I124" s="68"/>
      <c r="J124" s="68"/>
      <c r="K124" s="40" t="str">
        <f t="shared" si="8"/>
        <v/>
      </c>
      <c r="L124" s="40"/>
      <c r="M124" s="40"/>
      <c r="N124" s="40"/>
      <c r="O124" s="40"/>
      <c r="P124" s="40"/>
      <c r="Q124" s="47" t="str">
        <f t="shared" si="9"/>
        <v/>
      </c>
    </row>
    <row r="125" spans="1:17">
      <c r="A125" s="46"/>
      <c r="B125" s="40"/>
      <c r="C125" s="40"/>
      <c r="D125" s="40"/>
      <c r="E125" s="40"/>
      <c r="F125" s="40"/>
      <c r="G125" s="40"/>
      <c r="H125" s="68"/>
      <c r="I125" s="68"/>
      <c r="J125" s="68"/>
      <c r="K125" s="40" t="str">
        <f t="shared" si="8"/>
        <v/>
      </c>
      <c r="L125" s="40"/>
      <c r="M125" s="40"/>
      <c r="N125" s="40"/>
      <c r="O125" s="40"/>
      <c r="P125" s="40"/>
      <c r="Q125" s="47" t="str">
        <f t="shared" si="9"/>
        <v/>
      </c>
    </row>
    <row r="126" spans="1:17">
      <c r="A126" s="46"/>
      <c r="B126" s="40"/>
      <c r="C126" s="40"/>
      <c r="D126" s="40"/>
      <c r="E126" s="40"/>
      <c r="F126" s="40"/>
      <c r="G126" s="40"/>
      <c r="H126" s="68"/>
      <c r="I126" s="68"/>
      <c r="J126" s="68"/>
      <c r="K126" s="40" t="str">
        <f t="shared" si="8"/>
        <v/>
      </c>
      <c r="L126" s="40"/>
      <c r="M126" s="40"/>
      <c r="N126" s="40"/>
      <c r="O126" s="40"/>
      <c r="P126" s="40"/>
      <c r="Q126" s="47" t="str">
        <f t="shared" si="9"/>
        <v/>
      </c>
    </row>
    <row r="127" spans="1:17">
      <c r="A127" s="46"/>
      <c r="B127" s="40"/>
      <c r="C127" s="40"/>
      <c r="D127" s="40"/>
      <c r="E127" s="40"/>
      <c r="F127" s="40"/>
      <c r="G127" s="40"/>
      <c r="H127" s="68"/>
      <c r="I127" s="68"/>
      <c r="J127" s="68"/>
      <c r="K127" s="40" t="str">
        <f t="shared" si="8"/>
        <v/>
      </c>
      <c r="L127" s="40"/>
      <c r="M127" s="40"/>
      <c r="N127" s="40"/>
      <c r="O127" s="40"/>
      <c r="P127" s="40"/>
      <c r="Q127" s="47" t="str">
        <f t="shared" si="9"/>
        <v/>
      </c>
    </row>
    <row r="128" spans="1:17">
      <c r="A128" s="46"/>
      <c r="B128" s="40"/>
      <c r="C128" s="40"/>
      <c r="D128" s="40"/>
      <c r="E128" s="40"/>
      <c r="F128" s="40"/>
      <c r="G128" s="40"/>
      <c r="H128" s="68"/>
      <c r="I128" s="68"/>
      <c r="J128" s="68"/>
      <c r="K128" s="40" t="str">
        <f t="shared" si="8"/>
        <v/>
      </c>
      <c r="L128" s="40"/>
      <c r="M128" s="40"/>
      <c r="N128" s="40"/>
      <c r="O128" s="40"/>
      <c r="P128" s="40"/>
      <c r="Q128" s="47" t="str">
        <f t="shared" si="9"/>
        <v/>
      </c>
    </row>
    <row r="129" spans="1:17">
      <c r="A129" s="46"/>
      <c r="B129" s="40"/>
      <c r="C129" s="40"/>
      <c r="D129" s="40"/>
      <c r="E129" s="40"/>
      <c r="F129" s="40"/>
      <c r="G129" s="40"/>
      <c r="H129" s="68"/>
      <c r="I129" s="68"/>
      <c r="J129" s="68"/>
      <c r="K129" s="40" t="str">
        <f t="shared" si="8"/>
        <v/>
      </c>
      <c r="L129" s="40"/>
      <c r="M129" s="40"/>
      <c r="N129" s="40"/>
      <c r="O129" s="40"/>
      <c r="P129" s="40"/>
      <c r="Q129" s="47" t="str">
        <f t="shared" si="9"/>
        <v/>
      </c>
    </row>
    <row r="130" spans="1:17">
      <c r="A130" s="46"/>
      <c r="B130" s="40"/>
      <c r="C130" s="40"/>
      <c r="D130" s="40"/>
      <c r="E130" s="40"/>
      <c r="F130" s="40"/>
      <c r="G130" s="40"/>
      <c r="H130" s="68"/>
      <c r="I130" s="68"/>
      <c r="J130" s="68"/>
      <c r="K130" s="40" t="str">
        <f t="shared" si="8"/>
        <v/>
      </c>
      <c r="L130" s="40"/>
      <c r="M130" s="40"/>
      <c r="N130" s="40"/>
      <c r="O130" s="40"/>
      <c r="P130" s="40"/>
      <c r="Q130" s="47" t="str">
        <f t="shared" si="9"/>
        <v/>
      </c>
    </row>
    <row r="131" spans="1:17">
      <c r="A131" s="46"/>
      <c r="B131" s="40"/>
      <c r="C131" s="40"/>
      <c r="D131" s="40"/>
      <c r="E131" s="40"/>
      <c r="F131" s="40"/>
      <c r="G131" s="40"/>
      <c r="H131" s="68"/>
      <c r="I131" s="68"/>
      <c r="J131" s="68"/>
      <c r="K131" s="40" t="str">
        <f t="shared" si="8"/>
        <v/>
      </c>
      <c r="L131" s="40"/>
      <c r="M131" s="40"/>
      <c r="N131" s="40"/>
      <c r="O131" s="40"/>
      <c r="P131" s="40"/>
      <c r="Q131" s="47" t="str">
        <f t="shared" si="9"/>
        <v/>
      </c>
    </row>
    <row r="132" spans="1:17">
      <c r="A132" s="46"/>
      <c r="B132" s="40"/>
      <c r="C132" s="40"/>
      <c r="D132" s="40"/>
      <c r="E132" s="40"/>
      <c r="F132" s="40"/>
      <c r="G132" s="40"/>
      <c r="H132" s="68"/>
      <c r="I132" s="68"/>
      <c r="J132" s="68"/>
      <c r="K132" s="40" t="str">
        <f t="shared" si="8"/>
        <v/>
      </c>
      <c r="L132" s="40"/>
      <c r="M132" s="40"/>
      <c r="N132" s="40"/>
      <c r="O132" s="40"/>
      <c r="P132" s="40"/>
      <c r="Q132" s="47" t="str">
        <f t="shared" si="9"/>
        <v/>
      </c>
    </row>
    <row r="133" spans="1:17">
      <c r="A133" s="46"/>
      <c r="B133" s="40"/>
      <c r="C133" s="40"/>
      <c r="D133" s="40"/>
      <c r="E133" s="40"/>
      <c r="F133" s="40"/>
      <c r="G133" s="40"/>
      <c r="H133" s="68"/>
      <c r="I133" s="68"/>
      <c r="J133" s="68"/>
      <c r="K133" s="40" t="str">
        <f t="shared" si="8"/>
        <v/>
      </c>
      <c r="L133" s="40"/>
      <c r="M133" s="40"/>
      <c r="N133" s="40"/>
      <c r="O133" s="40"/>
      <c r="P133" s="40"/>
      <c r="Q133" s="47" t="str">
        <f t="shared" si="9"/>
        <v/>
      </c>
    </row>
    <row r="134" spans="1:17">
      <c r="A134" s="46"/>
      <c r="B134" s="40"/>
      <c r="C134" s="40"/>
      <c r="D134" s="40"/>
      <c r="E134" s="40"/>
      <c r="F134" s="40"/>
      <c r="G134" s="40"/>
      <c r="H134" s="68"/>
      <c r="I134" s="68"/>
      <c r="J134" s="68"/>
      <c r="K134" s="40" t="str">
        <f t="shared" si="8"/>
        <v/>
      </c>
      <c r="L134" s="40"/>
      <c r="M134" s="40"/>
      <c r="N134" s="40"/>
      <c r="O134" s="40"/>
      <c r="P134" s="40"/>
      <c r="Q134" s="47" t="str">
        <f t="shared" si="9"/>
        <v/>
      </c>
    </row>
    <row r="135" spans="1:17">
      <c r="A135" s="46"/>
      <c r="B135" s="40"/>
      <c r="C135" s="40"/>
      <c r="D135" s="40"/>
      <c r="E135" s="40"/>
      <c r="F135" s="40"/>
      <c r="G135" s="40"/>
      <c r="H135" s="68"/>
      <c r="I135" s="68"/>
      <c r="J135" s="68"/>
      <c r="K135" s="40" t="str">
        <f t="shared" si="8"/>
        <v/>
      </c>
      <c r="L135" s="40"/>
      <c r="M135" s="40"/>
      <c r="N135" s="40"/>
      <c r="O135" s="40"/>
      <c r="P135" s="40"/>
      <c r="Q135" s="47" t="str">
        <f t="shared" si="9"/>
        <v/>
      </c>
    </row>
    <row r="136" spans="1:17">
      <c r="A136" s="46"/>
      <c r="B136" s="40"/>
      <c r="C136" s="40"/>
      <c r="D136" s="40"/>
      <c r="E136" s="40"/>
      <c r="F136" s="40"/>
      <c r="G136" s="40"/>
      <c r="H136" s="68"/>
      <c r="I136" s="68"/>
      <c r="J136" s="68"/>
      <c r="K136" s="40" t="str">
        <f t="shared" si="8"/>
        <v/>
      </c>
      <c r="L136" s="40"/>
      <c r="M136" s="40"/>
      <c r="N136" s="40"/>
      <c r="O136" s="40"/>
      <c r="P136" s="40"/>
      <c r="Q136" s="47" t="str">
        <f t="shared" si="9"/>
        <v/>
      </c>
    </row>
    <row r="137" spans="1:17">
      <c r="A137" s="46"/>
      <c r="B137" s="40"/>
      <c r="C137" s="40"/>
      <c r="D137" s="40"/>
      <c r="E137" s="40"/>
      <c r="F137" s="40"/>
      <c r="G137" s="40"/>
      <c r="H137" s="68"/>
      <c r="I137" s="68"/>
      <c r="J137" s="68"/>
      <c r="K137" s="40" t="str">
        <f t="shared" si="8"/>
        <v/>
      </c>
      <c r="L137" s="40"/>
      <c r="M137" s="40"/>
      <c r="N137" s="40"/>
      <c r="O137" s="40"/>
      <c r="P137" s="40"/>
      <c r="Q137" s="47" t="str">
        <f t="shared" si="9"/>
        <v/>
      </c>
    </row>
    <row r="138" spans="1:17">
      <c r="A138" s="46"/>
      <c r="B138" s="40"/>
      <c r="C138" s="40"/>
      <c r="D138" s="40"/>
      <c r="E138" s="40"/>
      <c r="F138" s="40"/>
      <c r="G138" s="40"/>
      <c r="H138" s="68"/>
      <c r="I138" s="68"/>
      <c r="J138" s="68"/>
      <c r="K138" s="40" t="str">
        <f t="shared" si="8"/>
        <v/>
      </c>
      <c r="L138" s="40"/>
      <c r="M138" s="40"/>
      <c r="N138" s="40"/>
      <c r="O138" s="40"/>
      <c r="P138" s="40"/>
      <c r="Q138" s="47" t="str">
        <f t="shared" si="9"/>
        <v/>
      </c>
    </row>
    <row r="139" spans="1:17">
      <c r="A139" s="46"/>
      <c r="B139" s="40"/>
      <c r="C139" s="40"/>
      <c r="D139" s="40"/>
      <c r="E139" s="40"/>
      <c r="F139" s="40"/>
      <c r="G139" s="40"/>
      <c r="H139" s="68"/>
      <c r="I139" s="68"/>
      <c r="J139" s="68"/>
      <c r="K139" s="40" t="str">
        <f t="shared" si="8"/>
        <v/>
      </c>
      <c r="L139" s="40"/>
      <c r="M139" s="40"/>
      <c r="N139" s="40"/>
      <c r="O139" s="40"/>
      <c r="P139" s="40"/>
      <c r="Q139" s="47" t="str">
        <f t="shared" si="9"/>
        <v/>
      </c>
    </row>
    <row r="140" spans="1:17">
      <c r="A140" s="46"/>
      <c r="B140" s="40"/>
      <c r="C140" s="40"/>
      <c r="D140" s="40"/>
      <c r="E140" s="40"/>
      <c r="F140" s="40"/>
      <c r="G140" s="40"/>
      <c r="H140" s="68"/>
      <c r="I140" s="68"/>
      <c r="J140" s="68"/>
      <c r="K140" s="40" t="str">
        <f t="shared" si="8"/>
        <v/>
      </c>
      <c r="L140" s="40"/>
      <c r="M140" s="40"/>
      <c r="N140" s="40"/>
      <c r="O140" s="40"/>
      <c r="P140" s="40"/>
      <c r="Q140" s="47" t="str">
        <f t="shared" si="9"/>
        <v/>
      </c>
    </row>
    <row r="141" spans="1:17">
      <c r="A141" s="46"/>
      <c r="B141" s="40"/>
      <c r="C141" s="40"/>
      <c r="D141" s="40"/>
      <c r="E141" s="40"/>
      <c r="F141" s="40"/>
      <c r="G141" s="40"/>
      <c r="H141" s="68"/>
      <c r="I141" s="68"/>
      <c r="J141" s="68"/>
      <c r="K141" s="40" t="str">
        <f t="shared" si="8"/>
        <v/>
      </c>
      <c r="L141" s="40"/>
      <c r="M141" s="40"/>
      <c r="N141" s="40"/>
      <c r="O141" s="40"/>
      <c r="P141" s="40"/>
      <c r="Q141" s="47" t="str">
        <f t="shared" si="9"/>
        <v/>
      </c>
    </row>
    <row r="142" spans="1:17">
      <c r="A142" s="46"/>
      <c r="B142" s="40"/>
      <c r="C142" s="40"/>
      <c r="D142" s="40"/>
      <c r="E142" s="40"/>
      <c r="F142" s="40"/>
      <c r="G142" s="40"/>
      <c r="H142" s="68"/>
      <c r="I142" s="68"/>
      <c r="J142" s="68"/>
      <c r="K142" s="40" t="str">
        <f t="shared" si="8"/>
        <v/>
      </c>
      <c r="L142" s="40"/>
      <c r="M142" s="40"/>
      <c r="N142" s="40"/>
      <c r="O142" s="40"/>
      <c r="P142" s="40"/>
      <c r="Q142" s="47" t="str">
        <f t="shared" si="9"/>
        <v/>
      </c>
    </row>
    <row r="143" spans="1:17">
      <c r="A143" s="46"/>
      <c r="B143" s="40"/>
      <c r="C143" s="40"/>
      <c r="D143" s="40"/>
      <c r="E143" s="40"/>
      <c r="F143" s="40"/>
      <c r="G143" s="40"/>
      <c r="H143" s="68"/>
      <c r="I143" s="68"/>
      <c r="J143" s="68"/>
      <c r="K143" s="40" t="str">
        <f t="shared" si="8"/>
        <v/>
      </c>
      <c r="L143" s="40"/>
      <c r="M143" s="40"/>
      <c r="N143" s="40"/>
      <c r="O143" s="40"/>
      <c r="P143" s="40"/>
      <c r="Q143" s="47" t="str">
        <f t="shared" si="9"/>
        <v/>
      </c>
    </row>
    <row r="144" spans="1:17">
      <c r="A144" s="46"/>
      <c r="B144" s="40"/>
      <c r="C144" s="40"/>
      <c r="D144" s="40"/>
      <c r="E144" s="40"/>
      <c r="F144" s="40"/>
      <c r="G144" s="40"/>
      <c r="H144" s="68"/>
      <c r="I144" s="68"/>
      <c r="J144" s="68"/>
      <c r="K144" s="40" t="str">
        <f t="shared" si="8"/>
        <v/>
      </c>
      <c r="L144" s="40"/>
      <c r="M144" s="40"/>
      <c r="N144" s="40"/>
      <c r="O144" s="40"/>
      <c r="P144" s="40"/>
      <c r="Q144" s="47" t="str">
        <f t="shared" si="9"/>
        <v/>
      </c>
    </row>
    <row r="145" spans="1:17">
      <c r="A145" s="46"/>
      <c r="B145" s="40"/>
      <c r="C145" s="40"/>
      <c r="D145" s="40"/>
      <c r="E145" s="40"/>
      <c r="F145" s="40"/>
      <c r="G145" s="40"/>
      <c r="H145" s="68"/>
      <c r="I145" s="68"/>
      <c r="J145" s="68"/>
      <c r="K145" s="40" t="str">
        <f t="shared" si="8"/>
        <v/>
      </c>
      <c r="L145" s="40"/>
      <c r="M145" s="40"/>
      <c r="N145" s="40"/>
      <c r="O145" s="40"/>
      <c r="P145" s="40"/>
      <c r="Q145" s="47" t="str">
        <f t="shared" si="9"/>
        <v/>
      </c>
    </row>
    <row r="146" spans="1:17">
      <c r="A146" s="46"/>
      <c r="B146" s="40"/>
      <c r="C146" s="40"/>
      <c r="D146" s="40"/>
      <c r="E146" s="40"/>
      <c r="F146" s="40"/>
      <c r="G146" s="40"/>
      <c r="H146" s="68"/>
      <c r="I146" s="68"/>
      <c r="J146" s="68"/>
      <c r="K146" s="40" t="str">
        <f t="shared" si="8"/>
        <v/>
      </c>
      <c r="L146" s="40"/>
      <c r="M146" s="40"/>
      <c r="N146" s="40"/>
      <c r="O146" s="40"/>
      <c r="P146" s="40"/>
      <c r="Q146" s="47" t="str">
        <f t="shared" si="9"/>
        <v/>
      </c>
    </row>
    <row r="147" spans="1:17">
      <c r="A147" s="46"/>
      <c r="B147" s="40"/>
      <c r="C147" s="40"/>
      <c r="D147" s="40"/>
      <c r="E147" s="40"/>
      <c r="F147" s="40"/>
      <c r="G147" s="40"/>
      <c r="H147" s="68"/>
      <c r="I147" s="68"/>
      <c r="J147" s="68"/>
      <c r="K147" s="40" t="str">
        <f t="shared" si="8"/>
        <v/>
      </c>
      <c r="L147" s="40"/>
      <c r="M147" s="40"/>
      <c r="N147" s="40"/>
      <c r="O147" s="40"/>
      <c r="P147" s="40"/>
      <c r="Q147" s="47" t="str">
        <f t="shared" si="9"/>
        <v/>
      </c>
    </row>
    <row r="148" spans="1:17">
      <c r="A148" s="46"/>
      <c r="B148" s="40"/>
      <c r="C148" s="40"/>
      <c r="D148" s="40"/>
      <c r="E148" s="40"/>
      <c r="F148" s="40"/>
      <c r="G148" s="40"/>
      <c r="H148" s="68"/>
      <c r="I148" s="68"/>
      <c r="J148" s="68"/>
      <c r="K148" s="40" t="str">
        <f t="shared" si="8"/>
        <v/>
      </c>
      <c r="L148" s="40"/>
      <c r="M148" s="40"/>
      <c r="N148" s="40"/>
      <c r="O148" s="40"/>
      <c r="P148" s="40"/>
      <c r="Q148" s="47" t="str">
        <f t="shared" si="9"/>
        <v/>
      </c>
    </row>
    <row r="149" spans="1:17">
      <c r="A149" s="46"/>
      <c r="B149" s="40"/>
      <c r="C149" s="40"/>
      <c r="D149" s="40"/>
      <c r="E149" s="40"/>
      <c r="F149" s="40"/>
      <c r="G149" s="40"/>
      <c r="H149" s="68"/>
      <c r="I149" s="68"/>
      <c r="J149" s="68"/>
      <c r="K149" s="40" t="str">
        <f t="shared" si="8"/>
        <v/>
      </c>
      <c r="L149" s="40"/>
      <c r="M149" s="40"/>
      <c r="N149" s="40"/>
      <c r="O149" s="40"/>
      <c r="P149" s="40"/>
      <c r="Q149" s="47" t="str">
        <f t="shared" si="9"/>
        <v/>
      </c>
    </row>
    <row r="150" spans="1:17">
      <c r="A150" s="46"/>
      <c r="B150" s="40"/>
      <c r="C150" s="40"/>
      <c r="D150" s="40"/>
      <c r="E150" s="40"/>
      <c r="F150" s="40"/>
      <c r="G150" s="40"/>
      <c r="H150" s="68"/>
      <c r="I150" s="68"/>
      <c r="J150" s="68"/>
      <c r="K150" s="40" t="str">
        <f t="shared" si="8"/>
        <v/>
      </c>
      <c r="L150" s="40"/>
      <c r="M150" s="40"/>
      <c r="N150" s="40"/>
      <c r="O150" s="40"/>
      <c r="P150" s="40"/>
      <c r="Q150" s="47" t="str">
        <f t="shared" si="9"/>
        <v/>
      </c>
    </row>
    <row r="151" spans="1:17">
      <c r="A151" s="46"/>
      <c r="B151" s="40"/>
      <c r="C151" s="40"/>
      <c r="D151" s="40"/>
      <c r="E151" s="40"/>
      <c r="F151" s="40"/>
      <c r="G151" s="40"/>
      <c r="H151" s="68"/>
      <c r="I151" s="68"/>
      <c r="J151" s="68"/>
      <c r="K151" s="40" t="str">
        <f t="shared" si="8"/>
        <v/>
      </c>
      <c r="L151" s="40"/>
      <c r="M151" s="40"/>
      <c r="N151" s="40"/>
      <c r="O151" s="40"/>
      <c r="P151" s="40"/>
      <c r="Q151" s="47" t="str">
        <f t="shared" si="9"/>
        <v/>
      </c>
    </row>
    <row r="152" spans="1:17">
      <c r="A152" s="46"/>
      <c r="B152" s="40"/>
      <c r="C152" s="40"/>
      <c r="D152" s="40"/>
      <c r="E152" s="40"/>
      <c r="F152" s="40"/>
      <c r="G152" s="40"/>
      <c r="H152" s="68"/>
      <c r="I152" s="68"/>
      <c r="J152" s="68"/>
      <c r="K152" s="40" t="str">
        <f t="shared" ref="K152:K183" si="10">IF(A152="","",IF(J152="","No",IF(I152=J152,"No","Yes")))</f>
        <v/>
      </c>
      <c r="L152" s="40"/>
      <c r="M152" s="40"/>
      <c r="N152" s="40"/>
      <c r="O152" s="40"/>
      <c r="P152" s="40"/>
      <c r="Q152" s="47" t="str">
        <f t="shared" ref="Q152:Q183" si="11">IF(A152="","",IF(K152="Yes","Review",IF(COUNTA(A152:I152)&gt;=8,"Ready","Partial")))</f>
        <v/>
      </c>
    </row>
    <row r="153" spans="1:17">
      <c r="A153" s="46"/>
      <c r="B153" s="40"/>
      <c r="C153" s="40"/>
      <c r="D153" s="40"/>
      <c r="E153" s="40"/>
      <c r="F153" s="40"/>
      <c r="G153" s="40"/>
      <c r="H153" s="68"/>
      <c r="I153" s="68"/>
      <c r="J153" s="68"/>
      <c r="K153" s="40" t="str">
        <f t="shared" si="10"/>
        <v/>
      </c>
      <c r="L153" s="40"/>
      <c r="M153" s="40"/>
      <c r="N153" s="40"/>
      <c r="O153" s="40"/>
      <c r="P153" s="40"/>
      <c r="Q153" s="47" t="str">
        <f t="shared" si="11"/>
        <v/>
      </c>
    </row>
    <row r="154" spans="1:17">
      <c r="A154" s="46"/>
      <c r="B154" s="40"/>
      <c r="C154" s="40"/>
      <c r="D154" s="40"/>
      <c r="E154" s="40"/>
      <c r="F154" s="40"/>
      <c r="G154" s="40"/>
      <c r="H154" s="68"/>
      <c r="I154" s="68"/>
      <c r="J154" s="68"/>
      <c r="K154" s="40" t="str">
        <f t="shared" si="10"/>
        <v/>
      </c>
      <c r="L154" s="40"/>
      <c r="M154" s="40"/>
      <c r="N154" s="40"/>
      <c r="O154" s="40"/>
      <c r="P154" s="40"/>
      <c r="Q154" s="47" t="str">
        <f t="shared" si="11"/>
        <v/>
      </c>
    </row>
    <row r="155" spans="1:17">
      <c r="A155" s="46"/>
      <c r="B155" s="40"/>
      <c r="C155" s="40"/>
      <c r="D155" s="40"/>
      <c r="E155" s="40"/>
      <c r="F155" s="40"/>
      <c r="G155" s="40"/>
      <c r="H155" s="68"/>
      <c r="I155" s="68"/>
      <c r="J155" s="68"/>
      <c r="K155" s="40" t="str">
        <f t="shared" si="10"/>
        <v/>
      </c>
      <c r="L155" s="40"/>
      <c r="M155" s="40"/>
      <c r="N155" s="40"/>
      <c r="O155" s="40"/>
      <c r="P155" s="40"/>
      <c r="Q155" s="47" t="str">
        <f t="shared" si="11"/>
        <v/>
      </c>
    </row>
    <row r="156" spans="1:17">
      <c r="A156" s="46"/>
      <c r="B156" s="40"/>
      <c r="C156" s="40"/>
      <c r="D156" s="40"/>
      <c r="E156" s="40"/>
      <c r="F156" s="40"/>
      <c r="G156" s="40"/>
      <c r="H156" s="68"/>
      <c r="I156" s="68"/>
      <c r="J156" s="68"/>
      <c r="K156" s="40" t="str">
        <f t="shared" si="10"/>
        <v/>
      </c>
      <c r="L156" s="40"/>
      <c r="M156" s="40"/>
      <c r="N156" s="40"/>
      <c r="O156" s="40"/>
      <c r="P156" s="40"/>
      <c r="Q156" s="47" t="str">
        <f t="shared" si="11"/>
        <v/>
      </c>
    </row>
    <row r="157" spans="1:17">
      <c r="A157" s="46"/>
      <c r="B157" s="40"/>
      <c r="C157" s="40"/>
      <c r="D157" s="40"/>
      <c r="E157" s="40"/>
      <c r="F157" s="40"/>
      <c r="G157" s="40"/>
      <c r="H157" s="68"/>
      <c r="I157" s="68"/>
      <c r="J157" s="68"/>
      <c r="K157" s="40" t="str">
        <f t="shared" si="10"/>
        <v/>
      </c>
      <c r="L157" s="40"/>
      <c r="M157" s="40"/>
      <c r="N157" s="40"/>
      <c r="O157" s="40"/>
      <c r="P157" s="40"/>
      <c r="Q157" s="47" t="str">
        <f t="shared" si="11"/>
        <v/>
      </c>
    </row>
    <row r="158" spans="1:17">
      <c r="A158" s="46"/>
      <c r="B158" s="40"/>
      <c r="C158" s="40"/>
      <c r="D158" s="40"/>
      <c r="E158" s="40"/>
      <c r="F158" s="40"/>
      <c r="G158" s="40"/>
      <c r="H158" s="68"/>
      <c r="I158" s="68"/>
      <c r="J158" s="68"/>
      <c r="K158" s="40" t="str">
        <f t="shared" si="10"/>
        <v/>
      </c>
      <c r="L158" s="40"/>
      <c r="M158" s="40"/>
      <c r="N158" s="40"/>
      <c r="O158" s="40"/>
      <c r="P158" s="40"/>
      <c r="Q158" s="47" t="str">
        <f t="shared" si="11"/>
        <v/>
      </c>
    </row>
    <row r="159" spans="1:17">
      <c r="A159" s="46"/>
      <c r="B159" s="40"/>
      <c r="C159" s="40"/>
      <c r="D159" s="40"/>
      <c r="E159" s="40"/>
      <c r="F159" s="40"/>
      <c r="G159" s="40"/>
      <c r="H159" s="68"/>
      <c r="I159" s="68"/>
      <c r="J159" s="68"/>
      <c r="K159" s="40" t="str">
        <f t="shared" si="10"/>
        <v/>
      </c>
      <c r="L159" s="40"/>
      <c r="M159" s="40"/>
      <c r="N159" s="40"/>
      <c r="O159" s="40"/>
      <c r="P159" s="40"/>
      <c r="Q159" s="47" t="str">
        <f t="shared" si="11"/>
        <v/>
      </c>
    </row>
    <row r="160" spans="1:17">
      <c r="A160" s="46"/>
      <c r="B160" s="40"/>
      <c r="C160" s="40"/>
      <c r="D160" s="40"/>
      <c r="E160" s="40"/>
      <c r="F160" s="40"/>
      <c r="G160" s="40"/>
      <c r="H160" s="68"/>
      <c r="I160" s="68"/>
      <c r="J160" s="68"/>
      <c r="K160" s="40" t="str">
        <f t="shared" si="10"/>
        <v/>
      </c>
      <c r="L160" s="40"/>
      <c r="M160" s="40"/>
      <c r="N160" s="40"/>
      <c r="O160" s="40"/>
      <c r="P160" s="40"/>
      <c r="Q160" s="47" t="str">
        <f t="shared" si="11"/>
        <v/>
      </c>
    </row>
    <row r="161" spans="1:17">
      <c r="A161" s="46"/>
      <c r="B161" s="40"/>
      <c r="C161" s="40"/>
      <c r="D161" s="40"/>
      <c r="E161" s="40"/>
      <c r="F161" s="40"/>
      <c r="G161" s="40"/>
      <c r="H161" s="68"/>
      <c r="I161" s="68"/>
      <c r="J161" s="68"/>
      <c r="K161" s="40" t="str">
        <f t="shared" si="10"/>
        <v/>
      </c>
      <c r="L161" s="40"/>
      <c r="M161" s="40"/>
      <c r="N161" s="40"/>
      <c r="O161" s="40"/>
      <c r="P161" s="40"/>
      <c r="Q161" s="47" t="str">
        <f t="shared" si="11"/>
        <v/>
      </c>
    </row>
    <row r="162" spans="1:17">
      <c r="A162" s="46"/>
      <c r="B162" s="40"/>
      <c r="C162" s="40"/>
      <c r="D162" s="40"/>
      <c r="E162" s="40"/>
      <c r="F162" s="40"/>
      <c r="G162" s="40"/>
      <c r="H162" s="68"/>
      <c r="I162" s="68"/>
      <c r="J162" s="68"/>
      <c r="K162" s="40" t="str">
        <f t="shared" si="10"/>
        <v/>
      </c>
      <c r="L162" s="40"/>
      <c r="M162" s="40"/>
      <c r="N162" s="40"/>
      <c r="O162" s="40"/>
      <c r="P162" s="40"/>
      <c r="Q162" s="47" t="str">
        <f t="shared" si="11"/>
        <v/>
      </c>
    </row>
    <row r="163" spans="1:17">
      <c r="A163" s="46"/>
      <c r="B163" s="40"/>
      <c r="C163" s="40"/>
      <c r="D163" s="40"/>
      <c r="E163" s="40"/>
      <c r="F163" s="40"/>
      <c r="G163" s="40"/>
      <c r="H163" s="68"/>
      <c r="I163" s="68"/>
      <c r="J163" s="68"/>
      <c r="K163" s="40" t="str">
        <f t="shared" si="10"/>
        <v/>
      </c>
      <c r="L163" s="40"/>
      <c r="M163" s="40"/>
      <c r="N163" s="40"/>
      <c r="O163" s="40"/>
      <c r="P163" s="40"/>
      <c r="Q163" s="47" t="str">
        <f t="shared" si="11"/>
        <v/>
      </c>
    </row>
    <row r="164" spans="1:17">
      <c r="A164" s="46"/>
      <c r="B164" s="40"/>
      <c r="C164" s="40"/>
      <c r="D164" s="40"/>
      <c r="E164" s="40"/>
      <c r="F164" s="40"/>
      <c r="G164" s="40"/>
      <c r="H164" s="68"/>
      <c r="I164" s="68"/>
      <c r="J164" s="68"/>
      <c r="K164" s="40" t="str">
        <f t="shared" si="10"/>
        <v/>
      </c>
      <c r="L164" s="40"/>
      <c r="M164" s="40"/>
      <c r="N164" s="40"/>
      <c r="O164" s="40"/>
      <c r="P164" s="40"/>
      <c r="Q164" s="47" t="str">
        <f t="shared" si="11"/>
        <v/>
      </c>
    </row>
    <row r="165" spans="1:17">
      <c r="A165" s="46"/>
      <c r="B165" s="40"/>
      <c r="C165" s="40"/>
      <c r="D165" s="40"/>
      <c r="E165" s="40"/>
      <c r="F165" s="40"/>
      <c r="G165" s="40"/>
      <c r="H165" s="68"/>
      <c r="I165" s="68"/>
      <c r="J165" s="68"/>
      <c r="K165" s="40" t="str">
        <f t="shared" si="10"/>
        <v/>
      </c>
      <c r="L165" s="40"/>
      <c r="M165" s="40"/>
      <c r="N165" s="40"/>
      <c r="O165" s="40"/>
      <c r="P165" s="40"/>
      <c r="Q165" s="47" t="str">
        <f t="shared" si="11"/>
        <v/>
      </c>
    </row>
    <row r="166" spans="1:17">
      <c r="A166" s="46"/>
      <c r="B166" s="40"/>
      <c r="C166" s="40"/>
      <c r="D166" s="40"/>
      <c r="E166" s="40"/>
      <c r="F166" s="40"/>
      <c r="G166" s="40"/>
      <c r="H166" s="68"/>
      <c r="I166" s="68"/>
      <c r="J166" s="68"/>
      <c r="K166" s="40" t="str">
        <f t="shared" si="10"/>
        <v/>
      </c>
      <c r="L166" s="40"/>
      <c r="M166" s="40"/>
      <c r="N166" s="40"/>
      <c r="O166" s="40"/>
      <c r="P166" s="40"/>
      <c r="Q166" s="47" t="str">
        <f t="shared" si="11"/>
        <v/>
      </c>
    </row>
    <row r="167" spans="1:17">
      <c r="A167" s="46"/>
      <c r="B167" s="40"/>
      <c r="C167" s="40"/>
      <c r="D167" s="40"/>
      <c r="E167" s="40"/>
      <c r="F167" s="40"/>
      <c r="G167" s="40"/>
      <c r="H167" s="68"/>
      <c r="I167" s="68"/>
      <c r="J167" s="68"/>
      <c r="K167" s="40" t="str">
        <f t="shared" si="10"/>
        <v/>
      </c>
      <c r="L167" s="40"/>
      <c r="M167" s="40"/>
      <c r="N167" s="40"/>
      <c r="O167" s="40"/>
      <c r="P167" s="40"/>
      <c r="Q167" s="47" t="str">
        <f t="shared" si="11"/>
        <v/>
      </c>
    </row>
    <row r="168" spans="1:17">
      <c r="A168" s="46"/>
      <c r="B168" s="40"/>
      <c r="C168" s="40"/>
      <c r="D168" s="40"/>
      <c r="E168" s="40"/>
      <c r="F168" s="40"/>
      <c r="G168" s="40"/>
      <c r="H168" s="68"/>
      <c r="I168" s="68"/>
      <c r="J168" s="68"/>
      <c r="K168" s="40" t="str">
        <f t="shared" si="10"/>
        <v/>
      </c>
      <c r="L168" s="40"/>
      <c r="M168" s="40"/>
      <c r="N168" s="40"/>
      <c r="O168" s="40"/>
      <c r="P168" s="40"/>
      <c r="Q168" s="47" t="str">
        <f t="shared" si="11"/>
        <v/>
      </c>
    </row>
    <row r="169" spans="1:17">
      <c r="A169" s="46"/>
      <c r="B169" s="40"/>
      <c r="C169" s="40"/>
      <c r="D169" s="40"/>
      <c r="E169" s="40"/>
      <c r="F169" s="40"/>
      <c r="G169" s="40"/>
      <c r="H169" s="68"/>
      <c r="I169" s="68"/>
      <c r="J169" s="68"/>
      <c r="K169" s="40" t="str">
        <f t="shared" si="10"/>
        <v/>
      </c>
      <c r="L169" s="40"/>
      <c r="M169" s="40"/>
      <c r="N169" s="40"/>
      <c r="O169" s="40"/>
      <c r="P169" s="40"/>
      <c r="Q169" s="47" t="str">
        <f t="shared" si="11"/>
        <v/>
      </c>
    </row>
    <row r="170" spans="1:17">
      <c r="A170" s="46"/>
      <c r="B170" s="40"/>
      <c r="C170" s="40"/>
      <c r="D170" s="40"/>
      <c r="E170" s="40"/>
      <c r="F170" s="40"/>
      <c r="G170" s="40"/>
      <c r="H170" s="68"/>
      <c r="I170" s="68"/>
      <c r="J170" s="68"/>
      <c r="K170" s="40" t="str">
        <f t="shared" si="10"/>
        <v/>
      </c>
      <c r="L170" s="40"/>
      <c r="M170" s="40"/>
      <c r="N170" s="40"/>
      <c r="O170" s="40"/>
      <c r="P170" s="40"/>
      <c r="Q170" s="47" t="str">
        <f t="shared" si="11"/>
        <v/>
      </c>
    </row>
    <row r="171" spans="1:17">
      <c r="A171" s="46"/>
      <c r="B171" s="40"/>
      <c r="C171" s="40"/>
      <c r="D171" s="40"/>
      <c r="E171" s="40"/>
      <c r="F171" s="40"/>
      <c r="G171" s="40"/>
      <c r="H171" s="68"/>
      <c r="I171" s="68"/>
      <c r="J171" s="68"/>
      <c r="K171" s="40" t="str">
        <f t="shared" si="10"/>
        <v/>
      </c>
      <c r="L171" s="40"/>
      <c r="M171" s="40"/>
      <c r="N171" s="40"/>
      <c r="O171" s="40"/>
      <c r="P171" s="40"/>
      <c r="Q171" s="47" t="str">
        <f t="shared" si="11"/>
        <v/>
      </c>
    </row>
    <row r="172" spans="1:17">
      <c r="A172" s="46"/>
      <c r="B172" s="40"/>
      <c r="C172" s="40"/>
      <c r="D172" s="40"/>
      <c r="E172" s="40"/>
      <c r="F172" s="40"/>
      <c r="G172" s="40"/>
      <c r="H172" s="68"/>
      <c r="I172" s="68"/>
      <c r="J172" s="68"/>
      <c r="K172" s="40" t="str">
        <f t="shared" si="10"/>
        <v/>
      </c>
      <c r="L172" s="40"/>
      <c r="M172" s="40"/>
      <c r="N172" s="40"/>
      <c r="O172" s="40"/>
      <c r="P172" s="40"/>
      <c r="Q172" s="47" t="str">
        <f t="shared" si="11"/>
        <v/>
      </c>
    </row>
    <row r="173" spans="1:17">
      <c r="A173" s="46"/>
      <c r="B173" s="40"/>
      <c r="C173" s="40"/>
      <c r="D173" s="40"/>
      <c r="E173" s="40"/>
      <c r="F173" s="40"/>
      <c r="G173" s="40"/>
      <c r="H173" s="68"/>
      <c r="I173" s="68"/>
      <c r="J173" s="68"/>
      <c r="K173" s="40" t="str">
        <f t="shared" si="10"/>
        <v/>
      </c>
      <c r="L173" s="40"/>
      <c r="M173" s="40"/>
      <c r="N173" s="40"/>
      <c r="O173" s="40"/>
      <c r="P173" s="40"/>
      <c r="Q173" s="47" t="str">
        <f t="shared" si="11"/>
        <v/>
      </c>
    </row>
    <row r="174" spans="1:17">
      <c r="A174" s="46"/>
      <c r="B174" s="40"/>
      <c r="C174" s="40"/>
      <c r="D174" s="40"/>
      <c r="E174" s="40"/>
      <c r="F174" s="40"/>
      <c r="G174" s="40"/>
      <c r="H174" s="68"/>
      <c r="I174" s="68"/>
      <c r="J174" s="68"/>
      <c r="K174" s="40" t="str">
        <f t="shared" si="10"/>
        <v/>
      </c>
      <c r="L174" s="40"/>
      <c r="M174" s="40"/>
      <c r="N174" s="40"/>
      <c r="O174" s="40"/>
      <c r="P174" s="40"/>
      <c r="Q174" s="47" t="str">
        <f t="shared" si="11"/>
        <v/>
      </c>
    </row>
    <row r="175" spans="1:17">
      <c r="A175" s="46"/>
      <c r="B175" s="40"/>
      <c r="C175" s="40"/>
      <c r="D175" s="40"/>
      <c r="E175" s="40"/>
      <c r="F175" s="40"/>
      <c r="G175" s="40"/>
      <c r="H175" s="68"/>
      <c r="I175" s="68"/>
      <c r="J175" s="68"/>
      <c r="K175" s="40" t="str">
        <f t="shared" si="10"/>
        <v/>
      </c>
      <c r="L175" s="40"/>
      <c r="M175" s="40"/>
      <c r="N175" s="40"/>
      <c r="O175" s="40"/>
      <c r="P175" s="40"/>
      <c r="Q175" s="47" t="str">
        <f t="shared" si="11"/>
        <v/>
      </c>
    </row>
    <row r="176" spans="1:17">
      <c r="A176" s="46"/>
      <c r="B176" s="40"/>
      <c r="C176" s="40"/>
      <c r="D176" s="40"/>
      <c r="E176" s="40"/>
      <c r="F176" s="40"/>
      <c r="G176" s="40"/>
      <c r="H176" s="68"/>
      <c r="I176" s="68"/>
      <c r="J176" s="68"/>
      <c r="K176" s="40" t="str">
        <f t="shared" si="10"/>
        <v/>
      </c>
      <c r="L176" s="40"/>
      <c r="M176" s="40"/>
      <c r="N176" s="40"/>
      <c r="O176" s="40"/>
      <c r="P176" s="40"/>
      <c r="Q176" s="47" t="str">
        <f t="shared" si="11"/>
        <v/>
      </c>
    </row>
    <row r="177" spans="1:17">
      <c r="A177" s="46"/>
      <c r="B177" s="40"/>
      <c r="C177" s="40"/>
      <c r="D177" s="40"/>
      <c r="E177" s="40"/>
      <c r="F177" s="40"/>
      <c r="G177" s="40"/>
      <c r="H177" s="68"/>
      <c r="I177" s="68"/>
      <c r="J177" s="68"/>
      <c r="K177" s="40" t="str">
        <f t="shared" si="10"/>
        <v/>
      </c>
      <c r="L177" s="40"/>
      <c r="M177" s="40"/>
      <c r="N177" s="40"/>
      <c r="O177" s="40"/>
      <c r="P177" s="40"/>
      <c r="Q177" s="47" t="str">
        <f t="shared" si="11"/>
        <v/>
      </c>
    </row>
    <row r="178" spans="1:17">
      <c r="A178" s="46"/>
      <c r="B178" s="40"/>
      <c r="C178" s="40"/>
      <c r="D178" s="40"/>
      <c r="E178" s="40"/>
      <c r="F178" s="40"/>
      <c r="G178" s="40"/>
      <c r="H178" s="68"/>
      <c r="I178" s="68"/>
      <c r="J178" s="68"/>
      <c r="K178" s="40" t="str">
        <f t="shared" si="10"/>
        <v/>
      </c>
      <c r="L178" s="40"/>
      <c r="M178" s="40"/>
      <c r="N178" s="40"/>
      <c r="O178" s="40"/>
      <c r="P178" s="40"/>
      <c r="Q178" s="47" t="str">
        <f t="shared" si="11"/>
        <v/>
      </c>
    </row>
    <row r="179" spans="1:17">
      <c r="A179" s="46"/>
      <c r="B179" s="40"/>
      <c r="C179" s="40"/>
      <c r="D179" s="40"/>
      <c r="E179" s="40"/>
      <c r="F179" s="40"/>
      <c r="G179" s="40"/>
      <c r="H179" s="68"/>
      <c r="I179" s="68"/>
      <c r="J179" s="68"/>
      <c r="K179" s="40" t="str">
        <f t="shared" si="10"/>
        <v/>
      </c>
      <c r="L179" s="40"/>
      <c r="M179" s="40"/>
      <c r="N179" s="40"/>
      <c r="O179" s="40"/>
      <c r="P179" s="40"/>
      <c r="Q179" s="47" t="str">
        <f t="shared" si="11"/>
        <v/>
      </c>
    </row>
    <row r="180" spans="1:17">
      <c r="A180" s="46"/>
      <c r="B180" s="40"/>
      <c r="C180" s="40"/>
      <c r="D180" s="40"/>
      <c r="E180" s="40"/>
      <c r="F180" s="40"/>
      <c r="G180" s="40"/>
      <c r="H180" s="68"/>
      <c r="I180" s="68"/>
      <c r="J180" s="68"/>
      <c r="K180" s="40" t="str">
        <f t="shared" si="10"/>
        <v/>
      </c>
      <c r="L180" s="40"/>
      <c r="M180" s="40"/>
      <c r="N180" s="40"/>
      <c r="O180" s="40"/>
      <c r="P180" s="40"/>
      <c r="Q180" s="47" t="str">
        <f t="shared" si="11"/>
        <v/>
      </c>
    </row>
    <row r="181" spans="1:17">
      <c r="A181" s="46"/>
      <c r="B181" s="40"/>
      <c r="C181" s="40"/>
      <c r="D181" s="40"/>
      <c r="E181" s="40"/>
      <c r="F181" s="40"/>
      <c r="G181" s="40"/>
      <c r="H181" s="68"/>
      <c r="I181" s="68"/>
      <c r="J181" s="68"/>
      <c r="K181" s="40" t="str">
        <f t="shared" si="10"/>
        <v/>
      </c>
      <c r="L181" s="40"/>
      <c r="M181" s="40"/>
      <c r="N181" s="40"/>
      <c r="O181" s="40"/>
      <c r="P181" s="40"/>
      <c r="Q181" s="47" t="str">
        <f t="shared" si="11"/>
        <v/>
      </c>
    </row>
    <row r="182" spans="1:17">
      <c r="A182" s="46"/>
      <c r="B182" s="40"/>
      <c r="C182" s="40"/>
      <c r="D182" s="40"/>
      <c r="E182" s="40"/>
      <c r="F182" s="40"/>
      <c r="G182" s="40"/>
      <c r="H182" s="68"/>
      <c r="I182" s="68"/>
      <c r="J182" s="68"/>
      <c r="K182" s="40" t="str">
        <f t="shared" si="10"/>
        <v/>
      </c>
      <c r="L182" s="40"/>
      <c r="M182" s="40"/>
      <c r="N182" s="40"/>
      <c r="O182" s="40"/>
      <c r="P182" s="40"/>
      <c r="Q182" s="47" t="str">
        <f t="shared" si="11"/>
        <v/>
      </c>
    </row>
    <row r="183" spans="1:17">
      <c r="A183" s="46"/>
      <c r="B183" s="40"/>
      <c r="C183" s="40"/>
      <c r="D183" s="40"/>
      <c r="E183" s="40"/>
      <c r="F183" s="40"/>
      <c r="G183" s="40"/>
      <c r="H183" s="68"/>
      <c r="I183" s="68"/>
      <c r="J183" s="68"/>
      <c r="K183" s="40" t="str">
        <f t="shared" si="10"/>
        <v/>
      </c>
      <c r="L183" s="40"/>
      <c r="M183" s="40"/>
      <c r="N183" s="40"/>
      <c r="O183" s="40"/>
      <c r="P183" s="40"/>
      <c r="Q183" s="47" t="str">
        <f t="shared" si="11"/>
        <v/>
      </c>
    </row>
    <row r="184" spans="1:17">
      <c r="A184" s="46"/>
      <c r="B184" s="40"/>
      <c r="C184" s="40"/>
      <c r="D184" s="40"/>
      <c r="E184" s="40"/>
      <c r="F184" s="40"/>
      <c r="G184" s="40"/>
      <c r="H184" s="68"/>
      <c r="I184" s="68"/>
      <c r="J184" s="68"/>
      <c r="K184" s="40" t="str">
        <f t="shared" ref="K184:K215" si="12">IF(A184="","",IF(J184="","No",IF(I184=J184,"No","Yes")))</f>
        <v/>
      </c>
      <c r="L184" s="40"/>
      <c r="M184" s="40"/>
      <c r="N184" s="40"/>
      <c r="O184" s="40"/>
      <c r="P184" s="40"/>
      <c r="Q184" s="47" t="str">
        <f t="shared" ref="Q184:Q206" si="13">IF(A184="","",IF(K184="Yes","Review",IF(COUNTA(A184:I184)&gt;=8,"Ready","Partial")))</f>
        <v/>
      </c>
    </row>
    <row r="185" spans="1:17">
      <c r="A185" s="46"/>
      <c r="B185" s="40"/>
      <c r="C185" s="40"/>
      <c r="D185" s="40"/>
      <c r="E185" s="40"/>
      <c r="F185" s="40"/>
      <c r="G185" s="40"/>
      <c r="H185" s="68"/>
      <c r="I185" s="68"/>
      <c r="J185" s="68"/>
      <c r="K185" s="40" t="str">
        <f t="shared" si="12"/>
        <v/>
      </c>
      <c r="L185" s="40"/>
      <c r="M185" s="40"/>
      <c r="N185" s="40"/>
      <c r="O185" s="40"/>
      <c r="P185" s="40"/>
      <c r="Q185" s="47" t="str">
        <f t="shared" si="13"/>
        <v/>
      </c>
    </row>
    <row r="186" spans="1:17">
      <c r="A186" s="46"/>
      <c r="B186" s="40"/>
      <c r="C186" s="40"/>
      <c r="D186" s="40"/>
      <c r="E186" s="40"/>
      <c r="F186" s="40"/>
      <c r="G186" s="40"/>
      <c r="H186" s="68"/>
      <c r="I186" s="68"/>
      <c r="J186" s="68"/>
      <c r="K186" s="40" t="str">
        <f t="shared" si="12"/>
        <v/>
      </c>
      <c r="L186" s="40"/>
      <c r="M186" s="40"/>
      <c r="N186" s="40"/>
      <c r="O186" s="40"/>
      <c r="P186" s="40"/>
      <c r="Q186" s="47" t="str">
        <f t="shared" si="13"/>
        <v/>
      </c>
    </row>
    <row r="187" spans="1:17">
      <c r="A187" s="46"/>
      <c r="B187" s="40"/>
      <c r="C187" s="40"/>
      <c r="D187" s="40"/>
      <c r="E187" s="40"/>
      <c r="F187" s="40"/>
      <c r="G187" s="40"/>
      <c r="H187" s="68"/>
      <c r="I187" s="68"/>
      <c r="J187" s="68"/>
      <c r="K187" s="40" t="str">
        <f t="shared" si="12"/>
        <v/>
      </c>
      <c r="L187" s="40"/>
      <c r="M187" s="40"/>
      <c r="N187" s="40"/>
      <c r="O187" s="40"/>
      <c r="P187" s="40"/>
      <c r="Q187" s="47" t="str">
        <f t="shared" si="13"/>
        <v/>
      </c>
    </row>
    <row r="188" spans="1:17">
      <c r="A188" s="46"/>
      <c r="B188" s="40"/>
      <c r="C188" s="40"/>
      <c r="D188" s="40"/>
      <c r="E188" s="40"/>
      <c r="F188" s="40"/>
      <c r="G188" s="40"/>
      <c r="H188" s="68"/>
      <c r="I188" s="68"/>
      <c r="J188" s="68"/>
      <c r="K188" s="40" t="str">
        <f t="shared" si="12"/>
        <v/>
      </c>
      <c r="L188" s="40"/>
      <c r="M188" s="40"/>
      <c r="N188" s="40"/>
      <c r="O188" s="40"/>
      <c r="P188" s="40"/>
      <c r="Q188" s="47" t="str">
        <f t="shared" si="13"/>
        <v/>
      </c>
    </row>
    <row r="189" spans="1:17">
      <c r="A189" s="46"/>
      <c r="B189" s="40"/>
      <c r="C189" s="40"/>
      <c r="D189" s="40"/>
      <c r="E189" s="40"/>
      <c r="F189" s="40"/>
      <c r="G189" s="40"/>
      <c r="H189" s="68"/>
      <c r="I189" s="68"/>
      <c r="J189" s="68"/>
      <c r="K189" s="40" t="str">
        <f t="shared" si="12"/>
        <v/>
      </c>
      <c r="L189" s="40"/>
      <c r="M189" s="40"/>
      <c r="N189" s="40"/>
      <c r="O189" s="40"/>
      <c r="P189" s="40"/>
      <c r="Q189" s="47" t="str">
        <f t="shared" si="13"/>
        <v/>
      </c>
    </row>
    <row r="190" spans="1:17">
      <c r="A190" s="46"/>
      <c r="B190" s="40"/>
      <c r="C190" s="40"/>
      <c r="D190" s="40"/>
      <c r="E190" s="40"/>
      <c r="F190" s="40"/>
      <c r="G190" s="40"/>
      <c r="H190" s="68"/>
      <c r="I190" s="68"/>
      <c r="J190" s="68"/>
      <c r="K190" s="40" t="str">
        <f t="shared" si="12"/>
        <v/>
      </c>
      <c r="L190" s="40"/>
      <c r="M190" s="40"/>
      <c r="N190" s="40"/>
      <c r="O190" s="40"/>
      <c r="P190" s="40"/>
      <c r="Q190" s="47" t="str">
        <f t="shared" si="13"/>
        <v/>
      </c>
    </row>
    <row r="191" spans="1:17">
      <c r="A191" s="46"/>
      <c r="B191" s="40"/>
      <c r="C191" s="40"/>
      <c r="D191" s="40"/>
      <c r="E191" s="40"/>
      <c r="F191" s="40"/>
      <c r="G191" s="40"/>
      <c r="H191" s="68"/>
      <c r="I191" s="68"/>
      <c r="J191" s="68"/>
      <c r="K191" s="40" t="str">
        <f t="shared" si="12"/>
        <v/>
      </c>
      <c r="L191" s="40"/>
      <c r="M191" s="40"/>
      <c r="N191" s="40"/>
      <c r="O191" s="40"/>
      <c r="P191" s="40"/>
      <c r="Q191" s="47" t="str">
        <f t="shared" si="13"/>
        <v/>
      </c>
    </row>
    <row r="192" spans="1:17">
      <c r="A192" s="46"/>
      <c r="B192" s="40"/>
      <c r="C192" s="40"/>
      <c r="D192" s="40"/>
      <c r="E192" s="40"/>
      <c r="F192" s="40"/>
      <c r="G192" s="40"/>
      <c r="H192" s="68"/>
      <c r="I192" s="68"/>
      <c r="J192" s="68"/>
      <c r="K192" s="40" t="str">
        <f t="shared" si="12"/>
        <v/>
      </c>
      <c r="L192" s="40"/>
      <c r="M192" s="40"/>
      <c r="N192" s="40"/>
      <c r="O192" s="40"/>
      <c r="P192" s="40"/>
      <c r="Q192" s="47" t="str">
        <f t="shared" si="13"/>
        <v/>
      </c>
    </row>
    <row r="193" spans="1:17">
      <c r="A193" s="46"/>
      <c r="B193" s="40"/>
      <c r="C193" s="40"/>
      <c r="D193" s="40"/>
      <c r="E193" s="40"/>
      <c r="F193" s="40"/>
      <c r="G193" s="40"/>
      <c r="H193" s="68"/>
      <c r="I193" s="68"/>
      <c r="J193" s="68"/>
      <c r="K193" s="40" t="str">
        <f t="shared" si="12"/>
        <v/>
      </c>
      <c r="L193" s="40"/>
      <c r="M193" s="40"/>
      <c r="N193" s="40"/>
      <c r="O193" s="40"/>
      <c r="P193" s="40"/>
      <c r="Q193" s="47" t="str">
        <f t="shared" si="13"/>
        <v/>
      </c>
    </row>
    <row r="194" spans="1:17">
      <c r="A194" s="46"/>
      <c r="B194" s="40"/>
      <c r="C194" s="40"/>
      <c r="D194" s="40"/>
      <c r="E194" s="40"/>
      <c r="F194" s="40"/>
      <c r="G194" s="40"/>
      <c r="H194" s="68"/>
      <c r="I194" s="68"/>
      <c r="J194" s="68"/>
      <c r="K194" s="40" t="str">
        <f t="shared" si="12"/>
        <v/>
      </c>
      <c r="L194" s="40"/>
      <c r="M194" s="40"/>
      <c r="N194" s="40"/>
      <c r="O194" s="40"/>
      <c r="P194" s="40"/>
      <c r="Q194" s="47" t="str">
        <f t="shared" si="13"/>
        <v/>
      </c>
    </row>
    <row r="195" spans="1:17">
      <c r="A195" s="46"/>
      <c r="B195" s="40"/>
      <c r="C195" s="40"/>
      <c r="D195" s="40"/>
      <c r="E195" s="40"/>
      <c r="F195" s="40"/>
      <c r="G195" s="40"/>
      <c r="H195" s="68"/>
      <c r="I195" s="68"/>
      <c r="J195" s="68"/>
      <c r="K195" s="40" t="str">
        <f t="shared" si="12"/>
        <v/>
      </c>
      <c r="L195" s="40"/>
      <c r="M195" s="40"/>
      <c r="N195" s="40"/>
      <c r="O195" s="40"/>
      <c r="P195" s="40"/>
      <c r="Q195" s="47" t="str">
        <f t="shared" si="13"/>
        <v/>
      </c>
    </row>
    <row r="196" spans="1:17">
      <c r="A196" s="46"/>
      <c r="B196" s="40"/>
      <c r="C196" s="40"/>
      <c r="D196" s="40"/>
      <c r="E196" s="40"/>
      <c r="F196" s="40"/>
      <c r="G196" s="40"/>
      <c r="H196" s="68"/>
      <c r="I196" s="68"/>
      <c r="J196" s="68"/>
      <c r="K196" s="40" t="str">
        <f t="shared" si="12"/>
        <v/>
      </c>
      <c r="L196" s="40"/>
      <c r="M196" s="40"/>
      <c r="N196" s="40"/>
      <c r="O196" s="40"/>
      <c r="P196" s="40"/>
      <c r="Q196" s="47" t="str">
        <f t="shared" si="13"/>
        <v/>
      </c>
    </row>
    <row r="197" spans="1:17">
      <c r="A197" s="46"/>
      <c r="B197" s="40"/>
      <c r="C197" s="40"/>
      <c r="D197" s="40"/>
      <c r="E197" s="40"/>
      <c r="F197" s="40"/>
      <c r="G197" s="40"/>
      <c r="H197" s="68"/>
      <c r="I197" s="68"/>
      <c r="J197" s="68"/>
      <c r="K197" s="40" t="str">
        <f t="shared" si="12"/>
        <v/>
      </c>
      <c r="L197" s="40"/>
      <c r="M197" s="40"/>
      <c r="N197" s="40"/>
      <c r="O197" s="40"/>
      <c r="P197" s="40"/>
      <c r="Q197" s="47" t="str">
        <f t="shared" si="13"/>
        <v/>
      </c>
    </row>
    <row r="198" spans="1:17">
      <c r="A198" s="46"/>
      <c r="B198" s="40"/>
      <c r="C198" s="40"/>
      <c r="D198" s="40"/>
      <c r="E198" s="40"/>
      <c r="F198" s="40"/>
      <c r="G198" s="40"/>
      <c r="H198" s="68"/>
      <c r="I198" s="68"/>
      <c r="J198" s="68"/>
      <c r="K198" s="40" t="str">
        <f t="shared" si="12"/>
        <v/>
      </c>
      <c r="L198" s="40"/>
      <c r="M198" s="40"/>
      <c r="N198" s="40"/>
      <c r="O198" s="40"/>
      <c r="P198" s="40"/>
      <c r="Q198" s="47" t="str">
        <f t="shared" si="13"/>
        <v/>
      </c>
    </row>
    <row r="199" spans="1:17">
      <c r="A199" s="46"/>
      <c r="B199" s="40"/>
      <c r="C199" s="40"/>
      <c r="D199" s="40"/>
      <c r="E199" s="40"/>
      <c r="F199" s="40"/>
      <c r="G199" s="40"/>
      <c r="H199" s="68"/>
      <c r="I199" s="68"/>
      <c r="J199" s="68"/>
      <c r="K199" s="40" t="str">
        <f t="shared" si="12"/>
        <v/>
      </c>
      <c r="L199" s="40"/>
      <c r="M199" s="40"/>
      <c r="N199" s="40"/>
      <c r="O199" s="40"/>
      <c r="P199" s="40"/>
      <c r="Q199" s="47" t="str">
        <f t="shared" si="13"/>
        <v/>
      </c>
    </row>
    <row r="200" spans="1:17">
      <c r="A200" s="46"/>
      <c r="B200" s="40"/>
      <c r="C200" s="40"/>
      <c r="D200" s="40"/>
      <c r="E200" s="40"/>
      <c r="F200" s="40"/>
      <c r="G200" s="40"/>
      <c r="H200" s="68"/>
      <c r="I200" s="68"/>
      <c r="J200" s="68"/>
      <c r="K200" s="40" t="str">
        <f t="shared" si="12"/>
        <v/>
      </c>
      <c r="L200" s="40"/>
      <c r="M200" s="40"/>
      <c r="N200" s="40"/>
      <c r="O200" s="40"/>
      <c r="P200" s="40"/>
      <c r="Q200" s="47" t="str">
        <f t="shared" si="13"/>
        <v/>
      </c>
    </row>
    <row r="201" spans="1:17">
      <c r="A201" s="46"/>
      <c r="B201" s="40"/>
      <c r="C201" s="40"/>
      <c r="D201" s="40"/>
      <c r="E201" s="40"/>
      <c r="F201" s="40"/>
      <c r="G201" s="40"/>
      <c r="H201" s="68"/>
      <c r="I201" s="68"/>
      <c r="J201" s="68"/>
      <c r="K201" s="40" t="str">
        <f t="shared" si="12"/>
        <v/>
      </c>
      <c r="L201" s="40"/>
      <c r="M201" s="40"/>
      <c r="N201" s="40"/>
      <c r="O201" s="40"/>
      <c r="P201" s="40"/>
      <c r="Q201" s="47" t="str">
        <f t="shared" si="13"/>
        <v/>
      </c>
    </row>
    <row r="202" spans="1:17">
      <c r="A202" s="46"/>
      <c r="B202" s="40"/>
      <c r="C202" s="40"/>
      <c r="D202" s="40"/>
      <c r="E202" s="40"/>
      <c r="F202" s="40"/>
      <c r="G202" s="40"/>
      <c r="H202" s="68"/>
      <c r="I202" s="68"/>
      <c r="J202" s="68"/>
      <c r="K202" s="40" t="str">
        <f t="shared" si="12"/>
        <v/>
      </c>
      <c r="L202" s="40"/>
      <c r="M202" s="40"/>
      <c r="N202" s="40"/>
      <c r="O202" s="40"/>
      <c r="P202" s="40"/>
      <c r="Q202" s="47" t="str">
        <f t="shared" si="13"/>
        <v/>
      </c>
    </row>
    <row r="203" spans="1:17">
      <c r="A203" s="46"/>
      <c r="B203" s="40"/>
      <c r="C203" s="40"/>
      <c r="D203" s="40"/>
      <c r="E203" s="40"/>
      <c r="F203" s="40"/>
      <c r="G203" s="40"/>
      <c r="H203" s="68"/>
      <c r="I203" s="68"/>
      <c r="J203" s="68"/>
      <c r="K203" s="40" t="str">
        <f t="shared" si="12"/>
        <v/>
      </c>
      <c r="L203" s="40"/>
      <c r="M203" s="40"/>
      <c r="N203" s="40"/>
      <c r="O203" s="40"/>
      <c r="P203" s="40"/>
      <c r="Q203" s="47" t="str">
        <f t="shared" si="13"/>
        <v/>
      </c>
    </row>
    <row r="204" spans="1:17">
      <c r="A204" s="46"/>
      <c r="B204" s="40"/>
      <c r="C204" s="40"/>
      <c r="D204" s="40"/>
      <c r="E204" s="40"/>
      <c r="F204" s="40"/>
      <c r="G204" s="40"/>
      <c r="H204" s="68"/>
      <c r="I204" s="68"/>
      <c r="J204" s="68"/>
      <c r="K204" s="40" t="str">
        <f t="shared" si="12"/>
        <v/>
      </c>
      <c r="L204" s="40"/>
      <c r="M204" s="40"/>
      <c r="N204" s="40"/>
      <c r="O204" s="40"/>
      <c r="P204" s="40"/>
      <c r="Q204" s="47" t="str">
        <f t="shared" si="13"/>
        <v/>
      </c>
    </row>
    <row r="205" spans="1:17">
      <c r="A205" s="46"/>
      <c r="B205" s="40"/>
      <c r="C205" s="40"/>
      <c r="D205" s="40"/>
      <c r="E205" s="40"/>
      <c r="F205" s="40"/>
      <c r="G205" s="40"/>
      <c r="H205" s="68"/>
      <c r="I205" s="68"/>
      <c r="J205" s="68"/>
      <c r="K205" s="40" t="str">
        <f t="shared" si="12"/>
        <v/>
      </c>
      <c r="L205" s="40"/>
      <c r="M205" s="40"/>
      <c r="N205" s="40"/>
      <c r="O205" s="40"/>
      <c r="P205" s="40"/>
      <c r="Q205" s="47" t="str">
        <f t="shared" si="13"/>
        <v/>
      </c>
    </row>
    <row r="206" spans="1:17">
      <c r="A206" s="48"/>
      <c r="B206" s="49"/>
      <c r="C206" s="49"/>
      <c r="D206" s="49"/>
      <c r="E206" s="49"/>
      <c r="F206" s="49"/>
      <c r="G206" s="49"/>
      <c r="H206" s="69"/>
      <c r="I206" s="69"/>
      <c r="J206" s="69"/>
      <c r="K206" s="49" t="str">
        <f t="shared" si="12"/>
        <v/>
      </c>
      <c r="L206" s="49"/>
      <c r="M206" s="49"/>
      <c r="N206" s="49"/>
      <c r="O206" s="49"/>
      <c r="P206" s="49"/>
      <c r="Q206" s="50" t="str">
        <f t="shared" si="13"/>
        <v/>
      </c>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50"/>
  <sheetViews>
    <sheetView workbookViewId="0"/>
  </sheetViews>
  <sheetFormatPr defaultRowHeight="14.25"/>
  <cols>
    <col min="1" max="2" width="14" customWidth="1"/>
    <col min="3" max="3" width="28" customWidth="1"/>
    <col min="4" max="4" width="24" customWidth="1"/>
    <col min="5" max="6" width="14" customWidth="1"/>
    <col min="7" max="7" width="22" customWidth="1"/>
    <col min="8" max="8" width="12" customWidth="1"/>
    <col min="9" max="9" width="14" customWidth="1"/>
    <col min="10" max="10" width="12" customWidth="1"/>
    <col min="11" max="13" width="14" customWidth="1"/>
    <col min="14" max="14" width="18" customWidth="1"/>
    <col min="15" max="15" width="20" customWidth="1"/>
    <col min="16" max="17" width="16" customWidth="1"/>
  </cols>
  <sheetData>
    <row r="1" spans="1:17" ht="24" customHeight="1">
      <c r="A1" s="205" t="s">
        <v>404</v>
      </c>
      <c r="B1" s="205"/>
      <c r="C1" s="205"/>
      <c r="D1" s="205"/>
      <c r="E1" s="205"/>
      <c r="F1" s="205"/>
      <c r="G1" s="205"/>
      <c r="H1" s="205"/>
      <c r="I1" s="205"/>
      <c r="J1" s="205"/>
      <c r="K1" s="205"/>
      <c r="L1" s="205"/>
      <c r="M1" s="205"/>
      <c r="N1" s="205"/>
      <c r="O1" s="205"/>
      <c r="P1" s="38"/>
      <c r="Q1" s="38"/>
    </row>
    <row r="2" spans="1:17" ht="33.950000000000003" customHeight="1">
      <c r="A2" s="202" t="s">
        <v>405</v>
      </c>
      <c r="B2" s="203"/>
      <c r="C2" s="203"/>
      <c r="D2" s="203"/>
      <c r="E2" s="203"/>
      <c r="F2" s="203"/>
      <c r="G2" s="203"/>
      <c r="H2" s="203"/>
      <c r="I2" s="203"/>
      <c r="J2" s="203"/>
      <c r="K2" s="203"/>
      <c r="L2" s="203"/>
      <c r="M2" s="203"/>
      <c r="N2" s="203"/>
      <c r="O2" s="20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408</v>
      </c>
      <c r="B6" s="42" t="s">
        <v>328</v>
      </c>
      <c r="C6" s="42" t="s">
        <v>321</v>
      </c>
      <c r="D6" s="42" t="s">
        <v>929</v>
      </c>
      <c r="E6" s="42" t="s">
        <v>411</v>
      </c>
      <c r="F6" s="42" t="s">
        <v>412</v>
      </c>
      <c r="G6" s="42" t="s">
        <v>930</v>
      </c>
      <c r="H6" s="42" t="s">
        <v>413</v>
      </c>
      <c r="I6" s="42" t="s">
        <v>931</v>
      </c>
      <c r="J6" s="42" t="s">
        <v>932</v>
      </c>
      <c r="K6" s="42" t="s">
        <v>933</v>
      </c>
      <c r="L6" s="42" t="s">
        <v>934</v>
      </c>
      <c r="M6" s="42" t="s">
        <v>935</v>
      </c>
      <c r="N6" s="42" t="s">
        <v>418</v>
      </c>
      <c r="O6" s="42" t="s">
        <v>429</v>
      </c>
      <c r="P6" s="42" t="s">
        <v>936</v>
      </c>
      <c r="Q6" s="43" t="s">
        <v>937</v>
      </c>
    </row>
    <row r="7" spans="1:17">
      <c r="A7" s="44"/>
      <c r="B7" s="39"/>
      <c r="C7" s="39"/>
      <c r="D7" s="39"/>
      <c r="E7" s="39"/>
      <c r="F7" s="39"/>
      <c r="G7" s="39"/>
      <c r="H7" s="67"/>
      <c r="I7" s="67"/>
      <c r="J7" s="67"/>
      <c r="K7" s="67"/>
      <c r="L7" s="67"/>
      <c r="M7" s="67"/>
      <c r="N7" s="67"/>
      <c r="O7" s="67"/>
      <c r="P7" s="68"/>
      <c r="Q7" s="70"/>
    </row>
    <row r="8" spans="1:17">
      <c r="A8" s="44"/>
      <c r="B8" s="39"/>
      <c r="C8" s="39"/>
      <c r="D8" s="39"/>
      <c r="E8" s="39"/>
      <c r="F8" s="39"/>
      <c r="G8" s="39"/>
      <c r="H8" s="67"/>
      <c r="I8" s="67"/>
      <c r="J8" s="67"/>
      <c r="K8" s="67"/>
      <c r="L8" s="67"/>
      <c r="M8" s="67"/>
      <c r="N8" s="67"/>
      <c r="O8" s="67"/>
      <c r="P8" s="68"/>
      <c r="Q8" s="70"/>
    </row>
    <row r="9" spans="1:17">
      <c r="A9" s="44"/>
      <c r="B9" s="39"/>
      <c r="C9" s="39"/>
      <c r="D9" s="39"/>
      <c r="E9" s="39"/>
      <c r="F9" s="39"/>
      <c r="G9" s="39"/>
      <c r="H9" s="67"/>
      <c r="I9" s="67"/>
      <c r="J9" s="67"/>
      <c r="K9" s="67"/>
      <c r="L9" s="67"/>
      <c r="M9" s="67"/>
      <c r="N9" s="67"/>
      <c r="O9" s="67"/>
      <c r="P9" s="68"/>
      <c r="Q9" s="70"/>
    </row>
    <row r="10" spans="1:17">
      <c r="A10" s="44"/>
      <c r="B10" s="39"/>
      <c r="C10" s="39"/>
      <c r="D10" s="39"/>
      <c r="E10" s="39"/>
      <c r="F10" s="39"/>
      <c r="G10" s="39"/>
      <c r="H10" s="67"/>
      <c r="I10" s="67"/>
      <c r="J10" s="67"/>
      <c r="K10" s="67"/>
      <c r="L10" s="67"/>
      <c r="M10" s="67"/>
      <c r="N10" s="67"/>
      <c r="O10" s="67"/>
      <c r="P10" s="68"/>
      <c r="Q10" s="70"/>
    </row>
    <row r="11" spans="1:17">
      <c r="A11" s="44"/>
      <c r="B11" s="39"/>
      <c r="C11" s="39"/>
      <c r="D11" s="39"/>
      <c r="E11" s="39"/>
      <c r="F11" s="39"/>
      <c r="G11" s="39"/>
      <c r="H11" s="67"/>
      <c r="I11" s="67"/>
      <c r="J11" s="67"/>
      <c r="K11" s="67"/>
      <c r="L11" s="67"/>
      <c r="M11" s="67"/>
      <c r="N11" s="67"/>
      <c r="O11" s="67"/>
      <c r="P11" s="68"/>
      <c r="Q11" s="70"/>
    </row>
    <row r="12" spans="1:17">
      <c r="A12" s="44"/>
      <c r="B12" s="39"/>
      <c r="C12" s="39"/>
      <c r="D12" s="39"/>
      <c r="E12" s="39"/>
      <c r="F12" s="39"/>
      <c r="G12" s="39"/>
      <c r="H12" s="67"/>
      <c r="I12" s="67"/>
      <c r="J12" s="67"/>
      <c r="K12" s="67"/>
      <c r="L12" s="67"/>
      <c r="M12" s="67"/>
      <c r="N12" s="67"/>
      <c r="O12" s="67"/>
      <c r="P12" s="68"/>
      <c r="Q12" s="70"/>
    </row>
    <row r="13" spans="1:17">
      <c r="A13" s="44"/>
      <c r="B13" s="39"/>
      <c r="C13" s="39"/>
      <c r="D13" s="39"/>
      <c r="E13" s="39"/>
      <c r="F13" s="39"/>
      <c r="G13" s="39"/>
      <c r="H13" s="67"/>
      <c r="I13" s="67"/>
      <c r="J13" s="67"/>
      <c r="K13" s="67"/>
      <c r="L13" s="67"/>
      <c r="M13" s="67"/>
      <c r="N13" s="67"/>
      <c r="O13" s="67"/>
      <c r="P13" s="68"/>
      <c r="Q13" s="70"/>
    </row>
    <row r="14" spans="1:17">
      <c r="A14" s="44"/>
      <c r="B14" s="39"/>
      <c r="C14" s="39"/>
      <c r="D14" s="39"/>
      <c r="E14" s="39"/>
      <c r="F14" s="39"/>
      <c r="G14" s="39"/>
      <c r="H14" s="67"/>
      <c r="I14" s="67"/>
      <c r="J14" s="67"/>
      <c r="K14" s="67"/>
      <c r="L14" s="67"/>
      <c r="M14" s="67"/>
      <c r="N14" s="67"/>
      <c r="O14" s="67"/>
      <c r="P14" s="68"/>
      <c r="Q14" s="70"/>
    </row>
    <row r="15" spans="1:17">
      <c r="A15" s="44"/>
      <c r="B15" s="39"/>
      <c r="C15" s="39"/>
      <c r="D15" s="39"/>
      <c r="E15" s="39"/>
      <c r="F15" s="39"/>
      <c r="G15" s="39"/>
      <c r="H15" s="67"/>
      <c r="I15" s="67"/>
      <c r="J15" s="67"/>
      <c r="K15" s="67"/>
      <c r="L15" s="67"/>
      <c r="M15" s="67"/>
      <c r="N15" s="67"/>
      <c r="O15" s="67"/>
      <c r="P15" s="68"/>
      <c r="Q15" s="70"/>
    </row>
    <row r="16" spans="1:17">
      <c r="A16" s="44"/>
      <c r="B16" s="39"/>
      <c r="C16" s="39"/>
      <c r="D16" s="39"/>
      <c r="E16" s="39"/>
      <c r="F16" s="39"/>
      <c r="G16" s="39"/>
      <c r="H16" s="67"/>
      <c r="I16" s="67"/>
      <c r="J16" s="67"/>
      <c r="K16" s="67"/>
      <c r="L16" s="67"/>
      <c r="M16" s="67"/>
      <c r="N16" s="67"/>
      <c r="O16" s="67"/>
      <c r="P16" s="68"/>
      <c r="Q16" s="70"/>
    </row>
    <row r="17" spans="1:17">
      <c r="A17" s="44"/>
      <c r="B17" s="39"/>
      <c r="C17" s="39"/>
      <c r="D17" s="39"/>
      <c r="E17" s="39"/>
      <c r="F17" s="39"/>
      <c r="G17" s="39"/>
      <c r="H17" s="67"/>
      <c r="I17" s="67"/>
      <c r="J17" s="67"/>
      <c r="K17" s="67"/>
      <c r="L17" s="67"/>
      <c r="M17" s="67"/>
      <c r="N17" s="67"/>
      <c r="O17" s="67"/>
      <c r="P17" s="68"/>
      <c r="Q17" s="70"/>
    </row>
    <row r="18" spans="1:17">
      <c r="A18" s="44"/>
      <c r="B18" s="39"/>
      <c r="C18" s="39"/>
      <c r="D18" s="39"/>
      <c r="E18" s="39"/>
      <c r="F18" s="39"/>
      <c r="G18" s="39"/>
      <c r="H18" s="67"/>
      <c r="I18" s="67"/>
      <c r="J18" s="67"/>
      <c r="K18" s="67"/>
      <c r="L18" s="67"/>
      <c r="M18" s="67"/>
      <c r="N18" s="67"/>
      <c r="O18" s="67"/>
      <c r="P18" s="68"/>
      <c r="Q18" s="70"/>
    </row>
    <row r="19" spans="1:17">
      <c r="A19" s="44"/>
      <c r="B19" s="39"/>
      <c r="C19" s="39"/>
      <c r="D19" s="39"/>
      <c r="E19" s="39"/>
      <c r="F19" s="39"/>
      <c r="G19" s="39"/>
      <c r="H19" s="67"/>
      <c r="I19" s="67"/>
      <c r="J19" s="67"/>
      <c r="K19" s="67"/>
      <c r="L19" s="67"/>
      <c r="M19" s="67"/>
      <c r="N19" s="67"/>
      <c r="O19" s="67"/>
      <c r="P19" s="68"/>
      <c r="Q19" s="70"/>
    </row>
    <row r="20" spans="1:17">
      <c r="A20" s="44"/>
      <c r="B20" s="39"/>
      <c r="C20" s="39"/>
      <c r="D20" s="39"/>
      <c r="E20" s="39"/>
      <c r="F20" s="39"/>
      <c r="G20" s="39"/>
      <c r="H20" s="67"/>
      <c r="I20" s="67"/>
      <c r="J20" s="67"/>
      <c r="K20" s="67"/>
      <c r="L20" s="67"/>
      <c r="M20" s="67"/>
      <c r="N20" s="67"/>
      <c r="O20" s="67"/>
      <c r="P20" s="68"/>
      <c r="Q20" s="70"/>
    </row>
    <row r="21" spans="1:17">
      <c r="A21" s="44"/>
      <c r="B21" s="39"/>
      <c r="C21" s="39"/>
      <c r="D21" s="39"/>
      <c r="E21" s="39"/>
      <c r="F21" s="39"/>
      <c r="G21" s="39"/>
      <c r="H21" s="67"/>
      <c r="I21" s="67"/>
      <c r="J21" s="67"/>
      <c r="K21" s="67"/>
      <c r="L21" s="67"/>
      <c r="M21" s="67"/>
      <c r="N21" s="67"/>
      <c r="O21" s="67"/>
      <c r="P21" s="68"/>
      <c r="Q21" s="70"/>
    </row>
    <row r="22" spans="1:17">
      <c r="A22" s="44"/>
      <c r="B22" s="39"/>
      <c r="C22" s="39"/>
      <c r="D22" s="39"/>
      <c r="E22" s="39"/>
      <c r="F22" s="39"/>
      <c r="G22" s="39"/>
      <c r="H22" s="67"/>
      <c r="I22" s="67"/>
      <c r="J22" s="67"/>
      <c r="K22" s="67"/>
      <c r="L22" s="67"/>
      <c r="M22" s="67"/>
      <c r="N22" s="67"/>
      <c r="O22" s="67"/>
      <c r="P22" s="68"/>
      <c r="Q22" s="70"/>
    </row>
    <row r="23" spans="1:17">
      <c r="A23" s="44"/>
      <c r="B23" s="39"/>
      <c r="C23" s="39"/>
      <c r="D23" s="39"/>
      <c r="E23" s="39"/>
      <c r="F23" s="39"/>
      <c r="G23" s="39"/>
      <c r="H23" s="67"/>
      <c r="I23" s="67"/>
      <c r="J23" s="67"/>
      <c r="K23" s="67"/>
      <c r="L23" s="67"/>
      <c r="M23" s="67"/>
      <c r="N23" s="67"/>
      <c r="O23" s="67"/>
      <c r="P23" s="68"/>
      <c r="Q23" s="70"/>
    </row>
    <row r="24" spans="1:17">
      <c r="A24" s="44"/>
      <c r="B24" s="39"/>
      <c r="C24" s="39"/>
      <c r="D24" s="39"/>
      <c r="E24" s="39"/>
      <c r="F24" s="39"/>
      <c r="G24" s="39"/>
      <c r="H24" s="67"/>
      <c r="I24" s="67"/>
      <c r="J24" s="67"/>
      <c r="K24" s="67"/>
      <c r="L24" s="67"/>
      <c r="M24" s="67"/>
      <c r="N24" s="67"/>
      <c r="O24" s="67"/>
      <c r="P24" s="68"/>
      <c r="Q24" s="70"/>
    </row>
    <row r="25" spans="1:17">
      <c r="A25" s="44"/>
      <c r="B25" s="39"/>
      <c r="C25" s="39"/>
      <c r="D25" s="39"/>
      <c r="E25" s="39"/>
      <c r="F25" s="39"/>
      <c r="G25" s="39"/>
      <c r="H25" s="67"/>
      <c r="I25" s="67"/>
      <c r="J25" s="67"/>
      <c r="K25" s="67"/>
      <c r="L25" s="67"/>
      <c r="M25" s="67"/>
      <c r="N25" s="67"/>
      <c r="O25" s="67"/>
      <c r="P25" s="68"/>
      <c r="Q25" s="70"/>
    </row>
    <row r="26" spans="1:17">
      <c r="A26" s="44"/>
      <c r="B26" s="39"/>
      <c r="C26" s="39"/>
      <c r="D26" s="39"/>
      <c r="E26" s="39"/>
      <c r="F26" s="39"/>
      <c r="G26" s="39"/>
      <c r="H26" s="67"/>
      <c r="I26" s="67"/>
      <c r="J26" s="67"/>
      <c r="K26" s="67"/>
      <c r="L26" s="67"/>
      <c r="M26" s="67"/>
      <c r="N26" s="67"/>
      <c r="O26" s="67"/>
      <c r="P26" s="68"/>
      <c r="Q26" s="70"/>
    </row>
    <row r="27" spans="1:17">
      <c r="A27" s="44"/>
      <c r="B27" s="39"/>
      <c r="C27" s="39"/>
      <c r="D27" s="39"/>
      <c r="E27" s="39"/>
      <c r="F27" s="39"/>
      <c r="G27" s="39"/>
      <c r="H27" s="67"/>
      <c r="I27" s="67"/>
      <c r="J27" s="67"/>
      <c r="K27" s="67"/>
      <c r="L27" s="67"/>
      <c r="M27" s="67"/>
      <c r="N27" s="67"/>
      <c r="O27" s="67"/>
      <c r="P27" s="68"/>
      <c r="Q27" s="70"/>
    </row>
    <row r="28" spans="1:17">
      <c r="A28" s="44"/>
      <c r="B28" s="39"/>
      <c r="C28" s="39"/>
      <c r="D28" s="39"/>
      <c r="E28" s="39"/>
      <c r="F28" s="39"/>
      <c r="G28" s="39"/>
      <c r="H28" s="67"/>
      <c r="I28" s="67"/>
      <c r="J28" s="67"/>
      <c r="K28" s="67"/>
      <c r="L28" s="67"/>
      <c r="M28" s="67"/>
      <c r="N28" s="67"/>
      <c r="O28" s="67"/>
      <c r="P28" s="68"/>
      <c r="Q28" s="70"/>
    </row>
    <row r="29" spans="1:17">
      <c r="A29" s="44"/>
      <c r="B29" s="39"/>
      <c r="C29" s="39"/>
      <c r="D29" s="39"/>
      <c r="E29" s="39"/>
      <c r="F29" s="39"/>
      <c r="G29" s="39"/>
      <c r="H29" s="67"/>
      <c r="I29" s="67"/>
      <c r="J29" s="67"/>
      <c r="K29" s="67"/>
      <c r="L29" s="67"/>
      <c r="M29" s="67"/>
      <c r="N29" s="67"/>
      <c r="O29" s="67"/>
      <c r="P29" s="68"/>
      <c r="Q29" s="70"/>
    </row>
    <row r="30" spans="1:17">
      <c r="A30" s="44"/>
      <c r="B30" s="39"/>
      <c r="C30" s="39"/>
      <c r="D30" s="39"/>
      <c r="E30" s="39"/>
      <c r="F30" s="39"/>
      <c r="G30" s="39"/>
      <c r="H30" s="67"/>
      <c r="I30" s="67"/>
      <c r="J30" s="67"/>
      <c r="K30" s="67"/>
      <c r="L30" s="67"/>
      <c r="M30" s="67"/>
      <c r="N30" s="67"/>
      <c r="O30" s="67"/>
      <c r="P30" s="68"/>
      <c r="Q30" s="70"/>
    </row>
    <row r="31" spans="1:17">
      <c r="A31" s="44"/>
      <c r="B31" s="39"/>
      <c r="C31" s="39"/>
      <c r="D31" s="39"/>
      <c r="E31" s="39"/>
      <c r="F31" s="39"/>
      <c r="G31" s="39"/>
      <c r="H31" s="67"/>
      <c r="I31" s="67"/>
      <c r="J31" s="67"/>
      <c r="K31" s="67"/>
      <c r="L31" s="67"/>
      <c r="M31" s="67"/>
      <c r="N31" s="67"/>
      <c r="O31" s="67"/>
      <c r="P31" s="68"/>
      <c r="Q31" s="70"/>
    </row>
    <row r="32" spans="1:17">
      <c r="A32" s="44"/>
      <c r="B32" s="39"/>
      <c r="C32" s="39"/>
      <c r="D32" s="39"/>
      <c r="E32" s="39"/>
      <c r="F32" s="39"/>
      <c r="G32" s="39"/>
      <c r="H32" s="67"/>
      <c r="I32" s="67"/>
      <c r="J32" s="67"/>
      <c r="K32" s="67"/>
      <c r="L32" s="67"/>
      <c r="M32" s="67"/>
      <c r="N32" s="67"/>
      <c r="O32" s="67"/>
      <c r="P32" s="68"/>
      <c r="Q32" s="70"/>
    </row>
    <row r="33" spans="1:17">
      <c r="A33" s="44"/>
      <c r="B33" s="39"/>
      <c r="C33" s="39"/>
      <c r="D33" s="39"/>
      <c r="E33" s="39"/>
      <c r="F33" s="39"/>
      <c r="G33" s="39"/>
      <c r="H33" s="67"/>
      <c r="I33" s="67"/>
      <c r="J33" s="67"/>
      <c r="K33" s="67"/>
      <c r="L33" s="67"/>
      <c r="M33" s="67"/>
      <c r="N33" s="67"/>
      <c r="O33" s="67"/>
      <c r="P33" s="68"/>
      <c r="Q33" s="70"/>
    </row>
    <row r="34" spans="1:17">
      <c r="A34" s="44"/>
      <c r="B34" s="39"/>
      <c r="C34" s="39"/>
      <c r="D34" s="39"/>
      <c r="E34" s="39"/>
      <c r="F34" s="39"/>
      <c r="G34" s="39"/>
      <c r="H34" s="67"/>
      <c r="I34" s="67"/>
      <c r="J34" s="67"/>
      <c r="K34" s="67"/>
      <c r="L34" s="67"/>
      <c r="M34" s="67"/>
      <c r="N34" s="67"/>
      <c r="O34" s="67"/>
      <c r="P34" s="68"/>
      <c r="Q34" s="70"/>
    </row>
    <row r="35" spans="1:17">
      <c r="A35" s="44"/>
      <c r="B35" s="39"/>
      <c r="C35" s="39"/>
      <c r="D35" s="39"/>
      <c r="E35" s="39"/>
      <c r="F35" s="39"/>
      <c r="G35" s="39"/>
      <c r="H35" s="67"/>
      <c r="I35" s="67"/>
      <c r="J35" s="67"/>
      <c r="K35" s="67"/>
      <c r="L35" s="67"/>
      <c r="M35" s="67"/>
      <c r="N35" s="67"/>
      <c r="O35" s="67"/>
      <c r="P35" s="68"/>
      <c r="Q35" s="70"/>
    </row>
    <row r="36" spans="1:17">
      <c r="A36" s="44"/>
      <c r="B36" s="39"/>
      <c r="C36" s="39"/>
      <c r="D36" s="39"/>
      <c r="E36" s="39"/>
      <c r="F36" s="39"/>
      <c r="G36" s="39"/>
      <c r="H36" s="67"/>
      <c r="I36" s="67"/>
      <c r="J36" s="67"/>
      <c r="K36" s="67"/>
      <c r="L36" s="67"/>
      <c r="M36" s="67"/>
      <c r="N36" s="67"/>
      <c r="O36" s="67"/>
      <c r="P36" s="68"/>
      <c r="Q36" s="70"/>
    </row>
    <row r="37" spans="1:17">
      <c r="A37" s="44"/>
      <c r="B37" s="39"/>
      <c r="C37" s="39"/>
      <c r="D37" s="39"/>
      <c r="E37" s="39"/>
      <c r="F37" s="39"/>
      <c r="G37" s="39"/>
      <c r="H37" s="67"/>
      <c r="I37" s="67"/>
      <c r="J37" s="67"/>
      <c r="K37" s="67"/>
      <c r="L37" s="67"/>
      <c r="M37" s="67"/>
      <c r="N37" s="67"/>
      <c r="O37" s="67"/>
      <c r="P37" s="68"/>
      <c r="Q37" s="70"/>
    </row>
    <row r="38" spans="1:17">
      <c r="A38" s="44"/>
      <c r="B38" s="39"/>
      <c r="C38" s="39"/>
      <c r="D38" s="39"/>
      <c r="E38" s="39"/>
      <c r="F38" s="39"/>
      <c r="G38" s="39"/>
      <c r="H38" s="67"/>
      <c r="I38" s="67"/>
      <c r="J38" s="67"/>
      <c r="K38" s="67"/>
      <c r="L38" s="67"/>
      <c r="M38" s="67"/>
      <c r="N38" s="67"/>
      <c r="O38" s="67"/>
      <c r="P38" s="68"/>
      <c r="Q38" s="70"/>
    </row>
    <row r="39" spans="1:17">
      <c r="A39" s="44"/>
      <c r="B39" s="39"/>
      <c r="C39" s="39"/>
      <c r="D39" s="39"/>
      <c r="E39" s="39"/>
      <c r="F39" s="39"/>
      <c r="G39" s="39"/>
      <c r="H39" s="67"/>
      <c r="I39" s="67"/>
      <c r="J39" s="67"/>
      <c r="K39" s="67"/>
      <c r="L39" s="67"/>
      <c r="M39" s="67"/>
      <c r="N39" s="67"/>
      <c r="O39" s="67"/>
      <c r="P39" s="68"/>
      <c r="Q39" s="70"/>
    </row>
    <row r="40" spans="1:17">
      <c r="A40" s="44"/>
      <c r="B40" s="39"/>
      <c r="C40" s="39"/>
      <c r="D40" s="39"/>
      <c r="E40" s="39"/>
      <c r="F40" s="39"/>
      <c r="G40" s="39"/>
      <c r="H40" s="67"/>
      <c r="I40" s="67"/>
      <c r="J40" s="67"/>
      <c r="K40" s="67"/>
      <c r="L40" s="67"/>
      <c r="M40" s="67"/>
      <c r="N40" s="67"/>
      <c r="O40" s="67"/>
      <c r="P40" s="68"/>
      <c r="Q40" s="70"/>
    </row>
    <row r="41" spans="1:17">
      <c r="A41" s="44"/>
      <c r="B41" s="39"/>
      <c r="C41" s="39"/>
      <c r="D41" s="39"/>
      <c r="E41" s="39"/>
      <c r="F41" s="39"/>
      <c r="G41" s="39"/>
      <c r="H41" s="67"/>
      <c r="I41" s="67"/>
      <c r="J41" s="67"/>
      <c r="K41" s="67"/>
      <c r="L41" s="67"/>
      <c r="M41" s="67"/>
      <c r="N41" s="67"/>
      <c r="O41" s="67"/>
      <c r="P41" s="68"/>
      <c r="Q41" s="70"/>
    </row>
    <row r="42" spans="1:17">
      <c r="A42" s="44"/>
      <c r="B42" s="39"/>
      <c r="C42" s="39"/>
      <c r="D42" s="39"/>
      <c r="E42" s="39"/>
      <c r="F42" s="39"/>
      <c r="G42" s="39"/>
      <c r="H42" s="67"/>
      <c r="I42" s="67"/>
      <c r="J42" s="67"/>
      <c r="K42" s="67"/>
      <c r="L42" s="67"/>
      <c r="M42" s="67"/>
      <c r="N42" s="67"/>
      <c r="O42" s="67"/>
      <c r="P42" s="68"/>
      <c r="Q42" s="70"/>
    </row>
    <row r="43" spans="1:17">
      <c r="A43" s="44"/>
      <c r="B43" s="39"/>
      <c r="C43" s="39"/>
      <c r="D43" s="39"/>
      <c r="E43" s="39"/>
      <c r="F43" s="39"/>
      <c r="G43" s="39"/>
      <c r="H43" s="67"/>
      <c r="I43" s="67"/>
      <c r="J43" s="67"/>
      <c r="K43" s="67"/>
      <c r="L43" s="67"/>
      <c r="M43" s="67"/>
      <c r="N43" s="67"/>
      <c r="O43" s="67"/>
      <c r="P43" s="68"/>
      <c r="Q43" s="70"/>
    </row>
    <row r="44" spans="1:17">
      <c r="A44" s="44"/>
      <c r="B44" s="39"/>
      <c r="C44" s="39"/>
      <c r="D44" s="39"/>
      <c r="E44" s="39"/>
      <c r="F44" s="39"/>
      <c r="G44" s="39"/>
      <c r="H44" s="67"/>
      <c r="I44" s="67"/>
      <c r="J44" s="67"/>
      <c r="K44" s="67"/>
      <c r="L44" s="67"/>
      <c r="M44" s="67"/>
      <c r="N44" s="67"/>
      <c r="O44" s="67"/>
      <c r="P44" s="68"/>
      <c r="Q44" s="70"/>
    </row>
    <row r="45" spans="1:17">
      <c r="A45" s="44"/>
      <c r="B45" s="39"/>
      <c r="C45" s="39"/>
      <c r="D45" s="39"/>
      <c r="E45" s="39"/>
      <c r="F45" s="39"/>
      <c r="G45" s="39"/>
      <c r="H45" s="67"/>
      <c r="I45" s="67"/>
      <c r="J45" s="67"/>
      <c r="K45" s="67"/>
      <c r="L45" s="67"/>
      <c r="M45" s="67"/>
      <c r="N45" s="67"/>
      <c r="O45" s="67"/>
      <c r="P45" s="68"/>
      <c r="Q45" s="70"/>
    </row>
    <row r="46" spans="1:17">
      <c r="A46" s="44"/>
      <c r="B46" s="39"/>
      <c r="C46" s="39"/>
      <c r="D46" s="39"/>
      <c r="E46" s="39"/>
      <c r="F46" s="39"/>
      <c r="G46" s="39"/>
      <c r="H46" s="67"/>
      <c r="I46" s="67"/>
      <c r="J46" s="67"/>
      <c r="K46" s="67"/>
      <c r="L46" s="67"/>
      <c r="M46" s="67"/>
      <c r="N46" s="67"/>
      <c r="O46" s="67"/>
      <c r="P46" s="68"/>
      <c r="Q46" s="70"/>
    </row>
    <row r="47" spans="1:17">
      <c r="A47" s="44"/>
      <c r="B47" s="39"/>
      <c r="C47" s="39"/>
      <c r="D47" s="39"/>
      <c r="E47" s="39"/>
      <c r="F47" s="39"/>
      <c r="G47" s="39"/>
      <c r="H47" s="67"/>
      <c r="I47" s="67"/>
      <c r="J47" s="67"/>
      <c r="K47" s="67"/>
      <c r="L47" s="67"/>
      <c r="M47" s="67"/>
      <c r="N47" s="67"/>
      <c r="O47" s="67"/>
      <c r="P47" s="68"/>
      <c r="Q47" s="70"/>
    </row>
    <row r="48" spans="1:17">
      <c r="A48" s="44"/>
      <c r="B48" s="39"/>
      <c r="C48" s="39"/>
      <c r="D48" s="39"/>
      <c r="E48" s="39"/>
      <c r="F48" s="39"/>
      <c r="G48" s="39"/>
      <c r="H48" s="67"/>
      <c r="I48" s="67"/>
      <c r="J48" s="67"/>
      <c r="K48" s="67"/>
      <c r="L48" s="67"/>
      <c r="M48" s="67"/>
      <c r="N48" s="67"/>
      <c r="O48" s="67"/>
      <c r="P48" s="68"/>
      <c r="Q48" s="70"/>
    </row>
    <row r="49" spans="1:17">
      <c r="A49" s="44"/>
      <c r="B49" s="39"/>
      <c r="C49" s="39"/>
      <c r="D49" s="39"/>
      <c r="E49" s="39"/>
      <c r="F49" s="39"/>
      <c r="G49" s="39"/>
      <c r="H49" s="67"/>
      <c r="I49" s="67"/>
      <c r="J49" s="67"/>
      <c r="K49" s="67"/>
      <c r="L49" s="67"/>
      <c r="M49" s="67"/>
      <c r="N49" s="67"/>
      <c r="O49" s="67"/>
      <c r="P49" s="68"/>
      <c r="Q49" s="70"/>
    </row>
    <row r="50" spans="1:17">
      <c r="A50" s="44"/>
      <c r="B50" s="39"/>
      <c r="C50" s="39"/>
      <c r="D50" s="39"/>
      <c r="E50" s="39"/>
      <c r="F50" s="39"/>
      <c r="G50" s="39"/>
      <c r="H50" s="67"/>
      <c r="I50" s="67"/>
      <c r="J50" s="67"/>
      <c r="K50" s="67"/>
      <c r="L50" s="67"/>
      <c r="M50" s="67"/>
      <c r="N50" s="67"/>
      <c r="O50" s="67"/>
      <c r="P50" s="68"/>
      <c r="Q50" s="70"/>
    </row>
    <row r="51" spans="1:17">
      <c r="A51" s="44"/>
      <c r="B51" s="39"/>
      <c r="C51" s="39"/>
      <c r="D51" s="39"/>
      <c r="E51" s="39"/>
      <c r="F51" s="39"/>
      <c r="G51" s="39"/>
      <c r="H51" s="67"/>
      <c r="I51" s="67"/>
      <c r="J51" s="67"/>
      <c r="K51" s="67"/>
      <c r="L51" s="67"/>
      <c r="M51" s="67"/>
      <c r="N51" s="67"/>
      <c r="O51" s="67"/>
      <c r="P51" s="68"/>
      <c r="Q51" s="70"/>
    </row>
    <row r="52" spans="1:17">
      <c r="A52" s="44"/>
      <c r="B52" s="39"/>
      <c r="C52" s="39"/>
      <c r="D52" s="39"/>
      <c r="E52" s="39"/>
      <c r="F52" s="39"/>
      <c r="G52" s="39"/>
      <c r="H52" s="67"/>
      <c r="I52" s="67"/>
      <c r="J52" s="67"/>
      <c r="K52" s="67"/>
      <c r="L52" s="67"/>
      <c r="M52" s="67"/>
      <c r="N52" s="67"/>
      <c r="O52" s="67"/>
      <c r="P52" s="68"/>
      <c r="Q52" s="70"/>
    </row>
    <row r="53" spans="1:17">
      <c r="A53" s="44"/>
      <c r="B53" s="39"/>
      <c r="C53" s="39"/>
      <c r="D53" s="39"/>
      <c r="E53" s="39"/>
      <c r="F53" s="39"/>
      <c r="G53" s="39"/>
      <c r="H53" s="67"/>
      <c r="I53" s="67"/>
      <c r="J53" s="67"/>
      <c r="K53" s="67"/>
      <c r="L53" s="67"/>
      <c r="M53" s="67"/>
      <c r="N53" s="67"/>
      <c r="O53" s="67"/>
      <c r="P53" s="68"/>
      <c r="Q53" s="70"/>
    </row>
    <row r="54" spans="1:17">
      <c r="A54" s="44"/>
      <c r="B54" s="39"/>
      <c r="C54" s="39"/>
      <c r="D54" s="39"/>
      <c r="E54" s="39"/>
      <c r="F54" s="39"/>
      <c r="G54" s="39"/>
      <c r="H54" s="67"/>
      <c r="I54" s="67"/>
      <c r="J54" s="67"/>
      <c r="K54" s="67"/>
      <c r="L54" s="67"/>
      <c r="M54" s="67"/>
      <c r="N54" s="67"/>
      <c r="O54" s="67"/>
      <c r="P54" s="68"/>
      <c r="Q54" s="70"/>
    </row>
    <row r="55" spans="1:17">
      <c r="A55" s="44"/>
      <c r="B55" s="39"/>
      <c r="C55" s="39"/>
      <c r="D55" s="39"/>
      <c r="E55" s="39"/>
      <c r="F55" s="39"/>
      <c r="G55" s="39"/>
      <c r="H55" s="67"/>
      <c r="I55" s="67"/>
      <c r="J55" s="67"/>
      <c r="K55" s="67"/>
      <c r="L55" s="67"/>
      <c r="M55" s="67"/>
      <c r="N55" s="67"/>
      <c r="O55" s="67"/>
      <c r="P55" s="68"/>
      <c r="Q55" s="70"/>
    </row>
    <row r="56" spans="1:17">
      <c r="A56" s="44"/>
      <c r="B56" s="39"/>
      <c r="C56" s="39"/>
      <c r="D56" s="39"/>
      <c r="E56" s="39"/>
      <c r="F56" s="39"/>
      <c r="G56" s="39"/>
      <c r="H56" s="67"/>
      <c r="I56" s="67"/>
      <c r="J56" s="67"/>
      <c r="K56" s="67"/>
      <c r="L56" s="67"/>
      <c r="M56" s="67"/>
      <c r="N56" s="67"/>
      <c r="O56" s="67"/>
      <c r="P56" s="68"/>
      <c r="Q56" s="70"/>
    </row>
    <row r="57" spans="1:17">
      <c r="A57" s="44"/>
      <c r="B57" s="39"/>
      <c r="C57" s="39"/>
      <c r="D57" s="39"/>
      <c r="E57" s="39"/>
      <c r="F57" s="39"/>
      <c r="G57" s="39"/>
      <c r="H57" s="67"/>
      <c r="I57" s="67"/>
      <c r="J57" s="67"/>
      <c r="K57" s="67"/>
      <c r="L57" s="67"/>
      <c r="M57" s="67"/>
      <c r="N57" s="67"/>
      <c r="O57" s="67"/>
      <c r="P57" s="68"/>
      <c r="Q57" s="70"/>
    </row>
    <row r="58" spans="1:17">
      <c r="A58" s="44"/>
      <c r="B58" s="39"/>
      <c r="C58" s="39"/>
      <c r="D58" s="39"/>
      <c r="E58" s="39"/>
      <c r="F58" s="39"/>
      <c r="G58" s="39"/>
      <c r="H58" s="67"/>
      <c r="I58" s="67"/>
      <c r="J58" s="67"/>
      <c r="K58" s="67"/>
      <c r="L58" s="67"/>
      <c r="M58" s="67"/>
      <c r="N58" s="67"/>
      <c r="O58" s="67"/>
      <c r="P58" s="68"/>
      <c r="Q58" s="70"/>
    </row>
    <row r="59" spans="1:17">
      <c r="A59" s="44"/>
      <c r="B59" s="39"/>
      <c r="C59" s="39"/>
      <c r="D59" s="39"/>
      <c r="E59" s="39"/>
      <c r="F59" s="39"/>
      <c r="G59" s="39"/>
      <c r="H59" s="67"/>
      <c r="I59" s="67"/>
      <c r="J59" s="67"/>
      <c r="K59" s="67"/>
      <c r="L59" s="67"/>
      <c r="M59" s="67"/>
      <c r="N59" s="67"/>
      <c r="O59" s="67"/>
      <c r="P59" s="68"/>
      <c r="Q59" s="70"/>
    </row>
    <row r="60" spans="1:17">
      <c r="A60" s="44"/>
      <c r="B60" s="39"/>
      <c r="C60" s="39"/>
      <c r="D60" s="39"/>
      <c r="E60" s="39"/>
      <c r="F60" s="39"/>
      <c r="G60" s="39"/>
      <c r="H60" s="67"/>
      <c r="I60" s="67"/>
      <c r="J60" s="67"/>
      <c r="K60" s="67"/>
      <c r="L60" s="67"/>
      <c r="M60" s="67"/>
      <c r="N60" s="67"/>
      <c r="O60" s="67"/>
      <c r="P60" s="68"/>
      <c r="Q60" s="70"/>
    </row>
    <row r="61" spans="1:17">
      <c r="A61" s="44"/>
      <c r="B61" s="39"/>
      <c r="C61" s="39"/>
      <c r="D61" s="39"/>
      <c r="E61" s="39"/>
      <c r="F61" s="39"/>
      <c r="G61" s="39"/>
      <c r="H61" s="67"/>
      <c r="I61" s="67"/>
      <c r="J61" s="67"/>
      <c r="K61" s="67"/>
      <c r="L61" s="67"/>
      <c r="M61" s="67"/>
      <c r="N61" s="67"/>
      <c r="O61" s="67"/>
      <c r="P61" s="68"/>
      <c r="Q61" s="70"/>
    </row>
    <row r="62" spans="1:17">
      <c r="A62" s="44"/>
      <c r="B62" s="39"/>
      <c r="C62" s="39"/>
      <c r="D62" s="39"/>
      <c r="E62" s="39"/>
      <c r="F62" s="39"/>
      <c r="G62" s="39"/>
      <c r="H62" s="67"/>
      <c r="I62" s="67"/>
      <c r="J62" s="67"/>
      <c r="K62" s="67"/>
      <c r="L62" s="67"/>
      <c r="M62" s="67"/>
      <c r="N62" s="67"/>
      <c r="O62" s="67"/>
      <c r="P62" s="68"/>
      <c r="Q62" s="70"/>
    </row>
    <row r="63" spans="1:17">
      <c r="A63" s="44"/>
      <c r="B63" s="39"/>
      <c r="C63" s="39"/>
      <c r="D63" s="39"/>
      <c r="E63" s="39"/>
      <c r="F63" s="39"/>
      <c r="G63" s="39"/>
      <c r="H63" s="67"/>
      <c r="I63" s="67"/>
      <c r="J63" s="67"/>
      <c r="K63" s="67"/>
      <c r="L63" s="67"/>
      <c r="M63" s="67"/>
      <c r="N63" s="67"/>
      <c r="O63" s="67"/>
      <c r="P63" s="68"/>
      <c r="Q63" s="70"/>
    </row>
    <row r="64" spans="1:17">
      <c r="A64" s="44"/>
      <c r="B64" s="39"/>
      <c r="C64" s="39"/>
      <c r="D64" s="39"/>
      <c r="E64" s="39"/>
      <c r="F64" s="39"/>
      <c r="G64" s="39"/>
      <c r="H64" s="67"/>
      <c r="I64" s="67"/>
      <c r="J64" s="67"/>
      <c r="K64" s="67"/>
      <c r="L64" s="67"/>
      <c r="M64" s="67"/>
      <c r="N64" s="67"/>
      <c r="O64" s="67"/>
      <c r="P64" s="68"/>
      <c r="Q64" s="70"/>
    </row>
    <row r="65" spans="1:17">
      <c r="A65" s="44"/>
      <c r="B65" s="39"/>
      <c r="C65" s="39"/>
      <c r="D65" s="39"/>
      <c r="E65" s="39"/>
      <c r="F65" s="39"/>
      <c r="G65" s="39"/>
      <c r="H65" s="67"/>
      <c r="I65" s="67"/>
      <c r="J65" s="67"/>
      <c r="K65" s="67"/>
      <c r="L65" s="67"/>
      <c r="M65" s="67"/>
      <c r="N65" s="67"/>
      <c r="O65" s="67"/>
      <c r="P65" s="68"/>
      <c r="Q65" s="70"/>
    </row>
    <row r="66" spans="1:17">
      <c r="A66" s="44"/>
      <c r="B66" s="39"/>
      <c r="C66" s="39"/>
      <c r="D66" s="39"/>
      <c r="E66" s="39"/>
      <c r="F66" s="39"/>
      <c r="G66" s="39"/>
      <c r="H66" s="67"/>
      <c r="I66" s="67"/>
      <c r="J66" s="67"/>
      <c r="K66" s="67"/>
      <c r="L66" s="67"/>
      <c r="M66" s="67"/>
      <c r="N66" s="67"/>
      <c r="O66" s="67"/>
      <c r="P66" s="68"/>
      <c r="Q66" s="70"/>
    </row>
    <row r="67" spans="1:17">
      <c r="A67" s="44"/>
      <c r="B67" s="39"/>
      <c r="C67" s="39"/>
      <c r="D67" s="39"/>
      <c r="E67" s="39"/>
      <c r="F67" s="39"/>
      <c r="G67" s="39"/>
      <c r="H67" s="67"/>
      <c r="I67" s="67"/>
      <c r="J67" s="67"/>
      <c r="K67" s="67"/>
      <c r="L67" s="67"/>
      <c r="M67" s="67"/>
      <c r="N67" s="67"/>
      <c r="O67" s="67"/>
      <c r="P67" s="68"/>
      <c r="Q67" s="70"/>
    </row>
    <row r="68" spans="1:17">
      <c r="A68" s="44"/>
      <c r="B68" s="39"/>
      <c r="C68" s="39"/>
      <c r="D68" s="39"/>
      <c r="E68" s="39"/>
      <c r="F68" s="39"/>
      <c r="G68" s="39"/>
      <c r="H68" s="67"/>
      <c r="I68" s="67"/>
      <c r="J68" s="67"/>
      <c r="K68" s="67"/>
      <c r="L68" s="67"/>
      <c r="M68" s="67"/>
      <c r="N68" s="67"/>
      <c r="O68" s="67"/>
      <c r="P68" s="68"/>
      <c r="Q68" s="70"/>
    </row>
    <row r="69" spans="1:17">
      <c r="A69" s="44"/>
      <c r="B69" s="39"/>
      <c r="C69" s="39"/>
      <c r="D69" s="39"/>
      <c r="E69" s="39"/>
      <c r="F69" s="39"/>
      <c r="G69" s="39"/>
      <c r="H69" s="67"/>
      <c r="I69" s="67"/>
      <c r="J69" s="67"/>
      <c r="K69" s="67"/>
      <c r="L69" s="67"/>
      <c r="M69" s="67"/>
      <c r="N69" s="67"/>
      <c r="O69" s="67"/>
      <c r="P69" s="68"/>
      <c r="Q69" s="70"/>
    </row>
    <row r="70" spans="1:17">
      <c r="A70" s="44"/>
      <c r="B70" s="39"/>
      <c r="C70" s="39"/>
      <c r="D70" s="39"/>
      <c r="E70" s="39"/>
      <c r="F70" s="39"/>
      <c r="G70" s="39"/>
      <c r="H70" s="67"/>
      <c r="I70" s="67"/>
      <c r="J70" s="67"/>
      <c r="K70" s="67"/>
      <c r="L70" s="67"/>
      <c r="M70" s="67"/>
      <c r="N70" s="67"/>
      <c r="O70" s="67"/>
      <c r="P70" s="68"/>
      <c r="Q70" s="70"/>
    </row>
    <row r="71" spans="1:17">
      <c r="A71" s="44"/>
      <c r="B71" s="39"/>
      <c r="C71" s="39"/>
      <c r="D71" s="39"/>
      <c r="E71" s="39"/>
      <c r="F71" s="39"/>
      <c r="G71" s="39"/>
      <c r="H71" s="67"/>
      <c r="I71" s="67"/>
      <c r="J71" s="67"/>
      <c r="K71" s="67"/>
      <c r="L71" s="67"/>
      <c r="M71" s="67"/>
      <c r="N71" s="67"/>
      <c r="O71" s="67"/>
      <c r="P71" s="68"/>
      <c r="Q71" s="70"/>
    </row>
    <row r="72" spans="1:17">
      <c r="A72" s="44"/>
      <c r="B72" s="39"/>
      <c r="C72" s="39"/>
      <c r="D72" s="39"/>
      <c r="E72" s="39"/>
      <c r="F72" s="39"/>
      <c r="G72" s="39"/>
      <c r="H72" s="67"/>
      <c r="I72" s="67"/>
      <c r="J72" s="67"/>
      <c r="K72" s="67"/>
      <c r="L72" s="67"/>
      <c r="M72" s="67"/>
      <c r="N72" s="67"/>
      <c r="O72" s="67"/>
      <c r="P72" s="68"/>
      <c r="Q72" s="70"/>
    </row>
    <row r="73" spans="1:17">
      <c r="A73" s="44"/>
      <c r="B73" s="39"/>
      <c r="C73" s="39"/>
      <c r="D73" s="39"/>
      <c r="E73" s="39"/>
      <c r="F73" s="39"/>
      <c r="G73" s="39"/>
      <c r="H73" s="67"/>
      <c r="I73" s="67"/>
      <c r="J73" s="67"/>
      <c r="K73" s="67"/>
      <c r="L73" s="67"/>
      <c r="M73" s="67"/>
      <c r="N73" s="67"/>
      <c r="O73" s="67"/>
      <c r="P73" s="68"/>
      <c r="Q73" s="70"/>
    </row>
    <row r="74" spans="1:17">
      <c r="A74" s="44"/>
      <c r="B74" s="39"/>
      <c r="C74" s="39"/>
      <c r="D74" s="39"/>
      <c r="E74" s="39"/>
      <c r="F74" s="39"/>
      <c r="G74" s="39"/>
      <c r="H74" s="67"/>
      <c r="I74" s="67"/>
      <c r="J74" s="67"/>
      <c r="K74" s="67"/>
      <c r="L74" s="67"/>
      <c r="M74" s="67"/>
      <c r="N74" s="67"/>
      <c r="O74" s="67"/>
      <c r="P74" s="68"/>
      <c r="Q74" s="70"/>
    </row>
    <row r="75" spans="1:17">
      <c r="A75" s="44"/>
      <c r="B75" s="39"/>
      <c r="C75" s="39"/>
      <c r="D75" s="39"/>
      <c r="E75" s="39"/>
      <c r="F75" s="39"/>
      <c r="G75" s="39"/>
      <c r="H75" s="67"/>
      <c r="I75" s="67"/>
      <c r="J75" s="67"/>
      <c r="K75" s="67"/>
      <c r="L75" s="67"/>
      <c r="M75" s="67"/>
      <c r="N75" s="67"/>
      <c r="O75" s="67"/>
      <c r="P75" s="68"/>
      <c r="Q75" s="70"/>
    </row>
    <row r="76" spans="1:17">
      <c r="A76" s="44"/>
      <c r="B76" s="39"/>
      <c r="C76" s="39"/>
      <c r="D76" s="39"/>
      <c r="E76" s="39"/>
      <c r="F76" s="39"/>
      <c r="G76" s="39"/>
      <c r="H76" s="67"/>
      <c r="I76" s="67"/>
      <c r="J76" s="67"/>
      <c r="K76" s="67"/>
      <c r="L76" s="67"/>
      <c r="M76" s="67"/>
      <c r="N76" s="67"/>
      <c r="O76" s="67"/>
      <c r="P76" s="68"/>
      <c r="Q76" s="70"/>
    </row>
    <row r="77" spans="1:17">
      <c r="A77" s="44"/>
      <c r="B77" s="39"/>
      <c r="C77" s="39"/>
      <c r="D77" s="39"/>
      <c r="E77" s="39"/>
      <c r="F77" s="39"/>
      <c r="G77" s="39"/>
      <c r="H77" s="67"/>
      <c r="I77" s="67"/>
      <c r="J77" s="67"/>
      <c r="K77" s="67"/>
      <c r="L77" s="67"/>
      <c r="M77" s="67"/>
      <c r="N77" s="67"/>
      <c r="O77" s="67"/>
      <c r="P77" s="68"/>
      <c r="Q77" s="70"/>
    </row>
    <row r="78" spans="1:17">
      <c r="A78" s="44"/>
      <c r="B78" s="39"/>
      <c r="C78" s="39"/>
      <c r="D78" s="39"/>
      <c r="E78" s="39"/>
      <c r="F78" s="39"/>
      <c r="G78" s="39"/>
      <c r="H78" s="67"/>
      <c r="I78" s="67"/>
      <c r="J78" s="67"/>
      <c r="K78" s="67"/>
      <c r="L78" s="67"/>
      <c r="M78" s="67"/>
      <c r="N78" s="67"/>
      <c r="O78" s="67"/>
      <c r="P78" s="68"/>
      <c r="Q78" s="70"/>
    </row>
    <row r="79" spans="1:17">
      <c r="A79" s="44"/>
      <c r="B79" s="39"/>
      <c r="C79" s="39"/>
      <c r="D79" s="39"/>
      <c r="E79" s="39"/>
      <c r="F79" s="39"/>
      <c r="G79" s="39"/>
      <c r="H79" s="67"/>
      <c r="I79" s="67"/>
      <c r="J79" s="67"/>
      <c r="K79" s="67"/>
      <c r="L79" s="67"/>
      <c r="M79" s="67"/>
      <c r="N79" s="67"/>
      <c r="O79" s="67"/>
      <c r="P79" s="68"/>
      <c r="Q79" s="70"/>
    </row>
    <row r="80" spans="1:17">
      <c r="A80" s="44"/>
      <c r="B80" s="39"/>
      <c r="C80" s="39"/>
      <c r="D80" s="39"/>
      <c r="E80" s="39"/>
      <c r="F80" s="39"/>
      <c r="G80" s="39"/>
      <c r="H80" s="67"/>
      <c r="I80" s="67"/>
      <c r="J80" s="67"/>
      <c r="K80" s="67"/>
      <c r="L80" s="67"/>
      <c r="M80" s="67"/>
      <c r="N80" s="67"/>
      <c r="O80" s="67"/>
      <c r="P80" s="68"/>
      <c r="Q80" s="70"/>
    </row>
    <row r="81" spans="1:17">
      <c r="A81" s="44"/>
      <c r="B81" s="39"/>
      <c r="C81" s="39"/>
      <c r="D81" s="39"/>
      <c r="E81" s="39"/>
      <c r="F81" s="39"/>
      <c r="G81" s="39"/>
      <c r="H81" s="67"/>
      <c r="I81" s="67"/>
      <c r="J81" s="67"/>
      <c r="K81" s="67"/>
      <c r="L81" s="67"/>
      <c r="M81" s="67"/>
      <c r="N81" s="67"/>
      <c r="O81" s="67"/>
      <c r="P81" s="68"/>
      <c r="Q81" s="70"/>
    </row>
    <row r="82" spans="1:17">
      <c r="A82" s="44"/>
      <c r="B82" s="39"/>
      <c r="C82" s="39"/>
      <c r="D82" s="39"/>
      <c r="E82" s="39"/>
      <c r="F82" s="39"/>
      <c r="G82" s="39"/>
      <c r="H82" s="67"/>
      <c r="I82" s="67"/>
      <c r="J82" s="67"/>
      <c r="K82" s="67"/>
      <c r="L82" s="67"/>
      <c r="M82" s="67"/>
      <c r="N82" s="67"/>
      <c r="O82" s="67"/>
      <c r="P82" s="68"/>
      <c r="Q82" s="70"/>
    </row>
    <row r="83" spans="1:17">
      <c r="A83" s="44"/>
      <c r="B83" s="39"/>
      <c r="C83" s="39"/>
      <c r="D83" s="39"/>
      <c r="E83" s="39"/>
      <c r="F83" s="39"/>
      <c r="G83" s="39"/>
      <c r="H83" s="67"/>
      <c r="I83" s="67"/>
      <c r="J83" s="67"/>
      <c r="K83" s="67"/>
      <c r="L83" s="67"/>
      <c r="M83" s="67"/>
      <c r="N83" s="67"/>
      <c r="O83" s="67"/>
      <c r="P83" s="68"/>
      <c r="Q83" s="70"/>
    </row>
    <row r="84" spans="1:17">
      <c r="A84" s="44"/>
      <c r="B84" s="39"/>
      <c r="C84" s="39"/>
      <c r="D84" s="39"/>
      <c r="E84" s="39"/>
      <c r="F84" s="39"/>
      <c r="G84" s="39"/>
      <c r="H84" s="67"/>
      <c r="I84" s="67"/>
      <c r="J84" s="67"/>
      <c r="K84" s="67"/>
      <c r="L84" s="67"/>
      <c r="M84" s="67"/>
      <c r="N84" s="67"/>
      <c r="O84" s="67"/>
      <c r="P84" s="68"/>
      <c r="Q84" s="70"/>
    </row>
    <row r="85" spans="1:17">
      <c r="A85" s="44"/>
      <c r="B85" s="39"/>
      <c r="C85" s="39"/>
      <c r="D85" s="39"/>
      <c r="E85" s="39"/>
      <c r="F85" s="39"/>
      <c r="G85" s="39"/>
      <c r="H85" s="67"/>
      <c r="I85" s="67"/>
      <c r="J85" s="67"/>
      <c r="K85" s="67"/>
      <c r="L85" s="67"/>
      <c r="M85" s="67"/>
      <c r="N85" s="67"/>
      <c r="O85" s="67"/>
      <c r="P85" s="68"/>
      <c r="Q85" s="70"/>
    </row>
    <row r="86" spans="1:17">
      <c r="A86" s="44"/>
      <c r="B86" s="39"/>
      <c r="C86" s="39"/>
      <c r="D86" s="39"/>
      <c r="E86" s="39"/>
      <c r="F86" s="39"/>
      <c r="G86" s="39"/>
      <c r="H86" s="67"/>
      <c r="I86" s="67"/>
      <c r="J86" s="67"/>
      <c r="K86" s="67"/>
      <c r="L86" s="67"/>
      <c r="M86" s="67"/>
      <c r="N86" s="67"/>
      <c r="O86" s="67"/>
      <c r="P86" s="68"/>
      <c r="Q86" s="70"/>
    </row>
    <row r="87" spans="1:17">
      <c r="A87" s="44"/>
      <c r="B87" s="39"/>
      <c r="C87" s="39"/>
      <c r="D87" s="39"/>
      <c r="E87" s="39"/>
      <c r="F87" s="39"/>
      <c r="G87" s="39"/>
      <c r="H87" s="67"/>
      <c r="I87" s="67"/>
      <c r="J87" s="67"/>
      <c r="K87" s="67"/>
      <c r="L87" s="67"/>
      <c r="M87" s="67"/>
      <c r="N87" s="67"/>
      <c r="O87" s="67"/>
      <c r="P87" s="68"/>
      <c r="Q87" s="70"/>
    </row>
    <row r="88" spans="1:17">
      <c r="A88" s="44"/>
      <c r="B88" s="39"/>
      <c r="C88" s="39"/>
      <c r="D88" s="39"/>
      <c r="E88" s="39"/>
      <c r="F88" s="39"/>
      <c r="G88" s="39"/>
      <c r="H88" s="67"/>
      <c r="I88" s="67"/>
      <c r="J88" s="67"/>
      <c r="K88" s="67"/>
      <c r="L88" s="67"/>
      <c r="M88" s="67"/>
      <c r="N88" s="67"/>
      <c r="O88" s="67"/>
      <c r="P88" s="68"/>
      <c r="Q88" s="70"/>
    </row>
    <row r="89" spans="1:17">
      <c r="A89" s="44"/>
      <c r="B89" s="39"/>
      <c r="C89" s="39"/>
      <c r="D89" s="39"/>
      <c r="E89" s="39"/>
      <c r="F89" s="39"/>
      <c r="G89" s="39"/>
      <c r="H89" s="67"/>
      <c r="I89" s="67"/>
      <c r="J89" s="67"/>
      <c r="K89" s="67"/>
      <c r="L89" s="67"/>
      <c r="M89" s="67"/>
      <c r="N89" s="67"/>
      <c r="O89" s="67"/>
      <c r="P89" s="68"/>
      <c r="Q89" s="70"/>
    </row>
    <row r="90" spans="1:17">
      <c r="A90" s="44"/>
      <c r="B90" s="39"/>
      <c r="C90" s="39"/>
      <c r="D90" s="39"/>
      <c r="E90" s="39"/>
      <c r="F90" s="39"/>
      <c r="G90" s="39"/>
      <c r="H90" s="67"/>
      <c r="I90" s="67"/>
      <c r="J90" s="67"/>
      <c r="K90" s="67"/>
      <c r="L90" s="67"/>
      <c r="M90" s="67"/>
      <c r="N90" s="67"/>
      <c r="O90" s="67"/>
      <c r="P90" s="68"/>
      <c r="Q90" s="70"/>
    </row>
    <row r="91" spans="1:17">
      <c r="A91" s="44"/>
      <c r="B91" s="39"/>
      <c r="C91" s="39"/>
      <c r="D91" s="39"/>
      <c r="E91" s="39"/>
      <c r="F91" s="39"/>
      <c r="G91" s="39"/>
      <c r="H91" s="67"/>
      <c r="I91" s="67"/>
      <c r="J91" s="67"/>
      <c r="K91" s="67"/>
      <c r="L91" s="67"/>
      <c r="M91" s="67"/>
      <c r="N91" s="67"/>
      <c r="O91" s="67"/>
      <c r="P91" s="68"/>
      <c r="Q91" s="70"/>
    </row>
    <row r="92" spans="1:17">
      <c r="A92" s="44"/>
      <c r="B92" s="39"/>
      <c r="C92" s="39"/>
      <c r="D92" s="39"/>
      <c r="E92" s="39"/>
      <c r="F92" s="39"/>
      <c r="G92" s="39"/>
      <c r="H92" s="67"/>
      <c r="I92" s="67"/>
      <c r="J92" s="67"/>
      <c r="K92" s="67"/>
      <c r="L92" s="67"/>
      <c r="M92" s="67"/>
      <c r="N92" s="67"/>
      <c r="O92" s="67"/>
      <c r="P92" s="68"/>
      <c r="Q92" s="70"/>
    </row>
    <row r="93" spans="1:17">
      <c r="A93" s="44"/>
      <c r="B93" s="39"/>
      <c r="C93" s="39"/>
      <c r="D93" s="39"/>
      <c r="E93" s="39"/>
      <c r="F93" s="39"/>
      <c r="G93" s="39"/>
      <c r="H93" s="67"/>
      <c r="I93" s="67"/>
      <c r="J93" s="67"/>
      <c r="K93" s="67"/>
      <c r="L93" s="67"/>
      <c r="M93" s="67"/>
      <c r="N93" s="67"/>
      <c r="O93" s="67"/>
      <c r="P93" s="68"/>
      <c r="Q93" s="70"/>
    </row>
    <row r="94" spans="1:17">
      <c r="A94" s="44"/>
      <c r="B94" s="39"/>
      <c r="C94" s="39"/>
      <c r="D94" s="39"/>
      <c r="E94" s="39"/>
      <c r="F94" s="39"/>
      <c r="G94" s="39"/>
      <c r="H94" s="67"/>
      <c r="I94" s="67"/>
      <c r="J94" s="67"/>
      <c r="K94" s="67"/>
      <c r="L94" s="67"/>
      <c r="M94" s="67"/>
      <c r="N94" s="67"/>
      <c r="O94" s="67"/>
      <c r="P94" s="68"/>
      <c r="Q94" s="70"/>
    </row>
    <row r="95" spans="1:17">
      <c r="A95" s="44"/>
      <c r="B95" s="39"/>
      <c r="C95" s="39"/>
      <c r="D95" s="39"/>
      <c r="E95" s="39"/>
      <c r="F95" s="39"/>
      <c r="G95" s="39"/>
      <c r="H95" s="67"/>
      <c r="I95" s="67"/>
      <c r="J95" s="67"/>
      <c r="K95" s="67"/>
      <c r="L95" s="67"/>
      <c r="M95" s="67"/>
      <c r="N95" s="67"/>
      <c r="O95" s="67"/>
      <c r="P95" s="68"/>
      <c r="Q95" s="70"/>
    </row>
    <row r="96" spans="1:17">
      <c r="A96" s="44"/>
      <c r="B96" s="39"/>
      <c r="C96" s="39"/>
      <c r="D96" s="39"/>
      <c r="E96" s="39"/>
      <c r="F96" s="39"/>
      <c r="G96" s="39"/>
      <c r="H96" s="67"/>
      <c r="I96" s="67"/>
      <c r="J96" s="67"/>
      <c r="K96" s="67"/>
      <c r="L96" s="67"/>
      <c r="M96" s="67"/>
      <c r="N96" s="67"/>
      <c r="O96" s="67"/>
      <c r="P96" s="68"/>
      <c r="Q96" s="70"/>
    </row>
    <row r="97" spans="1:17">
      <c r="A97" s="44"/>
      <c r="B97" s="39"/>
      <c r="C97" s="39"/>
      <c r="D97" s="39"/>
      <c r="E97" s="39"/>
      <c r="F97" s="39"/>
      <c r="G97" s="39"/>
      <c r="H97" s="67"/>
      <c r="I97" s="67"/>
      <c r="J97" s="67"/>
      <c r="K97" s="67"/>
      <c r="L97" s="67"/>
      <c r="M97" s="67"/>
      <c r="N97" s="67"/>
      <c r="O97" s="67"/>
      <c r="P97" s="68"/>
      <c r="Q97" s="70"/>
    </row>
    <row r="98" spans="1:17">
      <c r="A98" s="44"/>
      <c r="B98" s="39"/>
      <c r="C98" s="39"/>
      <c r="D98" s="39"/>
      <c r="E98" s="39"/>
      <c r="F98" s="39"/>
      <c r="G98" s="39"/>
      <c r="H98" s="67"/>
      <c r="I98" s="67"/>
      <c r="J98" s="67"/>
      <c r="K98" s="67"/>
      <c r="L98" s="67"/>
      <c r="M98" s="67"/>
      <c r="N98" s="67"/>
      <c r="O98" s="67"/>
      <c r="P98" s="68"/>
      <c r="Q98" s="70"/>
    </row>
    <row r="99" spans="1:17">
      <c r="A99" s="44"/>
      <c r="B99" s="39"/>
      <c r="C99" s="39"/>
      <c r="D99" s="39"/>
      <c r="E99" s="39"/>
      <c r="F99" s="39"/>
      <c r="G99" s="39"/>
      <c r="H99" s="67"/>
      <c r="I99" s="67"/>
      <c r="J99" s="67"/>
      <c r="K99" s="67"/>
      <c r="L99" s="67"/>
      <c r="M99" s="67"/>
      <c r="N99" s="67"/>
      <c r="O99" s="67"/>
      <c r="P99" s="68"/>
      <c r="Q99" s="70"/>
    </row>
    <row r="100" spans="1:17">
      <c r="A100" s="44"/>
      <c r="B100" s="39"/>
      <c r="C100" s="39"/>
      <c r="D100" s="39"/>
      <c r="E100" s="39"/>
      <c r="F100" s="39"/>
      <c r="G100" s="39"/>
      <c r="H100" s="67"/>
      <c r="I100" s="67"/>
      <c r="J100" s="67"/>
      <c r="K100" s="67"/>
      <c r="L100" s="67"/>
      <c r="M100" s="67"/>
      <c r="N100" s="67"/>
      <c r="O100" s="67"/>
      <c r="P100" s="68"/>
      <c r="Q100" s="70"/>
    </row>
    <row r="101" spans="1:17">
      <c r="A101" s="44"/>
      <c r="B101" s="39"/>
      <c r="C101" s="39"/>
      <c r="D101" s="39"/>
      <c r="E101" s="39"/>
      <c r="F101" s="39"/>
      <c r="G101" s="39"/>
      <c r="H101" s="67"/>
      <c r="I101" s="67"/>
      <c r="J101" s="67"/>
      <c r="K101" s="67"/>
      <c r="L101" s="67"/>
      <c r="M101" s="67"/>
      <c r="N101" s="67"/>
      <c r="O101" s="67"/>
      <c r="P101" s="68"/>
      <c r="Q101" s="70"/>
    </row>
    <row r="102" spans="1:17">
      <c r="A102" s="44"/>
      <c r="B102" s="39"/>
      <c r="C102" s="39"/>
      <c r="D102" s="39"/>
      <c r="E102" s="39"/>
      <c r="F102" s="39"/>
      <c r="G102" s="39"/>
      <c r="H102" s="67"/>
      <c r="I102" s="67"/>
      <c r="J102" s="67"/>
      <c r="K102" s="67"/>
      <c r="L102" s="67"/>
      <c r="M102" s="67"/>
      <c r="N102" s="67"/>
      <c r="O102" s="67"/>
      <c r="P102" s="68"/>
      <c r="Q102" s="70"/>
    </row>
    <row r="103" spans="1:17">
      <c r="A103" s="44"/>
      <c r="B103" s="39"/>
      <c r="C103" s="39"/>
      <c r="D103" s="39"/>
      <c r="E103" s="39"/>
      <c r="F103" s="39"/>
      <c r="G103" s="39"/>
      <c r="H103" s="67"/>
      <c r="I103" s="67"/>
      <c r="J103" s="67"/>
      <c r="K103" s="67"/>
      <c r="L103" s="67"/>
      <c r="M103" s="67"/>
      <c r="N103" s="67"/>
      <c r="O103" s="67"/>
      <c r="P103" s="68"/>
      <c r="Q103" s="70"/>
    </row>
    <row r="104" spans="1:17">
      <c r="A104" s="44"/>
      <c r="B104" s="39"/>
      <c r="C104" s="39"/>
      <c r="D104" s="39"/>
      <c r="E104" s="39"/>
      <c r="F104" s="39"/>
      <c r="G104" s="39"/>
      <c r="H104" s="67"/>
      <c r="I104" s="67"/>
      <c r="J104" s="67"/>
      <c r="K104" s="67"/>
      <c r="L104" s="67"/>
      <c r="M104" s="67"/>
      <c r="N104" s="67"/>
      <c r="O104" s="67"/>
      <c r="P104" s="68"/>
      <c r="Q104" s="70"/>
    </row>
    <row r="105" spans="1:17">
      <c r="A105" s="44"/>
      <c r="B105" s="39"/>
      <c r="C105" s="39"/>
      <c r="D105" s="39"/>
      <c r="E105" s="39"/>
      <c r="F105" s="39"/>
      <c r="G105" s="39"/>
      <c r="H105" s="67"/>
      <c r="I105" s="67"/>
      <c r="J105" s="67"/>
      <c r="K105" s="67"/>
      <c r="L105" s="67"/>
      <c r="M105" s="67"/>
      <c r="N105" s="67"/>
      <c r="O105" s="67"/>
      <c r="P105" s="68"/>
      <c r="Q105" s="70"/>
    </row>
    <row r="106" spans="1:17">
      <c r="A106" s="44"/>
      <c r="B106" s="39"/>
      <c r="C106" s="39"/>
      <c r="D106" s="39"/>
      <c r="E106" s="39"/>
      <c r="F106" s="39"/>
      <c r="G106" s="39"/>
      <c r="H106" s="67"/>
      <c r="I106" s="67"/>
      <c r="J106" s="67"/>
      <c r="K106" s="67"/>
      <c r="L106" s="67"/>
      <c r="M106" s="67"/>
      <c r="N106" s="67"/>
      <c r="O106" s="67"/>
      <c r="P106" s="68"/>
      <c r="Q106" s="70"/>
    </row>
    <row r="107" spans="1:17">
      <c r="A107" s="44"/>
      <c r="B107" s="39"/>
      <c r="C107" s="39"/>
      <c r="D107" s="39"/>
      <c r="E107" s="39"/>
      <c r="F107" s="39"/>
      <c r="G107" s="39"/>
      <c r="H107" s="67"/>
      <c r="I107" s="67"/>
      <c r="J107" s="67"/>
      <c r="K107" s="67"/>
      <c r="L107" s="67"/>
      <c r="M107" s="67"/>
      <c r="N107" s="67"/>
      <c r="O107" s="67"/>
      <c r="P107" s="68"/>
      <c r="Q107" s="70"/>
    </row>
    <row r="108" spans="1:17">
      <c r="A108" s="44"/>
      <c r="B108" s="39"/>
      <c r="C108" s="39"/>
      <c r="D108" s="39"/>
      <c r="E108" s="39"/>
      <c r="F108" s="39"/>
      <c r="G108" s="39"/>
      <c r="H108" s="67"/>
      <c r="I108" s="67"/>
      <c r="J108" s="67"/>
      <c r="K108" s="67"/>
      <c r="L108" s="67"/>
      <c r="M108" s="67"/>
      <c r="N108" s="67"/>
      <c r="O108" s="67"/>
      <c r="P108" s="68"/>
      <c r="Q108" s="70"/>
    </row>
    <row r="109" spans="1:17">
      <c r="A109" s="44"/>
      <c r="B109" s="39"/>
      <c r="C109" s="39"/>
      <c r="D109" s="39"/>
      <c r="E109" s="39"/>
      <c r="F109" s="39"/>
      <c r="G109" s="39"/>
      <c r="H109" s="67"/>
      <c r="I109" s="67"/>
      <c r="J109" s="67"/>
      <c r="K109" s="67"/>
      <c r="L109" s="67"/>
      <c r="M109" s="67"/>
      <c r="N109" s="67"/>
      <c r="O109" s="67"/>
      <c r="P109" s="68"/>
      <c r="Q109" s="70"/>
    </row>
    <row r="110" spans="1:17">
      <c r="A110" s="44"/>
      <c r="B110" s="39"/>
      <c r="C110" s="39"/>
      <c r="D110" s="39"/>
      <c r="E110" s="39"/>
      <c r="F110" s="39"/>
      <c r="G110" s="39"/>
      <c r="H110" s="67"/>
      <c r="I110" s="67"/>
      <c r="J110" s="67"/>
      <c r="K110" s="67"/>
      <c r="L110" s="67"/>
      <c r="M110" s="67"/>
      <c r="N110" s="67"/>
      <c r="O110" s="67"/>
      <c r="P110" s="68"/>
      <c r="Q110" s="70"/>
    </row>
    <row r="111" spans="1:17">
      <c r="A111" s="44"/>
      <c r="B111" s="39"/>
      <c r="C111" s="39"/>
      <c r="D111" s="39"/>
      <c r="E111" s="39"/>
      <c r="F111" s="39"/>
      <c r="G111" s="39"/>
      <c r="H111" s="67"/>
      <c r="I111" s="67"/>
      <c r="J111" s="67"/>
      <c r="K111" s="67"/>
      <c r="L111" s="67"/>
      <c r="M111" s="67"/>
      <c r="N111" s="67"/>
      <c r="O111" s="67"/>
      <c r="P111" s="68"/>
      <c r="Q111" s="70"/>
    </row>
    <row r="112" spans="1:17">
      <c r="A112" s="44"/>
      <c r="B112" s="39"/>
      <c r="C112" s="39"/>
      <c r="D112" s="39"/>
      <c r="E112" s="39"/>
      <c r="F112" s="39"/>
      <c r="G112" s="39"/>
      <c r="H112" s="67"/>
      <c r="I112" s="67"/>
      <c r="J112" s="67"/>
      <c r="K112" s="67"/>
      <c r="L112" s="67"/>
      <c r="M112" s="67"/>
      <c r="N112" s="67"/>
      <c r="O112" s="67"/>
      <c r="P112" s="68"/>
      <c r="Q112" s="70"/>
    </row>
    <row r="113" spans="1:17">
      <c r="A113" s="44"/>
      <c r="B113" s="39"/>
      <c r="C113" s="39"/>
      <c r="D113" s="39"/>
      <c r="E113" s="39"/>
      <c r="F113" s="39"/>
      <c r="G113" s="39"/>
      <c r="H113" s="67"/>
      <c r="I113" s="67"/>
      <c r="J113" s="67"/>
      <c r="K113" s="67"/>
      <c r="L113" s="67"/>
      <c r="M113" s="67"/>
      <c r="N113" s="67"/>
      <c r="O113" s="67"/>
      <c r="P113" s="68"/>
      <c r="Q113" s="70"/>
    </row>
    <row r="114" spans="1:17">
      <c r="A114" s="44"/>
      <c r="B114" s="39"/>
      <c r="C114" s="39"/>
      <c r="D114" s="39"/>
      <c r="E114" s="39"/>
      <c r="F114" s="39"/>
      <c r="G114" s="39"/>
      <c r="H114" s="67"/>
      <c r="I114" s="67"/>
      <c r="J114" s="67"/>
      <c r="K114" s="67"/>
      <c r="L114" s="67"/>
      <c r="M114" s="67"/>
      <c r="N114" s="67"/>
      <c r="O114" s="67"/>
      <c r="P114" s="68"/>
      <c r="Q114" s="70"/>
    </row>
    <row r="115" spans="1:17">
      <c r="A115" s="44"/>
      <c r="B115" s="39"/>
      <c r="C115" s="39"/>
      <c r="D115" s="39"/>
      <c r="E115" s="39"/>
      <c r="F115" s="39"/>
      <c r="G115" s="39"/>
      <c r="H115" s="67"/>
      <c r="I115" s="67"/>
      <c r="J115" s="67"/>
      <c r="K115" s="67"/>
      <c r="L115" s="67"/>
      <c r="M115" s="67"/>
      <c r="N115" s="67"/>
      <c r="O115" s="67"/>
      <c r="P115" s="68"/>
      <c r="Q115" s="70"/>
    </row>
    <row r="116" spans="1:17">
      <c r="A116" s="44"/>
      <c r="B116" s="39"/>
      <c r="C116" s="39"/>
      <c r="D116" s="39"/>
      <c r="E116" s="39"/>
      <c r="F116" s="39"/>
      <c r="G116" s="39"/>
      <c r="H116" s="67"/>
      <c r="I116" s="67"/>
      <c r="J116" s="67"/>
      <c r="K116" s="67"/>
      <c r="L116" s="67"/>
      <c r="M116" s="67"/>
      <c r="N116" s="67"/>
      <c r="O116" s="67"/>
      <c r="P116" s="68"/>
      <c r="Q116" s="70"/>
    </row>
    <row r="117" spans="1:17">
      <c r="A117" s="44"/>
      <c r="B117" s="39"/>
      <c r="C117" s="39"/>
      <c r="D117" s="39"/>
      <c r="E117" s="39"/>
      <c r="F117" s="39"/>
      <c r="G117" s="39"/>
      <c r="H117" s="67"/>
      <c r="I117" s="67"/>
      <c r="J117" s="67"/>
      <c r="K117" s="67"/>
      <c r="L117" s="67"/>
      <c r="M117" s="67"/>
      <c r="N117" s="67"/>
      <c r="O117" s="67"/>
      <c r="P117" s="68"/>
      <c r="Q117" s="70"/>
    </row>
    <row r="118" spans="1:17">
      <c r="A118" s="44"/>
      <c r="B118" s="39"/>
      <c r="C118" s="39"/>
      <c r="D118" s="39"/>
      <c r="E118" s="39"/>
      <c r="F118" s="39"/>
      <c r="G118" s="39"/>
      <c r="H118" s="67"/>
      <c r="I118" s="67"/>
      <c r="J118" s="67"/>
      <c r="K118" s="67"/>
      <c r="L118" s="67"/>
      <c r="M118" s="67"/>
      <c r="N118" s="67"/>
      <c r="O118" s="67"/>
      <c r="P118" s="68"/>
      <c r="Q118" s="70"/>
    </row>
    <row r="119" spans="1:17">
      <c r="A119" s="44"/>
      <c r="B119" s="39"/>
      <c r="C119" s="39"/>
      <c r="D119" s="39"/>
      <c r="E119" s="39"/>
      <c r="F119" s="39"/>
      <c r="G119" s="39"/>
      <c r="H119" s="67"/>
      <c r="I119" s="67"/>
      <c r="J119" s="67"/>
      <c r="K119" s="67"/>
      <c r="L119" s="67"/>
      <c r="M119" s="67"/>
      <c r="N119" s="67"/>
      <c r="O119" s="67"/>
      <c r="P119" s="68"/>
      <c r="Q119" s="70"/>
    </row>
    <row r="120" spans="1:17">
      <c r="A120" s="44"/>
      <c r="B120" s="39"/>
      <c r="C120" s="39"/>
      <c r="D120" s="39"/>
      <c r="E120" s="39"/>
      <c r="F120" s="39"/>
      <c r="G120" s="39"/>
      <c r="H120" s="67"/>
      <c r="I120" s="67"/>
      <c r="J120" s="67"/>
      <c r="K120" s="67"/>
      <c r="L120" s="67"/>
      <c r="M120" s="67"/>
      <c r="N120" s="67"/>
      <c r="O120" s="67"/>
      <c r="P120" s="68"/>
      <c r="Q120" s="70"/>
    </row>
    <row r="121" spans="1:17">
      <c r="A121" s="44"/>
      <c r="B121" s="39"/>
      <c r="C121" s="39"/>
      <c r="D121" s="39"/>
      <c r="E121" s="39"/>
      <c r="F121" s="39"/>
      <c r="G121" s="39"/>
      <c r="H121" s="67"/>
      <c r="I121" s="67"/>
      <c r="J121" s="67"/>
      <c r="K121" s="67"/>
      <c r="L121" s="67"/>
      <c r="M121" s="67"/>
      <c r="N121" s="67"/>
      <c r="O121" s="67"/>
      <c r="P121" s="68"/>
      <c r="Q121" s="70"/>
    </row>
    <row r="122" spans="1:17">
      <c r="A122" s="44"/>
      <c r="B122" s="39"/>
      <c r="C122" s="39"/>
      <c r="D122" s="39"/>
      <c r="E122" s="39"/>
      <c r="F122" s="39"/>
      <c r="G122" s="39"/>
      <c r="H122" s="67"/>
      <c r="I122" s="67"/>
      <c r="J122" s="67"/>
      <c r="K122" s="67"/>
      <c r="L122" s="67"/>
      <c r="M122" s="67"/>
      <c r="N122" s="67"/>
      <c r="O122" s="67"/>
      <c r="P122" s="68"/>
      <c r="Q122" s="70"/>
    </row>
    <row r="123" spans="1:17">
      <c r="A123" s="44"/>
      <c r="B123" s="39"/>
      <c r="C123" s="39"/>
      <c r="D123" s="39"/>
      <c r="E123" s="39"/>
      <c r="F123" s="39"/>
      <c r="G123" s="39"/>
      <c r="H123" s="67"/>
      <c r="I123" s="67"/>
      <c r="J123" s="67"/>
      <c r="K123" s="67"/>
      <c r="L123" s="67"/>
      <c r="M123" s="67"/>
      <c r="N123" s="67"/>
      <c r="O123" s="67"/>
      <c r="P123" s="68"/>
      <c r="Q123" s="70"/>
    </row>
    <row r="124" spans="1:17">
      <c r="A124" s="44"/>
      <c r="B124" s="39"/>
      <c r="C124" s="39"/>
      <c r="D124" s="39"/>
      <c r="E124" s="39"/>
      <c r="F124" s="39"/>
      <c r="G124" s="39"/>
      <c r="H124" s="67"/>
      <c r="I124" s="67"/>
      <c r="J124" s="67"/>
      <c r="K124" s="67"/>
      <c r="L124" s="67"/>
      <c r="M124" s="67"/>
      <c r="N124" s="67"/>
      <c r="O124" s="67"/>
      <c r="P124" s="68"/>
      <c r="Q124" s="70"/>
    </row>
    <row r="125" spans="1:17">
      <c r="A125" s="44"/>
      <c r="B125" s="39"/>
      <c r="C125" s="39"/>
      <c r="D125" s="39"/>
      <c r="E125" s="39"/>
      <c r="F125" s="39"/>
      <c r="G125" s="39"/>
      <c r="H125" s="67"/>
      <c r="I125" s="67"/>
      <c r="J125" s="67"/>
      <c r="K125" s="67"/>
      <c r="L125" s="67"/>
      <c r="M125" s="67"/>
      <c r="N125" s="67"/>
      <c r="O125" s="67"/>
      <c r="P125" s="68"/>
      <c r="Q125" s="70"/>
    </row>
    <row r="126" spans="1:17">
      <c r="A126" s="44"/>
      <c r="B126" s="39"/>
      <c r="C126" s="39"/>
      <c r="D126" s="39"/>
      <c r="E126" s="39"/>
      <c r="F126" s="39"/>
      <c r="G126" s="39"/>
      <c r="H126" s="67"/>
      <c r="I126" s="67"/>
      <c r="J126" s="67"/>
      <c r="K126" s="67"/>
      <c r="L126" s="67"/>
      <c r="M126" s="67"/>
      <c r="N126" s="67"/>
      <c r="O126" s="67"/>
      <c r="P126" s="68"/>
      <c r="Q126" s="70"/>
    </row>
    <row r="127" spans="1:17">
      <c r="A127" s="44"/>
      <c r="B127" s="39"/>
      <c r="C127" s="39"/>
      <c r="D127" s="39"/>
      <c r="E127" s="39"/>
      <c r="F127" s="39"/>
      <c r="G127" s="39"/>
      <c r="H127" s="67"/>
      <c r="I127" s="67"/>
      <c r="J127" s="67"/>
      <c r="K127" s="67"/>
      <c r="L127" s="67"/>
      <c r="M127" s="67"/>
      <c r="N127" s="67"/>
      <c r="O127" s="67"/>
      <c r="P127" s="68"/>
      <c r="Q127" s="70"/>
    </row>
    <row r="128" spans="1:17">
      <c r="A128" s="44"/>
      <c r="B128" s="39"/>
      <c r="C128" s="39"/>
      <c r="D128" s="39"/>
      <c r="E128" s="39"/>
      <c r="F128" s="39"/>
      <c r="G128" s="39"/>
      <c r="H128" s="67"/>
      <c r="I128" s="67"/>
      <c r="J128" s="67"/>
      <c r="K128" s="67"/>
      <c r="L128" s="67"/>
      <c r="M128" s="67"/>
      <c r="N128" s="67"/>
      <c r="O128" s="67"/>
      <c r="P128" s="68"/>
      <c r="Q128" s="70"/>
    </row>
    <row r="129" spans="1:17">
      <c r="A129" s="44"/>
      <c r="B129" s="39"/>
      <c r="C129" s="39"/>
      <c r="D129" s="39"/>
      <c r="E129" s="39"/>
      <c r="F129" s="39"/>
      <c r="G129" s="39"/>
      <c r="H129" s="67"/>
      <c r="I129" s="67"/>
      <c r="J129" s="67"/>
      <c r="K129" s="67"/>
      <c r="L129" s="67"/>
      <c r="M129" s="67"/>
      <c r="N129" s="67"/>
      <c r="O129" s="67"/>
      <c r="P129" s="68"/>
      <c r="Q129" s="70"/>
    </row>
    <row r="130" spans="1:17">
      <c r="A130" s="44"/>
      <c r="B130" s="39"/>
      <c r="C130" s="39"/>
      <c r="D130" s="39"/>
      <c r="E130" s="39"/>
      <c r="F130" s="39"/>
      <c r="G130" s="39"/>
      <c r="H130" s="67"/>
      <c r="I130" s="67"/>
      <c r="J130" s="67"/>
      <c r="K130" s="67"/>
      <c r="L130" s="67"/>
      <c r="M130" s="67"/>
      <c r="N130" s="67"/>
      <c r="O130" s="67"/>
      <c r="P130" s="68"/>
      <c r="Q130" s="70"/>
    </row>
    <row r="131" spans="1:17">
      <c r="A131" s="44"/>
      <c r="B131" s="39"/>
      <c r="C131" s="39"/>
      <c r="D131" s="39"/>
      <c r="E131" s="39"/>
      <c r="F131" s="39"/>
      <c r="G131" s="39"/>
      <c r="H131" s="67"/>
      <c r="I131" s="67"/>
      <c r="J131" s="67"/>
      <c r="K131" s="67"/>
      <c r="L131" s="67"/>
      <c r="M131" s="67"/>
      <c r="N131" s="67"/>
      <c r="O131" s="67"/>
      <c r="P131" s="68"/>
      <c r="Q131" s="70"/>
    </row>
    <row r="132" spans="1:17">
      <c r="A132" s="44"/>
      <c r="B132" s="39"/>
      <c r="C132" s="39"/>
      <c r="D132" s="39"/>
      <c r="E132" s="39"/>
      <c r="F132" s="39"/>
      <c r="G132" s="39"/>
      <c r="H132" s="67"/>
      <c r="I132" s="67"/>
      <c r="J132" s="67"/>
      <c r="K132" s="67"/>
      <c r="L132" s="67"/>
      <c r="M132" s="67"/>
      <c r="N132" s="67"/>
      <c r="O132" s="67"/>
      <c r="P132" s="68"/>
      <c r="Q132" s="70"/>
    </row>
    <row r="133" spans="1:17">
      <c r="A133" s="44"/>
      <c r="B133" s="39"/>
      <c r="C133" s="39"/>
      <c r="D133" s="39"/>
      <c r="E133" s="39"/>
      <c r="F133" s="39"/>
      <c r="G133" s="39"/>
      <c r="H133" s="67"/>
      <c r="I133" s="67"/>
      <c r="J133" s="67"/>
      <c r="K133" s="67"/>
      <c r="L133" s="67"/>
      <c r="M133" s="67"/>
      <c r="N133" s="67"/>
      <c r="O133" s="67"/>
      <c r="P133" s="68"/>
      <c r="Q133" s="70"/>
    </row>
    <row r="134" spans="1:17">
      <c r="A134" s="44"/>
      <c r="B134" s="39"/>
      <c r="C134" s="39"/>
      <c r="D134" s="39"/>
      <c r="E134" s="39"/>
      <c r="F134" s="39"/>
      <c r="G134" s="39"/>
      <c r="H134" s="67"/>
      <c r="I134" s="67"/>
      <c r="J134" s="67"/>
      <c r="K134" s="67"/>
      <c r="L134" s="67"/>
      <c r="M134" s="67"/>
      <c r="N134" s="67"/>
      <c r="O134" s="67"/>
      <c r="P134" s="68"/>
      <c r="Q134" s="70"/>
    </row>
    <row r="135" spans="1:17">
      <c r="A135" s="44"/>
      <c r="B135" s="39"/>
      <c r="C135" s="39"/>
      <c r="D135" s="39"/>
      <c r="E135" s="39"/>
      <c r="F135" s="39"/>
      <c r="G135" s="39"/>
      <c r="H135" s="67"/>
      <c r="I135" s="67"/>
      <c r="J135" s="67"/>
      <c r="K135" s="67"/>
      <c r="L135" s="67"/>
      <c r="M135" s="67"/>
      <c r="N135" s="67"/>
      <c r="O135" s="67"/>
      <c r="P135" s="68"/>
      <c r="Q135" s="70"/>
    </row>
    <row r="136" spans="1:17">
      <c r="A136" s="44"/>
      <c r="B136" s="39"/>
      <c r="C136" s="39"/>
      <c r="D136" s="39"/>
      <c r="E136" s="39"/>
      <c r="F136" s="39"/>
      <c r="G136" s="39"/>
      <c r="H136" s="67"/>
      <c r="I136" s="67"/>
      <c r="J136" s="67"/>
      <c r="K136" s="67"/>
      <c r="L136" s="67"/>
      <c r="M136" s="67"/>
      <c r="N136" s="67"/>
      <c r="O136" s="67"/>
      <c r="P136" s="68"/>
      <c r="Q136" s="70"/>
    </row>
    <row r="137" spans="1:17">
      <c r="A137" s="44"/>
      <c r="B137" s="39"/>
      <c r="C137" s="39"/>
      <c r="D137" s="39"/>
      <c r="E137" s="39"/>
      <c r="F137" s="39"/>
      <c r="G137" s="39"/>
      <c r="H137" s="67"/>
      <c r="I137" s="67"/>
      <c r="J137" s="67"/>
      <c r="K137" s="67"/>
      <c r="L137" s="67"/>
      <c r="M137" s="67"/>
      <c r="N137" s="67"/>
      <c r="O137" s="67"/>
      <c r="P137" s="68"/>
      <c r="Q137" s="70"/>
    </row>
    <row r="138" spans="1:17">
      <c r="A138" s="44"/>
      <c r="B138" s="39"/>
      <c r="C138" s="39"/>
      <c r="D138" s="39"/>
      <c r="E138" s="39"/>
      <c r="F138" s="39"/>
      <c r="G138" s="39"/>
      <c r="H138" s="67"/>
      <c r="I138" s="67"/>
      <c r="J138" s="67"/>
      <c r="K138" s="67"/>
      <c r="L138" s="67"/>
      <c r="M138" s="67"/>
      <c r="N138" s="67"/>
      <c r="O138" s="67"/>
      <c r="P138" s="68"/>
      <c r="Q138" s="70"/>
    </row>
    <row r="139" spans="1:17">
      <c r="A139" s="44"/>
      <c r="B139" s="39"/>
      <c r="C139" s="39"/>
      <c r="D139" s="39"/>
      <c r="E139" s="39"/>
      <c r="F139" s="39"/>
      <c r="G139" s="39"/>
      <c r="H139" s="67"/>
      <c r="I139" s="67"/>
      <c r="J139" s="67"/>
      <c r="K139" s="67"/>
      <c r="L139" s="67"/>
      <c r="M139" s="67"/>
      <c r="N139" s="67"/>
      <c r="O139" s="67"/>
      <c r="P139" s="68"/>
      <c r="Q139" s="70"/>
    </row>
    <row r="140" spans="1:17">
      <c r="A140" s="44"/>
      <c r="B140" s="39"/>
      <c r="C140" s="39"/>
      <c r="D140" s="39"/>
      <c r="E140" s="39"/>
      <c r="F140" s="39"/>
      <c r="G140" s="39"/>
      <c r="H140" s="67"/>
      <c r="I140" s="67"/>
      <c r="J140" s="67"/>
      <c r="K140" s="67"/>
      <c r="L140" s="67"/>
      <c r="M140" s="67"/>
      <c r="N140" s="67"/>
      <c r="O140" s="67"/>
      <c r="P140" s="68"/>
      <c r="Q140" s="70"/>
    </row>
    <row r="141" spans="1:17">
      <c r="A141" s="44"/>
      <c r="B141" s="39"/>
      <c r="C141" s="39"/>
      <c r="D141" s="39"/>
      <c r="E141" s="39"/>
      <c r="F141" s="39"/>
      <c r="G141" s="39"/>
      <c r="H141" s="67"/>
      <c r="I141" s="67"/>
      <c r="J141" s="67"/>
      <c r="K141" s="67"/>
      <c r="L141" s="67"/>
      <c r="M141" s="67"/>
      <c r="N141" s="67"/>
      <c r="O141" s="67"/>
      <c r="P141" s="68"/>
      <c r="Q141" s="70"/>
    </row>
    <row r="142" spans="1:17">
      <c r="A142" s="44"/>
      <c r="B142" s="39"/>
      <c r="C142" s="39"/>
      <c r="D142" s="39"/>
      <c r="E142" s="39"/>
      <c r="F142" s="39"/>
      <c r="G142" s="39"/>
      <c r="H142" s="67"/>
      <c r="I142" s="67"/>
      <c r="J142" s="67"/>
      <c r="K142" s="67"/>
      <c r="L142" s="67"/>
      <c r="M142" s="67"/>
      <c r="N142" s="67"/>
      <c r="O142" s="67"/>
      <c r="P142" s="68"/>
      <c r="Q142" s="70"/>
    </row>
    <row r="143" spans="1:17">
      <c r="A143" s="44"/>
      <c r="B143" s="39"/>
      <c r="C143" s="39"/>
      <c r="D143" s="39"/>
      <c r="E143" s="39"/>
      <c r="F143" s="39"/>
      <c r="G143" s="39"/>
      <c r="H143" s="67"/>
      <c r="I143" s="67"/>
      <c r="J143" s="67"/>
      <c r="K143" s="67"/>
      <c r="L143" s="67"/>
      <c r="M143" s="67"/>
      <c r="N143" s="67"/>
      <c r="O143" s="67"/>
      <c r="P143" s="68"/>
      <c r="Q143" s="70"/>
    </row>
    <row r="144" spans="1:17">
      <c r="A144" s="44"/>
      <c r="B144" s="39"/>
      <c r="C144" s="39"/>
      <c r="D144" s="39"/>
      <c r="E144" s="39"/>
      <c r="F144" s="39"/>
      <c r="G144" s="39"/>
      <c r="H144" s="67"/>
      <c r="I144" s="67"/>
      <c r="J144" s="67"/>
      <c r="K144" s="67"/>
      <c r="L144" s="67"/>
      <c r="M144" s="67"/>
      <c r="N144" s="67"/>
      <c r="O144" s="67"/>
      <c r="P144" s="68"/>
      <c r="Q144" s="70"/>
    </row>
    <row r="145" spans="1:17">
      <c r="A145" s="44"/>
      <c r="B145" s="39"/>
      <c r="C145" s="39"/>
      <c r="D145" s="39"/>
      <c r="E145" s="39"/>
      <c r="F145" s="39"/>
      <c r="G145" s="39"/>
      <c r="H145" s="67"/>
      <c r="I145" s="67"/>
      <c r="J145" s="67"/>
      <c r="K145" s="67"/>
      <c r="L145" s="67"/>
      <c r="M145" s="67"/>
      <c r="N145" s="67"/>
      <c r="O145" s="67"/>
      <c r="P145" s="68"/>
      <c r="Q145" s="70"/>
    </row>
    <row r="146" spans="1:17">
      <c r="A146" s="44"/>
      <c r="B146" s="39"/>
      <c r="C146" s="39"/>
      <c r="D146" s="39"/>
      <c r="E146" s="39"/>
      <c r="F146" s="39"/>
      <c r="G146" s="39"/>
      <c r="H146" s="67"/>
      <c r="I146" s="67"/>
      <c r="J146" s="67"/>
      <c r="K146" s="67"/>
      <c r="L146" s="67"/>
      <c r="M146" s="67"/>
      <c r="N146" s="67"/>
      <c r="O146" s="67"/>
      <c r="P146" s="68"/>
      <c r="Q146" s="70"/>
    </row>
    <row r="147" spans="1:17">
      <c r="A147" s="44"/>
      <c r="B147" s="39"/>
      <c r="C147" s="39"/>
      <c r="D147" s="39"/>
      <c r="E147" s="39"/>
      <c r="F147" s="39"/>
      <c r="G147" s="39"/>
      <c r="H147" s="67"/>
      <c r="I147" s="67"/>
      <c r="J147" s="67"/>
      <c r="K147" s="67"/>
      <c r="L147" s="67"/>
      <c r="M147" s="67"/>
      <c r="N147" s="67"/>
      <c r="O147" s="67"/>
      <c r="P147" s="68"/>
      <c r="Q147" s="70"/>
    </row>
    <row r="148" spans="1:17">
      <c r="A148" s="44"/>
      <c r="B148" s="39"/>
      <c r="C148" s="39"/>
      <c r="D148" s="39"/>
      <c r="E148" s="39"/>
      <c r="F148" s="39"/>
      <c r="G148" s="39"/>
      <c r="H148" s="67"/>
      <c r="I148" s="67"/>
      <c r="J148" s="67"/>
      <c r="K148" s="67"/>
      <c r="L148" s="67"/>
      <c r="M148" s="67"/>
      <c r="N148" s="67"/>
      <c r="O148" s="67"/>
      <c r="P148" s="68"/>
      <c r="Q148" s="70"/>
    </row>
    <row r="149" spans="1:17">
      <c r="A149" s="44"/>
      <c r="B149" s="39"/>
      <c r="C149" s="39"/>
      <c r="D149" s="39"/>
      <c r="E149" s="39"/>
      <c r="F149" s="39"/>
      <c r="G149" s="39"/>
      <c r="H149" s="67"/>
      <c r="I149" s="67"/>
      <c r="J149" s="67"/>
      <c r="K149" s="67"/>
      <c r="L149" s="67"/>
      <c r="M149" s="67"/>
      <c r="N149" s="67"/>
      <c r="O149" s="67"/>
      <c r="P149" s="68"/>
      <c r="Q149" s="70"/>
    </row>
    <row r="150" spans="1:17">
      <c r="A150" s="44"/>
      <c r="B150" s="39"/>
      <c r="C150" s="39"/>
      <c r="D150" s="39"/>
      <c r="E150" s="39"/>
      <c r="F150" s="39"/>
      <c r="G150" s="39"/>
      <c r="H150" s="67"/>
      <c r="I150" s="67"/>
      <c r="J150" s="67"/>
      <c r="K150" s="67"/>
      <c r="L150" s="67"/>
      <c r="M150" s="67"/>
      <c r="N150" s="67"/>
      <c r="O150" s="67"/>
      <c r="P150" s="68"/>
      <c r="Q150" s="70"/>
    </row>
    <row r="151" spans="1:17">
      <c r="A151" s="44"/>
      <c r="B151" s="39"/>
      <c r="C151" s="39"/>
      <c r="D151" s="39"/>
      <c r="E151" s="39"/>
      <c r="F151" s="39"/>
      <c r="G151" s="39"/>
      <c r="H151" s="67"/>
      <c r="I151" s="67"/>
      <c r="J151" s="67"/>
      <c r="K151" s="67"/>
      <c r="L151" s="67"/>
      <c r="M151" s="67"/>
      <c r="N151" s="67"/>
      <c r="O151" s="67"/>
      <c r="P151" s="68"/>
      <c r="Q151" s="70"/>
    </row>
    <row r="152" spans="1:17">
      <c r="A152" s="44"/>
      <c r="B152" s="39"/>
      <c r="C152" s="39"/>
      <c r="D152" s="39"/>
      <c r="E152" s="39"/>
      <c r="F152" s="39"/>
      <c r="G152" s="39"/>
      <c r="H152" s="67"/>
      <c r="I152" s="67"/>
      <c r="J152" s="67"/>
      <c r="K152" s="67"/>
      <c r="L152" s="67"/>
      <c r="M152" s="67"/>
      <c r="N152" s="67"/>
      <c r="O152" s="67"/>
      <c r="P152" s="68"/>
      <c r="Q152" s="70"/>
    </row>
    <row r="153" spans="1:17">
      <c r="A153" s="44"/>
      <c r="B153" s="39"/>
      <c r="C153" s="39"/>
      <c r="D153" s="39"/>
      <c r="E153" s="39"/>
      <c r="F153" s="39"/>
      <c r="G153" s="39"/>
      <c r="H153" s="67"/>
      <c r="I153" s="67"/>
      <c r="J153" s="67"/>
      <c r="K153" s="67"/>
      <c r="L153" s="67"/>
      <c r="M153" s="67"/>
      <c r="N153" s="67"/>
      <c r="O153" s="67"/>
      <c r="P153" s="68"/>
      <c r="Q153" s="70"/>
    </row>
    <row r="154" spans="1:17">
      <c r="A154" s="44"/>
      <c r="B154" s="39"/>
      <c r="C154" s="39"/>
      <c r="D154" s="39"/>
      <c r="E154" s="39"/>
      <c r="F154" s="39"/>
      <c r="G154" s="39"/>
      <c r="H154" s="67"/>
      <c r="I154" s="67"/>
      <c r="J154" s="67"/>
      <c r="K154" s="67"/>
      <c r="L154" s="67"/>
      <c r="M154" s="67"/>
      <c r="N154" s="67"/>
      <c r="O154" s="67"/>
      <c r="P154" s="68"/>
      <c r="Q154" s="70"/>
    </row>
    <row r="155" spans="1:17">
      <c r="A155" s="44"/>
      <c r="B155" s="39"/>
      <c r="C155" s="39"/>
      <c r="D155" s="39"/>
      <c r="E155" s="39"/>
      <c r="F155" s="39"/>
      <c r="G155" s="39"/>
      <c r="H155" s="67"/>
      <c r="I155" s="67"/>
      <c r="J155" s="67"/>
      <c r="K155" s="67"/>
      <c r="L155" s="67"/>
      <c r="M155" s="67"/>
      <c r="N155" s="67"/>
      <c r="O155" s="67"/>
      <c r="P155" s="68"/>
      <c r="Q155" s="70"/>
    </row>
    <row r="156" spans="1:17">
      <c r="A156" s="44"/>
      <c r="B156" s="39"/>
      <c r="C156" s="39"/>
      <c r="D156" s="39"/>
      <c r="E156" s="39"/>
      <c r="F156" s="39"/>
      <c r="G156" s="39"/>
      <c r="H156" s="67"/>
      <c r="I156" s="67"/>
      <c r="J156" s="67"/>
      <c r="K156" s="67"/>
      <c r="L156" s="67"/>
      <c r="M156" s="67"/>
      <c r="N156" s="67"/>
      <c r="O156" s="67"/>
      <c r="P156" s="68"/>
      <c r="Q156" s="70"/>
    </row>
    <row r="157" spans="1:17">
      <c r="A157" s="44"/>
      <c r="B157" s="39"/>
      <c r="C157" s="39"/>
      <c r="D157" s="39"/>
      <c r="E157" s="39"/>
      <c r="F157" s="39"/>
      <c r="G157" s="39"/>
      <c r="H157" s="67"/>
      <c r="I157" s="67"/>
      <c r="J157" s="67"/>
      <c r="K157" s="67"/>
      <c r="L157" s="67"/>
      <c r="M157" s="67"/>
      <c r="N157" s="67"/>
      <c r="O157" s="67"/>
      <c r="P157" s="68"/>
      <c r="Q157" s="70"/>
    </row>
    <row r="158" spans="1:17">
      <c r="A158" s="44"/>
      <c r="B158" s="39"/>
      <c r="C158" s="39"/>
      <c r="D158" s="39"/>
      <c r="E158" s="39"/>
      <c r="F158" s="39"/>
      <c r="G158" s="39"/>
      <c r="H158" s="67"/>
      <c r="I158" s="67"/>
      <c r="J158" s="67"/>
      <c r="K158" s="67"/>
      <c r="L158" s="67"/>
      <c r="M158" s="67"/>
      <c r="N158" s="67"/>
      <c r="O158" s="67"/>
      <c r="P158" s="68"/>
      <c r="Q158" s="70"/>
    </row>
    <row r="159" spans="1:17">
      <c r="A159" s="44"/>
      <c r="B159" s="39"/>
      <c r="C159" s="39"/>
      <c r="D159" s="39"/>
      <c r="E159" s="39"/>
      <c r="F159" s="39"/>
      <c r="G159" s="39"/>
      <c r="H159" s="67"/>
      <c r="I159" s="67"/>
      <c r="J159" s="67"/>
      <c r="K159" s="67"/>
      <c r="L159" s="67"/>
      <c r="M159" s="67"/>
      <c r="N159" s="67"/>
      <c r="O159" s="67"/>
      <c r="P159" s="68"/>
      <c r="Q159" s="70"/>
    </row>
    <row r="160" spans="1:17">
      <c r="A160" s="44"/>
      <c r="B160" s="39"/>
      <c r="C160" s="39"/>
      <c r="D160" s="39"/>
      <c r="E160" s="39"/>
      <c r="F160" s="39"/>
      <c r="G160" s="39"/>
      <c r="H160" s="67"/>
      <c r="I160" s="67"/>
      <c r="J160" s="67"/>
      <c r="K160" s="67"/>
      <c r="L160" s="67"/>
      <c r="M160" s="67"/>
      <c r="N160" s="67"/>
      <c r="O160" s="67"/>
      <c r="P160" s="68"/>
      <c r="Q160" s="70"/>
    </row>
    <row r="161" spans="1:17">
      <c r="A161" s="44"/>
      <c r="B161" s="39"/>
      <c r="C161" s="39"/>
      <c r="D161" s="39"/>
      <c r="E161" s="39"/>
      <c r="F161" s="39"/>
      <c r="G161" s="39"/>
      <c r="H161" s="67"/>
      <c r="I161" s="67"/>
      <c r="J161" s="67"/>
      <c r="K161" s="67"/>
      <c r="L161" s="67"/>
      <c r="M161" s="67"/>
      <c r="N161" s="67"/>
      <c r="O161" s="67"/>
      <c r="P161" s="68"/>
      <c r="Q161" s="70"/>
    </row>
    <row r="162" spans="1:17">
      <c r="A162" s="44"/>
      <c r="B162" s="39"/>
      <c r="C162" s="39"/>
      <c r="D162" s="39"/>
      <c r="E162" s="39"/>
      <c r="F162" s="39"/>
      <c r="G162" s="39"/>
      <c r="H162" s="67"/>
      <c r="I162" s="67"/>
      <c r="J162" s="67"/>
      <c r="K162" s="67"/>
      <c r="L162" s="67"/>
      <c r="M162" s="67"/>
      <c r="N162" s="67"/>
      <c r="O162" s="67"/>
      <c r="P162" s="68"/>
      <c r="Q162" s="70"/>
    </row>
    <row r="163" spans="1:17">
      <c r="A163" s="44"/>
      <c r="B163" s="39"/>
      <c r="C163" s="39"/>
      <c r="D163" s="39"/>
      <c r="E163" s="39"/>
      <c r="F163" s="39"/>
      <c r="G163" s="39"/>
      <c r="H163" s="67"/>
      <c r="I163" s="67"/>
      <c r="J163" s="67"/>
      <c r="K163" s="67"/>
      <c r="L163" s="67"/>
      <c r="M163" s="67"/>
      <c r="N163" s="67"/>
      <c r="O163" s="67"/>
      <c r="P163" s="68"/>
      <c r="Q163" s="70"/>
    </row>
    <row r="164" spans="1:17">
      <c r="A164" s="44"/>
      <c r="B164" s="39"/>
      <c r="C164" s="39"/>
      <c r="D164" s="39"/>
      <c r="E164" s="39"/>
      <c r="F164" s="39"/>
      <c r="G164" s="39"/>
      <c r="H164" s="67"/>
      <c r="I164" s="67"/>
      <c r="J164" s="67"/>
      <c r="K164" s="67"/>
      <c r="L164" s="67"/>
      <c r="M164" s="67"/>
      <c r="N164" s="67"/>
      <c r="O164" s="67"/>
      <c r="P164" s="68"/>
      <c r="Q164" s="70"/>
    </row>
    <row r="165" spans="1:17">
      <c r="A165" s="44"/>
      <c r="B165" s="39"/>
      <c r="C165" s="39"/>
      <c r="D165" s="39"/>
      <c r="E165" s="39"/>
      <c r="F165" s="39"/>
      <c r="G165" s="39"/>
      <c r="H165" s="67"/>
      <c r="I165" s="67"/>
      <c r="J165" s="67"/>
      <c r="K165" s="67"/>
      <c r="L165" s="67"/>
      <c r="M165" s="67"/>
      <c r="N165" s="67"/>
      <c r="O165" s="67"/>
      <c r="P165" s="68"/>
      <c r="Q165" s="70"/>
    </row>
    <row r="166" spans="1:17">
      <c r="A166" s="44"/>
      <c r="B166" s="39"/>
      <c r="C166" s="39"/>
      <c r="D166" s="39"/>
      <c r="E166" s="39"/>
      <c r="F166" s="39"/>
      <c r="G166" s="39"/>
      <c r="H166" s="67"/>
      <c r="I166" s="67"/>
      <c r="J166" s="67"/>
      <c r="K166" s="67"/>
      <c r="L166" s="67"/>
      <c r="M166" s="67"/>
      <c r="N166" s="67"/>
      <c r="O166" s="67"/>
      <c r="P166" s="68"/>
      <c r="Q166" s="70"/>
    </row>
    <row r="167" spans="1:17">
      <c r="A167" s="44"/>
      <c r="B167" s="39"/>
      <c r="C167" s="39"/>
      <c r="D167" s="39"/>
      <c r="E167" s="39"/>
      <c r="F167" s="39"/>
      <c r="G167" s="39"/>
      <c r="H167" s="67"/>
      <c r="I167" s="67"/>
      <c r="J167" s="67"/>
      <c r="K167" s="67"/>
      <c r="L167" s="67"/>
      <c r="M167" s="67"/>
      <c r="N167" s="67"/>
      <c r="O167" s="67"/>
      <c r="P167" s="68"/>
      <c r="Q167" s="70"/>
    </row>
    <row r="168" spans="1:17">
      <c r="A168" s="44"/>
      <c r="B168" s="39"/>
      <c r="C168" s="39"/>
      <c r="D168" s="39"/>
      <c r="E168" s="39"/>
      <c r="F168" s="39"/>
      <c r="G168" s="39"/>
      <c r="H168" s="67"/>
      <c r="I168" s="67"/>
      <c r="J168" s="67"/>
      <c r="K168" s="67"/>
      <c r="L168" s="67"/>
      <c r="M168" s="67"/>
      <c r="N168" s="67"/>
      <c r="O168" s="67"/>
      <c r="P168" s="68"/>
      <c r="Q168" s="70"/>
    </row>
    <row r="169" spans="1:17">
      <c r="A169" s="44"/>
      <c r="B169" s="39"/>
      <c r="C169" s="39"/>
      <c r="D169" s="39"/>
      <c r="E169" s="39"/>
      <c r="F169" s="39"/>
      <c r="G169" s="39"/>
      <c r="H169" s="67"/>
      <c r="I169" s="67"/>
      <c r="J169" s="67"/>
      <c r="K169" s="67"/>
      <c r="L169" s="67"/>
      <c r="M169" s="67"/>
      <c r="N169" s="67"/>
      <c r="O169" s="67"/>
      <c r="P169" s="68"/>
      <c r="Q169" s="70"/>
    </row>
    <row r="170" spans="1:17">
      <c r="A170" s="44"/>
      <c r="B170" s="39"/>
      <c r="C170" s="39"/>
      <c r="D170" s="39"/>
      <c r="E170" s="39"/>
      <c r="F170" s="39"/>
      <c r="G170" s="39"/>
      <c r="H170" s="67"/>
      <c r="I170" s="67"/>
      <c r="J170" s="67"/>
      <c r="K170" s="67"/>
      <c r="L170" s="67"/>
      <c r="M170" s="67"/>
      <c r="N170" s="67"/>
      <c r="O170" s="67"/>
      <c r="P170" s="68"/>
      <c r="Q170" s="70"/>
    </row>
    <row r="171" spans="1:17">
      <c r="A171" s="44"/>
      <c r="B171" s="39"/>
      <c r="C171" s="39"/>
      <c r="D171" s="39"/>
      <c r="E171" s="39"/>
      <c r="F171" s="39"/>
      <c r="G171" s="39"/>
      <c r="H171" s="67"/>
      <c r="I171" s="67"/>
      <c r="J171" s="67"/>
      <c r="K171" s="67"/>
      <c r="L171" s="67"/>
      <c r="M171" s="67"/>
      <c r="N171" s="67"/>
      <c r="O171" s="67"/>
      <c r="P171" s="68"/>
      <c r="Q171" s="70"/>
    </row>
    <row r="172" spans="1:17">
      <c r="A172" s="44"/>
      <c r="B172" s="39"/>
      <c r="C172" s="39"/>
      <c r="D172" s="39"/>
      <c r="E172" s="39"/>
      <c r="F172" s="39"/>
      <c r="G172" s="39"/>
      <c r="H172" s="67"/>
      <c r="I172" s="67"/>
      <c r="J172" s="67"/>
      <c r="K172" s="67"/>
      <c r="L172" s="67"/>
      <c r="M172" s="67"/>
      <c r="N172" s="67"/>
      <c r="O172" s="67"/>
      <c r="P172" s="68"/>
      <c r="Q172" s="70"/>
    </row>
    <row r="173" spans="1:17">
      <c r="A173" s="44"/>
      <c r="B173" s="39"/>
      <c r="C173" s="39"/>
      <c r="D173" s="39"/>
      <c r="E173" s="39"/>
      <c r="F173" s="39"/>
      <c r="G173" s="39"/>
      <c r="H173" s="67"/>
      <c r="I173" s="67"/>
      <c r="J173" s="67"/>
      <c r="K173" s="67"/>
      <c r="L173" s="67"/>
      <c r="M173" s="67"/>
      <c r="N173" s="67"/>
      <c r="O173" s="67"/>
      <c r="P173" s="68"/>
      <c r="Q173" s="70"/>
    </row>
    <row r="174" spans="1:17">
      <c r="A174" s="44"/>
      <c r="B174" s="39"/>
      <c r="C174" s="39"/>
      <c r="D174" s="39"/>
      <c r="E174" s="39"/>
      <c r="F174" s="39"/>
      <c r="G174" s="39"/>
      <c r="H174" s="67"/>
      <c r="I174" s="67"/>
      <c r="J174" s="67"/>
      <c r="K174" s="67"/>
      <c r="L174" s="67"/>
      <c r="M174" s="67"/>
      <c r="N174" s="67"/>
      <c r="O174" s="67"/>
      <c r="P174" s="68"/>
      <c r="Q174" s="70"/>
    </row>
    <row r="175" spans="1:17">
      <c r="A175" s="44"/>
      <c r="B175" s="39"/>
      <c r="C175" s="39"/>
      <c r="D175" s="39"/>
      <c r="E175" s="39"/>
      <c r="F175" s="39"/>
      <c r="G175" s="39"/>
      <c r="H175" s="67"/>
      <c r="I175" s="67"/>
      <c r="J175" s="67"/>
      <c r="K175" s="67"/>
      <c r="L175" s="67"/>
      <c r="M175" s="67"/>
      <c r="N175" s="67"/>
      <c r="O175" s="67"/>
      <c r="P175" s="68"/>
      <c r="Q175" s="70"/>
    </row>
    <row r="176" spans="1:17">
      <c r="A176" s="44"/>
      <c r="B176" s="39"/>
      <c r="C176" s="39"/>
      <c r="D176" s="39"/>
      <c r="E176" s="39"/>
      <c r="F176" s="39"/>
      <c r="G176" s="39"/>
      <c r="H176" s="67"/>
      <c r="I176" s="67"/>
      <c r="J176" s="67"/>
      <c r="K176" s="67"/>
      <c r="L176" s="67"/>
      <c r="M176" s="67"/>
      <c r="N176" s="67"/>
      <c r="O176" s="67"/>
      <c r="P176" s="68"/>
      <c r="Q176" s="70"/>
    </row>
    <row r="177" spans="1:17">
      <c r="A177" s="44"/>
      <c r="B177" s="39"/>
      <c r="C177" s="39"/>
      <c r="D177" s="39"/>
      <c r="E177" s="39"/>
      <c r="F177" s="39"/>
      <c r="G177" s="39"/>
      <c r="H177" s="67"/>
      <c r="I177" s="67"/>
      <c r="J177" s="67"/>
      <c r="K177" s="67"/>
      <c r="L177" s="67"/>
      <c r="M177" s="67"/>
      <c r="N177" s="67"/>
      <c r="O177" s="67"/>
      <c r="P177" s="68"/>
      <c r="Q177" s="70"/>
    </row>
    <row r="178" spans="1:17">
      <c r="A178" s="44"/>
      <c r="B178" s="39"/>
      <c r="C178" s="39"/>
      <c r="D178" s="39"/>
      <c r="E178" s="39"/>
      <c r="F178" s="39"/>
      <c r="G178" s="39"/>
      <c r="H178" s="67"/>
      <c r="I178" s="67"/>
      <c r="J178" s="67"/>
      <c r="K178" s="67"/>
      <c r="L178" s="67"/>
      <c r="M178" s="67"/>
      <c r="N178" s="67"/>
      <c r="O178" s="67"/>
      <c r="P178" s="68"/>
      <c r="Q178" s="70"/>
    </row>
    <row r="179" spans="1:17">
      <c r="A179" s="44"/>
      <c r="B179" s="39"/>
      <c r="C179" s="39"/>
      <c r="D179" s="39"/>
      <c r="E179" s="39"/>
      <c r="F179" s="39"/>
      <c r="G179" s="39"/>
      <c r="H179" s="67"/>
      <c r="I179" s="67"/>
      <c r="J179" s="67"/>
      <c r="K179" s="67"/>
      <c r="L179" s="67"/>
      <c r="M179" s="67"/>
      <c r="N179" s="67"/>
      <c r="O179" s="67"/>
      <c r="P179" s="68"/>
      <c r="Q179" s="70"/>
    </row>
    <row r="180" spans="1:17">
      <c r="A180" s="44"/>
      <c r="B180" s="39"/>
      <c r="C180" s="39"/>
      <c r="D180" s="39"/>
      <c r="E180" s="39"/>
      <c r="F180" s="39"/>
      <c r="G180" s="39"/>
      <c r="H180" s="67"/>
      <c r="I180" s="67"/>
      <c r="J180" s="67"/>
      <c r="K180" s="67"/>
      <c r="L180" s="67"/>
      <c r="M180" s="67"/>
      <c r="N180" s="67"/>
      <c r="O180" s="67"/>
      <c r="P180" s="68"/>
      <c r="Q180" s="70"/>
    </row>
    <row r="181" spans="1:17">
      <c r="A181" s="44"/>
      <c r="B181" s="39"/>
      <c r="C181" s="39"/>
      <c r="D181" s="39"/>
      <c r="E181" s="39"/>
      <c r="F181" s="39"/>
      <c r="G181" s="39"/>
      <c r="H181" s="67"/>
      <c r="I181" s="67"/>
      <c r="J181" s="67"/>
      <c r="K181" s="67"/>
      <c r="L181" s="67"/>
      <c r="M181" s="67"/>
      <c r="N181" s="67"/>
      <c r="O181" s="67"/>
      <c r="P181" s="68"/>
      <c r="Q181" s="70"/>
    </row>
    <row r="182" spans="1:17">
      <c r="A182" s="44"/>
      <c r="B182" s="39"/>
      <c r="C182" s="39"/>
      <c r="D182" s="39"/>
      <c r="E182" s="39"/>
      <c r="F182" s="39"/>
      <c r="G182" s="39"/>
      <c r="H182" s="67"/>
      <c r="I182" s="67"/>
      <c r="J182" s="67"/>
      <c r="K182" s="67"/>
      <c r="L182" s="67"/>
      <c r="M182" s="67"/>
      <c r="N182" s="67"/>
      <c r="O182" s="67"/>
      <c r="P182" s="68"/>
      <c r="Q182" s="70"/>
    </row>
    <row r="183" spans="1:17">
      <c r="A183" s="44"/>
      <c r="B183" s="39"/>
      <c r="C183" s="39"/>
      <c r="D183" s="39"/>
      <c r="E183" s="39"/>
      <c r="F183" s="39"/>
      <c r="G183" s="39"/>
      <c r="H183" s="67"/>
      <c r="I183" s="67"/>
      <c r="J183" s="67"/>
      <c r="K183" s="67"/>
      <c r="L183" s="67"/>
      <c r="M183" s="67"/>
      <c r="N183" s="67"/>
      <c r="O183" s="67"/>
      <c r="P183" s="68"/>
      <c r="Q183" s="70"/>
    </row>
    <row r="184" spans="1:17">
      <c r="A184" s="44"/>
      <c r="B184" s="39"/>
      <c r="C184" s="39"/>
      <c r="D184" s="39"/>
      <c r="E184" s="39"/>
      <c r="F184" s="39"/>
      <c r="G184" s="39"/>
      <c r="H184" s="67"/>
      <c r="I184" s="67"/>
      <c r="J184" s="67"/>
      <c r="K184" s="67"/>
      <c r="L184" s="67"/>
      <c r="M184" s="67"/>
      <c r="N184" s="67"/>
      <c r="O184" s="67"/>
      <c r="P184" s="68"/>
      <c r="Q184" s="70"/>
    </row>
    <row r="185" spans="1:17">
      <c r="A185" s="44"/>
      <c r="B185" s="39"/>
      <c r="C185" s="39"/>
      <c r="D185" s="39"/>
      <c r="E185" s="39"/>
      <c r="F185" s="39"/>
      <c r="G185" s="39"/>
      <c r="H185" s="67"/>
      <c r="I185" s="67"/>
      <c r="J185" s="67"/>
      <c r="K185" s="67"/>
      <c r="L185" s="67"/>
      <c r="M185" s="67"/>
      <c r="N185" s="67"/>
      <c r="O185" s="67"/>
      <c r="P185" s="68"/>
      <c r="Q185" s="70"/>
    </row>
    <row r="186" spans="1:17">
      <c r="A186" s="44"/>
      <c r="B186" s="39"/>
      <c r="C186" s="39"/>
      <c r="D186" s="39"/>
      <c r="E186" s="39"/>
      <c r="F186" s="39"/>
      <c r="G186" s="39"/>
      <c r="H186" s="67"/>
      <c r="I186" s="67"/>
      <c r="J186" s="67"/>
      <c r="K186" s="67"/>
      <c r="L186" s="67"/>
      <c r="M186" s="67"/>
      <c r="N186" s="67"/>
      <c r="O186" s="67"/>
      <c r="P186" s="68"/>
      <c r="Q186" s="70"/>
    </row>
    <row r="187" spans="1:17">
      <c r="A187" s="44"/>
      <c r="B187" s="39"/>
      <c r="C187" s="39"/>
      <c r="D187" s="39"/>
      <c r="E187" s="39"/>
      <c r="F187" s="39"/>
      <c r="G187" s="39"/>
      <c r="H187" s="67"/>
      <c r="I187" s="67"/>
      <c r="J187" s="67"/>
      <c r="K187" s="67"/>
      <c r="L187" s="67"/>
      <c r="M187" s="67"/>
      <c r="N187" s="67"/>
      <c r="O187" s="67"/>
      <c r="P187" s="68"/>
      <c r="Q187" s="70"/>
    </row>
    <row r="188" spans="1:17">
      <c r="A188" s="44"/>
      <c r="B188" s="39"/>
      <c r="C188" s="39"/>
      <c r="D188" s="39"/>
      <c r="E188" s="39"/>
      <c r="F188" s="39"/>
      <c r="G188" s="39"/>
      <c r="H188" s="67"/>
      <c r="I188" s="67"/>
      <c r="J188" s="67"/>
      <c r="K188" s="67"/>
      <c r="L188" s="67"/>
      <c r="M188" s="67"/>
      <c r="N188" s="67"/>
      <c r="O188" s="67"/>
      <c r="P188" s="68"/>
      <c r="Q188" s="70"/>
    </row>
    <row r="189" spans="1:17">
      <c r="A189" s="44"/>
      <c r="B189" s="39"/>
      <c r="C189" s="39"/>
      <c r="D189" s="39"/>
      <c r="E189" s="39"/>
      <c r="F189" s="39"/>
      <c r="G189" s="39"/>
      <c r="H189" s="67"/>
      <c r="I189" s="67"/>
      <c r="J189" s="67"/>
      <c r="K189" s="67"/>
      <c r="L189" s="67"/>
      <c r="M189" s="67"/>
      <c r="N189" s="67"/>
      <c r="O189" s="67"/>
      <c r="P189" s="68"/>
      <c r="Q189" s="70"/>
    </row>
    <row r="190" spans="1:17">
      <c r="A190" s="44"/>
      <c r="B190" s="39"/>
      <c r="C190" s="39"/>
      <c r="D190" s="39"/>
      <c r="E190" s="39"/>
      <c r="F190" s="39"/>
      <c r="G190" s="39"/>
      <c r="H190" s="67"/>
      <c r="I190" s="67"/>
      <c r="J190" s="67"/>
      <c r="K190" s="67"/>
      <c r="L190" s="67"/>
      <c r="M190" s="67"/>
      <c r="N190" s="67"/>
      <c r="O190" s="67"/>
      <c r="P190" s="68"/>
      <c r="Q190" s="70"/>
    </row>
    <row r="191" spans="1:17">
      <c r="A191" s="44"/>
      <c r="B191" s="39"/>
      <c r="C191" s="39"/>
      <c r="D191" s="39"/>
      <c r="E191" s="39"/>
      <c r="F191" s="39"/>
      <c r="G191" s="39"/>
      <c r="H191" s="67"/>
      <c r="I191" s="67"/>
      <c r="J191" s="67"/>
      <c r="K191" s="67"/>
      <c r="L191" s="67"/>
      <c r="M191" s="67"/>
      <c r="N191" s="67"/>
      <c r="O191" s="67"/>
      <c r="P191" s="68"/>
      <c r="Q191" s="70"/>
    </row>
    <row r="192" spans="1:17">
      <c r="A192" s="44"/>
      <c r="B192" s="39"/>
      <c r="C192" s="39"/>
      <c r="D192" s="39"/>
      <c r="E192" s="39"/>
      <c r="F192" s="39"/>
      <c r="G192" s="39"/>
      <c r="H192" s="67"/>
      <c r="I192" s="67"/>
      <c r="J192" s="67"/>
      <c r="K192" s="67"/>
      <c r="L192" s="67"/>
      <c r="M192" s="67"/>
      <c r="N192" s="67"/>
      <c r="O192" s="67"/>
      <c r="P192" s="68"/>
      <c r="Q192" s="70"/>
    </row>
    <row r="193" spans="1:17">
      <c r="A193" s="44"/>
      <c r="B193" s="39"/>
      <c r="C193" s="39"/>
      <c r="D193" s="39"/>
      <c r="E193" s="39"/>
      <c r="F193" s="39"/>
      <c r="G193" s="39"/>
      <c r="H193" s="67"/>
      <c r="I193" s="67"/>
      <c r="J193" s="67"/>
      <c r="K193" s="67"/>
      <c r="L193" s="67"/>
      <c r="M193" s="67"/>
      <c r="N193" s="67"/>
      <c r="O193" s="67"/>
      <c r="P193" s="68"/>
      <c r="Q193" s="70"/>
    </row>
    <row r="194" spans="1:17">
      <c r="A194" s="44"/>
      <c r="B194" s="39"/>
      <c r="C194" s="39"/>
      <c r="D194" s="39"/>
      <c r="E194" s="39"/>
      <c r="F194" s="39"/>
      <c r="G194" s="39"/>
      <c r="H194" s="67"/>
      <c r="I194" s="67"/>
      <c r="J194" s="67"/>
      <c r="K194" s="67"/>
      <c r="L194" s="67"/>
      <c r="M194" s="67"/>
      <c r="N194" s="67"/>
      <c r="O194" s="67"/>
      <c r="P194" s="68"/>
      <c r="Q194" s="70"/>
    </row>
    <row r="195" spans="1:17">
      <c r="A195" s="44"/>
      <c r="B195" s="39"/>
      <c r="C195" s="39"/>
      <c r="D195" s="39"/>
      <c r="E195" s="39"/>
      <c r="F195" s="39"/>
      <c r="G195" s="39"/>
      <c r="H195" s="67"/>
      <c r="I195" s="67"/>
      <c r="J195" s="67"/>
      <c r="K195" s="67"/>
      <c r="L195" s="67"/>
      <c r="M195" s="67"/>
      <c r="N195" s="67"/>
      <c r="O195" s="67"/>
      <c r="P195" s="68"/>
      <c r="Q195" s="70"/>
    </row>
    <row r="196" spans="1:17">
      <c r="A196" s="44"/>
      <c r="B196" s="39"/>
      <c r="C196" s="39"/>
      <c r="D196" s="39"/>
      <c r="E196" s="39"/>
      <c r="F196" s="39"/>
      <c r="G196" s="39"/>
      <c r="H196" s="67"/>
      <c r="I196" s="67"/>
      <c r="J196" s="67"/>
      <c r="K196" s="67"/>
      <c r="L196" s="67"/>
      <c r="M196" s="67"/>
      <c r="N196" s="67"/>
      <c r="O196" s="67"/>
      <c r="P196" s="68"/>
      <c r="Q196" s="70"/>
    </row>
    <row r="197" spans="1:17">
      <c r="A197" s="44"/>
      <c r="B197" s="39"/>
      <c r="C197" s="39"/>
      <c r="D197" s="39"/>
      <c r="E197" s="39"/>
      <c r="F197" s="39"/>
      <c r="G197" s="39"/>
      <c r="H197" s="67"/>
      <c r="I197" s="67"/>
      <c r="J197" s="67"/>
      <c r="K197" s="67"/>
      <c r="L197" s="67"/>
      <c r="M197" s="67"/>
      <c r="N197" s="67"/>
      <c r="O197" s="67"/>
      <c r="P197" s="68"/>
      <c r="Q197" s="70"/>
    </row>
    <row r="198" spans="1:17">
      <c r="A198" s="44"/>
      <c r="B198" s="39"/>
      <c r="C198" s="39"/>
      <c r="D198" s="39"/>
      <c r="E198" s="39"/>
      <c r="F198" s="39"/>
      <c r="G198" s="39"/>
      <c r="H198" s="67"/>
      <c r="I198" s="67"/>
      <c r="J198" s="67"/>
      <c r="K198" s="67"/>
      <c r="L198" s="67"/>
      <c r="M198" s="67"/>
      <c r="N198" s="67"/>
      <c r="O198" s="67"/>
      <c r="P198" s="68"/>
      <c r="Q198" s="70"/>
    </row>
    <row r="199" spans="1:17">
      <c r="A199" s="44"/>
      <c r="B199" s="39"/>
      <c r="C199" s="39"/>
      <c r="D199" s="39"/>
      <c r="E199" s="39"/>
      <c r="F199" s="39"/>
      <c r="G199" s="39"/>
      <c r="H199" s="67"/>
      <c r="I199" s="67"/>
      <c r="J199" s="67"/>
      <c r="K199" s="67"/>
      <c r="L199" s="67"/>
      <c r="M199" s="67"/>
      <c r="N199" s="67"/>
      <c r="O199" s="67"/>
      <c r="P199" s="68"/>
      <c r="Q199" s="70"/>
    </row>
    <row r="200" spans="1:17">
      <c r="A200" s="44"/>
      <c r="B200" s="39"/>
      <c r="C200" s="39"/>
      <c r="D200" s="39"/>
      <c r="E200" s="39"/>
      <c r="F200" s="39"/>
      <c r="G200" s="39"/>
      <c r="H200" s="67"/>
      <c r="I200" s="67"/>
      <c r="J200" s="67"/>
      <c r="K200" s="67"/>
      <c r="L200" s="67"/>
      <c r="M200" s="67"/>
      <c r="N200" s="67"/>
      <c r="O200" s="67"/>
      <c r="P200" s="68"/>
      <c r="Q200" s="70"/>
    </row>
    <row r="201" spans="1:17">
      <c r="A201" s="44"/>
      <c r="B201" s="39"/>
      <c r="C201" s="39"/>
      <c r="D201" s="39"/>
      <c r="E201" s="39"/>
      <c r="F201" s="39"/>
      <c r="G201" s="39"/>
      <c r="H201" s="67"/>
      <c r="I201" s="67"/>
      <c r="J201" s="67"/>
      <c r="K201" s="67"/>
      <c r="L201" s="67"/>
      <c r="M201" s="67"/>
      <c r="N201" s="67"/>
      <c r="O201" s="67"/>
      <c r="P201" s="68"/>
      <c r="Q201" s="70"/>
    </row>
    <row r="202" spans="1:17">
      <c r="A202" s="44"/>
      <c r="B202" s="39"/>
      <c r="C202" s="39"/>
      <c r="D202" s="39"/>
      <c r="E202" s="39"/>
      <c r="F202" s="39"/>
      <c r="G202" s="39"/>
      <c r="H202" s="67"/>
      <c r="I202" s="67"/>
      <c r="J202" s="67"/>
      <c r="K202" s="67"/>
      <c r="L202" s="67"/>
      <c r="M202" s="67"/>
      <c r="N202" s="67"/>
      <c r="O202" s="67"/>
      <c r="P202" s="68"/>
      <c r="Q202" s="70"/>
    </row>
    <row r="203" spans="1:17">
      <c r="A203" s="44"/>
      <c r="B203" s="39"/>
      <c r="C203" s="39"/>
      <c r="D203" s="39"/>
      <c r="E203" s="39"/>
      <c r="F203" s="39"/>
      <c r="G203" s="39"/>
      <c r="H203" s="67"/>
      <c r="I203" s="67"/>
      <c r="J203" s="67"/>
      <c r="K203" s="67"/>
      <c r="L203" s="67"/>
      <c r="M203" s="67"/>
      <c r="N203" s="67"/>
      <c r="O203" s="67"/>
      <c r="P203" s="68"/>
      <c r="Q203" s="70"/>
    </row>
    <row r="204" spans="1:17">
      <c r="A204" s="44"/>
      <c r="B204" s="39"/>
      <c r="C204" s="39"/>
      <c r="D204" s="39"/>
      <c r="E204" s="39"/>
      <c r="F204" s="39"/>
      <c r="G204" s="39"/>
      <c r="H204" s="67"/>
      <c r="I204" s="67"/>
      <c r="J204" s="67"/>
      <c r="K204" s="67"/>
      <c r="L204" s="67"/>
      <c r="M204" s="67"/>
      <c r="N204" s="67"/>
      <c r="O204" s="67"/>
      <c r="P204" s="68"/>
      <c r="Q204" s="70"/>
    </row>
    <row r="205" spans="1:17">
      <c r="A205" s="44"/>
      <c r="B205" s="39"/>
      <c r="C205" s="39"/>
      <c r="D205" s="39"/>
      <c r="E205" s="39"/>
      <c r="F205" s="39"/>
      <c r="G205" s="39"/>
      <c r="H205" s="67"/>
      <c r="I205" s="67"/>
      <c r="J205" s="67"/>
      <c r="K205" s="67"/>
      <c r="L205" s="67"/>
      <c r="M205" s="67"/>
      <c r="N205" s="67"/>
      <c r="O205" s="67"/>
      <c r="P205" s="68"/>
      <c r="Q205" s="70"/>
    </row>
    <row r="206" spans="1:17">
      <c r="A206" s="53"/>
      <c r="B206" s="54"/>
      <c r="C206" s="54"/>
      <c r="D206" s="54"/>
      <c r="E206" s="54"/>
      <c r="F206" s="54"/>
      <c r="G206" s="54"/>
      <c r="H206" s="71"/>
      <c r="I206" s="71"/>
      <c r="J206" s="71"/>
      <c r="K206" s="71"/>
      <c r="L206" s="71"/>
      <c r="M206" s="71"/>
      <c r="N206" s="71"/>
      <c r="O206" s="71"/>
      <c r="P206" s="69"/>
      <c r="Q206" s="72"/>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50"/>
  <sheetViews>
    <sheetView workbookViewId="0"/>
  </sheetViews>
  <sheetFormatPr defaultRowHeight="14.25"/>
  <cols>
    <col min="1" max="2" width="12" customWidth="1"/>
    <col min="3" max="3" width="28" customWidth="1"/>
    <col min="4" max="5" width="18" customWidth="1"/>
    <col min="6" max="7" width="14" customWidth="1"/>
    <col min="8" max="8" width="12" customWidth="1"/>
    <col min="9" max="10" width="14" customWidth="1"/>
    <col min="11" max="12" width="16" customWidth="1"/>
    <col min="13" max="13" width="14" customWidth="1"/>
  </cols>
  <sheetData>
    <row r="1" spans="1:17" ht="24" customHeight="1">
      <c r="A1" s="200" t="s">
        <v>406</v>
      </c>
      <c r="B1" s="201"/>
      <c r="C1" s="201"/>
      <c r="D1" s="201"/>
      <c r="E1" s="201"/>
      <c r="F1" s="201"/>
      <c r="G1" s="201"/>
      <c r="H1" s="201"/>
      <c r="I1" s="201"/>
      <c r="J1" s="201"/>
      <c r="K1" s="201"/>
      <c r="L1" s="203"/>
      <c r="M1" s="203"/>
      <c r="N1" s="3"/>
      <c r="O1" s="3"/>
      <c r="P1" s="3"/>
      <c r="Q1" s="3"/>
    </row>
    <row r="2" spans="1:17" ht="33.950000000000003" customHeight="1">
      <c r="A2" s="202" t="s">
        <v>407</v>
      </c>
      <c r="B2" s="203"/>
      <c r="C2" s="203"/>
      <c r="D2" s="203"/>
      <c r="E2" s="203"/>
      <c r="F2" s="203"/>
      <c r="G2" s="203"/>
      <c r="H2" s="203"/>
      <c r="I2" s="203"/>
      <c r="J2" s="203"/>
      <c r="K2" s="203"/>
      <c r="L2" s="203"/>
      <c r="M2" s="20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408</v>
      </c>
      <c r="B6" s="4" t="s">
        <v>328</v>
      </c>
      <c r="C6" s="4" t="s">
        <v>321</v>
      </c>
      <c r="D6" s="4" t="s">
        <v>409</v>
      </c>
      <c r="E6" s="4" t="s">
        <v>410</v>
      </c>
      <c r="F6" s="4" t="s">
        <v>411</v>
      </c>
      <c r="G6" s="4" t="s">
        <v>412</v>
      </c>
      <c r="H6" s="4" t="s">
        <v>413</v>
      </c>
      <c r="I6" s="4" t="s">
        <v>414</v>
      </c>
      <c r="J6" s="4" t="s">
        <v>415</v>
      </c>
      <c r="K6" s="4" t="s">
        <v>416</v>
      </c>
      <c r="L6" s="4" t="s">
        <v>417</v>
      </c>
      <c r="M6" s="4" t="s">
        <v>418</v>
      </c>
      <c r="N6" s="3"/>
      <c r="O6" s="3"/>
      <c r="P6" s="3"/>
      <c r="Q6" s="3"/>
    </row>
    <row r="7" spans="1:17" ht="15">
      <c r="A7" s="12"/>
      <c r="B7" s="12"/>
      <c r="C7" s="12"/>
      <c r="D7" s="12"/>
      <c r="E7" s="12"/>
      <c r="F7" s="12"/>
      <c r="G7" s="12"/>
      <c r="H7" s="12"/>
      <c r="I7" s="12"/>
      <c r="J7" s="12"/>
      <c r="K7" s="12"/>
      <c r="L7" s="12"/>
      <c r="M7" s="12"/>
      <c r="N7" s="3"/>
      <c r="O7" s="3"/>
      <c r="P7" s="3"/>
      <c r="Q7" s="3"/>
    </row>
    <row r="8" spans="1:17" ht="15">
      <c r="A8" s="12"/>
      <c r="B8" s="12"/>
      <c r="C8" s="12"/>
      <c r="D8" s="12"/>
      <c r="E8" s="12"/>
      <c r="F8" s="12"/>
      <c r="G8" s="12"/>
      <c r="H8" s="12"/>
      <c r="I8" s="12"/>
      <c r="J8" s="12"/>
      <c r="K8" s="12"/>
      <c r="L8" s="12"/>
      <c r="M8" s="12"/>
      <c r="N8" s="3"/>
      <c r="O8" s="3"/>
      <c r="P8" s="3"/>
      <c r="Q8" s="3"/>
    </row>
    <row r="9" spans="1:17" ht="15">
      <c r="A9" s="12"/>
      <c r="B9" s="12"/>
      <c r="C9" s="12"/>
      <c r="D9" s="12"/>
      <c r="E9" s="12"/>
      <c r="F9" s="12"/>
      <c r="G9" s="12"/>
      <c r="H9" s="12"/>
      <c r="I9" s="12"/>
      <c r="J9" s="12"/>
      <c r="K9" s="12"/>
      <c r="L9" s="12"/>
      <c r="M9" s="12"/>
      <c r="N9" s="3"/>
      <c r="O9" s="3"/>
      <c r="P9" s="3"/>
      <c r="Q9" s="3"/>
    </row>
    <row r="10" spans="1:17" ht="15">
      <c r="A10" s="12"/>
      <c r="B10" s="12"/>
      <c r="C10" s="12"/>
      <c r="D10" s="12"/>
      <c r="E10" s="12"/>
      <c r="F10" s="12"/>
      <c r="G10" s="12"/>
      <c r="H10" s="12"/>
      <c r="I10" s="12"/>
      <c r="J10" s="12"/>
      <c r="K10" s="12"/>
      <c r="L10" s="12"/>
      <c r="M10" s="12"/>
      <c r="N10" s="3"/>
      <c r="O10" s="3"/>
      <c r="P10" s="3"/>
      <c r="Q10" s="3"/>
    </row>
    <row r="11" spans="1:17" ht="15">
      <c r="A11" s="12"/>
      <c r="B11" s="12"/>
      <c r="C11" s="12"/>
      <c r="D11" s="12"/>
      <c r="E11" s="12"/>
      <c r="F11" s="12"/>
      <c r="G11" s="12"/>
      <c r="H11" s="12"/>
      <c r="I11" s="12"/>
      <c r="J11" s="12"/>
      <c r="K11" s="12"/>
      <c r="L11" s="12"/>
      <c r="M11" s="12"/>
      <c r="N11" s="3"/>
      <c r="O11" s="3"/>
      <c r="P11" s="3"/>
      <c r="Q11" s="3"/>
    </row>
    <row r="12" spans="1:17" ht="15">
      <c r="A12" s="12"/>
      <c r="B12" s="12"/>
      <c r="C12" s="12"/>
      <c r="D12" s="12"/>
      <c r="E12" s="12"/>
      <c r="F12" s="12"/>
      <c r="G12" s="12"/>
      <c r="H12" s="12"/>
      <c r="I12" s="12"/>
      <c r="J12" s="12"/>
      <c r="K12" s="12"/>
      <c r="L12" s="12"/>
      <c r="M12" s="12"/>
      <c r="N12" s="3"/>
      <c r="O12" s="3"/>
      <c r="P12" s="3"/>
      <c r="Q12" s="3"/>
    </row>
    <row r="13" spans="1:17" ht="15">
      <c r="A13" s="12"/>
      <c r="B13" s="12"/>
      <c r="C13" s="12"/>
      <c r="D13" s="12"/>
      <c r="E13" s="12"/>
      <c r="F13" s="12"/>
      <c r="G13" s="12"/>
      <c r="H13" s="12"/>
      <c r="I13" s="12"/>
      <c r="J13" s="12"/>
      <c r="K13" s="12"/>
      <c r="L13" s="12"/>
      <c r="M13" s="12"/>
      <c r="N13" s="3"/>
      <c r="O13" s="3"/>
      <c r="P13" s="3"/>
      <c r="Q13" s="3"/>
    </row>
    <row r="14" spans="1:17" ht="15">
      <c r="A14" s="12"/>
      <c r="B14" s="12"/>
      <c r="C14" s="12"/>
      <c r="D14" s="12"/>
      <c r="E14" s="12"/>
      <c r="F14" s="12"/>
      <c r="G14" s="12"/>
      <c r="H14" s="12"/>
      <c r="I14" s="12"/>
      <c r="J14" s="12"/>
      <c r="K14" s="12"/>
      <c r="L14" s="12"/>
      <c r="M14" s="12"/>
      <c r="N14" s="3"/>
      <c r="O14" s="3"/>
      <c r="P14" s="3"/>
      <c r="Q14" s="3"/>
    </row>
    <row r="15" spans="1:17" ht="15">
      <c r="A15" s="12"/>
      <c r="B15" s="12"/>
      <c r="C15" s="12"/>
      <c r="D15" s="12"/>
      <c r="E15" s="12"/>
      <c r="F15" s="12"/>
      <c r="G15" s="12"/>
      <c r="H15" s="12"/>
      <c r="I15" s="12"/>
      <c r="J15" s="12"/>
      <c r="K15" s="12"/>
      <c r="L15" s="12"/>
      <c r="M15" s="12"/>
      <c r="N15" s="3"/>
      <c r="O15" s="3"/>
      <c r="P15" s="3"/>
      <c r="Q15" s="3"/>
    </row>
    <row r="16" spans="1:17" ht="15">
      <c r="A16" s="12"/>
      <c r="B16" s="12"/>
      <c r="C16" s="12"/>
      <c r="D16" s="12"/>
      <c r="E16" s="12"/>
      <c r="F16" s="12"/>
      <c r="G16" s="12"/>
      <c r="H16" s="12"/>
      <c r="I16" s="12"/>
      <c r="J16" s="12"/>
      <c r="K16" s="12"/>
      <c r="L16" s="12"/>
      <c r="M16" s="12"/>
      <c r="N16" s="3"/>
      <c r="O16" s="3"/>
      <c r="P16" s="3"/>
      <c r="Q16" s="3"/>
    </row>
    <row r="17" spans="1:17" ht="15">
      <c r="A17" s="12"/>
      <c r="B17" s="12"/>
      <c r="C17" s="12"/>
      <c r="D17" s="12"/>
      <c r="E17" s="12"/>
      <c r="F17" s="12"/>
      <c r="G17" s="12"/>
      <c r="H17" s="12"/>
      <c r="I17" s="12"/>
      <c r="J17" s="12"/>
      <c r="K17" s="12"/>
      <c r="L17" s="12"/>
      <c r="M17" s="12"/>
      <c r="N17" s="3"/>
      <c r="O17" s="3"/>
      <c r="P17" s="3"/>
      <c r="Q17" s="3"/>
    </row>
    <row r="18" spans="1:17" ht="15">
      <c r="A18" s="12"/>
      <c r="B18" s="12"/>
      <c r="C18" s="12"/>
      <c r="D18" s="12"/>
      <c r="E18" s="12"/>
      <c r="F18" s="12"/>
      <c r="G18" s="12"/>
      <c r="H18" s="12"/>
      <c r="I18" s="12"/>
      <c r="J18" s="12"/>
      <c r="K18" s="12"/>
      <c r="L18" s="12"/>
      <c r="M18" s="12"/>
      <c r="N18" s="3"/>
      <c r="O18" s="3"/>
      <c r="P18" s="3"/>
      <c r="Q18" s="3"/>
    </row>
    <row r="19" spans="1:17" ht="15">
      <c r="A19" s="12"/>
      <c r="B19" s="12"/>
      <c r="C19" s="12"/>
      <c r="D19" s="12"/>
      <c r="E19" s="12"/>
      <c r="F19" s="12"/>
      <c r="G19" s="12"/>
      <c r="H19" s="12"/>
      <c r="I19" s="12"/>
      <c r="J19" s="12"/>
      <c r="K19" s="12"/>
      <c r="L19" s="12"/>
      <c r="M19" s="12"/>
      <c r="N19" s="3"/>
      <c r="O19" s="3"/>
      <c r="P19" s="3"/>
      <c r="Q19" s="3"/>
    </row>
    <row r="20" spans="1:17" ht="15">
      <c r="A20" s="12"/>
      <c r="B20" s="12"/>
      <c r="C20" s="12"/>
      <c r="D20" s="12"/>
      <c r="E20" s="12"/>
      <c r="F20" s="12"/>
      <c r="G20" s="12"/>
      <c r="H20" s="12"/>
      <c r="I20" s="12"/>
      <c r="J20" s="12"/>
      <c r="K20" s="12"/>
      <c r="L20" s="12"/>
      <c r="M20" s="12"/>
      <c r="N20" s="3"/>
      <c r="O20" s="3"/>
      <c r="P20" s="3"/>
      <c r="Q20" s="3"/>
    </row>
    <row r="21" spans="1:17" ht="15">
      <c r="A21" s="12"/>
      <c r="B21" s="12"/>
      <c r="C21" s="12"/>
      <c r="D21" s="12"/>
      <c r="E21" s="12"/>
      <c r="F21" s="12"/>
      <c r="G21" s="12"/>
      <c r="H21" s="12"/>
      <c r="I21" s="12"/>
      <c r="J21" s="12"/>
      <c r="K21" s="12"/>
      <c r="L21" s="12"/>
      <c r="M21" s="12"/>
      <c r="N21" s="3"/>
      <c r="O21" s="3"/>
      <c r="P21" s="3"/>
      <c r="Q21" s="3"/>
    </row>
    <row r="22" spans="1:17" ht="15">
      <c r="A22" s="12"/>
      <c r="B22" s="12"/>
      <c r="C22" s="12"/>
      <c r="D22" s="12"/>
      <c r="E22" s="12"/>
      <c r="F22" s="12"/>
      <c r="G22" s="12"/>
      <c r="H22" s="12"/>
      <c r="I22" s="12"/>
      <c r="J22" s="12"/>
      <c r="K22" s="12"/>
      <c r="L22" s="12"/>
      <c r="M22" s="12"/>
      <c r="N22" s="3"/>
      <c r="O22" s="3"/>
      <c r="P22" s="3"/>
      <c r="Q22" s="3"/>
    </row>
    <row r="23" spans="1:17" ht="15">
      <c r="A23" s="12"/>
      <c r="B23" s="12"/>
      <c r="C23" s="12"/>
      <c r="D23" s="12"/>
      <c r="E23" s="12"/>
      <c r="F23" s="12"/>
      <c r="G23" s="12"/>
      <c r="H23" s="12"/>
      <c r="I23" s="12"/>
      <c r="J23" s="12"/>
      <c r="K23" s="12"/>
      <c r="L23" s="12"/>
      <c r="M23" s="12"/>
      <c r="N23" s="3"/>
      <c r="O23" s="3"/>
      <c r="P23" s="3"/>
      <c r="Q23" s="3"/>
    </row>
    <row r="24" spans="1:17" ht="15">
      <c r="A24" s="12"/>
      <c r="B24" s="12"/>
      <c r="C24" s="12"/>
      <c r="D24" s="12"/>
      <c r="E24" s="12"/>
      <c r="F24" s="12"/>
      <c r="G24" s="12"/>
      <c r="H24" s="12"/>
      <c r="I24" s="12"/>
      <c r="J24" s="12"/>
      <c r="K24" s="12"/>
      <c r="L24" s="12"/>
      <c r="M24" s="12"/>
      <c r="N24" s="3"/>
      <c r="O24" s="3"/>
      <c r="P24" s="3"/>
      <c r="Q24" s="3"/>
    </row>
    <row r="25" spans="1:17" ht="15">
      <c r="A25" s="12"/>
      <c r="B25" s="12"/>
      <c r="C25" s="12"/>
      <c r="D25" s="12"/>
      <c r="E25" s="12"/>
      <c r="F25" s="12"/>
      <c r="G25" s="12"/>
      <c r="H25" s="12"/>
      <c r="I25" s="12"/>
      <c r="J25" s="12"/>
      <c r="K25" s="12"/>
      <c r="L25" s="12"/>
      <c r="M25" s="12"/>
      <c r="N25" s="3"/>
      <c r="O25" s="3"/>
      <c r="P25" s="3"/>
      <c r="Q25" s="3"/>
    </row>
    <row r="26" spans="1:17" ht="15">
      <c r="A26" s="12"/>
      <c r="B26" s="12"/>
      <c r="C26" s="12"/>
      <c r="D26" s="12"/>
      <c r="E26" s="12"/>
      <c r="F26" s="12"/>
      <c r="G26" s="12"/>
      <c r="H26" s="12"/>
      <c r="I26" s="12"/>
      <c r="J26" s="12"/>
      <c r="K26" s="12"/>
      <c r="L26" s="12"/>
      <c r="M26" s="12"/>
      <c r="N26" s="3"/>
      <c r="O26" s="3"/>
      <c r="P26" s="3"/>
      <c r="Q26" s="3"/>
    </row>
    <row r="27" spans="1:17" ht="15">
      <c r="A27" s="12"/>
      <c r="B27" s="12"/>
      <c r="C27" s="12"/>
      <c r="D27" s="12"/>
      <c r="E27" s="12"/>
      <c r="F27" s="12"/>
      <c r="G27" s="12"/>
      <c r="H27" s="12"/>
      <c r="I27" s="12"/>
      <c r="J27" s="12"/>
      <c r="K27" s="12"/>
      <c r="L27" s="12"/>
      <c r="M27" s="12"/>
      <c r="N27" s="3"/>
      <c r="O27" s="3"/>
      <c r="P27" s="3"/>
      <c r="Q27" s="3"/>
    </row>
    <row r="28" spans="1:17" ht="15">
      <c r="A28" s="12"/>
      <c r="B28" s="12"/>
      <c r="C28" s="12"/>
      <c r="D28" s="12"/>
      <c r="E28" s="12"/>
      <c r="F28" s="12"/>
      <c r="G28" s="12"/>
      <c r="H28" s="12"/>
      <c r="I28" s="12"/>
      <c r="J28" s="12"/>
      <c r="K28" s="12"/>
      <c r="L28" s="12"/>
      <c r="M28" s="12"/>
      <c r="N28" s="3"/>
      <c r="O28" s="3"/>
      <c r="P28" s="3"/>
      <c r="Q28" s="3"/>
    </row>
    <row r="29" spans="1:17" ht="15">
      <c r="A29" s="12"/>
      <c r="B29" s="12"/>
      <c r="C29" s="12"/>
      <c r="D29" s="12"/>
      <c r="E29" s="12"/>
      <c r="F29" s="12"/>
      <c r="G29" s="12"/>
      <c r="H29" s="12"/>
      <c r="I29" s="12"/>
      <c r="J29" s="12"/>
      <c r="K29" s="12"/>
      <c r="L29" s="12"/>
      <c r="M29" s="12"/>
      <c r="N29" s="3"/>
      <c r="O29" s="3"/>
      <c r="P29" s="3"/>
      <c r="Q29" s="3"/>
    </row>
    <row r="30" spans="1:17" ht="15">
      <c r="A30" s="12"/>
      <c r="B30" s="12"/>
      <c r="C30" s="12"/>
      <c r="D30" s="12"/>
      <c r="E30" s="12"/>
      <c r="F30" s="12"/>
      <c r="G30" s="12"/>
      <c r="H30" s="12"/>
      <c r="I30" s="12"/>
      <c r="J30" s="12"/>
      <c r="K30" s="12"/>
      <c r="L30" s="12"/>
      <c r="M30" s="12"/>
      <c r="N30" s="3"/>
      <c r="O30" s="3"/>
      <c r="P30" s="3"/>
      <c r="Q30" s="3"/>
    </row>
    <row r="31" spans="1:17" ht="15">
      <c r="A31" s="12"/>
      <c r="B31" s="12"/>
      <c r="C31" s="12"/>
      <c r="D31" s="12"/>
      <c r="E31" s="12"/>
      <c r="F31" s="12"/>
      <c r="G31" s="12"/>
      <c r="H31" s="12"/>
      <c r="I31" s="12"/>
      <c r="J31" s="12"/>
      <c r="K31" s="12"/>
      <c r="L31" s="12"/>
      <c r="M31" s="12"/>
      <c r="N31" s="3"/>
      <c r="O31" s="3"/>
      <c r="P31" s="3"/>
      <c r="Q31" s="3"/>
    </row>
    <row r="32" spans="1:17" ht="15">
      <c r="A32" s="12"/>
      <c r="B32" s="12"/>
      <c r="C32" s="12"/>
      <c r="D32" s="12"/>
      <c r="E32" s="12"/>
      <c r="F32" s="12"/>
      <c r="G32" s="12"/>
      <c r="H32" s="12"/>
      <c r="I32" s="12"/>
      <c r="J32" s="12"/>
      <c r="K32" s="12"/>
      <c r="L32" s="12"/>
      <c r="M32" s="12"/>
      <c r="N32" s="3"/>
      <c r="O32" s="3"/>
      <c r="P32" s="3"/>
      <c r="Q32" s="3"/>
    </row>
    <row r="33" spans="1:17" ht="15">
      <c r="A33" s="12"/>
      <c r="B33" s="12"/>
      <c r="C33" s="12"/>
      <c r="D33" s="12"/>
      <c r="E33" s="12"/>
      <c r="F33" s="12"/>
      <c r="G33" s="12"/>
      <c r="H33" s="12"/>
      <c r="I33" s="12"/>
      <c r="J33" s="12"/>
      <c r="K33" s="12"/>
      <c r="L33" s="12"/>
      <c r="M33" s="12"/>
      <c r="N33" s="3"/>
      <c r="O33" s="3"/>
      <c r="P33" s="3"/>
      <c r="Q33" s="3"/>
    </row>
    <row r="34" spans="1:17" ht="15">
      <c r="A34" s="12"/>
      <c r="B34" s="12"/>
      <c r="C34" s="12"/>
      <c r="D34" s="12"/>
      <c r="E34" s="12"/>
      <c r="F34" s="12"/>
      <c r="G34" s="12"/>
      <c r="H34" s="12"/>
      <c r="I34" s="12"/>
      <c r="J34" s="12"/>
      <c r="K34" s="12"/>
      <c r="L34" s="12"/>
      <c r="M34" s="12"/>
      <c r="N34" s="3"/>
      <c r="O34" s="3"/>
      <c r="P34" s="3"/>
      <c r="Q34" s="3"/>
    </row>
    <row r="35" spans="1:17" ht="15">
      <c r="A35" s="12"/>
      <c r="B35" s="12"/>
      <c r="C35" s="12"/>
      <c r="D35" s="12"/>
      <c r="E35" s="12"/>
      <c r="F35" s="12"/>
      <c r="G35" s="12"/>
      <c r="H35" s="12"/>
      <c r="I35" s="12"/>
      <c r="J35" s="12"/>
      <c r="K35" s="12"/>
      <c r="L35" s="12"/>
      <c r="M35" s="12"/>
      <c r="N35" s="3"/>
      <c r="O35" s="3"/>
      <c r="P35" s="3"/>
      <c r="Q35" s="3"/>
    </row>
    <row r="36" spans="1:17" ht="15">
      <c r="A36" s="12"/>
      <c r="B36" s="12"/>
      <c r="C36" s="12"/>
      <c r="D36" s="12"/>
      <c r="E36" s="12"/>
      <c r="F36" s="12"/>
      <c r="G36" s="12"/>
      <c r="H36" s="12"/>
      <c r="I36" s="12"/>
      <c r="J36" s="12"/>
      <c r="K36" s="12"/>
      <c r="L36" s="12"/>
      <c r="M36" s="12"/>
      <c r="N36" s="3"/>
      <c r="O36" s="3"/>
      <c r="P36" s="3"/>
      <c r="Q36" s="3"/>
    </row>
    <row r="37" spans="1:17" ht="15">
      <c r="A37" s="12"/>
      <c r="B37" s="12"/>
      <c r="C37" s="12"/>
      <c r="D37" s="12"/>
      <c r="E37" s="12"/>
      <c r="F37" s="12"/>
      <c r="G37" s="12"/>
      <c r="H37" s="12"/>
      <c r="I37" s="12"/>
      <c r="J37" s="12"/>
      <c r="K37" s="12"/>
      <c r="L37" s="12"/>
      <c r="M37" s="12"/>
      <c r="N37" s="3"/>
      <c r="O37" s="3"/>
      <c r="P37" s="3"/>
      <c r="Q37" s="3"/>
    </row>
    <row r="38" spans="1:17" ht="15">
      <c r="A38" s="12"/>
      <c r="B38" s="12"/>
      <c r="C38" s="12"/>
      <c r="D38" s="12"/>
      <c r="E38" s="12"/>
      <c r="F38" s="12"/>
      <c r="G38" s="12"/>
      <c r="H38" s="12"/>
      <c r="I38" s="12"/>
      <c r="J38" s="12"/>
      <c r="K38" s="12"/>
      <c r="L38" s="12"/>
      <c r="M38" s="12"/>
      <c r="N38" s="3"/>
      <c r="O38" s="3"/>
      <c r="P38" s="3"/>
      <c r="Q38" s="3"/>
    </row>
    <row r="39" spans="1:17" ht="15">
      <c r="A39" s="12"/>
      <c r="B39" s="12"/>
      <c r="C39" s="12"/>
      <c r="D39" s="12"/>
      <c r="E39" s="12"/>
      <c r="F39" s="12"/>
      <c r="G39" s="12"/>
      <c r="H39" s="12"/>
      <c r="I39" s="12"/>
      <c r="J39" s="12"/>
      <c r="K39" s="12"/>
      <c r="L39" s="12"/>
      <c r="M39" s="12"/>
      <c r="N39" s="3"/>
      <c r="O39" s="3"/>
      <c r="P39" s="3"/>
      <c r="Q39" s="3"/>
    </row>
    <row r="40" spans="1:17" ht="15">
      <c r="A40" s="12"/>
      <c r="B40" s="12"/>
      <c r="C40" s="12"/>
      <c r="D40" s="12"/>
      <c r="E40" s="12"/>
      <c r="F40" s="12"/>
      <c r="G40" s="12"/>
      <c r="H40" s="12"/>
      <c r="I40" s="12"/>
      <c r="J40" s="12"/>
      <c r="K40" s="12"/>
      <c r="L40" s="12"/>
      <c r="M40" s="12"/>
      <c r="N40" s="3"/>
      <c r="O40" s="3"/>
      <c r="P40" s="3"/>
      <c r="Q40" s="3"/>
    </row>
    <row r="41" spans="1:17" ht="15">
      <c r="A41" s="12"/>
      <c r="B41" s="12"/>
      <c r="C41" s="12"/>
      <c r="D41" s="12"/>
      <c r="E41" s="12"/>
      <c r="F41" s="12"/>
      <c r="G41" s="12"/>
      <c r="H41" s="12"/>
      <c r="I41" s="12"/>
      <c r="J41" s="12"/>
      <c r="K41" s="12"/>
      <c r="L41" s="12"/>
      <c r="M41" s="12"/>
      <c r="N41" s="3"/>
      <c r="O41" s="3"/>
      <c r="P41" s="3"/>
      <c r="Q41" s="3"/>
    </row>
    <row r="42" spans="1:17" ht="15">
      <c r="A42" s="12"/>
      <c r="B42" s="12"/>
      <c r="C42" s="12"/>
      <c r="D42" s="12"/>
      <c r="E42" s="12"/>
      <c r="F42" s="12"/>
      <c r="G42" s="12"/>
      <c r="H42" s="12"/>
      <c r="I42" s="12"/>
      <c r="J42" s="12"/>
      <c r="K42" s="12"/>
      <c r="L42" s="12"/>
      <c r="M42" s="12"/>
      <c r="N42" s="3"/>
      <c r="O42" s="3"/>
      <c r="P42" s="3"/>
      <c r="Q42" s="3"/>
    </row>
    <row r="43" spans="1:17" ht="15">
      <c r="A43" s="12"/>
      <c r="B43" s="12"/>
      <c r="C43" s="12"/>
      <c r="D43" s="12"/>
      <c r="E43" s="12"/>
      <c r="F43" s="12"/>
      <c r="G43" s="12"/>
      <c r="H43" s="12"/>
      <c r="I43" s="12"/>
      <c r="J43" s="12"/>
      <c r="K43" s="12"/>
      <c r="L43" s="12"/>
      <c r="M43" s="12"/>
      <c r="N43" s="3"/>
      <c r="O43" s="3"/>
      <c r="P43" s="3"/>
      <c r="Q43" s="3"/>
    </row>
    <row r="44" spans="1:17" ht="15">
      <c r="A44" s="12"/>
      <c r="B44" s="12"/>
      <c r="C44" s="12"/>
      <c r="D44" s="12"/>
      <c r="E44" s="12"/>
      <c r="F44" s="12"/>
      <c r="G44" s="12"/>
      <c r="H44" s="12"/>
      <c r="I44" s="12"/>
      <c r="J44" s="12"/>
      <c r="K44" s="12"/>
      <c r="L44" s="12"/>
      <c r="M44" s="12"/>
      <c r="N44" s="3"/>
      <c r="O44" s="3"/>
      <c r="P44" s="3"/>
      <c r="Q44" s="3"/>
    </row>
    <row r="45" spans="1:17" ht="15">
      <c r="A45" s="12"/>
      <c r="B45" s="12"/>
      <c r="C45" s="12"/>
      <c r="D45" s="12"/>
      <c r="E45" s="12"/>
      <c r="F45" s="12"/>
      <c r="G45" s="12"/>
      <c r="H45" s="12"/>
      <c r="I45" s="12"/>
      <c r="J45" s="12"/>
      <c r="K45" s="12"/>
      <c r="L45" s="12"/>
      <c r="M45" s="12"/>
      <c r="N45" s="3"/>
      <c r="O45" s="3"/>
      <c r="P45" s="3"/>
      <c r="Q45" s="3"/>
    </row>
    <row r="46" spans="1:17" ht="15">
      <c r="A46" s="12"/>
      <c r="B46" s="12"/>
      <c r="C46" s="12"/>
      <c r="D46" s="12"/>
      <c r="E46" s="12"/>
      <c r="F46" s="12"/>
      <c r="G46" s="12"/>
      <c r="H46" s="12"/>
      <c r="I46" s="12"/>
      <c r="J46" s="12"/>
      <c r="K46" s="12"/>
      <c r="L46" s="12"/>
      <c r="M46" s="12"/>
      <c r="N46" s="3"/>
      <c r="O46" s="3"/>
      <c r="P46" s="3"/>
      <c r="Q46" s="3"/>
    </row>
    <row r="47" spans="1:17" ht="15">
      <c r="A47" s="12"/>
      <c r="B47" s="12"/>
      <c r="C47" s="12"/>
      <c r="D47" s="12"/>
      <c r="E47" s="12"/>
      <c r="F47" s="12"/>
      <c r="G47" s="12"/>
      <c r="H47" s="12"/>
      <c r="I47" s="12"/>
      <c r="J47" s="12"/>
      <c r="K47" s="12"/>
      <c r="L47" s="12"/>
      <c r="M47" s="12"/>
      <c r="N47" s="3"/>
      <c r="O47" s="3"/>
      <c r="P47" s="3"/>
      <c r="Q47" s="3"/>
    </row>
    <row r="48" spans="1:17" ht="15">
      <c r="A48" s="12"/>
      <c r="B48" s="12"/>
      <c r="C48" s="12"/>
      <c r="D48" s="12"/>
      <c r="E48" s="12"/>
      <c r="F48" s="12"/>
      <c r="G48" s="12"/>
      <c r="H48" s="12"/>
      <c r="I48" s="12"/>
      <c r="J48" s="12"/>
      <c r="K48" s="12"/>
      <c r="L48" s="12"/>
      <c r="M48" s="12"/>
      <c r="N48" s="3"/>
      <c r="O48" s="3"/>
      <c r="P48" s="3"/>
      <c r="Q48" s="3"/>
    </row>
    <row r="49" spans="1:17" ht="15">
      <c r="A49" s="12"/>
      <c r="B49" s="12"/>
      <c r="C49" s="12"/>
      <c r="D49" s="12"/>
      <c r="E49" s="12"/>
      <c r="F49" s="12"/>
      <c r="G49" s="12"/>
      <c r="H49" s="12"/>
      <c r="I49" s="12"/>
      <c r="J49" s="12"/>
      <c r="K49" s="12"/>
      <c r="L49" s="12"/>
      <c r="M49" s="12"/>
      <c r="N49" s="3"/>
      <c r="O49" s="3"/>
      <c r="P49" s="3"/>
      <c r="Q49" s="3"/>
    </row>
    <row r="50" spans="1:17" ht="15">
      <c r="A50" s="12"/>
      <c r="B50" s="12"/>
      <c r="C50" s="12"/>
      <c r="D50" s="12"/>
      <c r="E50" s="12"/>
      <c r="F50" s="12"/>
      <c r="G50" s="12"/>
      <c r="H50" s="12"/>
      <c r="I50" s="12"/>
      <c r="J50" s="12"/>
      <c r="K50" s="12"/>
      <c r="L50" s="12"/>
      <c r="M50" s="12"/>
      <c r="N50" s="3"/>
      <c r="O50" s="3"/>
      <c r="P50" s="3"/>
      <c r="Q50" s="3"/>
    </row>
    <row r="51" spans="1:17" ht="15">
      <c r="A51" s="12"/>
      <c r="B51" s="12"/>
      <c r="C51" s="12"/>
      <c r="D51" s="12"/>
      <c r="E51" s="12"/>
      <c r="F51" s="12"/>
      <c r="G51" s="12"/>
      <c r="H51" s="12"/>
      <c r="I51" s="12"/>
      <c r="J51" s="12"/>
      <c r="K51" s="12"/>
      <c r="L51" s="12"/>
      <c r="M51" s="12"/>
      <c r="N51" s="3"/>
      <c r="O51" s="3"/>
      <c r="P51" s="3"/>
      <c r="Q51" s="3"/>
    </row>
    <row r="52" spans="1:17" ht="15">
      <c r="A52" s="12"/>
      <c r="B52" s="12"/>
      <c r="C52" s="12"/>
      <c r="D52" s="12"/>
      <c r="E52" s="12"/>
      <c r="F52" s="12"/>
      <c r="G52" s="12"/>
      <c r="H52" s="12"/>
      <c r="I52" s="12"/>
      <c r="J52" s="12"/>
      <c r="K52" s="12"/>
      <c r="L52" s="12"/>
      <c r="M52" s="12"/>
      <c r="N52" s="3"/>
      <c r="O52" s="3"/>
      <c r="P52" s="3"/>
      <c r="Q52" s="3"/>
    </row>
    <row r="53" spans="1:17" ht="15">
      <c r="A53" s="12"/>
      <c r="B53" s="12"/>
      <c r="C53" s="12"/>
      <c r="D53" s="12"/>
      <c r="E53" s="12"/>
      <c r="F53" s="12"/>
      <c r="G53" s="12"/>
      <c r="H53" s="12"/>
      <c r="I53" s="12"/>
      <c r="J53" s="12"/>
      <c r="K53" s="12"/>
      <c r="L53" s="12"/>
      <c r="M53" s="12"/>
      <c r="N53" s="3"/>
      <c r="O53" s="3"/>
      <c r="P53" s="3"/>
      <c r="Q53" s="3"/>
    </row>
    <row r="54" spans="1:17" ht="15">
      <c r="A54" s="12"/>
      <c r="B54" s="12"/>
      <c r="C54" s="12"/>
      <c r="D54" s="12"/>
      <c r="E54" s="12"/>
      <c r="F54" s="12"/>
      <c r="G54" s="12"/>
      <c r="H54" s="12"/>
      <c r="I54" s="12"/>
      <c r="J54" s="12"/>
      <c r="K54" s="12"/>
      <c r="L54" s="12"/>
      <c r="M54" s="12"/>
      <c r="N54" s="3"/>
      <c r="O54" s="3"/>
      <c r="P54" s="3"/>
      <c r="Q54" s="3"/>
    </row>
    <row r="55" spans="1:17" ht="15">
      <c r="A55" s="12"/>
      <c r="B55" s="12"/>
      <c r="C55" s="12"/>
      <c r="D55" s="12"/>
      <c r="E55" s="12"/>
      <c r="F55" s="12"/>
      <c r="G55" s="12"/>
      <c r="H55" s="12"/>
      <c r="I55" s="12"/>
      <c r="J55" s="12"/>
      <c r="K55" s="12"/>
      <c r="L55" s="12"/>
      <c r="M55" s="12"/>
      <c r="N55" s="3"/>
      <c r="O55" s="3"/>
      <c r="P55" s="3"/>
      <c r="Q55" s="3"/>
    </row>
    <row r="56" spans="1:17" ht="15">
      <c r="A56" s="12"/>
      <c r="B56" s="12"/>
      <c r="C56" s="12"/>
      <c r="D56" s="12"/>
      <c r="E56" s="12"/>
      <c r="F56" s="12"/>
      <c r="G56" s="12"/>
      <c r="H56" s="12"/>
      <c r="I56" s="12"/>
      <c r="J56" s="12"/>
      <c r="K56" s="12"/>
      <c r="L56" s="12"/>
      <c r="M56" s="12"/>
      <c r="N56" s="3"/>
      <c r="O56" s="3"/>
      <c r="P56" s="3"/>
      <c r="Q56" s="3"/>
    </row>
    <row r="57" spans="1:17" ht="15">
      <c r="A57" s="12"/>
      <c r="B57" s="12"/>
      <c r="C57" s="12"/>
      <c r="D57" s="12"/>
      <c r="E57" s="12"/>
      <c r="F57" s="12"/>
      <c r="G57" s="12"/>
      <c r="H57" s="12"/>
      <c r="I57" s="12"/>
      <c r="J57" s="12"/>
      <c r="K57" s="12"/>
      <c r="L57" s="12"/>
      <c r="M57" s="12"/>
      <c r="N57" s="3"/>
      <c r="O57" s="3"/>
      <c r="P57" s="3"/>
      <c r="Q57" s="3"/>
    </row>
    <row r="58" spans="1:17" ht="15">
      <c r="A58" s="12"/>
      <c r="B58" s="12"/>
      <c r="C58" s="12"/>
      <c r="D58" s="12"/>
      <c r="E58" s="12"/>
      <c r="F58" s="12"/>
      <c r="G58" s="12"/>
      <c r="H58" s="12"/>
      <c r="I58" s="12"/>
      <c r="J58" s="12"/>
      <c r="K58" s="12"/>
      <c r="L58" s="12"/>
      <c r="M58" s="12"/>
      <c r="N58" s="3"/>
      <c r="O58" s="3"/>
      <c r="P58" s="3"/>
      <c r="Q58" s="3"/>
    </row>
    <row r="59" spans="1:17" ht="15">
      <c r="A59" s="12"/>
      <c r="B59" s="12"/>
      <c r="C59" s="12"/>
      <c r="D59" s="12"/>
      <c r="E59" s="12"/>
      <c r="F59" s="12"/>
      <c r="G59" s="12"/>
      <c r="H59" s="12"/>
      <c r="I59" s="12"/>
      <c r="J59" s="12"/>
      <c r="K59" s="12"/>
      <c r="L59" s="12"/>
      <c r="M59" s="12"/>
      <c r="N59" s="3"/>
      <c r="O59" s="3"/>
      <c r="P59" s="3"/>
      <c r="Q59" s="3"/>
    </row>
    <row r="60" spans="1:17" ht="15">
      <c r="A60" s="12"/>
      <c r="B60" s="12"/>
      <c r="C60" s="12"/>
      <c r="D60" s="12"/>
      <c r="E60" s="12"/>
      <c r="F60" s="12"/>
      <c r="G60" s="12"/>
      <c r="H60" s="12"/>
      <c r="I60" s="12"/>
      <c r="J60" s="12"/>
      <c r="K60" s="12"/>
      <c r="L60" s="12"/>
      <c r="M60" s="12"/>
      <c r="N60" s="3"/>
      <c r="O60" s="3"/>
      <c r="P60" s="3"/>
      <c r="Q60" s="3"/>
    </row>
    <row r="61" spans="1:17" ht="15">
      <c r="A61" s="12"/>
      <c r="B61" s="12"/>
      <c r="C61" s="12"/>
      <c r="D61" s="12"/>
      <c r="E61" s="12"/>
      <c r="F61" s="12"/>
      <c r="G61" s="12"/>
      <c r="H61" s="12"/>
      <c r="I61" s="12"/>
      <c r="J61" s="12"/>
      <c r="K61" s="12"/>
      <c r="L61" s="12"/>
      <c r="M61" s="12"/>
      <c r="N61" s="3"/>
      <c r="O61" s="3"/>
      <c r="P61" s="3"/>
      <c r="Q61" s="3"/>
    </row>
    <row r="62" spans="1:17" ht="15">
      <c r="A62" s="12"/>
      <c r="B62" s="12"/>
      <c r="C62" s="12"/>
      <c r="D62" s="12"/>
      <c r="E62" s="12"/>
      <c r="F62" s="12"/>
      <c r="G62" s="12"/>
      <c r="H62" s="12"/>
      <c r="I62" s="12"/>
      <c r="J62" s="12"/>
      <c r="K62" s="12"/>
      <c r="L62" s="12"/>
      <c r="M62" s="12"/>
      <c r="N62" s="3"/>
      <c r="O62" s="3"/>
      <c r="P62" s="3"/>
      <c r="Q62" s="3"/>
    </row>
    <row r="63" spans="1:17" ht="15">
      <c r="A63" s="12"/>
      <c r="B63" s="12"/>
      <c r="C63" s="12"/>
      <c r="D63" s="12"/>
      <c r="E63" s="12"/>
      <c r="F63" s="12"/>
      <c r="G63" s="12"/>
      <c r="H63" s="12"/>
      <c r="I63" s="12"/>
      <c r="J63" s="12"/>
      <c r="K63" s="12"/>
      <c r="L63" s="12"/>
      <c r="M63" s="12"/>
      <c r="N63" s="3"/>
      <c r="O63" s="3"/>
      <c r="P63" s="3"/>
      <c r="Q63" s="3"/>
    </row>
    <row r="64" spans="1:17" ht="15">
      <c r="A64" s="12"/>
      <c r="B64" s="12"/>
      <c r="C64" s="12"/>
      <c r="D64" s="12"/>
      <c r="E64" s="12"/>
      <c r="F64" s="12"/>
      <c r="G64" s="12"/>
      <c r="H64" s="12"/>
      <c r="I64" s="12"/>
      <c r="J64" s="12"/>
      <c r="K64" s="12"/>
      <c r="L64" s="12"/>
      <c r="M64" s="12"/>
      <c r="N64" s="3"/>
      <c r="O64" s="3"/>
      <c r="P64" s="3"/>
      <c r="Q64" s="3"/>
    </row>
    <row r="65" spans="1:17" ht="15">
      <c r="A65" s="12"/>
      <c r="B65" s="12"/>
      <c r="C65" s="12"/>
      <c r="D65" s="12"/>
      <c r="E65" s="12"/>
      <c r="F65" s="12"/>
      <c r="G65" s="12"/>
      <c r="H65" s="12"/>
      <c r="I65" s="12"/>
      <c r="J65" s="12"/>
      <c r="K65" s="12"/>
      <c r="L65" s="12"/>
      <c r="M65" s="12"/>
      <c r="N65" s="3"/>
      <c r="O65" s="3"/>
      <c r="P65" s="3"/>
      <c r="Q65" s="3"/>
    </row>
    <row r="66" spans="1:17" ht="15">
      <c r="A66" s="12"/>
      <c r="B66" s="12"/>
      <c r="C66" s="12"/>
      <c r="D66" s="12"/>
      <c r="E66" s="12"/>
      <c r="F66" s="12"/>
      <c r="G66" s="12"/>
      <c r="H66" s="12"/>
      <c r="I66" s="12"/>
      <c r="J66" s="12"/>
      <c r="K66" s="12"/>
      <c r="L66" s="12"/>
      <c r="M66" s="12"/>
      <c r="N66" s="3"/>
      <c r="O66" s="3"/>
      <c r="P66" s="3"/>
      <c r="Q66" s="3"/>
    </row>
    <row r="67" spans="1:17" ht="15">
      <c r="A67" s="12"/>
      <c r="B67" s="12"/>
      <c r="C67" s="12"/>
      <c r="D67" s="12"/>
      <c r="E67" s="12"/>
      <c r="F67" s="12"/>
      <c r="G67" s="12"/>
      <c r="H67" s="12"/>
      <c r="I67" s="12"/>
      <c r="J67" s="12"/>
      <c r="K67" s="12"/>
      <c r="L67" s="12"/>
      <c r="M67" s="12"/>
      <c r="N67" s="3"/>
      <c r="O67" s="3"/>
      <c r="P67" s="3"/>
      <c r="Q67" s="3"/>
    </row>
    <row r="68" spans="1:17" ht="15">
      <c r="A68" s="12"/>
      <c r="B68" s="12"/>
      <c r="C68" s="12"/>
      <c r="D68" s="12"/>
      <c r="E68" s="12"/>
      <c r="F68" s="12"/>
      <c r="G68" s="12"/>
      <c r="H68" s="12"/>
      <c r="I68" s="12"/>
      <c r="J68" s="12"/>
      <c r="K68" s="12"/>
      <c r="L68" s="12"/>
      <c r="M68" s="12"/>
      <c r="N68" s="3"/>
      <c r="O68" s="3"/>
      <c r="P68" s="3"/>
      <c r="Q68" s="3"/>
    </row>
    <row r="69" spans="1:17" ht="15">
      <c r="A69" s="12"/>
      <c r="B69" s="12"/>
      <c r="C69" s="12"/>
      <c r="D69" s="12"/>
      <c r="E69" s="12"/>
      <c r="F69" s="12"/>
      <c r="G69" s="12"/>
      <c r="H69" s="12"/>
      <c r="I69" s="12"/>
      <c r="J69" s="12"/>
      <c r="K69" s="12"/>
      <c r="L69" s="12"/>
      <c r="M69" s="12"/>
      <c r="N69" s="3"/>
      <c r="O69" s="3"/>
      <c r="P69" s="3"/>
      <c r="Q69" s="3"/>
    </row>
    <row r="70" spans="1:17" ht="15">
      <c r="A70" s="12"/>
      <c r="B70" s="12"/>
      <c r="C70" s="12"/>
      <c r="D70" s="12"/>
      <c r="E70" s="12"/>
      <c r="F70" s="12"/>
      <c r="G70" s="12"/>
      <c r="H70" s="12"/>
      <c r="I70" s="12"/>
      <c r="J70" s="12"/>
      <c r="K70" s="12"/>
      <c r="L70" s="12"/>
      <c r="M70" s="12"/>
      <c r="N70" s="3"/>
      <c r="O70" s="3"/>
      <c r="P70" s="3"/>
      <c r="Q70" s="3"/>
    </row>
    <row r="71" spans="1:17" ht="15">
      <c r="A71" s="12"/>
      <c r="B71" s="12"/>
      <c r="C71" s="12"/>
      <c r="D71" s="12"/>
      <c r="E71" s="12"/>
      <c r="F71" s="12"/>
      <c r="G71" s="12"/>
      <c r="H71" s="12"/>
      <c r="I71" s="12"/>
      <c r="J71" s="12"/>
      <c r="K71" s="12"/>
      <c r="L71" s="12"/>
      <c r="M71" s="12"/>
      <c r="N71" s="3"/>
      <c r="O71" s="3"/>
      <c r="P71" s="3"/>
      <c r="Q71" s="3"/>
    </row>
    <row r="72" spans="1:17" ht="15">
      <c r="A72" s="12"/>
      <c r="B72" s="12"/>
      <c r="C72" s="12"/>
      <c r="D72" s="12"/>
      <c r="E72" s="12"/>
      <c r="F72" s="12"/>
      <c r="G72" s="12"/>
      <c r="H72" s="12"/>
      <c r="I72" s="12"/>
      <c r="J72" s="12"/>
      <c r="K72" s="12"/>
      <c r="L72" s="12"/>
      <c r="M72" s="12"/>
      <c r="N72" s="3"/>
      <c r="O72" s="3"/>
      <c r="P72" s="3"/>
      <c r="Q72" s="3"/>
    </row>
    <row r="73" spans="1:17" ht="15">
      <c r="A73" s="12"/>
      <c r="B73" s="12"/>
      <c r="C73" s="12"/>
      <c r="D73" s="12"/>
      <c r="E73" s="12"/>
      <c r="F73" s="12"/>
      <c r="G73" s="12"/>
      <c r="H73" s="12"/>
      <c r="I73" s="12"/>
      <c r="J73" s="12"/>
      <c r="K73" s="12"/>
      <c r="L73" s="12"/>
      <c r="M73" s="12"/>
      <c r="N73" s="3"/>
      <c r="O73" s="3"/>
      <c r="P73" s="3"/>
      <c r="Q73" s="3"/>
    </row>
    <row r="74" spans="1:17" ht="15">
      <c r="A74" s="12"/>
      <c r="B74" s="12"/>
      <c r="C74" s="12"/>
      <c r="D74" s="12"/>
      <c r="E74" s="12"/>
      <c r="F74" s="12"/>
      <c r="G74" s="12"/>
      <c r="H74" s="12"/>
      <c r="I74" s="12"/>
      <c r="J74" s="12"/>
      <c r="K74" s="12"/>
      <c r="L74" s="12"/>
      <c r="M74" s="12"/>
      <c r="N74" s="3"/>
      <c r="O74" s="3"/>
      <c r="P74" s="3"/>
      <c r="Q74" s="3"/>
    </row>
    <row r="75" spans="1:17" ht="15">
      <c r="A75" s="12"/>
      <c r="B75" s="12"/>
      <c r="C75" s="12"/>
      <c r="D75" s="12"/>
      <c r="E75" s="12"/>
      <c r="F75" s="12"/>
      <c r="G75" s="12"/>
      <c r="H75" s="12"/>
      <c r="I75" s="12"/>
      <c r="J75" s="12"/>
      <c r="K75" s="12"/>
      <c r="L75" s="12"/>
      <c r="M75" s="12"/>
      <c r="N75" s="3"/>
      <c r="O75" s="3"/>
      <c r="P75" s="3"/>
      <c r="Q75" s="3"/>
    </row>
    <row r="76" spans="1:17" ht="15">
      <c r="A76" s="12"/>
      <c r="B76" s="12"/>
      <c r="C76" s="12"/>
      <c r="D76" s="12"/>
      <c r="E76" s="12"/>
      <c r="F76" s="12"/>
      <c r="G76" s="12"/>
      <c r="H76" s="12"/>
      <c r="I76" s="12"/>
      <c r="J76" s="12"/>
      <c r="K76" s="12"/>
      <c r="L76" s="12"/>
      <c r="M76" s="12"/>
      <c r="N76" s="3"/>
      <c r="O76" s="3"/>
      <c r="P76" s="3"/>
      <c r="Q76" s="3"/>
    </row>
    <row r="77" spans="1:17" ht="15">
      <c r="A77" s="12"/>
      <c r="B77" s="12"/>
      <c r="C77" s="12"/>
      <c r="D77" s="12"/>
      <c r="E77" s="12"/>
      <c r="F77" s="12"/>
      <c r="G77" s="12"/>
      <c r="H77" s="12"/>
      <c r="I77" s="12"/>
      <c r="J77" s="12"/>
      <c r="K77" s="12"/>
      <c r="L77" s="12"/>
      <c r="M77" s="12"/>
      <c r="N77" s="3"/>
      <c r="O77" s="3"/>
      <c r="P77" s="3"/>
      <c r="Q77" s="3"/>
    </row>
    <row r="78" spans="1:17" ht="15">
      <c r="A78" s="12"/>
      <c r="B78" s="12"/>
      <c r="C78" s="12"/>
      <c r="D78" s="12"/>
      <c r="E78" s="12"/>
      <c r="F78" s="12"/>
      <c r="G78" s="12"/>
      <c r="H78" s="12"/>
      <c r="I78" s="12"/>
      <c r="J78" s="12"/>
      <c r="K78" s="12"/>
      <c r="L78" s="12"/>
      <c r="M78" s="12"/>
      <c r="N78" s="3"/>
      <c r="O78" s="3"/>
      <c r="P78" s="3"/>
      <c r="Q78" s="3"/>
    </row>
    <row r="79" spans="1:17" ht="15">
      <c r="A79" s="12"/>
      <c r="B79" s="12"/>
      <c r="C79" s="12"/>
      <c r="D79" s="12"/>
      <c r="E79" s="12"/>
      <c r="F79" s="12"/>
      <c r="G79" s="12"/>
      <c r="H79" s="12"/>
      <c r="I79" s="12"/>
      <c r="J79" s="12"/>
      <c r="K79" s="12"/>
      <c r="L79" s="12"/>
      <c r="M79" s="12"/>
      <c r="N79" s="3"/>
      <c r="O79" s="3"/>
      <c r="P79" s="3"/>
      <c r="Q79" s="3"/>
    </row>
    <row r="80" spans="1:17" ht="15">
      <c r="A80" s="12"/>
      <c r="B80" s="12"/>
      <c r="C80" s="12"/>
      <c r="D80" s="12"/>
      <c r="E80" s="12"/>
      <c r="F80" s="12"/>
      <c r="G80" s="12"/>
      <c r="H80" s="12"/>
      <c r="I80" s="12"/>
      <c r="J80" s="12"/>
      <c r="K80" s="12"/>
      <c r="L80" s="12"/>
      <c r="M80" s="12"/>
      <c r="N80" s="3"/>
      <c r="O80" s="3"/>
      <c r="P80" s="3"/>
      <c r="Q80" s="3"/>
    </row>
    <row r="81" spans="1:17" ht="15">
      <c r="A81" s="12"/>
      <c r="B81" s="12"/>
      <c r="C81" s="12"/>
      <c r="D81" s="12"/>
      <c r="E81" s="12"/>
      <c r="F81" s="12"/>
      <c r="G81" s="12"/>
      <c r="H81" s="12"/>
      <c r="I81" s="12"/>
      <c r="J81" s="12"/>
      <c r="K81" s="12"/>
      <c r="L81" s="12"/>
      <c r="M81" s="12"/>
      <c r="N81" s="3"/>
      <c r="O81" s="3"/>
      <c r="P81" s="3"/>
      <c r="Q81" s="3"/>
    </row>
    <row r="82" spans="1:17" ht="15">
      <c r="A82" s="12"/>
      <c r="B82" s="12"/>
      <c r="C82" s="12"/>
      <c r="D82" s="12"/>
      <c r="E82" s="12"/>
      <c r="F82" s="12"/>
      <c r="G82" s="12"/>
      <c r="H82" s="12"/>
      <c r="I82" s="12"/>
      <c r="J82" s="12"/>
      <c r="K82" s="12"/>
      <c r="L82" s="12"/>
      <c r="M82" s="12"/>
      <c r="N82" s="3"/>
      <c r="O82" s="3"/>
      <c r="P82" s="3"/>
      <c r="Q82" s="3"/>
    </row>
    <row r="83" spans="1:17" ht="15">
      <c r="A83" s="12"/>
      <c r="B83" s="12"/>
      <c r="C83" s="12"/>
      <c r="D83" s="12"/>
      <c r="E83" s="12"/>
      <c r="F83" s="12"/>
      <c r="G83" s="12"/>
      <c r="H83" s="12"/>
      <c r="I83" s="12"/>
      <c r="J83" s="12"/>
      <c r="K83" s="12"/>
      <c r="L83" s="12"/>
      <c r="M83" s="12"/>
      <c r="N83" s="3"/>
      <c r="O83" s="3"/>
      <c r="P83" s="3"/>
      <c r="Q83" s="3"/>
    </row>
    <row r="84" spans="1:17" ht="15">
      <c r="A84" s="12"/>
      <c r="B84" s="12"/>
      <c r="C84" s="12"/>
      <c r="D84" s="12"/>
      <c r="E84" s="12"/>
      <c r="F84" s="12"/>
      <c r="G84" s="12"/>
      <c r="H84" s="12"/>
      <c r="I84" s="12"/>
      <c r="J84" s="12"/>
      <c r="K84" s="12"/>
      <c r="L84" s="12"/>
      <c r="M84" s="12"/>
      <c r="N84" s="3"/>
      <c r="O84" s="3"/>
      <c r="P84" s="3"/>
      <c r="Q84" s="3"/>
    </row>
    <row r="85" spans="1:17" ht="15">
      <c r="A85" s="12"/>
      <c r="B85" s="12"/>
      <c r="C85" s="12"/>
      <c r="D85" s="12"/>
      <c r="E85" s="12"/>
      <c r="F85" s="12"/>
      <c r="G85" s="12"/>
      <c r="H85" s="12"/>
      <c r="I85" s="12"/>
      <c r="J85" s="12"/>
      <c r="K85" s="12"/>
      <c r="L85" s="12"/>
      <c r="M85" s="12"/>
      <c r="N85" s="3"/>
      <c r="O85" s="3"/>
      <c r="P85" s="3"/>
      <c r="Q85" s="3"/>
    </row>
    <row r="86" spans="1:17" ht="15">
      <c r="A86" s="12"/>
      <c r="B86" s="12"/>
      <c r="C86" s="12"/>
      <c r="D86" s="12"/>
      <c r="E86" s="12"/>
      <c r="F86" s="12"/>
      <c r="G86" s="12"/>
      <c r="H86" s="12"/>
      <c r="I86" s="12"/>
      <c r="J86" s="12"/>
      <c r="K86" s="12"/>
      <c r="L86" s="12"/>
      <c r="M86" s="12"/>
      <c r="N86" s="3"/>
      <c r="O86" s="3"/>
      <c r="P86" s="3"/>
      <c r="Q86" s="3"/>
    </row>
    <row r="87" spans="1:17" ht="15">
      <c r="A87" s="12"/>
      <c r="B87" s="12"/>
      <c r="C87" s="12"/>
      <c r="D87" s="12"/>
      <c r="E87" s="12"/>
      <c r="F87" s="12"/>
      <c r="G87" s="12"/>
      <c r="H87" s="12"/>
      <c r="I87" s="12"/>
      <c r="J87" s="12"/>
      <c r="K87" s="12"/>
      <c r="L87" s="12"/>
      <c r="M87" s="12"/>
      <c r="N87" s="3"/>
      <c r="O87" s="3"/>
      <c r="P87" s="3"/>
      <c r="Q87" s="3"/>
    </row>
    <row r="88" spans="1:17" ht="15">
      <c r="A88" s="12"/>
      <c r="B88" s="12"/>
      <c r="C88" s="12"/>
      <c r="D88" s="12"/>
      <c r="E88" s="12"/>
      <c r="F88" s="12"/>
      <c r="G88" s="12"/>
      <c r="H88" s="12"/>
      <c r="I88" s="12"/>
      <c r="J88" s="12"/>
      <c r="K88" s="12"/>
      <c r="L88" s="12"/>
      <c r="M88" s="12"/>
      <c r="N88" s="3"/>
      <c r="O88" s="3"/>
      <c r="P88" s="3"/>
      <c r="Q88" s="3"/>
    </row>
    <row r="89" spans="1:17" ht="15">
      <c r="A89" s="12"/>
      <c r="B89" s="12"/>
      <c r="C89" s="12"/>
      <c r="D89" s="12"/>
      <c r="E89" s="12"/>
      <c r="F89" s="12"/>
      <c r="G89" s="12"/>
      <c r="H89" s="12"/>
      <c r="I89" s="12"/>
      <c r="J89" s="12"/>
      <c r="K89" s="12"/>
      <c r="L89" s="12"/>
      <c r="M89" s="12"/>
      <c r="N89" s="3"/>
      <c r="O89" s="3"/>
      <c r="P89" s="3"/>
      <c r="Q89" s="3"/>
    </row>
    <row r="90" spans="1:17" ht="15">
      <c r="A90" s="12"/>
      <c r="B90" s="12"/>
      <c r="C90" s="12"/>
      <c r="D90" s="12"/>
      <c r="E90" s="12"/>
      <c r="F90" s="12"/>
      <c r="G90" s="12"/>
      <c r="H90" s="12"/>
      <c r="I90" s="12"/>
      <c r="J90" s="12"/>
      <c r="K90" s="12"/>
      <c r="L90" s="12"/>
      <c r="M90" s="12"/>
      <c r="N90" s="3"/>
      <c r="O90" s="3"/>
      <c r="P90" s="3"/>
      <c r="Q90" s="3"/>
    </row>
    <row r="91" spans="1:17" ht="15">
      <c r="A91" s="12"/>
      <c r="B91" s="12"/>
      <c r="C91" s="12"/>
      <c r="D91" s="12"/>
      <c r="E91" s="12"/>
      <c r="F91" s="12"/>
      <c r="G91" s="12"/>
      <c r="H91" s="12"/>
      <c r="I91" s="12"/>
      <c r="J91" s="12"/>
      <c r="K91" s="12"/>
      <c r="L91" s="12"/>
      <c r="M91" s="12"/>
      <c r="N91" s="3"/>
      <c r="O91" s="3"/>
      <c r="P91" s="3"/>
      <c r="Q91" s="3"/>
    </row>
    <row r="92" spans="1:17" ht="15">
      <c r="A92" s="12"/>
      <c r="B92" s="12"/>
      <c r="C92" s="12"/>
      <c r="D92" s="12"/>
      <c r="E92" s="12"/>
      <c r="F92" s="12"/>
      <c r="G92" s="12"/>
      <c r="H92" s="12"/>
      <c r="I92" s="12"/>
      <c r="J92" s="12"/>
      <c r="K92" s="12"/>
      <c r="L92" s="12"/>
      <c r="M92" s="12"/>
      <c r="N92" s="3"/>
      <c r="O92" s="3"/>
      <c r="P92" s="3"/>
      <c r="Q92" s="3"/>
    </row>
    <row r="93" spans="1:17" ht="15">
      <c r="A93" s="12"/>
      <c r="B93" s="12"/>
      <c r="C93" s="12"/>
      <c r="D93" s="12"/>
      <c r="E93" s="12"/>
      <c r="F93" s="12"/>
      <c r="G93" s="12"/>
      <c r="H93" s="12"/>
      <c r="I93" s="12"/>
      <c r="J93" s="12"/>
      <c r="K93" s="12"/>
      <c r="L93" s="12"/>
      <c r="M93" s="12"/>
      <c r="N93" s="3"/>
      <c r="O93" s="3"/>
      <c r="P93" s="3"/>
      <c r="Q93" s="3"/>
    </row>
    <row r="94" spans="1:17" ht="15">
      <c r="A94" s="12"/>
      <c r="B94" s="12"/>
      <c r="C94" s="12"/>
      <c r="D94" s="12"/>
      <c r="E94" s="12"/>
      <c r="F94" s="12"/>
      <c r="G94" s="12"/>
      <c r="H94" s="12"/>
      <c r="I94" s="12"/>
      <c r="J94" s="12"/>
      <c r="K94" s="12"/>
      <c r="L94" s="12"/>
      <c r="M94" s="12"/>
      <c r="N94" s="3"/>
      <c r="O94" s="3"/>
      <c r="P94" s="3"/>
      <c r="Q94" s="3"/>
    </row>
    <row r="95" spans="1:17" ht="15">
      <c r="A95" s="12"/>
      <c r="B95" s="12"/>
      <c r="C95" s="12"/>
      <c r="D95" s="12"/>
      <c r="E95" s="12"/>
      <c r="F95" s="12"/>
      <c r="G95" s="12"/>
      <c r="H95" s="12"/>
      <c r="I95" s="12"/>
      <c r="J95" s="12"/>
      <c r="K95" s="12"/>
      <c r="L95" s="12"/>
      <c r="M95" s="12"/>
      <c r="N95" s="3"/>
      <c r="O95" s="3"/>
      <c r="P95" s="3"/>
      <c r="Q95" s="3"/>
    </row>
    <row r="96" spans="1:17" ht="15">
      <c r="A96" s="12"/>
      <c r="B96" s="12"/>
      <c r="C96" s="12"/>
      <c r="D96" s="12"/>
      <c r="E96" s="12"/>
      <c r="F96" s="12"/>
      <c r="G96" s="12"/>
      <c r="H96" s="12"/>
      <c r="I96" s="12"/>
      <c r="J96" s="12"/>
      <c r="K96" s="12"/>
      <c r="L96" s="12"/>
      <c r="M96" s="12"/>
      <c r="N96" s="3"/>
      <c r="O96" s="3"/>
      <c r="P96" s="3"/>
      <c r="Q96" s="3"/>
    </row>
    <row r="97" spans="1:17" ht="15">
      <c r="A97" s="12"/>
      <c r="B97" s="12"/>
      <c r="C97" s="12"/>
      <c r="D97" s="12"/>
      <c r="E97" s="12"/>
      <c r="F97" s="12"/>
      <c r="G97" s="12"/>
      <c r="H97" s="12"/>
      <c r="I97" s="12"/>
      <c r="J97" s="12"/>
      <c r="K97" s="12"/>
      <c r="L97" s="12"/>
      <c r="M97" s="12"/>
      <c r="N97" s="3"/>
      <c r="O97" s="3"/>
      <c r="P97" s="3"/>
      <c r="Q97" s="3"/>
    </row>
    <row r="98" spans="1:17" ht="15">
      <c r="A98" s="12"/>
      <c r="B98" s="12"/>
      <c r="C98" s="12"/>
      <c r="D98" s="12"/>
      <c r="E98" s="12"/>
      <c r="F98" s="12"/>
      <c r="G98" s="12"/>
      <c r="H98" s="12"/>
      <c r="I98" s="12"/>
      <c r="J98" s="12"/>
      <c r="K98" s="12"/>
      <c r="L98" s="12"/>
      <c r="M98" s="12"/>
      <c r="N98" s="3"/>
      <c r="O98" s="3"/>
      <c r="P98" s="3"/>
      <c r="Q98" s="3"/>
    </row>
    <row r="99" spans="1:17" ht="15">
      <c r="A99" s="12"/>
      <c r="B99" s="12"/>
      <c r="C99" s="12"/>
      <c r="D99" s="12"/>
      <c r="E99" s="12"/>
      <c r="F99" s="12"/>
      <c r="G99" s="12"/>
      <c r="H99" s="12"/>
      <c r="I99" s="12"/>
      <c r="J99" s="12"/>
      <c r="K99" s="12"/>
      <c r="L99" s="12"/>
      <c r="M99" s="12"/>
      <c r="N99" s="3"/>
      <c r="O99" s="3"/>
      <c r="P99" s="3"/>
      <c r="Q99" s="3"/>
    </row>
    <row r="100" spans="1:17" ht="15">
      <c r="A100" s="12"/>
      <c r="B100" s="12"/>
      <c r="C100" s="12"/>
      <c r="D100" s="12"/>
      <c r="E100" s="12"/>
      <c r="F100" s="12"/>
      <c r="G100" s="12"/>
      <c r="H100" s="12"/>
      <c r="I100" s="12"/>
      <c r="J100" s="12"/>
      <c r="K100" s="12"/>
      <c r="L100" s="12"/>
      <c r="M100" s="12"/>
      <c r="N100" s="3"/>
      <c r="O100" s="3"/>
      <c r="P100" s="3"/>
      <c r="Q100" s="3"/>
    </row>
    <row r="101" spans="1:17" ht="15">
      <c r="A101" s="12"/>
      <c r="B101" s="12"/>
      <c r="C101" s="12"/>
      <c r="D101" s="12"/>
      <c r="E101" s="12"/>
      <c r="F101" s="12"/>
      <c r="G101" s="12"/>
      <c r="H101" s="12"/>
      <c r="I101" s="12"/>
      <c r="J101" s="12"/>
      <c r="K101" s="12"/>
      <c r="L101" s="12"/>
      <c r="M101" s="12"/>
      <c r="N101" s="3"/>
      <c r="O101" s="3"/>
      <c r="P101" s="3"/>
      <c r="Q101" s="3"/>
    </row>
    <row r="102" spans="1:17" ht="15">
      <c r="A102" s="12"/>
      <c r="B102" s="12"/>
      <c r="C102" s="12"/>
      <c r="D102" s="12"/>
      <c r="E102" s="12"/>
      <c r="F102" s="12"/>
      <c r="G102" s="12"/>
      <c r="H102" s="12"/>
      <c r="I102" s="12"/>
      <c r="J102" s="12"/>
      <c r="K102" s="12"/>
      <c r="L102" s="12"/>
      <c r="M102" s="12"/>
      <c r="N102" s="3"/>
      <c r="O102" s="3"/>
      <c r="P102" s="3"/>
      <c r="Q102" s="3"/>
    </row>
    <row r="103" spans="1:17" ht="15">
      <c r="A103" s="12"/>
      <c r="B103" s="12"/>
      <c r="C103" s="12"/>
      <c r="D103" s="12"/>
      <c r="E103" s="12"/>
      <c r="F103" s="12"/>
      <c r="G103" s="12"/>
      <c r="H103" s="12"/>
      <c r="I103" s="12"/>
      <c r="J103" s="12"/>
      <c r="K103" s="12"/>
      <c r="L103" s="12"/>
      <c r="M103" s="12"/>
      <c r="N103" s="3"/>
      <c r="O103" s="3"/>
      <c r="P103" s="3"/>
      <c r="Q103" s="3"/>
    </row>
    <row r="104" spans="1:17" ht="15">
      <c r="A104" s="12"/>
      <c r="B104" s="12"/>
      <c r="C104" s="12"/>
      <c r="D104" s="12"/>
      <c r="E104" s="12"/>
      <c r="F104" s="12"/>
      <c r="G104" s="12"/>
      <c r="H104" s="12"/>
      <c r="I104" s="12"/>
      <c r="J104" s="12"/>
      <c r="K104" s="12"/>
      <c r="L104" s="12"/>
      <c r="M104" s="12"/>
      <c r="N104" s="3"/>
      <c r="O104" s="3"/>
      <c r="P104" s="3"/>
      <c r="Q104" s="3"/>
    </row>
    <row r="105" spans="1:17" ht="15">
      <c r="A105" s="12"/>
      <c r="B105" s="12"/>
      <c r="C105" s="12"/>
      <c r="D105" s="12"/>
      <c r="E105" s="12"/>
      <c r="F105" s="12"/>
      <c r="G105" s="12"/>
      <c r="H105" s="12"/>
      <c r="I105" s="12"/>
      <c r="J105" s="12"/>
      <c r="K105" s="12"/>
      <c r="L105" s="12"/>
      <c r="M105" s="12"/>
      <c r="N105" s="3"/>
      <c r="O105" s="3"/>
      <c r="P105" s="3"/>
      <c r="Q105" s="3"/>
    </row>
    <row r="106" spans="1:17" ht="15">
      <c r="A106" s="12"/>
      <c r="B106" s="12"/>
      <c r="C106" s="12"/>
      <c r="D106" s="12"/>
      <c r="E106" s="12"/>
      <c r="F106" s="12"/>
      <c r="G106" s="12"/>
      <c r="H106" s="12"/>
      <c r="I106" s="12"/>
      <c r="J106" s="12"/>
      <c r="K106" s="12"/>
      <c r="L106" s="12"/>
      <c r="M106" s="12"/>
      <c r="N106" s="3"/>
      <c r="O106" s="3"/>
      <c r="P106" s="3"/>
      <c r="Q106" s="3"/>
    </row>
    <row r="107" spans="1:17" ht="15">
      <c r="A107" s="12"/>
      <c r="B107" s="12"/>
      <c r="C107" s="12"/>
      <c r="D107" s="12"/>
      <c r="E107" s="12"/>
      <c r="F107" s="12"/>
      <c r="G107" s="12"/>
      <c r="H107" s="12"/>
      <c r="I107" s="12"/>
      <c r="J107" s="12"/>
      <c r="K107" s="12"/>
      <c r="L107" s="12"/>
      <c r="M107" s="12"/>
      <c r="N107" s="3"/>
      <c r="O107" s="3"/>
      <c r="P107" s="3"/>
      <c r="Q107" s="3"/>
    </row>
    <row r="108" spans="1:17" ht="15">
      <c r="A108" s="12"/>
      <c r="B108" s="12"/>
      <c r="C108" s="12"/>
      <c r="D108" s="12"/>
      <c r="E108" s="12"/>
      <c r="F108" s="12"/>
      <c r="G108" s="12"/>
      <c r="H108" s="12"/>
      <c r="I108" s="12"/>
      <c r="J108" s="12"/>
      <c r="K108" s="12"/>
      <c r="L108" s="12"/>
      <c r="M108" s="12"/>
      <c r="N108" s="3"/>
      <c r="O108" s="3"/>
      <c r="P108" s="3"/>
      <c r="Q108" s="3"/>
    </row>
    <row r="109" spans="1:17" ht="15">
      <c r="A109" s="12"/>
      <c r="B109" s="12"/>
      <c r="C109" s="12"/>
      <c r="D109" s="12"/>
      <c r="E109" s="12"/>
      <c r="F109" s="12"/>
      <c r="G109" s="12"/>
      <c r="H109" s="12"/>
      <c r="I109" s="12"/>
      <c r="J109" s="12"/>
      <c r="K109" s="12"/>
      <c r="L109" s="12"/>
      <c r="M109" s="12"/>
      <c r="N109" s="3"/>
      <c r="O109" s="3"/>
      <c r="P109" s="3"/>
      <c r="Q109" s="3"/>
    </row>
    <row r="110" spans="1:17" ht="15">
      <c r="A110" s="12"/>
      <c r="B110" s="12"/>
      <c r="C110" s="12"/>
      <c r="D110" s="12"/>
      <c r="E110" s="12"/>
      <c r="F110" s="12"/>
      <c r="G110" s="12"/>
      <c r="H110" s="12"/>
      <c r="I110" s="12"/>
      <c r="J110" s="12"/>
      <c r="K110" s="12"/>
      <c r="L110" s="12"/>
      <c r="M110" s="12"/>
      <c r="N110" s="3"/>
      <c r="O110" s="3"/>
      <c r="P110" s="3"/>
      <c r="Q110" s="3"/>
    </row>
    <row r="111" spans="1:17" ht="15">
      <c r="A111" s="12"/>
      <c r="B111" s="12"/>
      <c r="C111" s="12"/>
      <c r="D111" s="12"/>
      <c r="E111" s="12"/>
      <c r="F111" s="12"/>
      <c r="G111" s="12"/>
      <c r="H111" s="12"/>
      <c r="I111" s="12"/>
      <c r="J111" s="12"/>
      <c r="K111" s="12"/>
      <c r="L111" s="12"/>
      <c r="M111" s="12"/>
      <c r="N111" s="3"/>
      <c r="O111" s="3"/>
      <c r="P111" s="3"/>
      <c r="Q111" s="3"/>
    </row>
    <row r="112" spans="1:17" ht="15">
      <c r="A112" s="12"/>
      <c r="B112" s="12"/>
      <c r="C112" s="12"/>
      <c r="D112" s="12"/>
      <c r="E112" s="12"/>
      <c r="F112" s="12"/>
      <c r="G112" s="12"/>
      <c r="H112" s="12"/>
      <c r="I112" s="12"/>
      <c r="J112" s="12"/>
      <c r="K112" s="12"/>
      <c r="L112" s="12"/>
      <c r="M112" s="12"/>
      <c r="N112" s="3"/>
      <c r="O112" s="3"/>
      <c r="P112" s="3"/>
      <c r="Q112" s="3"/>
    </row>
    <row r="113" spans="1:17" ht="15">
      <c r="A113" s="12"/>
      <c r="B113" s="12"/>
      <c r="C113" s="12"/>
      <c r="D113" s="12"/>
      <c r="E113" s="12"/>
      <c r="F113" s="12"/>
      <c r="G113" s="12"/>
      <c r="H113" s="12"/>
      <c r="I113" s="12"/>
      <c r="J113" s="12"/>
      <c r="K113" s="12"/>
      <c r="L113" s="12"/>
      <c r="M113" s="12"/>
      <c r="N113" s="3"/>
      <c r="O113" s="3"/>
      <c r="P113" s="3"/>
      <c r="Q113" s="3"/>
    </row>
    <row r="114" spans="1:17" ht="15">
      <c r="A114" s="12"/>
      <c r="B114" s="12"/>
      <c r="C114" s="12"/>
      <c r="D114" s="12"/>
      <c r="E114" s="12"/>
      <c r="F114" s="12"/>
      <c r="G114" s="12"/>
      <c r="H114" s="12"/>
      <c r="I114" s="12"/>
      <c r="J114" s="12"/>
      <c r="K114" s="12"/>
      <c r="L114" s="12"/>
      <c r="M114" s="12"/>
      <c r="N114" s="3"/>
      <c r="O114" s="3"/>
      <c r="P114" s="3"/>
      <c r="Q114" s="3"/>
    </row>
    <row r="115" spans="1:17" ht="15">
      <c r="A115" s="12"/>
      <c r="B115" s="12"/>
      <c r="C115" s="12"/>
      <c r="D115" s="12"/>
      <c r="E115" s="12"/>
      <c r="F115" s="12"/>
      <c r="G115" s="12"/>
      <c r="H115" s="12"/>
      <c r="I115" s="12"/>
      <c r="J115" s="12"/>
      <c r="K115" s="12"/>
      <c r="L115" s="12"/>
      <c r="M115" s="12"/>
      <c r="N115" s="3"/>
      <c r="O115" s="3"/>
      <c r="P115" s="3"/>
      <c r="Q115" s="3"/>
    </row>
    <row r="116" spans="1:17" ht="15">
      <c r="A116" s="12"/>
      <c r="B116" s="12"/>
      <c r="C116" s="12"/>
      <c r="D116" s="12"/>
      <c r="E116" s="12"/>
      <c r="F116" s="12"/>
      <c r="G116" s="12"/>
      <c r="H116" s="12"/>
      <c r="I116" s="12"/>
      <c r="J116" s="12"/>
      <c r="K116" s="12"/>
      <c r="L116" s="12"/>
      <c r="M116" s="12"/>
      <c r="N116" s="3"/>
      <c r="O116" s="3"/>
      <c r="P116" s="3"/>
      <c r="Q116" s="3"/>
    </row>
    <row r="117" spans="1:17" ht="15">
      <c r="A117" s="12"/>
      <c r="B117" s="12"/>
      <c r="C117" s="12"/>
      <c r="D117" s="12"/>
      <c r="E117" s="12"/>
      <c r="F117" s="12"/>
      <c r="G117" s="12"/>
      <c r="H117" s="12"/>
      <c r="I117" s="12"/>
      <c r="J117" s="12"/>
      <c r="K117" s="12"/>
      <c r="L117" s="12"/>
      <c r="M117" s="12"/>
      <c r="N117" s="3"/>
      <c r="O117" s="3"/>
      <c r="P117" s="3"/>
      <c r="Q117" s="3"/>
    </row>
    <row r="118" spans="1:17" ht="15">
      <c r="A118" s="12"/>
      <c r="B118" s="12"/>
      <c r="C118" s="12"/>
      <c r="D118" s="12"/>
      <c r="E118" s="12"/>
      <c r="F118" s="12"/>
      <c r="G118" s="12"/>
      <c r="H118" s="12"/>
      <c r="I118" s="12"/>
      <c r="J118" s="12"/>
      <c r="K118" s="12"/>
      <c r="L118" s="12"/>
      <c r="M118" s="12"/>
      <c r="N118" s="3"/>
      <c r="O118" s="3"/>
      <c r="P118" s="3"/>
      <c r="Q118" s="3"/>
    </row>
    <row r="119" spans="1:17" ht="15">
      <c r="A119" s="12"/>
      <c r="B119" s="12"/>
      <c r="C119" s="12"/>
      <c r="D119" s="12"/>
      <c r="E119" s="12"/>
      <c r="F119" s="12"/>
      <c r="G119" s="12"/>
      <c r="H119" s="12"/>
      <c r="I119" s="12"/>
      <c r="J119" s="12"/>
      <c r="K119" s="12"/>
      <c r="L119" s="12"/>
      <c r="M119" s="12"/>
      <c r="N119" s="3"/>
      <c r="O119" s="3"/>
      <c r="P119" s="3"/>
      <c r="Q119" s="3"/>
    </row>
    <row r="120" spans="1:17" ht="15">
      <c r="A120" s="12"/>
      <c r="B120" s="12"/>
      <c r="C120" s="12"/>
      <c r="D120" s="12"/>
      <c r="E120" s="12"/>
      <c r="F120" s="12"/>
      <c r="G120" s="12"/>
      <c r="H120" s="12"/>
      <c r="I120" s="12"/>
      <c r="J120" s="12"/>
      <c r="K120" s="12"/>
      <c r="L120" s="12"/>
      <c r="M120" s="12"/>
      <c r="N120" s="3"/>
      <c r="O120" s="3"/>
      <c r="P120" s="3"/>
      <c r="Q120" s="3"/>
    </row>
    <row r="121" spans="1:17" ht="15">
      <c r="A121" s="12"/>
      <c r="B121" s="12"/>
      <c r="C121" s="12"/>
      <c r="D121" s="12"/>
      <c r="E121" s="12"/>
      <c r="F121" s="12"/>
      <c r="G121" s="12"/>
      <c r="H121" s="12"/>
      <c r="I121" s="12"/>
      <c r="J121" s="12"/>
      <c r="K121" s="12"/>
      <c r="L121" s="12"/>
      <c r="M121" s="12"/>
      <c r="N121" s="3"/>
      <c r="O121" s="3"/>
      <c r="P121" s="3"/>
      <c r="Q121" s="3"/>
    </row>
    <row r="122" spans="1:17" ht="15">
      <c r="A122" s="12"/>
      <c r="B122" s="12"/>
      <c r="C122" s="12"/>
      <c r="D122" s="12"/>
      <c r="E122" s="12"/>
      <c r="F122" s="12"/>
      <c r="G122" s="12"/>
      <c r="H122" s="12"/>
      <c r="I122" s="12"/>
      <c r="J122" s="12"/>
      <c r="K122" s="12"/>
      <c r="L122" s="12"/>
      <c r="M122" s="12"/>
      <c r="N122" s="3"/>
      <c r="O122" s="3"/>
      <c r="P122" s="3"/>
      <c r="Q122" s="3"/>
    </row>
    <row r="123" spans="1:17" ht="15">
      <c r="A123" s="12"/>
      <c r="B123" s="12"/>
      <c r="C123" s="12"/>
      <c r="D123" s="12"/>
      <c r="E123" s="12"/>
      <c r="F123" s="12"/>
      <c r="G123" s="12"/>
      <c r="H123" s="12"/>
      <c r="I123" s="12"/>
      <c r="J123" s="12"/>
      <c r="K123" s="12"/>
      <c r="L123" s="12"/>
      <c r="M123" s="12"/>
      <c r="N123" s="3"/>
      <c r="O123" s="3"/>
      <c r="P123" s="3"/>
      <c r="Q123" s="3"/>
    </row>
    <row r="124" spans="1:17" ht="15">
      <c r="A124" s="12"/>
      <c r="B124" s="12"/>
      <c r="C124" s="12"/>
      <c r="D124" s="12"/>
      <c r="E124" s="12"/>
      <c r="F124" s="12"/>
      <c r="G124" s="12"/>
      <c r="H124" s="12"/>
      <c r="I124" s="12"/>
      <c r="J124" s="12"/>
      <c r="K124" s="12"/>
      <c r="L124" s="12"/>
      <c r="M124" s="12"/>
      <c r="N124" s="3"/>
      <c r="O124" s="3"/>
      <c r="P124" s="3"/>
      <c r="Q124" s="3"/>
    </row>
    <row r="125" spans="1:17" ht="15">
      <c r="A125" s="12"/>
      <c r="B125" s="12"/>
      <c r="C125" s="12"/>
      <c r="D125" s="12"/>
      <c r="E125" s="12"/>
      <c r="F125" s="12"/>
      <c r="G125" s="12"/>
      <c r="H125" s="12"/>
      <c r="I125" s="12"/>
      <c r="J125" s="12"/>
      <c r="K125" s="12"/>
      <c r="L125" s="12"/>
      <c r="M125" s="12"/>
      <c r="N125" s="3"/>
      <c r="O125" s="3"/>
      <c r="P125" s="3"/>
      <c r="Q125" s="3"/>
    </row>
    <row r="126" spans="1:17" ht="15">
      <c r="A126" s="12"/>
      <c r="B126" s="12"/>
      <c r="C126" s="12"/>
      <c r="D126" s="12"/>
      <c r="E126" s="12"/>
      <c r="F126" s="12"/>
      <c r="G126" s="12"/>
      <c r="H126" s="12"/>
      <c r="I126" s="12"/>
      <c r="J126" s="12"/>
      <c r="K126" s="12"/>
      <c r="L126" s="12"/>
      <c r="M126" s="12"/>
      <c r="N126" s="3"/>
      <c r="O126" s="3"/>
      <c r="P126" s="3"/>
      <c r="Q126" s="3"/>
    </row>
    <row r="127" spans="1:17" ht="15">
      <c r="A127" s="12"/>
      <c r="B127" s="12"/>
      <c r="C127" s="12"/>
      <c r="D127" s="12"/>
      <c r="E127" s="12"/>
      <c r="F127" s="12"/>
      <c r="G127" s="12"/>
      <c r="H127" s="12"/>
      <c r="I127" s="12"/>
      <c r="J127" s="12"/>
      <c r="K127" s="12"/>
      <c r="L127" s="12"/>
      <c r="M127" s="12"/>
      <c r="N127" s="3"/>
      <c r="O127" s="3"/>
      <c r="P127" s="3"/>
      <c r="Q127" s="3"/>
    </row>
    <row r="128" spans="1:17" ht="15">
      <c r="A128" s="12"/>
      <c r="B128" s="12"/>
      <c r="C128" s="12"/>
      <c r="D128" s="12"/>
      <c r="E128" s="12"/>
      <c r="F128" s="12"/>
      <c r="G128" s="12"/>
      <c r="H128" s="12"/>
      <c r="I128" s="12"/>
      <c r="J128" s="12"/>
      <c r="K128" s="12"/>
      <c r="L128" s="12"/>
      <c r="M128" s="12"/>
      <c r="N128" s="3"/>
      <c r="O128" s="3"/>
      <c r="P128" s="3"/>
      <c r="Q128" s="3"/>
    </row>
    <row r="129" spans="1:17" ht="15">
      <c r="A129" s="12"/>
      <c r="B129" s="12"/>
      <c r="C129" s="12"/>
      <c r="D129" s="12"/>
      <c r="E129" s="12"/>
      <c r="F129" s="12"/>
      <c r="G129" s="12"/>
      <c r="H129" s="12"/>
      <c r="I129" s="12"/>
      <c r="J129" s="12"/>
      <c r="K129" s="12"/>
      <c r="L129" s="12"/>
      <c r="M129" s="12"/>
      <c r="N129" s="3"/>
      <c r="O129" s="3"/>
      <c r="P129" s="3"/>
      <c r="Q129" s="3"/>
    </row>
    <row r="130" spans="1:17" ht="15">
      <c r="A130" s="12"/>
      <c r="B130" s="12"/>
      <c r="C130" s="12"/>
      <c r="D130" s="12"/>
      <c r="E130" s="12"/>
      <c r="F130" s="12"/>
      <c r="G130" s="12"/>
      <c r="H130" s="12"/>
      <c r="I130" s="12"/>
      <c r="J130" s="12"/>
      <c r="K130" s="12"/>
      <c r="L130" s="12"/>
      <c r="M130" s="12"/>
      <c r="N130" s="3"/>
      <c r="O130" s="3"/>
      <c r="P130" s="3"/>
      <c r="Q130" s="3"/>
    </row>
    <row r="131" spans="1:17" ht="15">
      <c r="A131" s="12"/>
      <c r="B131" s="12"/>
      <c r="C131" s="12"/>
      <c r="D131" s="12"/>
      <c r="E131" s="12"/>
      <c r="F131" s="12"/>
      <c r="G131" s="12"/>
      <c r="H131" s="12"/>
      <c r="I131" s="12"/>
      <c r="J131" s="12"/>
      <c r="K131" s="12"/>
      <c r="L131" s="12"/>
      <c r="M131" s="12"/>
      <c r="N131" s="3"/>
      <c r="O131" s="3"/>
      <c r="P131" s="3"/>
      <c r="Q131" s="3"/>
    </row>
    <row r="132" spans="1:17" ht="15">
      <c r="A132" s="12"/>
      <c r="B132" s="12"/>
      <c r="C132" s="12"/>
      <c r="D132" s="12"/>
      <c r="E132" s="12"/>
      <c r="F132" s="12"/>
      <c r="G132" s="12"/>
      <c r="H132" s="12"/>
      <c r="I132" s="12"/>
      <c r="J132" s="12"/>
      <c r="K132" s="12"/>
      <c r="L132" s="12"/>
      <c r="M132" s="12"/>
      <c r="N132" s="3"/>
      <c r="O132" s="3"/>
      <c r="P132" s="3"/>
      <c r="Q132" s="3"/>
    </row>
    <row r="133" spans="1:17" ht="15">
      <c r="A133" s="12"/>
      <c r="B133" s="12"/>
      <c r="C133" s="12"/>
      <c r="D133" s="12"/>
      <c r="E133" s="12"/>
      <c r="F133" s="12"/>
      <c r="G133" s="12"/>
      <c r="H133" s="12"/>
      <c r="I133" s="12"/>
      <c r="J133" s="12"/>
      <c r="K133" s="12"/>
      <c r="L133" s="12"/>
      <c r="M133" s="12"/>
      <c r="N133" s="3"/>
      <c r="O133" s="3"/>
      <c r="P133" s="3"/>
      <c r="Q133" s="3"/>
    </row>
    <row r="134" spans="1:17" ht="15">
      <c r="A134" s="12"/>
      <c r="B134" s="12"/>
      <c r="C134" s="12"/>
      <c r="D134" s="12"/>
      <c r="E134" s="12"/>
      <c r="F134" s="12"/>
      <c r="G134" s="12"/>
      <c r="H134" s="12"/>
      <c r="I134" s="12"/>
      <c r="J134" s="12"/>
      <c r="K134" s="12"/>
      <c r="L134" s="12"/>
      <c r="M134" s="12"/>
      <c r="N134" s="3"/>
      <c r="O134" s="3"/>
      <c r="P134" s="3"/>
      <c r="Q134" s="3"/>
    </row>
    <row r="135" spans="1:17" ht="15">
      <c r="A135" s="12"/>
      <c r="B135" s="12"/>
      <c r="C135" s="12"/>
      <c r="D135" s="12"/>
      <c r="E135" s="12"/>
      <c r="F135" s="12"/>
      <c r="G135" s="12"/>
      <c r="H135" s="12"/>
      <c r="I135" s="12"/>
      <c r="J135" s="12"/>
      <c r="K135" s="12"/>
      <c r="L135" s="12"/>
      <c r="M135" s="12"/>
      <c r="N135" s="3"/>
      <c r="O135" s="3"/>
      <c r="P135" s="3"/>
      <c r="Q135" s="3"/>
    </row>
    <row r="136" spans="1:17" ht="15">
      <c r="A136" s="12"/>
      <c r="B136" s="12"/>
      <c r="C136" s="12"/>
      <c r="D136" s="12"/>
      <c r="E136" s="12"/>
      <c r="F136" s="12"/>
      <c r="G136" s="12"/>
      <c r="H136" s="12"/>
      <c r="I136" s="12"/>
      <c r="J136" s="12"/>
      <c r="K136" s="12"/>
      <c r="L136" s="12"/>
      <c r="M136" s="12"/>
      <c r="N136" s="3"/>
      <c r="O136" s="3"/>
      <c r="P136" s="3"/>
      <c r="Q136" s="3"/>
    </row>
    <row r="137" spans="1:17" ht="15">
      <c r="A137" s="12"/>
      <c r="B137" s="12"/>
      <c r="C137" s="12"/>
      <c r="D137" s="12"/>
      <c r="E137" s="12"/>
      <c r="F137" s="12"/>
      <c r="G137" s="12"/>
      <c r="H137" s="12"/>
      <c r="I137" s="12"/>
      <c r="J137" s="12"/>
      <c r="K137" s="12"/>
      <c r="L137" s="12"/>
      <c r="M137" s="12"/>
      <c r="N137" s="3"/>
      <c r="O137" s="3"/>
      <c r="P137" s="3"/>
      <c r="Q137" s="3"/>
    </row>
    <row r="138" spans="1:17" ht="15">
      <c r="A138" s="12"/>
      <c r="B138" s="12"/>
      <c r="C138" s="12"/>
      <c r="D138" s="12"/>
      <c r="E138" s="12"/>
      <c r="F138" s="12"/>
      <c r="G138" s="12"/>
      <c r="H138" s="12"/>
      <c r="I138" s="12"/>
      <c r="J138" s="12"/>
      <c r="K138" s="12"/>
      <c r="L138" s="12"/>
      <c r="M138" s="12"/>
      <c r="N138" s="3"/>
      <c r="O138" s="3"/>
      <c r="P138" s="3"/>
      <c r="Q138" s="3"/>
    </row>
    <row r="139" spans="1:17" ht="15">
      <c r="A139" s="12"/>
      <c r="B139" s="12"/>
      <c r="C139" s="12"/>
      <c r="D139" s="12"/>
      <c r="E139" s="12"/>
      <c r="F139" s="12"/>
      <c r="G139" s="12"/>
      <c r="H139" s="12"/>
      <c r="I139" s="12"/>
      <c r="J139" s="12"/>
      <c r="K139" s="12"/>
      <c r="L139" s="12"/>
      <c r="M139" s="12"/>
      <c r="N139" s="3"/>
      <c r="O139" s="3"/>
      <c r="P139" s="3"/>
      <c r="Q139" s="3"/>
    </row>
    <row r="140" spans="1:17" ht="15">
      <c r="A140" s="12"/>
      <c r="B140" s="12"/>
      <c r="C140" s="12"/>
      <c r="D140" s="12"/>
      <c r="E140" s="12"/>
      <c r="F140" s="12"/>
      <c r="G140" s="12"/>
      <c r="H140" s="12"/>
      <c r="I140" s="12"/>
      <c r="J140" s="12"/>
      <c r="K140" s="12"/>
      <c r="L140" s="12"/>
      <c r="M140" s="12"/>
      <c r="N140" s="3"/>
      <c r="O140" s="3"/>
      <c r="P140" s="3"/>
      <c r="Q140" s="3"/>
    </row>
    <row r="141" spans="1:17" ht="15">
      <c r="A141" s="12"/>
      <c r="B141" s="12"/>
      <c r="C141" s="12"/>
      <c r="D141" s="12"/>
      <c r="E141" s="12"/>
      <c r="F141" s="12"/>
      <c r="G141" s="12"/>
      <c r="H141" s="12"/>
      <c r="I141" s="12"/>
      <c r="J141" s="12"/>
      <c r="K141" s="12"/>
      <c r="L141" s="12"/>
      <c r="M141" s="12"/>
      <c r="N141" s="3"/>
      <c r="O141" s="3"/>
      <c r="P141" s="3"/>
      <c r="Q141" s="3"/>
    </row>
    <row r="142" spans="1:17" ht="15">
      <c r="A142" s="12"/>
      <c r="B142" s="12"/>
      <c r="C142" s="12"/>
      <c r="D142" s="12"/>
      <c r="E142" s="12"/>
      <c r="F142" s="12"/>
      <c r="G142" s="12"/>
      <c r="H142" s="12"/>
      <c r="I142" s="12"/>
      <c r="J142" s="12"/>
      <c r="K142" s="12"/>
      <c r="L142" s="12"/>
      <c r="M142" s="12"/>
      <c r="N142" s="3"/>
      <c r="O142" s="3"/>
      <c r="P142" s="3"/>
      <c r="Q142" s="3"/>
    </row>
    <row r="143" spans="1:17" ht="15">
      <c r="A143" s="12"/>
      <c r="B143" s="12"/>
      <c r="C143" s="12"/>
      <c r="D143" s="12"/>
      <c r="E143" s="12"/>
      <c r="F143" s="12"/>
      <c r="G143" s="12"/>
      <c r="H143" s="12"/>
      <c r="I143" s="12"/>
      <c r="J143" s="12"/>
      <c r="K143" s="12"/>
      <c r="L143" s="12"/>
      <c r="M143" s="12"/>
      <c r="N143" s="3"/>
      <c r="O143" s="3"/>
      <c r="P143" s="3"/>
      <c r="Q143" s="3"/>
    </row>
    <row r="144" spans="1:17" ht="15">
      <c r="A144" s="12"/>
      <c r="B144" s="12"/>
      <c r="C144" s="12"/>
      <c r="D144" s="12"/>
      <c r="E144" s="12"/>
      <c r="F144" s="12"/>
      <c r="G144" s="12"/>
      <c r="H144" s="12"/>
      <c r="I144" s="12"/>
      <c r="J144" s="12"/>
      <c r="K144" s="12"/>
      <c r="L144" s="12"/>
      <c r="M144" s="12"/>
      <c r="N144" s="3"/>
      <c r="O144" s="3"/>
      <c r="P144" s="3"/>
      <c r="Q144" s="3"/>
    </row>
    <row r="145" spans="1:17" ht="15">
      <c r="A145" s="12"/>
      <c r="B145" s="12"/>
      <c r="C145" s="12"/>
      <c r="D145" s="12"/>
      <c r="E145" s="12"/>
      <c r="F145" s="12"/>
      <c r="G145" s="12"/>
      <c r="H145" s="12"/>
      <c r="I145" s="12"/>
      <c r="J145" s="12"/>
      <c r="K145" s="12"/>
      <c r="L145" s="12"/>
      <c r="M145" s="12"/>
      <c r="N145" s="3"/>
      <c r="O145" s="3"/>
      <c r="P145" s="3"/>
      <c r="Q145" s="3"/>
    </row>
    <row r="146" spans="1:17" ht="15">
      <c r="A146" s="12"/>
      <c r="B146" s="12"/>
      <c r="C146" s="12"/>
      <c r="D146" s="12"/>
      <c r="E146" s="12"/>
      <c r="F146" s="12"/>
      <c r="G146" s="12"/>
      <c r="H146" s="12"/>
      <c r="I146" s="12"/>
      <c r="J146" s="12"/>
      <c r="K146" s="12"/>
      <c r="L146" s="12"/>
      <c r="M146" s="12"/>
      <c r="N146" s="3"/>
      <c r="O146" s="3"/>
      <c r="P146" s="3"/>
      <c r="Q146" s="3"/>
    </row>
    <row r="147" spans="1:17" ht="15">
      <c r="A147" s="12"/>
      <c r="B147" s="12"/>
      <c r="C147" s="12"/>
      <c r="D147" s="12"/>
      <c r="E147" s="12"/>
      <c r="F147" s="12"/>
      <c r="G147" s="12"/>
      <c r="H147" s="12"/>
      <c r="I147" s="12"/>
      <c r="J147" s="12"/>
      <c r="K147" s="12"/>
      <c r="L147" s="12"/>
      <c r="M147" s="12"/>
      <c r="N147" s="3"/>
      <c r="O147" s="3"/>
      <c r="P147" s="3"/>
      <c r="Q147" s="3"/>
    </row>
    <row r="148" spans="1:17" ht="15">
      <c r="A148" s="12"/>
      <c r="B148" s="12"/>
      <c r="C148" s="12"/>
      <c r="D148" s="12"/>
      <c r="E148" s="12"/>
      <c r="F148" s="12"/>
      <c r="G148" s="12"/>
      <c r="H148" s="12"/>
      <c r="I148" s="12"/>
      <c r="J148" s="12"/>
      <c r="K148" s="12"/>
      <c r="L148" s="12"/>
      <c r="M148" s="12"/>
      <c r="N148" s="3"/>
      <c r="O148" s="3"/>
      <c r="P148" s="3"/>
      <c r="Q148" s="3"/>
    </row>
    <row r="149" spans="1:17" ht="15">
      <c r="A149" s="12"/>
      <c r="B149" s="12"/>
      <c r="C149" s="12"/>
      <c r="D149" s="12"/>
      <c r="E149" s="12"/>
      <c r="F149" s="12"/>
      <c r="G149" s="12"/>
      <c r="H149" s="12"/>
      <c r="I149" s="12"/>
      <c r="J149" s="12"/>
      <c r="K149" s="12"/>
      <c r="L149" s="12"/>
      <c r="M149" s="12"/>
      <c r="N149" s="3"/>
      <c r="O149" s="3"/>
      <c r="P149" s="3"/>
      <c r="Q149" s="3"/>
    </row>
    <row r="150" spans="1:17" ht="15">
      <c r="A150" s="12"/>
      <c r="B150" s="12"/>
      <c r="C150" s="12"/>
      <c r="D150" s="12"/>
      <c r="E150" s="12"/>
      <c r="F150" s="12"/>
      <c r="G150" s="12"/>
      <c r="H150" s="12"/>
      <c r="I150" s="12"/>
      <c r="J150" s="12"/>
      <c r="K150" s="12"/>
      <c r="L150" s="12"/>
      <c r="M150" s="12"/>
      <c r="N150" s="3"/>
      <c r="O150" s="3"/>
      <c r="P150" s="3"/>
      <c r="Q150" s="3"/>
    </row>
    <row r="151" spans="1:17" ht="15">
      <c r="A151" s="12"/>
      <c r="B151" s="12"/>
      <c r="C151" s="12"/>
      <c r="D151" s="12"/>
      <c r="E151" s="12"/>
      <c r="F151" s="12"/>
      <c r="G151" s="12"/>
      <c r="H151" s="12"/>
      <c r="I151" s="12"/>
      <c r="J151" s="12"/>
      <c r="K151" s="12"/>
      <c r="L151" s="12"/>
      <c r="M151" s="12"/>
      <c r="N151" s="3"/>
      <c r="O151" s="3"/>
      <c r="P151" s="3"/>
      <c r="Q151" s="3"/>
    </row>
    <row r="152" spans="1:17" ht="15">
      <c r="A152" s="12"/>
      <c r="B152" s="12"/>
      <c r="C152" s="12"/>
      <c r="D152" s="12"/>
      <c r="E152" s="12"/>
      <c r="F152" s="12"/>
      <c r="G152" s="12"/>
      <c r="H152" s="12"/>
      <c r="I152" s="12"/>
      <c r="J152" s="12"/>
      <c r="K152" s="12"/>
      <c r="L152" s="12"/>
      <c r="M152" s="12"/>
      <c r="N152" s="3"/>
      <c r="O152" s="3"/>
      <c r="P152" s="3"/>
      <c r="Q152" s="3"/>
    </row>
    <row r="153" spans="1:17" ht="15">
      <c r="A153" s="12"/>
      <c r="B153" s="12"/>
      <c r="C153" s="12"/>
      <c r="D153" s="12"/>
      <c r="E153" s="12"/>
      <c r="F153" s="12"/>
      <c r="G153" s="12"/>
      <c r="H153" s="12"/>
      <c r="I153" s="12"/>
      <c r="J153" s="12"/>
      <c r="K153" s="12"/>
      <c r="L153" s="12"/>
      <c r="M153" s="12"/>
      <c r="N153" s="3"/>
      <c r="O153" s="3"/>
      <c r="P153" s="3"/>
      <c r="Q153" s="3"/>
    </row>
    <row r="154" spans="1:17" ht="15">
      <c r="A154" s="12"/>
      <c r="B154" s="12"/>
      <c r="C154" s="12"/>
      <c r="D154" s="12"/>
      <c r="E154" s="12"/>
      <c r="F154" s="12"/>
      <c r="G154" s="12"/>
      <c r="H154" s="12"/>
      <c r="I154" s="12"/>
      <c r="J154" s="12"/>
      <c r="K154" s="12"/>
      <c r="L154" s="12"/>
      <c r="M154" s="12"/>
      <c r="N154" s="3"/>
      <c r="O154" s="3"/>
      <c r="P154" s="3"/>
      <c r="Q154" s="3"/>
    </row>
    <row r="155" spans="1:17" ht="15">
      <c r="A155" s="12"/>
      <c r="B155" s="12"/>
      <c r="C155" s="12"/>
      <c r="D155" s="12"/>
      <c r="E155" s="12"/>
      <c r="F155" s="12"/>
      <c r="G155" s="12"/>
      <c r="H155" s="12"/>
      <c r="I155" s="12"/>
      <c r="J155" s="12"/>
      <c r="K155" s="12"/>
      <c r="L155" s="12"/>
      <c r="M155" s="12"/>
      <c r="N155" s="3"/>
      <c r="O155" s="3"/>
      <c r="P155" s="3"/>
      <c r="Q155" s="3"/>
    </row>
    <row r="156" spans="1:17" ht="15">
      <c r="A156" s="12"/>
      <c r="B156" s="12"/>
      <c r="C156" s="12"/>
      <c r="D156" s="12"/>
      <c r="E156" s="12"/>
      <c r="F156" s="12"/>
      <c r="G156" s="12"/>
      <c r="H156" s="12"/>
      <c r="I156" s="12"/>
      <c r="J156" s="12"/>
      <c r="K156" s="12"/>
      <c r="L156" s="12"/>
      <c r="M156" s="12"/>
      <c r="N156" s="3"/>
      <c r="O156" s="3"/>
      <c r="P156" s="3"/>
      <c r="Q156" s="3"/>
    </row>
    <row r="157" spans="1:17" ht="15">
      <c r="A157" s="12"/>
      <c r="B157" s="12"/>
      <c r="C157" s="12"/>
      <c r="D157" s="12"/>
      <c r="E157" s="12"/>
      <c r="F157" s="12"/>
      <c r="G157" s="12"/>
      <c r="H157" s="12"/>
      <c r="I157" s="12"/>
      <c r="J157" s="12"/>
      <c r="K157" s="12"/>
      <c r="L157" s="12"/>
      <c r="M157" s="12"/>
      <c r="N157" s="3"/>
      <c r="O157" s="3"/>
      <c r="P157" s="3"/>
      <c r="Q157" s="3"/>
    </row>
    <row r="158" spans="1:17" ht="15">
      <c r="A158" s="12"/>
      <c r="B158" s="12"/>
      <c r="C158" s="12"/>
      <c r="D158" s="12"/>
      <c r="E158" s="12"/>
      <c r="F158" s="12"/>
      <c r="G158" s="12"/>
      <c r="H158" s="12"/>
      <c r="I158" s="12"/>
      <c r="J158" s="12"/>
      <c r="K158" s="12"/>
      <c r="L158" s="12"/>
      <c r="M158" s="12"/>
      <c r="N158" s="3"/>
      <c r="O158" s="3"/>
      <c r="P158" s="3"/>
      <c r="Q158" s="3"/>
    </row>
    <row r="159" spans="1:17" ht="15">
      <c r="A159" s="12"/>
      <c r="B159" s="12"/>
      <c r="C159" s="12"/>
      <c r="D159" s="12"/>
      <c r="E159" s="12"/>
      <c r="F159" s="12"/>
      <c r="G159" s="12"/>
      <c r="H159" s="12"/>
      <c r="I159" s="12"/>
      <c r="J159" s="12"/>
      <c r="K159" s="12"/>
      <c r="L159" s="12"/>
      <c r="M159" s="12"/>
      <c r="N159" s="3"/>
      <c r="O159" s="3"/>
      <c r="P159" s="3"/>
      <c r="Q159" s="3"/>
    </row>
    <row r="160" spans="1:17" ht="15">
      <c r="A160" s="12"/>
      <c r="B160" s="12"/>
      <c r="C160" s="12"/>
      <c r="D160" s="12"/>
      <c r="E160" s="12"/>
      <c r="F160" s="12"/>
      <c r="G160" s="12"/>
      <c r="H160" s="12"/>
      <c r="I160" s="12"/>
      <c r="J160" s="12"/>
      <c r="K160" s="12"/>
      <c r="L160" s="12"/>
      <c r="M160" s="12"/>
      <c r="N160" s="3"/>
      <c r="O160" s="3"/>
      <c r="P160" s="3"/>
      <c r="Q160" s="3"/>
    </row>
    <row r="161" spans="1:17" ht="15">
      <c r="A161" s="12"/>
      <c r="B161" s="12"/>
      <c r="C161" s="12"/>
      <c r="D161" s="12"/>
      <c r="E161" s="12"/>
      <c r="F161" s="12"/>
      <c r="G161" s="12"/>
      <c r="H161" s="12"/>
      <c r="I161" s="12"/>
      <c r="J161" s="12"/>
      <c r="K161" s="12"/>
      <c r="L161" s="12"/>
      <c r="M161" s="12"/>
      <c r="N161" s="3"/>
      <c r="O161" s="3"/>
      <c r="P161" s="3"/>
      <c r="Q161" s="3"/>
    </row>
    <row r="162" spans="1:17" ht="15">
      <c r="A162" s="12"/>
      <c r="B162" s="12"/>
      <c r="C162" s="12"/>
      <c r="D162" s="12"/>
      <c r="E162" s="12"/>
      <c r="F162" s="12"/>
      <c r="G162" s="12"/>
      <c r="H162" s="12"/>
      <c r="I162" s="12"/>
      <c r="J162" s="12"/>
      <c r="K162" s="12"/>
      <c r="L162" s="12"/>
      <c r="M162" s="12"/>
      <c r="N162" s="3"/>
      <c r="O162" s="3"/>
      <c r="P162" s="3"/>
      <c r="Q162" s="3"/>
    </row>
    <row r="163" spans="1:17" ht="15">
      <c r="A163" s="12"/>
      <c r="B163" s="12"/>
      <c r="C163" s="12"/>
      <c r="D163" s="12"/>
      <c r="E163" s="12"/>
      <c r="F163" s="12"/>
      <c r="G163" s="12"/>
      <c r="H163" s="12"/>
      <c r="I163" s="12"/>
      <c r="J163" s="12"/>
      <c r="K163" s="12"/>
      <c r="L163" s="12"/>
      <c r="M163" s="12"/>
      <c r="N163" s="3"/>
      <c r="O163" s="3"/>
      <c r="P163" s="3"/>
      <c r="Q163" s="3"/>
    </row>
    <row r="164" spans="1:17" ht="15">
      <c r="A164" s="12"/>
      <c r="B164" s="12"/>
      <c r="C164" s="12"/>
      <c r="D164" s="12"/>
      <c r="E164" s="12"/>
      <c r="F164" s="12"/>
      <c r="G164" s="12"/>
      <c r="H164" s="12"/>
      <c r="I164" s="12"/>
      <c r="J164" s="12"/>
      <c r="K164" s="12"/>
      <c r="L164" s="12"/>
      <c r="M164" s="12"/>
      <c r="N164" s="3"/>
      <c r="O164" s="3"/>
      <c r="P164" s="3"/>
      <c r="Q164" s="3"/>
    </row>
    <row r="165" spans="1:17" ht="15">
      <c r="A165" s="12"/>
      <c r="B165" s="12"/>
      <c r="C165" s="12"/>
      <c r="D165" s="12"/>
      <c r="E165" s="12"/>
      <c r="F165" s="12"/>
      <c r="G165" s="12"/>
      <c r="H165" s="12"/>
      <c r="I165" s="12"/>
      <c r="J165" s="12"/>
      <c r="K165" s="12"/>
      <c r="L165" s="12"/>
      <c r="M165" s="12"/>
      <c r="N165" s="3"/>
      <c r="O165" s="3"/>
      <c r="P165" s="3"/>
      <c r="Q165" s="3"/>
    </row>
    <row r="166" spans="1:17" ht="15">
      <c r="A166" s="12"/>
      <c r="B166" s="12"/>
      <c r="C166" s="12"/>
      <c r="D166" s="12"/>
      <c r="E166" s="12"/>
      <c r="F166" s="12"/>
      <c r="G166" s="12"/>
      <c r="H166" s="12"/>
      <c r="I166" s="12"/>
      <c r="J166" s="12"/>
      <c r="K166" s="12"/>
      <c r="L166" s="12"/>
      <c r="M166" s="12"/>
      <c r="N166" s="3"/>
      <c r="O166" s="3"/>
      <c r="P166" s="3"/>
      <c r="Q166" s="3"/>
    </row>
    <row r="167" spans="1:17" ht="15">
      <c r="A167" s="12"/>
      <c r="B167" s="12"/>
      <c r="C167" s="12"/>
      <c r="D167" s="12"/>
      <c r="E167" s="12"/>
      <c r="F167" s="12"/>
      <c r="G167" s="12"/>
      <c r="H167" s="12"/>
      <c r="I167" s="12"/>
      <c r="J167" s="12"/>
      <c r="K167" s="12"/>
      <c r="L167" s="12"/>
      <c r="M167" s="12"/>
      <c r="N167" s="3"/>
      <c r="O167" s="3"/>
      <c r="P167" s="3"/>
      <c r="Q167" s="3"/>
    </row>
    <row r="168" spans="1:17" ht="15">
      <c r="A168" s="12"/>
      <c r="B168" s="12"/>
      <c r="C168" s="12"/>
      <c r="D168" s="12"/>
      <c r="E168" s="12"/>
      <c r="F168" s="12"/>
      <c r="G168" s="12"/>
      <c r="H168" s="12"/>
      <c r="I168" s="12"/>
      <c r="J168" s="12"/>
      <c r="K168" s="12"/>
      <c r="L168" s="12"/>
      <c r="M168" s="12"/>
      <c r="N168" s="3"/>
      <c r="O168" s="3"/>
      <c r="P168" s="3"/>
      <c r="Q168" s="3"/>
    </row>
    <row r="169" spans="1:17" ht="15">
      <c r="A169" s="12"/>
      <c r="B169" s="12"/>
      <c r="C169" s="12"/>
      <c r="D169" s="12"/>
      <c r="E169" s="12"/>
      <c r="F169" s="12"/>
      <c r="G169" s="12"/>
      <c r="H169" s="12"/>
      <c r="I169" s="12"/>
      <c r="J169" s="12"/>
      <c r="K169" s="12"/>
      <c r="L169" s="12"/>
      <c r="M169" s="12"/>
      <c r="N169" s="3"/>
      <c r="O169" s="3"/>
      <c r="P169" s="3"/>
      <c r="Q169" s="3"/>
    </row>
    <row r="170" spans="1:17" ht="15">
      <c r="A170" s="12"/>
      <c r="B170" s="12"/>
      <c r="C170" s="12"/>
      <c r="D170" s="12"/>
      <c r="E170" s="12"/>
      <c r="F170" s="12"/>
      <c r="G170" s="12"/>
      <c r="H170" s="12"/>
      <c r="I170" s="12"/>
      <c r="J170" s="12"/>
      <c r="K170" s="12"/>
      <c r="L170" s="12"/>
      <c r="M170" s="12"/>
      <c r="N170" s="3"/>
      <c r="O170" s="3"/>
      <c r="P170" s="3"/>
      <c r="Q170" s="3"/>
    </row>
    <row r="171" spans="1:17" ht="15">
      <c r="A171" s="12"/>
      <c r="B171" s="12"/>
      <c r="C171" s="12"/>
      <c r="D171" s="12"/>
      <c r="E171" s="12"/>
      <c r="F171" s="12"/>
      <c r="G171" s="12"/>
      <c r="H171" s="12"/>
      <c r="I171" s="12"/>
      <c r="J171" s="12"/>
      <c r="K171" s="12"/>
      <c r="L171" s="12"/>
      <c r="M171" s="12"/>
      <c r="N171" s="3"/>
      <c r="O171" s="3"/>
      <c r="P171" s="3"/>
      <c r="Q171" s="3"/>
    </row>
    <row r="172" spans="1:17" ht="15">
      <c r="A172" s="12"/>
      <c r="B172" s="12"/>
      <c r="C172" s="12"/>
      <c r="D172" s="12"/>
      <c r="E172" s="12"/>
      <c r="F172" s="12"/>
      <c r="G172" s="12"/>
      <c r="H172" s="12"/>
      <c r="I172" s="12"/>
      <c r="J172" s="12"/>
      <c r="K172" s="12"/>
      <c r="L172" s="12"/>
      <c r="M172" s="12"/>
      <c r="N172" s="3"/>
      <c r="O172" s="3"/>
      <c r="P172" s="3"/>
      <c r="Q172" s="3"/>
    </row>
    <row r="173" spans="1:17" ht="15">
      <c r="A173" s="12"/>
      <c r="B173" s="12"/>
      <c r="C173" s="12"/>
      <c r="D173" s="12"/>
      <c r="E173" s="12"/>
      <c r="F173" s="12"/>
      <c r="G173" s="12"/>
      <c r="H173" s="12"/>
      <c r="I173" s="12"/>
      <c r="J173" s="12"/>
      <c r="K173" s="12"/>
      <c r="L173" s="12"/>
      <c r="M173" s="12"/>
      <c r="N173" s="3"/>
      <c r="O173" s="3"/>
      <c r="P173" s="3"/>
      <c r="Q173" s="3"/>
    </row>
    <row r="174" spans="1:17" ht="15">
      <c r="A174" s="12"/>
      <c r="B174" s="12"/>
      <c r="C174" s="12"/>
      <c r="D174" s="12"/>
      <c r="E174" s="12"/>
      <c r="F174" s="12"/>
      <c r="G174" s="12"/>
      <c r="H174" s="12"/>
      <c r="I174" s="12"/>
      <c r="J174" s="12"/>
      <c r="K174" s="12"/>
      <c r="L174" s="12"/>
      <c r="M174" s="12"/>
      <c r="N174" s="3"/>
      <c r="O174" s="3"/>
      <c r="P174" s="3"/>
      <c r="Q174" s="3"/>
    </row>
    <row r="175" spans="1:17" ht="15">
      <c r="A175" s="12"/>
      <c r="B175" s="12"/>
      <c r="C175" s="12"/>
      <c r="D175" s="12"/>
      <c r="E175" s="12"/>
      <c r="F175" s="12"/>
      <c r="G175" s="12"/>
      <c r="H175" s="12"/>
      <c r="I175" s="12"/>
      <c r="J175" s="12"/>
      <c r="K175" s="12"/>
      <c r="L175" s="12"/>
      <c r="M175" s="12"/>
      <c r="N175" s="3"/>
      <c r="O175" s="3"/>
      <c r="P175" s="3"/>
      <c r="Q175" s="3"/>
    </row>
    <row r="176" spans="1:17" ht="15">
      <c r="A176" s="12"/>
      <c r="B176" s="12"/>
      <c r="C176" s="12"/>
      <c r="D176" s="12"/>
      <c r="E176" s="12"/>
      <c r="F176" s="12"/>
      <c r="G176" s="12"/>
      <c r="H176" s="12"/>
      <c r="I176" s="12"/>
      <c r="J176" s="12"/>
      <c r="K176" s="12"/>
      <c r="L176" s="12"/>
      <c r="M176" s="12"/>
      <c r="N176" s="3"/>
      <c r="O176" s="3"/>
      <c r="P176" s="3"/>
      <c r="Q176" s="3"/>
    </row>
    <row r="177" spans="1:17" ht="15">
      <c r="A177" s="12"/>
      <c r="B177" s="12"/>
      <c r="C177" s="12"/>
      <c r="D177" s="12"/>
      <c r="E177" s="12"/>
      <c r="F177" s="12"/>
      <c r="G177" s="12"/>
      <c r="H177" s="12"/>
      <c r="I177" s="12"/>
      <c r="J177" s="12"/>
      <c r="K177" s="12"/>
      <c r="L177" s="12"/>
      <c r="M177" s="12"/>
      <c r="N177" s="3"/>
      <c r="O177" s="3"/>
      <c r="P177" s="3"/>
      <c r="Q177" s="3"/>
    </row>
    <row r="178" spans="1:17" ht="15">
      <c r="A178" s="12"/>
      <c r="B178" s="12"/>
      <c r="C178" s="12"/>
      <c r="D178" s="12"/>
      <c r="E178" s="12"/>
      <c r="F178" s="12"/>
      <c r="G178" s="12"/>
      <c r="H178" s="12"/>
      <c r="I178" s="12"/>
      <c r="J178" s="12"/>
      <c r="K178" s="12"/>
      <c r="L178" s="12"/>
      <c r="M178" s="12"/>
      <c r="N178" s="3"/>
      <c r="O178" s="3"/>
      <c r="P178" s="3"/>
      <c r="Q178" s="3"/>
    </row>
    <row r="179" spans="1:17" ht="15">
      <c r="A179" s="12"/>
      <c r="B179" s="12"/>
      <c r="C179" s="12"/>
      <c r="D179" s="12"/>
      <c r="E179" s="12"/>
      <c r="F179" s="12"/>
      <c r="G179" s="12"/>
      <c r="H179" s="12"/>
      <c r="I179" s="12"/>
      <c r="J179" s="12"/>
      <c r="K179" s="12"/>
      <c r="L179" s="12"/>
      <c r="M179" s="12"/>
      <c r="N179" s="3"/>
      <c r="O179" s="3"/>
      <c r="P179" s="3"/>
      <c r="Q179" s="3"/>
    </row>
    <row r="180" spans="1:17" ht="15">
      <c r="A180" s="12"/>
      <c r="B180" s="12"/>
      <c r="C180" s="12"/>
      <c r="D180" s="12"/>
      <c r="E180" s="12"/>
      <c r="F180" s="12"/>
      <c r="G180" s="12"/>
      <c r="H180" s="12"/>
      <c r="I180" s="12"/>
      <c r="J180" s="12"/>
      <c r="K180" s="12"/>
      <c r="L180" s="12"/>
      <c r="M180" s="12"/>
      <c r="N180" s="3"/>
      <c r="O180" s="3"/>
      <c r="P180" s="3"/>
      <c r="Q180" s="3"/>
    </row>
    <row r="181" spans="1:17" ht="15">
      <c r="A181" s="12"/>
      <c r="B181" s="12"/>
      <c r="C181" s="12"/>
      <c r="D181" s="12"/>
      <c r="E181" s="12"/>
      <c r="F181" s="12"/>
      <c r="G181" s="12"/>
      <c r="H181" s="12"/>
      <c r="I181" s="12"/>
      <c r="J181" s="12"/>
      <c r="K181" s="12"/>
      <c r="L181" s="12"/>
      <c r="M181" s="12"/>
      <c r="N181" s="3"/>
      <c r="O181" s="3"/>
      <c r="P181" s="3"/>
      <c r="Q181" s="3"/>
    </row>
    <row r="182" spans="1:17" ht="15">
      <c r="A182" s="12"/>
      <c r="B182" s="12"/>
      <c r="C182" s="12"/>
      <c r="D182" s="12"/>
      <c r="E182" s="12"/>
      <c r="F182" s="12"/>
      <c r="G182" s="12"/>
      <c r="H182" s="12"/>
      <c r="I182" s="12"/>
      <c r="J182" s="12"/>
      <c r="K182" s="12"/>
      <c r="L182" s="12"/>
      <c r="M182" s="12"/>
      <c r="N182" s="3"/>
      <c r="O182" s="3"/>
      <c r="P182" s="3"/>
      <c r="Q182" s="3"/>
    </row>
    <row r="183" spans="1:17" ht="15">
      <c r="A183" s="12"/>
      <c r="B183" s="12"/>
      <c r="C183" s="12"/>
      <c r="D183" s="12"/>
      <c r="E183" s="12"/>
      <c r="F183" s="12"/>
      <c r="G183" s="12"/>
      <c r="H183" s="12"/>
      <c r="I183" s="12"/>
      <c r="J183" s="12"/>
      <c r="K183" s="12"/>
      <c r="L183" s="12"/>
      <c r="M183" s="12"/>
      <c r="N183" s="3"/>
      <c r="O183" s="3"/>
      <c r="P183" s="3"/>
      <c r="Q183" s="3"/>
    </row>
    <row r="184" spans="1:17" ht="15">
      <c r="A184" s="12"/>
      <c r="B184" s="12"/>
      <c r="C184" s="12"/>
      <c r="D184" s="12"/>
      <c r="E184" s="12"/>
      <c r="F184" s="12"/>
      <c r="G184" s="12"/>
      <c r="H184" s="12"/>
      <c r="I184" s="12"/>
      <c r="J184" s="12"/>
      <c r="K184" s="12"/>
      <c r="L184" s="12"/>
      <c r="M184" s="12"/>
      <c r="N184" s="3"/>
      <c r="O184" s="3"/>
      <c r="P184" s="3"/>
      <c r="Q184" s="3"/>
    </row>
    <row r="185" spans="1:17" ht="15">
      <c r="A185" s="12"/>
      <c r="B185" s="12"/>
      <c r="C185" s="12"/>
      <c r="D185" s="12"/>
      <c r="E185" s="12"/>
      <c r="F185" s="12"/>
      <c r="G185" s="12"/>
      <c r="H185" s="12"/>
      <c r="I185" s="12"/>
      <c r="J185" s="12"/>
      <c r="K185" s="12"/>
      <c r="L185" s="12"/>
      <c r="M185" s="12"/>
      <c r="N185" s="3"/>
      <c r="O185" s="3"/>
      <c r="P185" s="3"/>
      <c r="Q185" s="3"/>
    </row>
    <row r="186" spans="1:17" ht="15">
      <c r="A186" s="12"/>
      <c r="B186" s="12"/>
      <c r="C186" s="12"/>
      <c r="D186" s="12"/>
      <c r="E186" s="12"/>
      <c r="F186" s="12"/>
      <c r="G186" s="12"/>
      <c r="H186" s="12"/>
      <c r="I186" s="12"/>
      <c r="J186" s="12"/>
      <c r="K186" s="12"/>
      <c r="L186" s="12"/>
      <c r="M186" s="12"/>
      <c r="N186" s="3"/>
      <c r="O186" s="3"/>
      <c r="P186" s="3"/>
      <c r="Q186" s="3"/>
    </row>
    <row r="187" spans="1:17" ht="15">
      <c r="A187" s="12"/>
      <c r="B187" s="12"/>
      <c r="C187" s="12"/>
      <c r="D187" s="12"/>
      <c r="E187" s="12"/>
      <c r="F187" s="12"/>
      <c r="G187" s="12"/>
      <c r="H187" s="12"/>
      <c r="I187" s="12"/>
      <c r="J187" s="12"/>
      <c r="K187" s="12"/>
      <c r="L187" s="12"/>
      <c r="M187" s="12"/>
      <c r="N187" s="3"/>
      <c r="O187" s="3"/>
      <c r="P187" s="3"/>
      <c r="Q187" s="3"/>
    </row>
    <row r="188" spans="1:17" ht="15">
      <c r="A188" s="12"/>
      <c r="B188" s="12"/>
      <c r="C188" s="12"/>
      <c r="D188" s="12"/>
      <c r="E188" s="12"/>
      <c r="F188" s="12"/>
      <c r="G188" s="12"/>
      <c r="H188" s="12"/>
      <c r="I188" s="12"/>
      <c r="J188" s="12"/>
      <c r="K188" s="12"/>
      <c r="L188" s="12"/>
      <c r="M188" s="12"/>
      <c r="N188" s="3"/>
      <c r="O188" s="3"/>
      <c r="P188" s="3"/>
      <c r="Q188" s="3"/>
    </row>
    <row r="189" spans="1:17" ht="15">
      <c r="A189" s="12"/>
      <c r="B189" s="12"/>
      <c r="C189" s="12"/>
      <c r="D189" s="12"/>
      <c r="E189" s="12"/>
      <c r="F189" s="12"/>
      <c r="G189" s="12"/>
      <c r="H189" s="12"/>
      <c r="I189" s="12"/>
      <c r="J189" s="12"/>
      <c r="K189" s="12"/>
      <c r="L189" s="12"/>
      <c r="M189" s="12"/>
      <c r="N189" s="3"/>
      <c r="O189" s="3"/>
      <c r="P189" s="3"/>
      <c r="Q189" s="3"/>
    </row>
    <row r="190" spans="1:17" ht="15">
      <c r="A190" s="12"/>
      <c r="B190" s="12"/>
      <c r="C190" s="12"/>
      <c r="D190" s="12"/>
      <c r="E190" s="12"/>
      <c r="F190" s="12"/>
      <c r="G190" s="12"/>
      <c r="H190" s="12"/>
      <c r="I190" s="12"/>
      <c r="J190" s="12"/>
      <c r="K190" s="12"/>
      <c r="L190" s="12"/>
      <c r="M190" s="12"/>
      <c r="N190" s="3"/>
      <c r="O190" s="3"/>
      <c r="P190" s="3"/>
      <c r="Q190" s="3"/>
    </row>
    <row r="191" spans="1:17" ht="15">
      <c r="A191" s="12"/>
      <c r="B191" s="12"/>
      <c r="C191" s="12"/>
      <c r="D191" s="12"/>
      <c r="E191" s="12"/>
      <c r="F191" s="12"/>
      <c r="G191" s="12"/>
      <c r="H191" s="12"/>
      <c r="I191" s="12"/>
      <c r="J191" s="12"/>
      <c r="K191" s="12"/>
      <c r="L191" s="12"/>
      <c r="M191" s="12"/>
      <c r="N191" s="3"/>
      <c r="O191" s="3"/>
      <c r="P191" s="3"/>
      <c r="Q191" s="3"/>
    </row>
    <row r="192" spans="1:17" ht="15">
      <c r="A192" s="12"/>
      <c r="B192" s="12"/>
      <c r="C192" s="12"/>
      <c r="D192" s="12"/>
      <c r="E192" s="12"/>
      <c r="F192" s="12"/>
      <c r="G192" s="12"/>
      <c r="H192" s="12"/>
      <c r="I192" s="12"/>
      <c r="J192" s="12"/>
      <c r="K192" s="12"/>
      <c r="L192" s="12"/>
      <c r="M192" s="12"/>
      <c r="N192" s="3"/>
      <c r="O192" s="3"/>
      <c r="P192" s="3"/>
      <c r="Q192" s="3"/>
    </row>
    <row r="193" spans="1:17" ht="15">
      <c r="A193" s="12"/>
      <c r="B193" s="12"/>
      <c r="C193" s="12"/>
      <c r="D193" s="12"/>
      <c r="E193" s="12"/>
      <c r="F193" s="12"/>
      <c r="G193" s="12"/>
      <c r="H193" s="12"/>
      <c r="I193" s="12"/>
      <c r="J193" s="12"/>
      <c r="K193" s="12"/>
      <c r="L193" s="12"/>
      <c r="M193" s="12"/>
      <c r="N193" s="3"/>
      <c r="O193" s="3"/>
      <c r="P193" s="3"/>
      <c r="Q193" s="3"/>
    </row>
    <row r="194" spans="1:17" ht="15">
      <c r="A194" s="12"/>
      <c r="B194" s="12"/>
      <c r="C194" s="12"/>
      <c r="D194" s="12"/>
      <c r="E194" s="12"/>
      <c r="F194" s="12"/>
      <c r="G194" s="12"/>
      <c r="H194" s="12"/>
      <c r="I194" s="12"/>
      <c r="J194" s="12"/>
      <c r="K194" s="12"/>
      <c r="L194" s="12"/>
      <c r="M194" s="12"/>
      <c r="N194" s="3"/>
      <c r="O194" s="3"/>
      <c r="P194" s="3"/>
      <c r="Q194" s="3"/>
    </row>
    <row r="195" spans="1:17" ht="15">
      <c r="A195" s="12"/>
      <c r="B195" s="12"/>
      <c r="C195" s="12"/>
      <c r="D195" s="12"/>
      <c r="E195" s="12"/>
      <c r="F195" s="12"/>
      <c r="G195" s="12"/>
      <c r="H195" s="12"/>
      <c r="I195" s="12"/>
      <c r="J195" s="12"/>
      <c r="K195" s="12"/>
      <c r="L195" s="12"/>
      <c r="M195" s="12"/>
      <c r="N195" s="3"/>
      <c r="O195" s="3"/>
      <c r="P195" s="3"/>
      <c r="Q195" s="3"/>
    </row>
    <row r="196" spans="1:17" ht="15">
      <c r="A196" s="12"/>
      <c r="B196" s="12"/>
      <c r="C196" s="12"/>
      <c r="D196" s="12"/>
      <c r="E196" s="12"/>
      <c r="F196" s="12"/>
      <c r="G196" s="12"/>
      <c r="H196" s="12"/>
      <c r="I196" s="12"/>
      <c r="J196" s="12"/>
      <c r="K196" s="12"/>
      <c r="L196" s="12"/>
      <c r="M196" s="12"/>
      <c r="N196" s="3"/>
      <c r="O196" s="3"/>
      <c r="P196" s="3"/>
      <c r="Q196" s="3"/>
    </row>
    <row r="197" spans="1:17" ht="15">
      <c r="A197" s="12"/>
      <c r="B197" s="12"/>
      <c r="C197" s="12"/>
      <c r="D197" s="12"/>
      <c r="E197" s="12"/>
      <c r="F197" s="12"/>
      <c r="G197" s="12"/>
      <c r="H197" s="12"/>
      <c r="I197" s="12"/>
      <c r="J197" s="12"/>
      <c r="K197" s="12"/>
      <c r="L197" s="12"/>
      <c r="M197" s="12"/>
      <c r="N197" s="3"/>
      <c r="O197" s="3"/>
      <c r="P197" s="3"/>
      <c r="Q197" s="3"/>
    </row>
    <row r="198" spans="1:17" ht="15">
      <c r="A198" s="12"/>
      <c r="B198" s="12"/>
      <c r="C198" s="12"/>
      <c r="D198" s="12"/>
      <c r="E198" s="12"/>
      <c r="F198" s="12"/>
      <c r="G198" s="12"/>
      <c r="H198" s="12"/>
      <c r="I198" s="12"/>
      <c r="J198" s="12"/>
      <c r="K198" s="12"/>
      <c r="L198" s="12"/>
      <c r="M198" s="12"/>
      <c r="N198" s="3"/>
      <c r="O198" s="3"/>
      <c r="P198" s="3"/>
      <c r="Q198" s="3"/>
    </row>
    <row r="199" spans="1:17" ht="15">
      <c r="A199" s="12"/>
      <c r="B199" s="12"/>
      <c r="C199" s="12"/>
      <c r="D199" s="12"/>
      <c r="E199" s="12"/>
      <c r="F199" s="12"/>
      <c r="G199" s="12"/>
      <c r="H199" s="12"/>
      <c r="I199" s="12"/>
      <c r="J199" s="12"/>
      <c r="K199" s="12"/>
      <c r="L199" s="12"/>
      <c r="M199" s="12"/>
      <c r="N199" s="3"/>
      <c r="O199" s="3"/>
      <c r="P199" s="3"/>
      <c r="Q199" s="3"/>
    </row>
    <row r="200" spans="1:17" ht="15">
      <c r="A200" s="12"/>
      <c r="B200" s="12"/>
      <c r="C200" s="12"/>
      <c r="D200" s="12"/>
      <c r="E200" s="12"/>
      <c r="F200" s="12"/>
      <c r="G200" s="12"/>
      <c r="H200" s="12"/>
      <c r="I200" s="12"/>
      <c r="J200" s="12"/>
      <c r="K200" s="12"/>
      <c r="L200" s="12"/>
      <c r="M200" s="12"/>
      <c r="N200" s="3"/>
      <c r="O200" s="3"/>
      <c r="P200" s="3"/>
      <c r="Q200" s="3"/>
    </row>
    <row r="201" spans="1:17" ht="15">
      <c r="A201" s="12"/>
      <c r="B201" s="12"/>
      <c r="C201" s="12"/>
      <c r="D201" s="12"/>
      <c r="E201" s="12"/>
      <c r="F201" s="12"/>
      <c r="G201" s="12"/>
      <c r="H201" s="12"/>
      <c r="I201" s="12"/>
      <c r="J201" s="12"/>
      <c r="K201" s="12"/>
      <c r="L201" s="12"/>
      <c r="M201" s="12"/>
      <c r="N201" s="3"/>
      <c r="O201" s="3"/>
      <c r="P201" s="3"/>
      <c r="Q201" s="3"/>
    </row>
    <row r="202" spans="1:17" ht="15">
      <c r="A202" s="12"/>
      <c r="B202" s="12"/>
      <c r="C202" s="12"/>
      <c r="D202" s="12"/>
      <c r="E202" s="12"/>
      <c r="F202" s="12"/>
      <c r="G202" s="12"/>
      <c r="H202" s="12"/>
      <c r="I202" s="12"/>
      <c r="J202" s="12"/>
      <c r="K202" s="12"/>
      <c r="L202" s="12"/>
      <c r="M202" s="12"/>
      <c r="N202" s="3"/>
      <c r="O202" s="3"/>
      <c r="P202" s="3"/>
      <c r="Q202" s="3"/>
    </row>
    <row r="203" spans="1:17" ht="15">
      <c r="A203" s="12"/>
      <c r="B203" s="12"/>
      <c r="C203" s="12"/>
      <c r="D203" s="12"/>
      <c r="E203" s="12"/>
      <c r="F203" s="12"/>
      <c r="G203" s="12"/>
      <c r="H203" s="12"/>
      <c r="I203" s="12"/>
      <c r="J203" s="12"/>
      <c r="K203" s="12"/>
      <c r="L203" s="12"/>
      <c r="M203" s="12"/>
      <c r="N203" s="3"/>
      <c r="O203" s="3"/>
      <c r="P203" s="3"/>
      <c r="Q203" s="3"/>
    </row>
    <row r="204" spans="1:17" ht="15">
      <c r="A204" s="12"/>
      <c r="B204" s="12"/>
      <c r="C204" s="12"/>
      <c r="D204" s="12"/>
      <c r="E204" s="12"/>
      <c r="F204" s="12"/>
      <c r="G204" s="12"/>
      <c r="H204" s="12"/>
      <c r="I204" s="12"/>
      <c r="J204" s="12"/>
      <c r="K204" s="12"/>
      <c r="L204" s="12"/>
      <c r="M204" s="12"/>
      <c r="N204" s="3"/>
      <c r="O204" s="3"/>
      <c r="P204" s="3"/>
      <c r="Q204" s="3"/>
    </row>
    <row r="205" spans="1:17" ht="15">
      <c r="A205" s="12"/>
      <c r="B205" s="12"/>
      <c r="C205" s="12"/>
      <c r="D205" s="12"/>
      <c r="E205" s="12"/>
      <c r="F205" s="12"/>
      <c r="G205" s="12"/>
      <c r="H205" s="12"/>
      <c r="I205" s="12"/>
      <c r="J205" s="12"/>
      <c r="K205" s="12"/>
      <c r="L205" s="12"/>
      <c r="M205" s="12"/>
      <c r="N205" s="3"/>
      <c r="O205" s="3"/>
      <c r="P205" s="3"/>
      <c r="Q205" s="3"/>
    </row>
    <row r="206" spans="1:17" ht="15">
      <c r="A206" s="12"/>
      <c r="B206" s="12"/>
      <c r="C206" s="12"/>
      <c r="D206" s="12"/>
      <c r="E206" s="12"/>
      <c r="F206" s="12"/>
      <c r="G206" s="12"/>
      <c r="H206" s="12"/>
      <c r="I206" s="12"/>
      <c r="J206" s="12"/>
      <c r="K206" s="12"/>
      <c r="L206" s="12"/>
      <c r="M206" s="12"/>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M1"/>
    <mergeCell ref="A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6"/>
  <sheetViews>
    <sheetView workbookViewId="0"/>
  </sheetViews>
  <sheetFormatPr defaultRowHeight="14.25"/>
  <cols>
    <col min="1" max="2" width="14" customWidth="1"/>
    <col min="3" max="3" width="22" customWidth="1"/>
    <col min="4" max="4" width="18" customWidth="1"/>
    <col min="5" max="5" width="16" customWidth="1"/>
    <col min="6" max="7" width="18" customWidth="1"/>
    <col min="8" max="9" width="16" customWidth="1"/>
    <col min="10" max="11" width="18" customWidth="1"/>
    <col min="12" max="12" width="42" customWidth="1"/>
    <col min="13" max="13" width="18" customWidth="1"/>
  </cols>
  <sheetData>
    <row r="1" spans="1:17" ht="24" customHeight="1">
      <c r="A1" s="205" t="s">
        <v>419</v>
      </c>
      <c r="B1" s="205"/>
      <c r="C1" s="205"/>
      <c r="D1" s="205"/>
      <c r="E1" s="205"/>
      <c r="F1" s="205"/>
      <c r="G1" s="205"/>
      <c r="H1" s="205"/>
      <c r="I1" s="205"/>
      <c r="J1" s="205"/>
      <c r="K1" s="205"/>
      <c r="L1" s="205"/>
      <c r="M1" s="205"/>
      <c r="N1" s="3"/>
      <c r="O1" s="3"/>
      <c r="P1" s="3"/>
      <c r="Q1" s="3"/>
    </row>
    <row r="2" spans="1:17" ht="33.950000000000003" customHeight="1">
      <c r="A2" s="202" t="s">
        <v>420</v>
      </c>
      <c r="B2" s="203"/>
      <c r="C2" s="203"/>
      <c r="D2" s="203"/>
      <c r="E2" s="203"/>
      <c r="F2" s="203"/>
      <c r="G2" s="203"/>
      <c r="H2" s="203"/>
      <c r="I2" s="203"/>
      <c r="J2" s="203"/>
      <c r="K2" s="203"/>
      <c r="L2" s="203"/>
      <c r="M2" s="20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408</v>
      </c>
      <c r="B6" s="42" t="s">
        <v>328</v>
      </c>
      <c r="C6" s="42" t="s">
        <v>321</v>
      </c>
      <c r="D6" s="42" t="s">
        <v>421</v>
      </c>
      <c r="E6" s="42" t="s">
        <v>422</v>
      </c>
      <c r="F6" s="42" t="s">
        <v>423</v>
      </c>
      <c r="G6" s="42" t="s">
        <v>424</v>
      </c>
      <c r="H6" s="42" t="s">
        <v>425</v>
      </c>
      <c r="I6" s="42" t="s">
        <v>426</v>
      </c>
      <c r="J6" s="42" t="s">
        <v>427</v>
      </c>
      <c r="K6" s="42" t="s">
        <v>428</v>
      </c>
      <c r="L6" s="42" t="s">
        <v>418</v>
      </c>
      <c r="M6" s="43" t="s">
        <v>429</v>
      </c>
      <c r="N6" s="3"/>
      <c r="O6" s="3"/>
      <c r="P6" s="3"/>
      <c r="Q6" s="3"/>
    </row>
    <row r="7" spans="1:17" ht="15">
      <c r="A7" s="44"/>
      <c r="B7" s="39"/>
      <c r="C7" s="39"/>
      <c r="D7" s="39"/>
      <c r="E7" s="39"/>
      <c r="F7" s="39"/>
      <c r="G7" s="39"/>
      <c r="H7" s="75"/>
      <c r="I7" s="75"/>
      <c r="J7" s="75"/>
      <c r="K7" s="75"/>
      <c r="L7" s="39"/>
      <c r="M7" s="45"/>
      <c r="N7" s="3"/>
      <c r="O7" s="3"/>
      <c r="P7" s="3"/>
      <c r="Q7" s="3"/>
    </row>
    <row r="8" spans="1:17" ht="15">
      <c r="A8" s="44"/>
      <c r="B8" s="39"/>
      <c r="C8" s="39"/>
      <c r="D8" s="39"/>
      <c r="E8" s="39"/>
      <c r="F8" s="39"/>
      <c r="G8" s="39"/>
      <c r="H8" s="75"/>
      <c r="I8" s="75"/>
      <c r="J8" s="75"/>
      <c r="K8" s="75"/>
      <c r="L8" s="39"/>
      <c r="M8" s="45"/>
      <c r="N8" s="3"/>
      <c r="O8" s="3"/>
      <c r="P8" s="3"/>
      <c r="Q8" s="3"/>
    </row>
    <row r="9" spans="1:17" ht="15">
      <c r="A9" s="44"/>
      <c r="B9" s="39"/>
      <c r="C9" s="39"/>
      <c r="D9" s="39"/>
      <c r="E9" s="39"/>
      <c r="F9" s="39"/>
      <c r="G9" s="39"/>
      <c r="H9" s="75"/>
      <c r="I9" s="75"/>
      <c r="J9" s="75"/>
      <c r="K9" s="75"/>
      <c r="L9" s="39"/>
      <c r="M9" s="45"/>
      <c r="N9" s="3"/>
      <c r="O9" s="3"/>
      <c r="P9" s="3"/>
      <c r="Q9" s="3"/>
    </row>
    <row r="10" spans="1:17" ht="15">
      <c r="A10" s="44"/>
      <c r="B10" s="39"/>
      <c r="C10" s="39"/>
      <c r="D10" s="39"/>
      <c r="E10" s="39"/>
      <c r="F10" s="39"/>
      <c r="G10" s="39"/>
      <c r="H10" s="75"/>
      <c r="I10" s="75"/>
      <c r="J10" s="75"/>
      <c r="K10" s="75"/>
      <c r="L10" s="39"/>
      <c r="M10" s="45"/>
      <c r="N10" s="3"/>
      <c r="O10" s="3"/>
      <c r="P10" s="3"/>
      <c r="Q10" s="3"/>
    </row>
    <row r="11" spans="1:17" ht="15">
      <c r="A11" s="44"/>
      <c r="B11" s="39"/>
      <c r="C11" s="39"/>
      <c r="D11" s="39"/>
      <c r="E11" s="39"/>
      <c r="F11" s="39"/>
      <c r="G11" s="39"/>
      <c r="H11" s="75"/>
      <c r="I11" s="75"/>
      <c r="J11" s="75"/>
      <c r="K11" s="75"/>
      <c r="L11" s="39"/>
      <c r="M11" s="45"/>
      <c r="N11" s="3"/>
      <c r="O11" s="3"/>
      <c r="P11" s="3"/>
      <c r="Q11" s="3"/>
    </row>
    <row r="12" spans="1:17" ht="15">
      <c r="A12" s="44"/>
      <c r="B12" s="39"/>
      <c r="C12" s="39"/>
      <c r="D12" s="39"/>
      <c r="E12" s="39"/>
      <c r="F12" s="39"/>
      <c r="G12" s="39"/>
      <c r="H12" s="75"/>
      <c r="I12" s="75"/>
      <c r="J12" s="75"/>
      <c r="K12" s="75"/>
      <c r="L12" s="39"/>
      <c r="M12" s="45"/>
      <c r="N12" s="3"/>
      <c r="O12" s="3"/>
      <c r="P12" s="3"/>
      <c r="Q12" s="3"/>
    </row>
    <row r="13" spans="1:17" ht="15">
      <c r="A13" s="44"/>
      <c r="B13" s="39"/>
      <c r="C13" s="39"/>
      <c r="D13" s="39"/>
      <c r="E13" s="39"/>
      <c r="F13" s="39"/>
      <c r="G13" s="39"/>
      <c r="H13" s="75"/>
      <c r="I13" s="75"/>
      <c r="J13" s="75"/>
      <c r="K13" s="75"/>
      <c r="L13" s="39"/>
      <c r="M13" s="45"/>
      <c r="N13" s="3"/>
      <c r="O13" s="3"/>
      <c r="P13" s="3"/>
      <c r="Q13" s="3"/>
    </row>
    <row r="14" spans="1:17" ht="15">
      <c r="A14" s="44"/>
      <c r="B14" s="39"/>
      <c r="C14" s="39"/>
      <c r="D14" s="39"/>
      <c r="E14" s="39"/>
      <c r="F14" s="39"/>
      <c r="G14" s="39"/>
      <c r="H14" s="75"/>
      <c r="I14" s="75"/>
      <c r="J14" s="75"/>
      <c r="K14" s="75"/>
      <c r="L14" s="39"/>
      <c r="M14" s="45"/>
      <c r="N14" s="3"/>
      <c r="O14" s="3"/>
      <c r="P14" s="3"/>
      <c r="Q14" s="3"/>
    </row>
    <row r="15" spans="1:17" ht="15">
      <c r="A15" s="44"/>
      <c r="B15" s="39"/>
      <c r="C15" s="39"/>
      <c r="D15" s="39"/>
      <c r="E15" s="39"/>
      <c r="F15" s="39"/>
      <c r="G15" s="39"/>
      <c r="H15" s="75"/>
      <c r="I15" s="75"/>
      <c r="J15" s="75"/>
      <c r="K15" s="75"/>
      <c r="L15" s="39"/>
      <c r="M15" s="45"/>
      <c r="N15" s="3"/>
      <c r="O15" s="3"/>
      <c r="P15" s="3"/>
      <c r="Q15" s="3"/>
    </row>
    <row r="16" spans="1:17" ht="15">
      <c r="A16" s="44"/>
      <c r="B16" s="39"/>
      <c r="C16" s="39"/>
      <c r="D16" s="39"/>
      <c r="E16" s="39"/>
      <c r="F16" s="39"/>
      <c r="G16" s="39"/>
      <c r="H16" s="75"/>
      <c r="I16" s="75"/>
      <c r="J16" s="75"/>
      <c r="K16" s="75"/>
      <c r="L16" s="39"/>
      <c r="M16" s="45"/>
      <c r="N16" s="3"/>
      <c r="O16" s="3"/>
      <c r="P16" s="3"/>
      <c r="Q16" s="3"/>
    </row>
    <row r="17" spans="1:17" ht="15">
      <c r="A17" s="44"/>
      <c r="B17" s="39"/>
      <c r="C17" s="39"/>
      <c r="D17" s="39"/>
      <c r="E17" s="39"/>
      <c r="F17" s="39"/>
      <c r="G17" s="39"/>
      <c r="H17" s="75"/>
      <c r="I17" s="75"/>
      <c r="J17" s="75"/>
      <c r="K17" s="75"/>
      <c r="L17" s="39"/>
      <c r="M17" s="45"/>
      <c r="N17" s="3"/>
      <c r="O17" s="3"/>
      <c r="P17" s="3"/>
      <c r="Q17" s="3"/>
    </row>
    <row r="18" spans="1:17" ht="15">
      <c r="A18" s="44"/>
      <c r="B18" s="39"/>
      <c r="C18" s="39"/>
      <c r="D18" s="39"/>
      <c r="E18" s="39"/>
      <c r="F18" s="39"/>
      <c r="G18" s="39"/>
      <c r="H18" s="75"/>
      <c r="I18" s="75"/>
      <c r="J18" s="75"/>
      <c r="K18" s="75"/>
      <c r="L18" s="39"/>
      <c r="M18" s="45"/>
      <c r="N18" s="3"/>
      <c r="O18" s="3"/>
      <c r="P18" s="3"/>
      <c r="Q18" s="3"/>
    </row>
    <row r="19" spans="1:17" ht="15">
      <c r="A19" s="44"/>
      <c r="B19" s="39"/>
      <c r="C19" s="39"/>
      <c r="D19" s="39"/>
      <c r="E19" s="39"/>
      <c r="F19" s="39"/>
      <c r="G19" s="39"/>
      <c r="H19" s="75"/>
      <c r="I19" s="75"/>
      <c r="J19" s="75"/>
      <c r="K19" s="75"/>
      <c r="L19" s="39"/>
      <c r="M19" s="45"/>
      <c r="N19" s="3"/>
      <c r="O19" s="3"/>
      <c r="P19" s="3"/>
      <c r="Q19" s="3"/>
    </row>
    <row r="20" spans="1:17" ht="15">
      <c r="A20" s="44"/>
      <c r="B20" s="39"/>
      <c r="C20" s="39"/>
      <c r="D20" s="39"/>
      <c r="E20" s="39"/>
      <c r="F20" s="39"/>
      <c r="G20" s="39"/>
      <c r="H20" s="75"/>
      <c r="I20" s="75"/>
      <c r="J20" s="75"/>
      <c r="K20" s="75"/>
      <c r="L20" s="39"/>
      <c r="M20" s="45"/>
      <c r="N20" s="3"/>
      <c r="O20" s="3"/>
      <c r="P20" s="3"/>
      <c r="Q20" s="3"/>
    </row>
    <row r="21" spans="1:17" ht="15">
      <c r="A21" s="44"/>
      <c r="B21" s="39"/>
      <c r="C21" s="39"/>
      <c r="D21" s="39"/>
      <c r="E21" s="39"/>
      <c r="F21" s="39"/>
      <c r="G21" s="39"/>
      <c r="H21" s="75"/>
      <c r="I21" s="75"/>
      <c r="J21" s="75"/>
      <c r="K21" s="75"/>
      <c r="L21" s="39"/>
      <c r="M21" s="45"/>
      <c r="N21" s="3"/>
      <c r="O21" s="3"/>
      <c r="P21" s="3"/>
      <c r="Q21" s="3"/>
    </row>
    <row r="22" spans="1:17" ht="15">
      <c r="A22" s="44"/>
      <c r="B22" s="39"/>
      <c r="C22" s="39"/>
      <c r="D22" s="39"/>
      <c r="E22" s="39"/>
      <c r="F22" s="39"/>
      <c r="G22" s="39"/>
      <c r="H22" s="75"/>
      <c r="I22" s="75"/>
      <c r="J22" s="75"/>
      <c r="K22" s="75"/>
      <c r="L22" s="39"/>
      <c r="M22" s="45"/>
      <c r="N22" s="3"/>
      <c r="O22" s="3"/>
      <c r="P22" s="3"/>
      <c r="Q22" s="3"/>
    </row>
    <row r="23" spans="1:17" ht="15">
      <c r="A23" s="44"/>
      <c r="B23" s="39"/>
      <c r="C23" s="39"/>
      <c r="D23" s="39"/>
      <c r="E23" s="39"/>
      <c r="F23" s="39"/>
      <c r="G23" s="39"/>
      <c r="H23" s="75"/>
      <c r="I23" s="75"/>
      <c r="J23" s="75"/>
      <c r="K23" s="75"/>
      <c r="L23" s="39"/>
      <c r="M23" s="45"/>
      <c r="N23" s="3"/>
      <c r="O23" s="3"/>
      <c r="P23" s="3"/>
      <c r="Q23" s="3"/>
    </row>
    <row r="24" spans="1:17" ht="15">
      <c r="A24" s="44"/>
      <c r="B24" s="39"/>
      <c r="C24" s="39"/>
      <c r="D24" s="39"/>
      <c r="E24" s="39"/>
      <c r="F24" s="39"/>
      <c r="G24" s="39"/>
      <c r="H24" s="75"/>
      <c r="I24" s="75"/>
      <c r="J24" s="75"/>
      <c r="K24" s="75"/>
      <c r="L24" s="39"/>
      <c r="M24" s="45"/>
      <c r="N24" s="3"/>
      <c r="O24" s="3"/>
      <c r="P24" s="3"/>
      <c r="Q24" s="3"/>
    </row>
    <row r="25" spans="1:17" ht="15">
      <c r="A25" s="44"/>
      <c r="B25" s="39"/>
      <c r="C25" s="39"/>
      <c r="D25" s="39"/>
      <c r="E25" s="39"/>
      <c r="F25" s="39"/>
      <c r="G25" s="39"/>
      <c r="H25" s="75"/>
      <c r="I25" s="75"/>
      <c r="J25" s="75"/>
      <c r="K25" s="75"/>
      <c r="L25" s="39"/>
      <c r="M25" s="45"/>
      <c r="N25" s="3"/>
      <c r="O25" s="3"/>
      <c r="P25" s="3"/>
      <c r="Q25" s="3"/>
    </row>
    <row r="26" spans="1:17" ht="15">
      <c r="A26" s="44"/>
      <c r="B26" s="39"/>
      <c r="C26" s="39"/>
      <c r="D26" s="39"/>
      <c r="E26" s="39"/>
      <c r="F26" s="39"/>
      <c r="G26" s="39"/>
      <c r="H26" s="75"/>
      <c r="I26" s="75"/>
      <c r="J26" s="75"/>
      <c r="K26" s="75"/>
      <c r="L26" s="39"/>
      <c r="M26" s="45"/>
      <c r="N26" s="3"/>
      <c r="O26" s="3"/>
      <c r="P26" s="3"/>
      <c r="Q26" s="3"/>
    </row>
    <row r="27" spans="1:17" ht="15">
      <c r="A27" s="44"/>
      <c r="B27" s="39"/>
      <c r="C27" s="39"/>
      <c r="D27" s="39"/>
      <c r="E27" s="39"/>
      <c r="F27" s="39"/>
      <c r="G27" s="39"/>
      <c r="H27" s="75"/>
      <c r="I27" s="75"/>
      <c r="J27" s="75"/>
      <c r="K27" s="75"/>
      <c r="L27" s="39"/>
      <c r="M27" s="45"/>
      <c r="N27" s="3"/>
      <c r="O27" s="3"/>
      <c r="P27" s="3"/>
      <c r="Q27" s="3"/>
    </row>
    <row r="28" spans="1:17" ht="15">
      <c r="A28" s="44"/>
      <c r="B28" s="39"/>
      <c r="C28" s="39"/>
      <c r="D28" s="39"/>
      <c r="E28" s="39"/>
      <c r="F28" s="39"/>
      <c r="G28" s="39"/>
      <c r="H28" s="75"/>
      <c r="I28" s="75"/>
      <c r="J28" s="75"/>
      <c r="K28" s="75"/>
      <c r="L28" s="39"/>
      <c r="M28" s="45"/>
      <c r="N28" s="3"/>
      <c r="O28" s="3"/>
      <c r="P28" s="3"/>
      <c r="Q28" s="3"/>
    </row>
    <row r="29" spans="1:17" ht="15">
      <c r="A29" s="44"/>
      <c r="B29" s="39"/>
      <c r="C29" s="39"/>
      <c r="D29" s="39"/>
      <c r="E29" s="39"/>
      <c r="F29" s="39"/>
      <c r="G29" s="39"/>
      <c r="H29" s="75"/>
      <c r="I29" s="75"/>
      <c r="J29" s="75"/>
      <c r="K29" s="75"/>
      <c r="L29" s="39"/>
      <c r="M29" s="45"/>
      <c r="N29" s="3"/>
      <c r="O29" s="3"/>
      <c r="P29" s="3"/>
      <c r="Q29" s="3"/>
    </row>
    <row r="30" spans="1:17" ht="15">
      <c r="A30" s="44"/>
      <c r="B30" s="39"/>
      <c r="C30" s="39"/>
      <c r="D30" s="39"/>
      <c r="E30" s="39"/>
      <c r="F30" s="39"/>
      <c r="G30" s="39"/>
      <c r="H30" s="75"/>
      <c r="I30" s="75"/>
      <c r="J30" s="75"/>
      <c r="K30" s="75"/>
      <c r="L30" s="39"/>
      <c r="M30" s="45"/>
      <c r="N30" s="3"/>
      <c r="O30" s="3"/>
      <c r="P30" s="3"/>
      <c r="Q30" s="3"/>
    </row>
    <row r="31" spans="1:17" ht="15">
      <c r="A31" s="44"/>
      <c r="B31" s="39"/>
      <c r="C31" s="39"/>
      <c r="D31" s="39"/>
      <c r="E31" s="39"/>
      <c r="F31" s="39"/>
      <c r="G31" s="39"/>
      <c r="H31" s="75"/>
      <c r="I31" s="75"/>
      <c r="J31" s="75"/>
      <c r="K31" s="75"/>
      <c r="L31" s="39"/>
      <c r="M31" s="45"/>
      <c r="N31" s="3"/>
      <c r="O31" s="3"/>
      <c r="P31" s="3"/>
      <c r="Q31" s="3"/>
    </row>
    <row r="32" spans="1:17" ht="15">
      <c r="A32" s="44"/>
      <c r="B32" s="39"/>
      <c r="C32" s="39"/>
      <c r="D32" s="39"/>
      <c r="E32" s="39"/>
      <c r="F32" s="39"/>
      <c r="G32" s="39"/>
      <c r="H32" s="75"/>
      <c r="I32" s="75"/>
      <c r="J32" s="75"/>
      <c r="K32" s="75"/>
      <c r="L32" s="39"/>
      <c r="M32" s="45"/>
      <c r="N32" s="3"/>
      <c r="O32" s="3"/>
      <c r="P32" s="3"/>
      <c r="Q32" s="3"/>
    </row>
    <row r="33" spans="1:17" ht="15">
      <c r="A33" s="44"/>
      <c r="B33" s="39"/>
      <c r="C33" s="39"/>
      <c r="D33" s="39"/>
      <c r="E33" s="39"/>
      <c r="F33" s="39"/>
      <c r="G33" s="39"/>
      <c r="H33" s="75"/>
      <c r="I33" s="75"/>
      <c r="J33" s="75"/>
      <c r="K33" s="75"/>
      <c r="L33" s="39"/>
      <c r="M33" s="45"/>
      <c r="N33" s="3"/>
      <c r="O33" s="3"/>
      <c r="P33" s="3"/>
      <c r="Q33" s="3"/>
    </row>
    <row r="34" spans="1:17" ht="15">
      <c r="A34" s="44"/>
      <c r="B34" s="39"/>
      <c r="C34" s="39"/>
      <c r="D34" s="39"/>
      <c r="E34" s="39"/>
      <c r="F34" s="39"/>
      <c r="G34" s="39"/>
      <c r="H34" s="75"/>
      <c r="I34" s="75"/>
      <c r="J34" s="75"/>
      <c r="K34" s="75"/>
      <c r="L34" s="39"/>
      <c r="M34" s="45"/>
      <c r="N34" s="3"/>
      <c r="O34" s="3"/>
      <c r="P34" s="3"/>
      <c r="Q34" s="3"/>
    </row>
    <row r="35" spans="1:17" ht="15">
      <c r="A35" s="44"/>
      <c r="B35" s="39"/>
      <c r="C35" s="39"/>
      <c r="D35" s="39"/>
      <c r="E35" s="39"/>
      <c r="F35" s="39"/>
      <c r="G35" s="39"/>
      <c r="H35" s="75"/>
      <c r="I35" s="75"/>
      <c r="J35" s="75"/>
      <c r="K35" s="75"/>
      <c r="L35" s="39"/>
      <c r="M35" s="45"/>
      <c r="N35" s="3"/>
      <c r="O35" s="3"/>
      <c r="P35" s="3"/>
      <c r="Q35" s="3"/>
    </row>
    <row r="36" spans="1:17" ht="15">
      <c r="A36" s="44"/>
      <c r="B36" s="39"/>
      <c r="C36" s="39"/>
      <c r="D36" s="39"/>
      <c r="E36" s="39"/>
      <c r="F36" s="39"/>
      <c r="G36" s="39"/>
      <c r="H36" s="75"/>
      <c r="I36" s="75"/>
      <c r="J36" s="75"/>
      <c r="K36" s="75"/>
      <c r="L36" s="39"/>
      <c r="M36" s="45"/>
      <c r="N36" s="3"/>
      <c r="O36" s="3"/>
      <c r="P36" s="3"/>
      <c r="Q36" s="3"/>
    </row>
    <row r="37" spans="1:17" ht="15">
      <c r="A37" s="44"/>
      <c r="B37" s="39"/>
      <c r="C37" s="39"/>
      <c r="D37" s="39"/>
      <c r="E37" s="39"/>
      <c r="F37" s="39"/>
      <c r="G37" s="39"/>
      <c r="H37" s="75"/>
      <c r="I37" s="75"/>
      <c r="J37" s="75"/>
      <c r="K37" s="75"/>
      <c r="L37" s="39"/>
      <c r="M37" s="45"/>
      <c r="N37" s="3"/>
      <c r="O37" s="3"/>
      <c r="P37" s="3"/>
      <c r="Q37" s="3"/>
    </row>
    <row r="38" spans="1:17" ht="15">
      <c r="A38" s="44"/>
      <c r="B38" s="39"/>
      <c r="C38" s="39"/>
      <c r="D38" s="39"/>
      <c r="E38" s="39"/>
      <c r="F38" s="39"/>
      <c r="G38" s="39"/>
      <c r="H38" s="75"/>
      <c r="I38" s="75"/>
      <c r="J38" s="75"/>
      <c r="K38" s="75"/>
      <c r="L38" s="39"/>
      <c r="M38" s="45"/>
      <c r="N38" s="3"/>
      <c r="O38" s="3"/>
      <c r="P38" s="3"/>
      <c r="Q38" s="3"/>
    </row>
    <row r="39" spans="1:17" ht="15">
      <c r="A39" s="44"/>
      <c r="B39" s="39"/>
      <c r="C39" s="39"/>
      <c r="D39" s="39"/>
      <c r="E39" s="39"/>
      <c r="F39" s="39"/>
      <c r="G39" s="39"/>
      <c r="H39" s="75"/>
      <c r="I39" s="75"/>
      <c r="J39" s="75"/>
      <c r="K39" s="75"/>
      <c r="L39" s="39"/>
      <c r="M39" s="45"/>
      <c r="N39" s="3"/>
      <c r="O39" s="3"/>
      <c r="P39" s="3"/>
      <c r="Q39" s="3"/>
    </row>
    <row r="40" spans="1:17" ht="15">
      <c r="A40" s="44"/>
      <c r="B40" s="39"/>
      <c r="C40" s="39"/>
      <c r="D40" s="39"/>
      <c r="E40" s="39"/>
      <c r="F40" s="39"/>
      <c r="G40" s="39"/>
      <c r="H40" s="75"/>
      <c r="I40" s="75"/>
      <c r="J40" s="75"/>
      <c r="K40" s="75"/>
      <c r="L40" s="39"/>
      <c r="M40" s="45"/>
      <c r="N40" s="3"/>
      <c r="O40" s="3"/>
      <c r="P40" s="3"/>
      <c r="Q40" s="3"/>
    </row>
    <row r="41" spans="1:17" ht="15">
      <c r="A41" s="44"/>
      <c r="B41" s="39"/>
      <c r="C41" s="39"/>
      <c r="D41" s="39"/>
      <c r="E41" s="39"/>
      <c r="F41" s="39"/>
      <c r="G41" s="39"/>
      <c r="H41" s="75"/>
      <c r="I41" s="75"/>
      <c r="J41" s="75"/>
      <c r="K41" s="75"/>
      <c r="L41" s="39"/>
      <c r="M41" s="45"/>
      <c r="N41" s="3"/>
      <c r="O41" s="3"/>
      <c r="P41" s="3"/>
      <c r="Q41" s="3"/>
    </row>
    <row r="42" spans="1:17" ht="15">
      <c r="A42" s="44"/>
      <c r="B42" s="39"/>
      <c r="C42" s="39"/>
      <c r="D42" s="39"/>
      <c r="E42" s="39"/>
      <c r="F42" s="39"/>
      <c r="G42" s="39"/>
      <c r="H42" s="75"/>
      <c r="I42" s="75"/>
      <c r="J42" s="75"/>
      <c r="K42" s="75"/>
      <c r="L42" s="39"/>
      <c r="M42" s="45"/>
      <c r="N42" s="3"/>
      <c r="O42" s="3"/>
      <c r="P42" s="3"/>
      <c r="Q42" s="3"/>
    </row>
    <row r="43" spans="1:17" ht="15">
      <c r="A43" s="44"/>
      <c r="B43" s="39"/>
      <c r="C43" s="39"/>
      <c r="D43" s="39"/>
      <c r="E43" s="39"/>
      <c r="F43" s="39"/>
      <c r="G43" s="39"/>
      <c r="H43" s="75"/>
      <c r="I43" s="75"/>
      <c r="J43" s="75"/>
      <c r="K43" s="75"/>
      <c r="L43" s="39"/>
      <c r="M43" s="45"/>
      <c r="N43" s="3"/>
      <c r="O43" s="3"/>
      <c r="P43" s="3"/>
      <c r="Q43" s="3"/>
    </row>
    <row r="44" spans="1:17" ht="15">
      <c r="A44" s="44"/>
      <c r="B44" s="39"/>
      <c r="C44" s="39"/>
      <c r="D44" s="39"/>
      <c r="E44" s="39"/>
      <c r="F44" s="39"/>
      <c r="G44" s="39"/>
      <c r="H44" s="75"/>
      <c r="I44" s="75"/>
      <c r="J44" s="75"/>
      <c r="K44" s="75"/>
      <c r="L44" s="39"/>
      <c r="M44" s="45"/>
      <c r="N44" s="3"/>
      <c r="O44" s="3"/>
      <c r="P44" s="3"/>
      <c r="Q44" s="3"/>
    </row>
    <row r="45" spans="1:17" ht="15">
      <c r="A45" s="44"/>
      <c r="B45" s="39"/>
      <c r="C45" s="39"/>
      <c r="D45" s="39"/>
      <c r="E45" s="39"/>
      <c r="F45" s="39"/>
      <c r="G45" s="39"/>
      <c r="H45" s="75"/>
      <c r="I45" s="75"/>
      <c r="J45" s="75"/>
      <c r="K45" s="75"/>
      <c r="L45" s="39"/>
      <c r="M45" s="45"/>
      <c r="N45" s="3"/>
      <c r="O45" s="3"/>
      <c r="P45" s="3"/>
      <c r="Q45" s="3"/>
    </row>
    <row r="46" spans="1:17" ht="15">
      <c r="A46" s="44"/>
      <c r="B46" s="39"/>
      <c r="C46" s="39"/>
      <c r="D46" s="39"/>
      <c r="E46" s="39"/>
      <c r="F46" s="39"/>
      <c r="G46" s="39"/>
      <c r="H46" s="75"/>
      <c r="I46" s="75"/>
      <c r="J46" s="75"/>
      <c r="K46" s="75"/>
      <c r="L46" s="39"/>
      <c r="M46" s="45"/>
      <c r="N46" s="3"/>
      <c r="O46" s="3"/>
      <c r="P46" s="3"/>
      <c r="Q46" s="3"/>
    </row>
    <row r="47" spans="1:17" ht="15">
      <c r="A47" s="44"/>
      <c r="B47" s="39"/>
      <c r="C47" s="39"/>
      <c r="D47" s="39"/>
      <c r="E47" s="39"/>
      <c r="F47" s="39"/>
      <c r="G47" s="39"/>
      <c r="H47" s="75"/>
      <c r="I47" s="75"/>
      <c r="J47" s="75"/>
      <c r="K47" s="75"/>
      <c r="L47" s="39"/>
      <c r="M47" s="45"/>
      <c r="N47" s="3"/>
      <c r="O47" s="3"/>
      <c r="P47" s="3"/>
      <c r="Q47" s="3"/>
    </row>
    <row r="48" spans="1:17" ht="15">
      <c r="A48" s="44"/>
      <c r="B48" s="39"/>
      <c r="C48" s="39"/>
      <c r="D48" s="39"/>
      <c r="E48" s="39"/>
      <c r="F48" s="39"/>
      <c r="G48" s="39"/>
      <c r="H48" s="75"/>
      <c r="I48" s="75"/>
      <c r="J48" s="75"/>
      <c r="K48" s="75"/>
      <c r="L48" s="39"/>
      <c r="M48" s="45"/>
      <c r="N48" s="3"/>
      <c r="O48" s="3"/>
      <c r="P48" s="3"/>
      <c r="Q48" s="3"/>
    </row>
    <row r="49" spans="1:17" ht="15">
      <c r="A49" s="44"/>
      <c r="B49" s="39"/>
      <c r="C49" s="39"/>
      <c r="D49" s="39"/>
      <c r="E49" s="39"/>
      <c r="F49" s="39"/>
      <c r="G49" s="39"/>
      <c r="H49" s="75"/>
      <c r="I49" s="75"/>
      <c r="J49" s="75"/>
      <c r="K49" s="75"/>
      <c r="L49" s="39"/>
      <c r="M49" s="45"/>
      <c r="N49" s="3"/>
      <c r="O49" s="3"/>
      <c r="P49" s="3"/>
      <c r="Q49" s="3"/>
    </row>
    <row r="50" spans="1:17" ht="15">
      <c r="A50" s="44"/>
      <c r="B50" s="39"/>
      <c r="C50" s="39"/>
      <c r="D50" s="39"/>
      <c r="E50" s="39"/>
      <c r="F50" s="39"/>
      <c r="G50" s="39"/>
      <c r="H50" s="75"/>
      <c r="I50" s="75"/>
      <c r="J50" s="75"/>
      <c r="K50" s="75"/>
      <c r="L50" s="39"/>
      <c r="M50" s="45"/>
      <c r="N50" s="3"/>
      <c r="O50" s="3"/>
      <c r="P50" s="3"/>
      <c r="Q50" s="3"/>
    </row>
    <row r="51" spans="1:17" ht="15">
      <c r="A51" s="44"/>
      <c r="B51" s="39"/>
      <c r="C51" s="39"/>
      <c r="D51" s="39"/>
      <c r="E51" s="39"/>
      <c r="F51" s="39"/>
      <c r="G51" s="39"/>
      <c r="H51" s="75"/>
      <c r="I51" s="75"/>
      <c r="J51" s="75"/>
      <c r="K51" s="75"/>
      <c r="L51" s="39"/>
      <c r="M51" s="45"/>
      <c r="N51" s="3"/>
      <c r="O51" s="3"/>
      <c r="P51" s="3"/>
      <c r="Q51" s="3"/>
    </row>
    <row r="52" spans="1:17" ht="15">
      <c r="A52" s="44"/>
      <c r="B52" s="39"/>
      <c r="C52" s="39"/>
      <c r="D52" s="39"/>
      <c r="E52" s="39"/>
      <c r="F52" s="39"/>
      <c r="G52" s="39"/>
      <c r="H52" s="75"/>
      <c r="I52" s="75"/>
      <c r="J52" s="75"/>
      <c r="K52" s="75"/>
      <c r="L52" s="39"/>
      <c r="M52" s="45"/>
      <c r="N52" s="3"/>
      <c r="O52" s="3"/>
      <c r="P52" s="3"/>
      <c r="Q52" s="3"/>
    </row>
    <row r="53" spans="1:17" ht="15">
      <c r="A53" s="44"/>
      <c r="B53" s="39"/>
      <c r="C53" s="39"/>
      <c r="D53" s="39"/>
      <c r="E53" s="39"/>
      <c r="F53" s="39"/>
      <c r="G53" s="39"/>
      <c r="H53" s="75"/>
      <c r="I53" s="75"/>
      <c r="J53" s="75"/>
      <c r="K53" s="75"/>
      <c r="L53" s="39"/>
      <c r="M53" s="45"/>
      <c r="N53" s="3"/>
      <c r="O53" s="3"/>
      <c r="P53" s="3"/>
      <c r="Q53" s="3"/>
    </row>
    <row r="54" spans="1:17" ht="15">
      <c r="A54" s="44"/>
      <c r="B54" s="39"/>
      <c r="C54" s="39"/>
      <c r="D54" s="39"/>
      <c r="E54" s="39"/>
      <c r="F54" s="39"/>
      <c r="G54" s="39"/>
      <c r="H54" s="75"/>
      <c r="I54" s="75"/>
      <c r="J54" s="75"/>
      <c r="K54" s="75"/>
      <c r="L54" s="39"/>
      <c r="M54" s="45"/>
      <c r="N54" s="3"/>
      <c r="O54" s="3"/>
      <c r="P54" s="3"/>
      <c r="Q54" s="3"/>
    </row>
    <row r="55" spans="1:17" ht="15">
      <c r="A55" s="44"/>
      <c r="B55" s="39"/>
      <c r="C55" s="39"/>
      <c r="D55" s="39"/>
      <c r="E55" s="39"/>
      <c r="F55" s="39"/>
      <c r="G55" s="39"/>
      <c r="H55" s="75"/>
      <c r="I55" s="75"/>
      <c r="J55" s="75"/>
      <c r="K55" s="75"/>
      <c r="L55" s="39"/>
      <c r="M55" s="45"/>
      <c r="N55" s="3"/>
      <c r="O55" s="3"/>
      <c r="P55" s="3"/>
      <c r="Q55" s="3"/>
    </row>
    <row r="56" spans="1:17" ht="15">
      <c r="A56" s="44"/>
      <c r="B56" s="39"/>
      <c r="C56" s="39"/>
      <c r="D56" s="39"/>
      <c r="E56" s="39"/>
      <c r="F56" s="39"/>
      <c r="G56" s="39"/>
      <c r="H56" s="75"/>
      <c r="I56" s="75"/>
      <c r="J56" s="75"/>
      <c r="K56" s="75"/>
      <c r="L56" s="39"/>
      <c r="M56" s="45"/>
      <c r="N56" s="3"/>
      <c r="O56" s="3"/>
      <c r="P56" s="3"/>
      <c r="Q56" s="3"/>
    </row>
    <row r="57" spans="1:17" ht="15">
      <c r="A57" s="44"/>
      <c r="B57" s="39"/>
      <c r="C57" s="39"/>
      <c r="D57" s="39"/>
      <c r="E57" s="39"/>
      <c r="F57" s="39"/>
      <c r="G57" s="39"/>
      <c r="H57" s="75"/>
      <c r="I57" s="75"/>
      <c r="J57" s="75"/>
      <c r="K57" s="75"/>
      <c r="L57" s="39"/>
      <c r="M57" s="45"/>
      <c r="N57" s="3"/>
      <c r="O57" s="3"/>
      <c r="P57" s="3"/>
      <c r="Q57" s="3"/>
    </row>
    <row r="58" spans="1:17" ht="15">
      <c r="A58" s="44"/>
      <c r="B58" s="39"/>
      <c r="C58" s="39"/>
      <c r="D58" s="39"/>
      <c r="E58" s="39"/>
      <c r="F58" s="39"/>
      <c r="G58" s="39"/>
      <c r="H58" s="75"/>
      <c r="I58" s="75"/>
      <c r="J58" s="75"/>
      <c r="K58" s="75"/>
      <c r="L58" s="39"/>
      <c r="M58" s="45"/>
      <c r="N58" s="3"/>
      <c r="O58" s="3"/>
      <c r="P58" s="3"/>
      <c r="Q58" s="3"/>
    </row>
    <row r="59" spans="1:17" ht="15">
      <c r="A59" s="44"/>
      <c r="B59" s="39"/>
      <c r="C59" s="39"/>
      <c r="D59" s="39"/>
      <c r="E59" s="39"/>
      <c r="F59" s="39"/>
      <c r="G59" s="39"/>
      <c r="H59" s="75"/>
      <c r="I59" s="75"/>
      <c r="J59" s="75"/>
      <c r="K59" s="75"/>
      <c r="L59" s="39"/>
      <c r="M59" s="45"/>
      <c r="N59" s="3"/>
      <c r="O59" s="3"/>
      <c r="P59" s="3"/>
      <c r="Q59" s="3"/>
    </row>
    <row r="60" spans="1:17" ht="15">
      <c r="A60" s="44"/>
      <c r="B60" s="39"/>
      <c r="C60" s="39"/>
      <c r="D60" s="39"/>
      <c r="E60" s="39"/>
      <c r="F60" s="39"/>
      <c r="G60" s="39"/>
      <c r="H60" s="75"/>
      <c r="I60" s="75"/>
      <c r="J60" s="75"/>
      <c r="K60" s="75"/>
      <c r="L60" s="39"/>
      <c r="M60" s="45"/>
      <c r="N60" s="3"/>
      <c r="O60" s="3"/>
      <c r="P60" s="3"/>
      <c r="Q60" s="3"/>
    </row>
    <row r="61" spans="1:17" ht="15">
      <c r="A61" s="44"/>
      <c r="B61" s="39"/>
      <c r="C61" s="39"/>
      <c r="D61" s="39"/>
      <c r="E61" s="39"/>
      <c r="F61" s="39"/>
      <c r="G61" s="39"/>
      <c r="H61" s="75"/>
      <c r="I61" s="75"/>
      <c r="J61" s="75"/>
      <c r="K61" s="75"/>
      <c r="L61" s="39"/>
      <c r="M61" s="45"/>
      <c r="N61" s="3"/>
      <c r="O61" s="3"/>
      <c r="P61" s="3"/>
      <c r="Q61" s="3"/>
    </row>
    <row r="62" spans="1:17" ht="15">
      <c r="A62" s="44"/>
      <c r="B62" s="39"/>
      <c r="C62" s="39"/>
      <c r="D62" s="39"/>
      <c r="E62" s="39"/>
      <c r="F62" s="39"/>
      <c r="G62" s="39"/>
      <c r="H62" s="75"/>
      <c r="I62" s="75"/>
      <c r="J62" s="75"/>
      <c r="K62" s="75"/>
      <c r="L62" s="39"/>
      <c r="M62" s="45"/>
      <c r="N62" s="3"/>
      <c r="O62" s="3"/>
      <c r="P62" s="3"/>
      <c r="Q62" s="3"/>
    </row>
    <row r="63" spans="1:17" ht="15">
      <c r="A63" s="44"/>
      <c r="B63" s="39"/>
      <c r="C63" s="39"/>
      <c r="D63" s="39"/>
      <c r="E63" s="39"/>
      <c r="F63" s="39"/>
      <c r="G63" s="39"/>
      <c r="H63" s="75"/>
      <c r="I63" s="75"/>
      <c r="J63" s="75"/>
      <c r="K63" s="75"/>
      <c r="L63" s="39"/>
      <c r="M63" s="45"/>
      <c r="N63" s="3"/>
      <c r="O63" s="3"/>
      <c r="P63" s="3"/>
      <c r="Q63" s="3"/>
    </row>
    <row r="64" spans="1:17" ht="15">
      <c r="A64" s="44"/>
      <c r="B64" s="39"/>
      <c r="C64" s="39"/>
      <c r="D64" s="39"/>
      <c r="E64" s="39"/>
      <c r="F64" s="39"/>
      <c r="G64" s="39"/>
      <c r="H64" s="75"/>
      <c r="I64" s="75"/>
      <c r="J64" s="75"/>
      <c r="K64" s="75"/>
      <c r="L64" s="39"/>
      <c r="M64" s="45"/>
      <c r="N64" s="3"/>
      <c r="O64" s="3"/>
      <c r="P64" s="3"/>
      <c r="Q64" s="3"/>
    </row>
    <row r="65" spans="1:17" ht="15">
      <c r="A65" s="44"/>
      <c r="B65" s="39"/>
      <c r="C65" s="39"/>
      <c r="D65" s="39"/>
      <c r="E65" s="39"/>
      <c r="F65" s="39"/>
      <c r="G65" s="39"/>
      <c r="H65" s="75"/>
      <c r="I65" s="75"/>
      <c r="J65" s="75"/>
      <c r="K65" s="75"/>
      <c r="L65" s="39"/>
      <c r="M65" s="45"/>
      <c r="N65" s="3"/>
      <c r="O65" s="3"/>
      <c r="P65" s="3"/>
      <c r="Q65" s="3"/>
    </row>
    <row r="66" spans="1:17" ht="15">
      <c r="A66" s="44"/>
      <c r="B66" s="39"/>
      <c r="C66" s="39"/>
      <c r="D66" s="39"/>
      <c r="E66" s="39"/>
      <c r="F66" s="39"/>
      <c r="G66" s="39"/>
      <c r="H66" s="75"/>
      <c r="I66" s="75"/>
      <c r="J66" s="75"/>
      <c r="K66" s="75"/>
      <c r="L66" s="39"/>
      <c r="M66" s="45"/>
      <c r="N66" s="3"/>
      <c r="O66" s="3"/>
      <c r="P66" s="3"/>
      <c r="Q66" s="3"/>
    </row>
    <row r="67" spans="1:17" ht="15">
      <c r="A67" s="44"/>
      <c r="B67" s="39"/>
      <c r="C67" s="39"/>
      <c r="D67" s="39"/>
      <c r="E67" s="39"/>
      <c r="F67" s="39"/>
      <c r="G67" s="39"/>
      <c r="H67" s="75"/>
      <c r="I67" s="75"/>
      <c r="J67" s="75"/>
      <c r="K67" s="75"/>
      <c r="L67" s="39"/>
      <c r="M67" s="45"/>
      <c r="N67" s="3"/>
      <c r="O67" s="3"/>
      <c r="P67" s="3"/>
      <c r="Q67" s="3"/>
    </row>
    <row r="68" spans="1:17" ht="15">
      <c r="A68" s="44"/>
      <c r="B68" s="39"/>
      <c r="C68" s="39"/>
      <c r="D68" s="39"/>
      <c r="E68" s="39"/>
      <c r="F68" s="39"/>
      <c r="G68" s="39"/>
      <c r="H68" s="75"/>
      <c r="I68" s="75"/>
      <c r="J68" s="75"/>
      <c r="K68" s="75"/>
      <c r="L68" s="39"/>
      <c r="M68" s="45"/>
      <c r="N68" s="3"/>
      <c r="O68" s="3"/>
      <c r="P68" s="3"/>
      <c r="Q68" s="3"/>
    </row>
    <row r="69" spans="1:17" ht="15">
      <c r="A69" s="44"/>
      <c r="B69" s="39"/>
      <c r="C69" s="39"/>
      <c r="D69" s="39"/>
      <c r="E69" s="39"/>
      <c r="F69" s="39"/>
      <c r="G69" s="39"/>
      <c r="H69" s="75"/>
      <c r="I69" s="75"/>
      <c r="J69" s="75"/>
      <c r="K69" s="75"/>
      <c r="L69" s="39"/>
      <c r="M69" s="45"/>
      <c r="N69" s="3"/>
      <c r="O69" s="3"/>
      <c r="P69" s="3"/>
      <c r="Q69" s="3"/>
    </row>
    <row r="70" spans="1:17" ht="15">
      <c r="A70" s="44"/>
      <c r="B70" s="39"/>
      <c r="C70" s="39"/>
      <c r="D70" s="39"/>
      <c r="E70" s="39"/>
      <c r="F70" s="39"/>
      <c r="G70" s="39"/>
      <c r="H70" s="75"/>
      <c r="I70" s="75"/>
      <c r="J70" s="75"/>
      <c r="K70" s="75"/>
      <c r="L70" s="39"/>
      <c r="M70" s="45"/>
      <c r="N70" s="3"/>
      <c r="O70" s="3"/>
      <c r="P70" s="3"/>
      <c r="Q70" s="3"/>
    </row>
    <row r="71" spans="1:17" ht="15">
      <c r="A71" s="44"/>
      <c r="B71" s="39"/>
      <c r="C71" s="39"/>
      <c r="D71" s="39"/>
      <c r="E71" s="39"/>
      <c r="F71" s="39"/>
      <c r="G71" s="39"/>
      <c r="H71" s="75"/>
      <c r="I71" s="75"/>
      <c r="J71" s="75"/>
      <c r="K71" s="75"/>
      <c r="L71" s="39"/>
      <c r="M71" s="45"/>
      <c r="N71" s="3"/>
      <c r="O71" s="3"/>
      <c r="P71" s="3"/>
      <c r="Q71" s="3"/>
    </row>
    <row r="72" spans="1:17" ht="15">
      <c r="A72" s="44"/>
      <c r="B72" s="39"/>
      <c r="C72" s="39"/>
      <c r="D72" s="39"/>
      <c r="E72" s="39"/>
      <c r="F72" s="39"/>
      <c r="G72" s="39"/>
      <c r="H72" s="75"/>
      <c r="I72" s="75"/>
      <c r="J72" s="75"/>
      <c r="K72" s="75"/>
      <c r="L72" s="39"/>
      <c r="M72" s="45"/>
      <c r="N72" s="3"/>
      <c r="O72" s="3"/>
      <c r="P72" s="3"/>
      <c r="Q72" s="3"/>
    </row>
    <row r="73" spans="1:17" ht="15">
      <c r="A73" s="44"/>
      <c r="B73" s="39"/>
      <c r="C73" s="39"/>
      <c r="D73" s="39"/>
      <c r="E73" s="39"/>
      <c r="F73" s="39"/>
      <c r="G73" s="39"/>
      <c r="H73" s="75"/>
      <c r="I73" s="75"/>
      <c r="J73" s="75"/>
      <c r="K73" s="75"/>
      <c r="L73" s="39"/>
      <c r="M73" s="45"/>
      <c r="N73" s="3"/>
      <c r="O73" s="3"/>
      <c r="P73" s="3"/>
      <c r="Q73" s="3"/>
    </row>
    <row r="74" spans="1:17" ht="15">
      <c r="A74" s="44"/>
      <c r="B74" s="39"/>
      <c r="C74" s="39"/>
      <c r="D74" s="39"/>
      <c r="E74" s="39"/>
      <c r="F74" s="39"/>
      <c r="G74" s="39"/>
      <c r="H74" s="75"/>
      <c r="I74" s="75"/>
      <c r="J74" s="75"/>
      <c r="K74" s="75"/>
      <c r="L74" s="39"/>
      <c r="M74" s="45"/>
      <c r="N74" s="3"/>
      <c r="O74" s="3"/>
      <c r="P74" s="3"/>
      <c r="Q74" s="3"/>
    </row>
    <row r="75" spans="1:17" ht="15">
      <c r="A75" s="44"/>
      <c r="B75" s="39"/>
      <c r="C75" s="39"/>
      <c r="D75" s="39"/>
      <c r="E75" s="39"/>
      <c r="F75" s="39"/>
      <c r="G75" s="39"/>
      <c r="H75" s="75"/>
      <c r="I75" s="75"/>
      <c r="J75" s="75"/>
      <c r="K75" s="75"/>
      <c r="L75" s="39"/>
      <c r="M75" s="45"/>
      <c r="N75" s="3"/>
      <c r="O75" s="3"/>
      <c r="P75" s="3"/>
      <c r="Q75" s="3"/>
    </row>
    <row r="76" spans="1:17" ht="15">
      <c r="A76" s="44"/>
      <c r="B76" s="39"/>
      <c r="C76" s="39"/>
      <c r="D76" s="39"/>
      <c r="E76" s="39"/>
      <c r="F76" s="39"/>
      <c r="G76" s="39"/>
      <c r="H76" s="75"/>
      <c r="I76" s="75"/>
      <c r="J76" s="75"/>
      <c r="K76" s="75"/>
      <c r="L76" s="39"/>
      <c r="M76" s="45"/>
      <c r="N76" s="3"/>
      <c r="O76" s="3"/>
      <c r="P76" s="3"/>
      <c r="Q76" s="3"/>
    </row>
    <row r="77" spans="1:17" ht="15">
      <c r="A77" s="44"/>
      <c r="B77" s="39"/>
      <c r="C77" s="39"/>
      <c r="D77" s="39"/>
      <c r="E77" s="39"/>
      <c r="F77" s="39"/>
      <c r="G77" s="39"/>
      <c r="H77" s="75"/>
      <c r="I77" s="75"/>
      <c r="J77" s="75"/>
      <c r="K77" s="75"/>
      <c r="L77" s="39"/>
      <c r="M77" s="45"/>
      <c r="N77" s="3"/>
      <c r="O77" s="3"/>
      <c r="P77" s="3"/>
      <c r="Q77" s="3"/>
    </row>
    <row r="78" spans="1:17" ht="15">
      <c r="A78" s="44"/>
      <c r="B78" s="39"/>
      <c r="C78" s="39"/>
      <c r="D78" s="39"/>
      <c r="E78" s="39"/>
      <c r="F78" s="39"/>
      <c r="G78" s="39"/>
      <c r="H78" s="75"/>
      <c r="I78" s="75"/>
      <c r="J78" s="75"/>
      <c r="K78" s="75"/>
      <c r="L78" s="39"/>
      <c r="M78" s="45"/>
      <c r="N78" s="3"/>
      <c r="O78" s="3"/>
      <c r="P78" s="3"/>
      <c r="Q78" s="3"/>
    </row>
    <row r="79" spans="1:17" ht="15">
      <c r="A79" s="44"/>
      <c r="B79" s="39"/>
      <c r="C79" s="39"/>
      <c r="D79" s="39"/>
      <c r="E79" s="39"/>
      <c r="F79" s="39"/>
      <c r="G79" s="39"/>
      <c r="H79" s="75"/>
      <c r="I79" s="75"/>
      <c r="J79" s="75"/>
      <c r="K79" s="75"/>
      <c r="L79" s="39"/>
      <c r="M79" s="45"/>
      <c r="N79" s="3"/>
      <c r="O79" s="3"/>
      <c r="P79" s="3"/>
      <c r="Q79" s="3"/>
    </row>
    <row r="80" spans="1:17" ht="15">
      <c r="A80" s="44"/>
      <c r="B80" s="39"/>
      <c r="C80" s="39"/>
      <c r="D80" s="39"/>
      <c r="E80" s="39"/>
      <c r="F80" s="39"/>
      <c r="G80" s="39"/>
      <c r="H80" s="75"/>
      <c r="I80" s="75"/>
      <c r="J80" s="75"/>
      <c r="K80" s="75"/>
      <c r="L80" s="39"/>
      <c r="M80" s="45"/>
      <c r="N80" s="3"/>
      <c r="O80" s="3"/>
      <c r="P80" s="3"/>
      <c r="Q80" s="3"/>
    </row>
    <row r="81" spans="1:17" ht="15">
      <c r="A81" s="44"/>
      <c r="B81" s="39"/>
      <c r="C81" s="39"/>
      <c r="D81" s="39"/>
      <c r="E81" s="39"/>
      <c r="F81" s="39"/>
      <c r="G81" s="39"/>
      <c r="H81" s="75"/>
      <c r="I81" s="75"/>
      <c r="J81" s="75"/>
      <c r="K81" s="75"/>
      <c r="L81" s="39"/>
      <c r="M81" s="45"/>
      <c r="N81" s="3"/>
      <c r="O81" s="3"/>
      <c r="P81" s="3"/>
      <c r="Q81" s="3"/>
    </row>
    <row r="82" spans="1:17" ht="15">
      <c r="A82" s="44"/>
      <c r="B82" s="39"/>
      <c r="C82" s="39"/>
      <c r="D82" s="39"/>
      <c r="E82" s="39"/>
      <c r="F82" s="39"/>
      <c r="G82" s="39"/>
      <c r="H82" s="75"/>
      <c r="I82" s="75"/>
      <c r="J82" s="75"/>
      <c r="K82" s="75"/>
      <c r="L82" s="39"/>
      <c r="M82" s="45"/>
      <c r="N82" s="3"/>
      <c r="O82" s="3"/>
      <c r="P82" s="3"/>
      <c r="Q82" s="3"/>
    </row>
    <row r="83" spans="1:17" ht="15">
      <c r="A83" s="44"/>
      <c r="B83" s="39"/>
      <c r="C83" s="39"/>
      <c r="D83" s="39"/>
      <c r="E83" s="39"/>
      <c r="F83" s="39"/>
      <c r="G83" s="39"/>
      <c r="H83" s="75"/>
      <c r="I83" s="75"/>
      <c r="J83" s="75"/>
      <c r="K83" s="75"/>
      <c r="L83" s="39"/>
      <c r="M83" s="45"/>
      <c r="N83" s="3"/>
      <c r="O83" s="3"/>
      <c r="P83" s="3"/>
      <c r="Q83" s="3"/>
    </row>
    <row r="84" spans="1:17" ht="15">
      <c r="A84" s="44"/>
      <c r="B84" s="39"/>
      <c r="C84" s="39"/>
      <c r="D84" s="39"/>
      <c r="E84" s="39"/>
      <c r="F84" s="39"/>
      <c r="G84" s="39"/>
      <c r="H84" s="75"/>
      <c r="I84" s="75"/>
      <c r="J84" s="75"/>
      <c r="K84" s="75"/>
      <c r="L84" s="39"/>
      <c r="M84" s="45"/>
      <c r="N84" s="3"/>
      <c r="O84" s="3"/>
      <c r="P84" s="3"/>
      <c r="Q84" s="3"/>
    </row>
    <row r="85" spans="1:17" ht="15">
      <c r="A85" s="44"/>
      <c r="B85" s="39"/>
      <c r="C85" s="39"/>
      <c r="D85" s="39"/>
      <c r="E85" s="39"/>
      <c r="F85" s="39"/>
      <c r="G85" s="39"/>
      <c r="H85" s="75"/>
      <c r="I85" s="75"/>
      <c r="J85" s="75"/>
      <c r="K85" s="75"/>
      <c r="L85" s="39"/>
      <c r="M85" s="45"/>
      <c r="N85" s="3"/>
      <c r="O85" s="3"/>
      <c r="P85" s="3"/>
      <c r="Q85" s="3"/>
    </row>
    <row r="86" spans="1:17" ht="15">
      <c r="A86" s="44"/>
      <c r="B86" s="39"/>
      <c r="C86" s="39"/>
      <c r="D86" s="39"/>
      <c r="E86" s="39"/>
      <c r="F86" s="39"/>
      <c r="G86" s="39"/>
      <c r="H86" s="75"/>
      <c r="I86" s="75"/>
      <c r="J86" s="75"/>
      <c r="K86" s="75"/>
      <c r="L86" s="39"/>
      <c r="M86" s="45"/>
      <c r="N86" s="3"/>
      <c r="O86" s="3"/>
      <c r="P86" s="3"/>
      <c r="Q86" s="3"/>
    </row>
    <row r="87" spans="1:17" ht="15">
      <c r="A87" s="44"/>
      <c r="B87" s="39"/>
      <c r="C87" s="39"/>
      <c r="D87" s="39"/>
      <c r="E87" s="39"/>
      <c r="F87" s="39"/>
      <c r="G87" s="39"/>
      <c r="H87" s="75"/>
      <c r="I87" s="75"/>
      <c r="J87" s="75"/>
      <c r="K87" s="75"/>
      <c r="L87" s="39"/>
      <c r="M87" s="45"/>
      <c r="N87" s="3"/>
      <c r="O87" s="3"/>
      <c r="P87" s="3"/>
      <c r="Q87" s="3"/>
    </row>
    <row r="88" spans="1:17" ht="15">
      <c r="A88" s="44"/>
      <c r="B88" s="39"/>
      <c r="C88" s="39"/>
      <c r="D88" s="39"/>
      <c r="E88" s="39"/>
      <c r="F88" s="39"/>
      <c r="G88" s="39"/>
      <c r="H88" s="75"/>
      <c r="I88" s="75"/>
      <c r="J88" s="75"/>
      <c r="K88" s="75"/>
      <c r="L88" s="39"/>
      <c r="M88" s="45"/>
      <c r="N88" s="3"/>
      <c r="O88" s="3"/>
      <c r="P88" s="3"/>
      <c r="Q88" s="3"/>
    </row>
    <row r="89" spans="1:17" ht="15">
      <c r="A89" s="44"/>
      <c r="B89" s="39"/>
      <c r="C89" s="39"/>
      <c r="D89" s="39"/>
      <c r="E89" s="39"/>
      <c r="F89" s="39"/>
      <c r="G89" s="39"/>
      <c r="H89" s="75"/>
      <c r="I89" s="75"/>
      <c r="J89" s="75"/>
      <c r="K89" s="75"/>
      <c r="L89" s="39"/>
      <c r="M89" s="45"/>
      <c r="N89" s="3"/>
      <c r="O89" s="3"/>
      <c r="P89" s="3"/>
      <c r="Q89" s="3"/>
    </row>
    <row r="90" spans="1:17" ht="15">
      <c r="A90" s="44"/>
      <c r="B90" s="39"/>
      <c r="C90" s="39"/>
      <c r="D90" s="39"/>
      <c r="E90" s="39"/>
      <c r="F90" s="39"/>
      <c r="G90" s="39"/>
      <c r="H90" s="75"/>
      <c r="I90" s="75"/>
      <c r="J90" s="75"/>
      <c r="K90" s="75"/>
      <c r="L90" s="39"/>
      <c r="M90" s="45"/>
      <c r="N90" s="3"/>
      <c r="O90" s="3"/>
      <c r="P90" s="3"/>
      <c r="Q90" s="3"/>
    </row>
    <row r="91" spans="1:17" ht="15">
      <c r="A91" s="44"/>
      <c r="B91" s="39"/>
      <c r="C91" s="39"/>
      <c r="D91" s="39"/>
      <c r="E91" s="39"/>
      <c r="F91" s="39"/>
      <c r="G91" s="39"/>
      <c r="H91" s="75"/>
      <c r="I91" s="75"/>
      <c r="J91" s="75"/>
      <c r="K91" s="75"/>
      <c r="L91" s="39"/>
      <c r="M91" s="45"/>
      <c r="N91" s="3"/>
      <c r="O91" s="3"/>
      <c r="P91" s="3"/>
      <c r="Q91" s="3"/>
    </row>
    <row r="92" spans="1:17" ht="15">
      <c r="A92" s="44"/>
      <c r="B92" s="39"/>
      <c r="C92" s="39"/>
      <c r="D92" s="39"/>
      <c r="E92" s="39"/>
      <c r="F92" s="39"/>
      <c r="G92" s="39"/>
      <c r="H92" s="75"/>
      <c r="I92" s="75"/>
      <c r="J92" s="75"/>
      <c r="K92" s="75"/>
      <c r="L92" s="39"/>
      <c r="M92" s="45"/>
      <c r="N92" s="3"/>
      <c r="O92" s="3"/>
      <c r="P92" s="3"/>
      <c r="Q92" s="3"/>
    </row>
    <row r="93" spans="1:17" ht="15">
      <c r="A93" s="44"/>
      <c r="B93" s="39"/>
      <c r="C93" s="39"/>
      <c r="D93" s="39"/>
      <c r="E93" s="39"/>
      <c r="F93" s="39"/>
      <c r="G93" s="39"/>
      <c r="H93" s="75"/>
      <c r="I93" s="75"/>
      <c r="J93" s="75"/>
      <c r="K93" s="75"/>
      <c r="L93" s="39"/>
      <c r="M93" s="45"/>
      <c r="N93" s="3"/>
      <c r="O93" s="3"/>
      <c r="P93" s="3"/>
      <c r="Q93" s="3"/>
    </row>
    <row r="94" spans="1:17" ht="15">
      <c r="A94" s="44"/>
      <c r="B94" s="39"/>
      <c r="C94" s="39"/>
      <c r="D94" s="39"/>
      <c r="E94" s="39"/>
      <c r="F94" s="39"/>
      <c r="G94" s="39"/>
      <c r="H94" s="75"/>
      <c r="I94" s="75"/>
      <c r="J94" s="75"/>
      <c r="K94" s="75"/>
      <c r="L94" s="39"/>
      <c r="M94" s="45"/>
      <c r="N94" s="3"/>
      <c r="O94" s="3"/>
      <c r="P94" s="3"/>
      <c r="Q94" s="3"/>
    </row>
    <row r="95" spans="1:17" ht="15">
      <c r="A95" s="44"/>
      <c r="B95" s="39"/>
      <c r="C95" s="39"/>
      <c r="D95" s="39"/>
      <c r="E95" s="39"/>
      <c r="F95" s="39"/>
      <c r="G95" s="39"/>
      <c r="H95" s="75"/>
      <c r="I95" s="75"/>
      <c r="J95" s="75"/>
      <c r="K95" s="75"/>
      <c r="L95" s="39"/>
      <c r="M95" s="45"/>
      <c r="N95" s="3"/>
      <c r="O95" s="3"/>
      <c r="P95" s="3"/>
      <c r="Q95" s="3"/>
    </row>
    <row r="96" spans="1:17" ht="15">
      <c r="A96" s="44"/>
      <c r="B96" s="39"/>
      <c r="C96" s="39"/>
      <c r="D96" s="39"/>
      <c r="E96" s="39"/>
      <c r="F96" s="39"/>
      <c r="G96" s="39"/>
      <c r="H96" s="75"/>
      <c r="I96" s="75"/>
      <c r="J96" s="75"/>
      <c r="K96" s="75"/>
      <c r="L96" s="39"/>
      <c r="M96" s="45"/>
      <c r="N96" s="3"/>
      <c r="O96" s="3"/>
      <c r="P96" s="3"/>
      <c r="Q96" s="3"/>
    </row>
    <row r="97" spans="1:17" ht="15">
      <c r="A97" s="44"/>
      <c r="B97" s="39"/>
      <c r="C97" s="39"/>
      <c r="D97" s="39"/>
      <c r="E97" s="39"/>
      <c r="F97" s="39"/>
      <c r="G97" s="39"/>
      <c r="H97" s="75"/>
      <c r="I97" s="75"/>
      <c r="J97" s="75"/>
      <c r="K97" s="75"/>
      <c r="L97" s="39"/>
      <c r="M97" s="45"/>
      <c r="N97" s="3"/>
      <c r="O97" s="3"/>
      <c r="P97" s="3"/>
      <c r="Q97" s="3"/>
    </row>
    <row r="98" spans="1:17" ht="15">
      <c r="A98" s="44"/>
      <c r="B98" s="39"/>
      <c r="C98" s="39"/>
      <c r="D98" s="39"/>
      <c r="E98" s="39"/>
      <c r="F98" s="39"/>
      <c r="G98" s="39"/>
      <c r="H98" s="75"/>
      <c r="I98" s="75"/>
      <c r="J98" s="75"/>
      <c r="K98" s="75"/>
      <c r="L98" s="39"/>
      <c r="M98" s="45"/>
      <c r="N98" s="3"/>
      <c r="O98" s="3"/>
      <c r="P98" s="3"/>
      <c r="Q98" s="3"/>
    </row>
    <row r="99" spans="1:17" ht="15">
      <c r="A99" s="44"/>
      <c r="B99" s="39"/>
      <c r="C99" s="39"/>
      <c r="D99" s="39"/>
      <c r="E99" s="39"/>
      <c r="F99" s="39"/>
      <c r="G99" s="39"/>
      <c r="H99" s="75"/>
      <c r="I99" s="75"/>
      <c r="J99" s="75"/>
      <c r="K99" s="75"/>
      <c r="L99" s="39"/>
      <c r="M99" s="45"/>
      <c r="N99" s="3"/>
      <c r="O99" s="3"/>
      <c r="P99" s="3"/>
      <c r="Q99" s="3"/>
    </row>
    <row r="100" spans="1:17" ht="15">
      <c r="A100" s="44"/>
      <c r="B100" s="39"/>
      <c r="C100" s="39"/>
      <c r="D100" s="39"/>
      <c r="E100" s="39"/>
      <c r="F100" s="39"/>
      <c r="G100" s="39"/>
      <c r="H100" s="75"/>
      <c r="I100" s="75"/>
      <c r="J100" s="75"/>
      <c r="K100" s="75"/>
      <c r="L100" s="39"/>
      <c r="M100" s="45"/>
      <c r="N100" s="3"/>
      <c r="O100" s="3"/>
      <c r="P100" s="3"/>
      <c r="Q100" s="3"/>
    </row>
    <row r="101" spans="1:17" ht="15">
      <c r="A101" s="44"/>
      <c r="B101" s="39"/>
      <c r="C101" s="39"/>
      <c r="D101" s="39"/>
      <c r="E101" s="39"/>
      <c r="F101" s="39"/>
      <c r="G101" s="39"/>
      <c r="H101" s="75"/>
      <c r="I101" s="75"/>
      <c r="J101" s="75"/>
      <c r="K101" s="75"/>
      <c r="L101" s="39"/>
      <c r="M101" s="45"/>
      <c r="N101" s="3"/>
      <c r="O101" s="3"/>
      <c r="P101" s="3"/>
      <c r="Q101" s="3"/>
    </row>
    <row r="102" spans="1:17" ht="15">
      <c r="A102" s="44"/>
      <c r="B102" s="39"/>
      <c r="C102" s="39"/>
      <c r="D102" s="39"/>
      <c r="E102" s="39"/>
      <c r="F102" s="39"/>
      <c r="G102" s="39"/>
      <c r="H102" s="75"/>
      <c r="I102" s="75"/>
      <c r="J102" s="75"/>
      <c r="K102" s="75"/>
      <c r="L102" s="39"/>
      <c r="M102" s="45"/>
      <c r="N102" s="3"/>
      <c r="O102" s="3"/>
      <c r="P102" s="3"/>
      <c r="Q102" s="3"/>
    </row>
    <row r="103" spans="1:17" ht="15">
      <c r="A103" s="44"/>
      <c r="B103" s="39"/>
      <c r="C103" s="39"/>
      <c r="D103" s="39"/>
      <c r="E103" s="39"/>
      <c r="F103" s="39"/>
      <c r="G103" s="39"/>
      <c r="H103" s="75"/>
      <c r="I103" s="75"/>
      <c r="J103" s="75"/>
      <c r="K103" s="75"/>
      <c r="L103" s="39"/>
      <c r="M103" s="45"/>
      <c r="N103" s="3"/>
      <c r="O103" s="3"/>
      <c r="P103" s="3"/>
      <c r="Q103" s="3"/>
    </row>
    <row r="104" spans="1:17" ht="15">
      <c r="A104" s="44"/>
      <c r="B104" s="39"/>
      <c r="C104" s="39"/>
      <c r="D104" s="39"/>
      <c r="E104" s="39"/>
      <c r="F104" s="39"/>
      <c r="G104" s="39"/>
      <c r="H104" s="75"/>
      <c r="I104" s="75"/>
      <c r="J104" s="75"/>
      <c r="K104" s="75"/>
      <c r="L104" s="39"/>
      <c r="M104" s="45"/>
      <c r="N104" s="3"/>
      <c r="O104" s="3"/>
      <c r="P104" s="3"/>
      <c r="Q104" s="3"/>
    </row>
    <row r="105" spans="1:17" ht="15">
      <c r="A105" s="44"/>
      <c r="B105" s="39"/>
      <c r="C105" s="39"/>
      <c r="D105" s="39"/>
      <c r="E105" s="39"/>
      <c r="F105" s="39"/>
      <c r="G105" s="39"/>
      <c r="H105" s="75"/>
      <c r="I105" s="75"/>
      <c r="J105" s="75"/>
      <c r="K105" s="75"/>
      <c r="L105" s="39"/>
      <c r="M105" s="45"/>
      <c r="N105" s="3"/>
      <c r="O105" s="3"/>
      <c r="P105" s="3"/>
      <c r="Q105" s="3"/>
    </row>
    <row r="106" spans="1:17" ht="15">
      <c r="A106" s="44"/>
      <c r="B106" s="39"/>
      <c r="C106" s="39"/>
      <c r="D106" s="39"/>
      <c r="E106" s="39"/>
      <c r="F106" s="39"/>
      <c r="G106" s="39"/>
      <c r="H106" s="75"/>
      <c r="I106" s="75"/>
      <c r="J106" s="75"/>
      <c r="K106" s="75"/>
      <c r="L106" s="39"/>
      <c r="M106" s="45"/>
      <c r="N106" s="3"/>
      <c r="O106" s="3"/>
      <c r="P106" s="3"/>
      <c r="Q106" s="3"/>
    </row>
    <row r="107" spans="1:17" ht="15">
      <c r="A107" s="44"/>
      <c r="B107" s="39"/>
      <c r="C107" s="39"/>
      <c r="D107" s="39"/>
      <c r="E107" s="39"/>
      <c r="F107" s="39"/>
      <c r="G107" s="39"/>
      <c r="H107" s="75"/>
      <c r="I107" s="75"/>
      <c r="J107" s="75"/>
      <c r="K107" s="75"/>
      <c r="L107" s="39"/>
      <c r="M107" s="45"/>
      <c r="N107" s="3"/>
      <c r="O107" s="3"/>
      <c r="P107" s="3"/>
      <c r="Q107" s="3"/>
    </row>
    <row r="108" spans="1:17" ht="15">
      <c r="A108" s="44"/>
      <c r="B108" s="39"/>
      <c r="C108" s="39"/>
      <c r="D108" s="39"/>
      <c r="E108" s="39"/>
      <c r="F108" s="39"/>
      <c r="G108" s="39"/>
      <c r="H108" s="75"/>
      <c r="I108" s="75"/>
      <c r="J108" s="75"/>
      <c r="K108" s="75"/>
      <c r="L108" s="39"/>
      <c r="M108" s="45"/>
      <c r="N108" s="3"/>
      <c r="O108" s="3"/>
      <c r="P108" s="3"/>
      <c r="Q108" s="3"/>
    </row>
    <row r="109" spans="1:17" ht="15">
      <c r="A109" s="44"/>
      <c r="B109" s="39"/>
      <c r="C109" s="39"/>
      <c r="D109" s="39"/>
      <c r="E109" s="39"/>
      <c r="F109" s="39"/>
      <c r="G109" s="39"/>
      <c r="H109" s="75"/>
      <c r="I109" s="75"/>
      <c r="J109" s="75"/>
      <c r="K109" s="75"/>
      <c r="L109" s="39"/>
      <c r="M109" s="45"/>
      <c r="N109" s="3"/>
      <c r="O109" s="3"/>
      <c r="P109" s="3"/>
      <c r="Q109" s="3"/>
    </row>
    <row r="110" spans="1:17" ht="15">
      <c r="A110" s="44"/>
      <c r="B110" s="39"/>
      <c r="C110" s="39"/>
      <c r="D110" s="39"/>
      <c r="E110" s="39"/>
      <c r="F110" s="39"/>
      <c r="G110" s="39"/>
      <c r="H110" s="75"/>
      <c r="I110" s="75"/>
      <c r="J110" s="75"/>
      <c r="K110" s="75"/>
      <c r="L110" s="39"/>
      <c r="M110" s="45"/>
      <c r="N110" s="3"/>
      <c r="O110" s="3"/>
      <c r="P110" s="3"/>
      <c r="Q110" s="3"/>
    </row>
    <row r="111" spans="1:17" ht="15">
      <c r="A111" s="44"/>
      <c r="B111" s="39"/>
      <c r="C111" s="39"/>
      <c r="D111" s="39"/>
      <c r="E111" s="39"/>
      <c r="F111" s="39"/>
      <c r="G111" s="39"/>
      <c r="H111" s="75"/>
      <c r="I111" s="75"/>
      <c r="J111" s="75"/>
      <c r="K111" s="75"/>
      <c r="L111" s="39"/>
      <c r="M111" s="45"/>
      <c r="N111" s="3"/>
      <c r="O111" s="3"/>
      <c r="P111" s="3"/>
      <c r="Q111" s="3"/>
    </row>
    <row r="112" spans="1:17" ht="15">
      <c r="A112" s="44"/>
      <c r="B112" s="39"/>
      <c r="C112" s="39"/>
      <c r="D112" s="39"/>
      <c r="E112" s="39"/>
      <c r="F112" s="39"/>
      <c r="G112" s="39"/>
      <c r="H112" s="75"/>
      <c r="I112" s="75"/>
      <c r="J112" s="75"/>
      <c r="K112" s="75"/>
      <c r="L112" s="39"/>
      <c r="M112" s="45"/>
      <c r="N112" s="3"/>
      <c r="O112" s="3"/>
      <c r="P112" s="3"/>
      <c r="Q112" s="3"/>
    </row>
    <row r="113" spans="1:17" ht="15">
      <c r="A113" s="44"/>
      <c r="B113" s="39"/>
      <c r="C113" s="39"/>
      <c r="D113" s="39"/>
      <c r="E113" s="39"/>
      <c r="F113" s="39"/>
      <c r="G113" s="39"/>
      <c r="H113" s="75"/>
      <c r="I113" s="75"/>
      <c r="J113" s="75"/>
      <c r="K113" s="75"/>
      <c r="L113" s="39"/>
      <c r="M113" s="45"/>
      <c r="N113" s="3"/>
      <c r="O113" s="3"/>
      <c r="P113" s="3"/>
      <c r="Q113" s="3"/>
    </row>
    <row r="114" spans="1:17" ht="15">
      <c r="A114" s="44"/>
      <c r="B114" s="39"/>
      <c r="C114" s="39"/>
      <c r="D114" s="39"/>
      <c r="E114" s="39"/>
      <c r="F114" s="39"/>
      <c r="G114" s="39"/>
      <c r="H114" s="75"/>
      <c r="I114" s="75"/>
      <c r="J114" s="75"/>
      <c r="K114" s="75"/>
      <c r="L114" s="39"/>
      <c r="M114" s="45"/>
      <c r="N114" s="3"/>
      <c r="O114" s="3"/>
      <c r="P114" s="3"/>
      <c r="Q114" s="3"/>
    </row>
    <row r="115" spans="1:17" ht="15">
      <c r="A115" s="44"/>
      <c r="B115" s="39"/>
      <c r="C115" s="39"/>
      <c r="D115" s="39"/>
      <c r="E115" s="39"/>
      <c r="F115" s="39"/>
      <c r="G115" s="39"/>
      <c r="H115" s="75"/>
      <c r="I115" s="75"/>
      <c r="J115" s="75"/>
      <c r="K115" s="75"/>
      <c r="L115" s="39"/>
      <c r="M115" s="45"/>
      <c r="N115" s="3"/>
      <c r="O115" s="3"/>
      <c r="P115" s="3"/>
      <c r="Q115" s="3"/>
    </row>
    <row r="116" spans="1:17" ht="15">
      <c r="A116" s="44"/>
      <c r="B116" s="39"/>
      <c r="C116" s="39"/>
      <c r="D116" s="39"/>
      <c r="E116" s="39"/>
      <c r="F116" s="39"/>
      <c r="G116" s="39"/>
      <c r="H116" s="75"/>
      <c r="I116" s="75"/>
      <c r="J116" s="75"/>
      <c r="K116" s="75"/>
      <c r="L116" s="39"/>
      <c r="M116" s="45"/>
      <c r="N116" s="3"/>
      <c r="O116" s="3"/>
      <c r="P116" s="3"/>
      <c r="Q116" s="3"/>
    </row>
    <row r="117" spans="1:17" ht="15">
      <c r="A117" s="44"/>
      <c r="B117" s="39"/>
      <c r="C117" s="39"/>
      <c r="D117" s="39"/>
      <c r="E117" s="39"/>
      <c r="F117" s="39"/>
      <c r="G117" s="39"/>
      <c r="H117" s="75"/>
      <c r="I117" s="75"/>
      <c r="J117" s="75"/>
      <c r="K117" s="75"/>
      <c r="L117" s="39"/>
      <c r="M117" s="45"/>
      <c r="N117" s="3"/>
      <c r="O117" s="3"/>
      <c r="P117" s="3"/>
      <c r="Q117" s="3"/>
    </row>
    <row r="118" spans="1:17" ht="15">
      <c r="A118" s="44"/>
      <c r="B118" s="39"/>
      <c r="C118" s="39"/>
      <c r="D118" s="39"/>
      <c r="E118" s="39"/>
      <c r="F118" s="39"/>
      <c r="G118" s="39"/>
      <c r="H118" s="75"/>
      <c r="I118" s="75"/>
      <c r="J118" s="75"/>
      <c r="K118" s="75"/>
      <c r="L118" s="39"/>
      <c r="M118" s="45"/>
      <c r="N118" s="3"/>
      <c r="O118" s="3"/>
      <c r="P118" s="3"/>
      <c r="Q118" s="3"/>
    </row>
    <row r="119" spans="1:17" ht="15">
      <c r="A119" s="44"/>
      <c r="B119" s="39"/>
      <c r="C119" s="39"/>
      <c r="D119" s="39"/>
      <c r="E119" s="39"/>
      <c r="F119" s="39"/>
      <c r="G119" s="39"/>
      <c r="H119" s="75"/>
      <c r="I119" s="75"/>
      <c r="J119" s="75"/>
      <c r="K119" s="75"/>
      <c r="L119" s="39"/>
      <c r="M119" s="45"/>
      <c r="N119" s="3"/>
      <c r="O119" s="3"/>
      <c r="P119" s="3"/>
      <c r="Q119" s="3"/>
    </row>
    <row r="120" spans="1:17" ht="15">
      <c r="A120" s="44"/>
      <c r="B120" s="39"/>
      <c r="C120" s="39"/>
      <c r="D120" s="39"/>
      <c r="E120" s="39"/>
      <c r="F120" s="39"/>
      <c r="G120" s="39"/>
      <c r="H120" s="75"/>
      <c r="I120" s="75"/>
      <c r="J120" s="75"/>
      <c r="K120" s="75"/>
      <c r="L120" s="39"/>
      <c r="M120" s="45"/>
      <c r="N120" s="3"/>
      <c r="O120" s="3"/>
      <c r="P120" s="3"/>
      <c r="Q120" s="3"/>
    </row>
    <row r="121" spans="1:17" ht="15">
      <c r="A121" s="44"/>
      <c r="B121" s="39"/>
      <c r="C121" s="39"/>
      <c r="D121" s="39"/>
      <c r="E121" s="39"/>
      <c r="F121" s="39"/>
      <c r="G121" s="39"/>
      <c r="H121" s="75"/>
      <c r="I121" s="75"/>
      <c r="J121" s="75"/>
      <c r="K121" s="75"/>
      <c r="L121" s="39"/>
      <c r="M121" s="45"/>
      <c r="N121" s="3"/>
      <c r="O121" s="3"/>
      <c r="P121" s="3"/>
      <c r="Q121" s="3"/>
    </row>
    <row r="122" spans="1:17" ht="15">
      <c r="A122" s="44"/>
      <c r="B122" s="39"/>
      <c r="C122" s="39"/>
      <c r="D122" s="39"/>
      <c r="E122" s="39"/>
      <c r="F122" s="39"/>
      <c r="G122" s="39"/>
      <c r="H122" s="75"/>
      <c r="I122" s="75"/>
      <c r="J122" s="75"/>
      <c r="K122" s="75"/>
      <c r="L122" s="39"/>
      <c r="M122" s="45"/>
      <c r="N122" s="3"/>
      <c r="O122" s="3"/>
      <c r="P122" s="3"/>
      <c r="Q122" s="3"/>
    </row>
    <row r="123" spans="1:17" ht="15">
      <c r="A123" s="44"/>
      <c r="B123" s="39"/>
      <c r="C123" s="39"/>
      <c r="D123" s="39"/>
      <c r="E123" s="39"/>
      <c r="F123" s="39"/>
      <c r="G123" s="39"/>
      <c r="H123" s="75"/>
      <c r="I123" s="75"/>
      <c r="J123" s="75"/>
      <c r="K123" s="75"/>
      <c r="L123" s="39"/>
      <c r="M123" s="45"/>
      <c r="N123" s="3"/>
      <c r="O123" s="3"/>
      <c r="P123" s="3"/>
      <c r="Q123" s="3"/>
    </row>
    <row r="124" spans="1:17" ht="15">
      <c r="A124" s="44"/>
      <c r="B124" s="39"/>
      <c r="C124" s="39"/>
      <c r="D124" s="39"/>
      <c r="E124" s="39"/>
      <c r="F124" s="39"/>
      <c r="G124" s="39"/>
      <c r="H124" s="75"/>
      <c r="I124" s="75"/>
      <c r="J124" s="75"/>
      <c r="K124" s="75"/>
      <c r="L124" s="39"/>
      <c r="M124" s="45"/>
      <c r="N124" s="3"/>
      <c r="O124" s="3"/>
      <c r="P124" s="3"/>
      <c r="Q124" s="3"/>
    </row>
    <row r="125" spans="1:17" ht="15">
      <c r="A125" s="44"/>
      <c r="B125" s="39"/>
      <c r="C125" s="39"/>
      <c r="D125" s="39"/>
      <c r="E125" s="39"/>
      <c r="F125" s="39"/>
      <c r="G125" s="39"/>
      <c r="H125" s="75"/>
      <c r="I125" s="75"/>
      <c r="J125" s="75"/>
      <c r="K125" s="75"/>
      <c r="L125" s="39"/>
      <c r="M125" s="45"/>
      <c r="N125" s="3"/>
      <c r="O125" s="3"/>
      <c r="P125" s="3"/>
      <c r="Q125" s="3"/>
    </row>
    <row r="126" spans="1:17" ht="15">
      <c r="A126" s="44"/>
      <c r="B126" s="39"/>
      <c r="C126" s="39"/>
      <c r="D126" s="39"/>
      <c r="E126" s="39"/>
      <c r="F126" s="39"/>
      <c r="G126" s="39"/>
      <c r="H126" s="75"/>
      <c r="I126" s="75"/>
      <c r="J126" s="75"/>
      <c r="K126" s="75"/>
      <c r="L126" s="39"/>
      <c r="M126" s="45"/>
      <c r="N126" s="3"/>
      <c r="O126" s="3"/>
      <c r="P126" s="3"/>
      <c r="Q126" s="3"/>
    </row>
    <row r="127" spans="1:17" ht="15">
      <c r="A127" s="44"/>
      <c r="B127" s="39"/>
      <c r="C127" s="39"/>
      <c r="D127" s="39"/>
      <c r="E127" s="39"/>
      <c r="F127" s="39"/>
      <c r="G127" s="39"/>
      <c r="H127" s="75"/>
      <c r="I127" s="75"/>
      <c r="J127" s="75"/>
      <c r="K127" s="75"/>
      <c r="L127" s="39"/>
      <c r="M127" s="45"/>
      <c r="N127" s="3"/>
      <c r="O127" s="3"/>
      <c r="P127" s="3"/>
      <c r="Q127" s="3"/>
    </row>
    <row r="128" spans="1:17" ht="15">
      <c r="A128" s="44"/>
      <c r="B128" s="39"/>
      <c r="C128" s="39"/>
      <c r="D128" s="39"/>
      <c r="E128" s="39"/>
      <c r="F128" s="39"/>
      <c r="G128" s="39"/>
      <c r="H128" s="75"/>
      <c r="I128" s="75"/>
      <c r="J128" s="75"/>
      <c r="K128" s="75"/>
      <c r="L128" s="39"/>
      <c r="M128" s="45"/>
      <c r="N128" s="3"/>
      <c r="O128" s="3"/>
      <c r="P128" s="3"/>
      <c r="Q128" s="3"/>
    </row>
    <row r="129" spans="1:17" ht="15">
      <c r="A129" s="44"/>
      <c r="B129" s="39"/>
      <c r="C129" s="39"/>
      <c r="D129" s="39"/>
      <c r="E129" s="39"/>
      <c r="F129" s="39"/>
      <c r="G129" s="39"/>
      <c r="H129" s="75"/>
      <c r="I129" s="75"/>
      <c r="J129" s="75"/>
      <c r="K129" s="75"/>
      <c r="L129" s="39"/>
      <c r="M129" s="45"/>
      <c r="N129" s="3"/>
      <c r="O129" s="3"/>
      <c r="P129" s="3"/>
      <c r="Q129" s="3"/>
    </row>
    <row r="130" spans="1:17" ht="15">
      <c r="A130" s="44"/>
      <c r="B130" s="39"/>
      <c r="C130" s="39"/>
      <c r="D130" s="39"/>
      <c r="E130" s="39"/>
      <c r="F130" s="39"/>
      <c r="G130" s="39"/>
      <c r="H130" s="75"/>
      <c r="I130" s="75"/>
      <c r="J130" s="75"/>
      <c r="K130" s="75"/>
      <c r="L130" s="39"/>
      <c r="M130" s="45"/>
      <c r="N130" s="3"/>
      <c r="O130" s="3"/>
      <c r="P130" s="3"/>
      <c r="Q130" s="3"/>
    </row>
    <row r="131" spans="1:17" ht="15">
      <c r="A131" s="44"/>
      <c r="B131" s="39"/>
      <c r="C131" s="39"/>
      <c r="D131" s="39"/>
      <c r="E131" s="39"/>
      <c r="F131" s="39"/>
      <c r="G131" s="39"/>
      <c r="H131" s="75"/>
      <c r="I131" s="75"/>
      <c r="J131" s="75"/>
      <c r="K131" s="75"/>
      <c r="L131" s="39"/>
      <c r="M131" s="45"/>
      <c r="N131" s="3"/>
      <c r="O131" s="3"/>
      <c r="P131" s="3"/>
      <c r="Q131" s="3"/>
    </row>
    <row r="132" spans="1:17" ht="15">
      <c r="A132" s="44"/>
      <c r="B132" s="39"/>
      <c r="C132" s="39"/>
      <c r="D132" s="39"/>
      <c r="E132" s="39"/>
      <c r="F132" s="39"/>
      <c r="G132" s="39"/>
      <c r="H132" s="75"/>
      <c r="I132" s="75"/>
      <c r="J132" s="75"/>
      <c r="K132" s="75"/>
      <c r="L132" s="39"/>
      <c r="M132" s="45"/>
      <c r="N132" s="3"/>
      <c r="O132" s="3"/>
      <c r="P132" s="3"/>
      <c r="Q132" s="3"/>
    </row>
    <row r="133" spans="1:17" ht="15">
      <c r="A133" s="44"/>
      <c r="B133" s="39"/>
      <c r="C133" s="39"/>
      <c r="D133" s="39"/>
      <c r="E133" s="39"/>
      <c r="F133" s="39"/>
      <c r="G133" s="39"/>
      <c r="H133" s="75"/>
      <c r="I133" s="75"/>
      <c r="J133" s="75"/>
      <c r="K133" s="75"/>
      <c r="L133" s="39"/>
      <c r="M133" s="45"/>
      <c r="N133" s="3"/>
      <c r="O133" s="3"/>
      <c r="P133" s="3"/>
      <c r="Q133" s="3"/>
    </row>
    <row r="134" spans="1:17" ht="15">
      <c r="A134" s="44"/>
      <c r="B134" s="39"/>
      <c r="C134" s="39"/>
      <c r="D134" s="39"/>
      <c r="E134" s="39"/>
      <c r="F134" s="39"/>
      <c r="G134" s="39"/>
      <c r="H134" s="75"/>
      <c r="I134" s="75"/>
      <c r="J134" s="75"/>
      <c r="K134" s="75"/>
      <c r="L134" s="39"/>
      <c r="M134" s="45"/>
      <c r="N134" s="3"/>
      <c r="O134" s="3"/>
      <c r="P134" s="3"/>
      <c r="Q134" s="3"/>
    </row>
    <row r="135" spans="1:17" ht="15">
      <c r="A135" s="44"/>
      <c r="B135" s="39"/>
      <c r="C135" s="39"/>
      <c r="D135" s="39"/>
      <c r="E135" s="39"/>
      <c r="F135" s="39"/>
      <c r="G135" s="39"/>
      <c r="H135" s="75"/>
      <c r="I135" s="75"/>
      <c r="J135" s="75"/>
      <c r="K135" s="75"/>
      <c r="L135" s="39"/>
      <c r="M135" s="45"/>
      <c r="N135" s="3"/>
      <c r="O135" s="3"/>
      <c r="P135" s="3"/>
      <c r="Q135" s="3"/>
    </row>
    <row r="136" spans="1:17" ht="15">
      <c r="A136" s="44"/>
      <c r="B136" s="39"/>
      <c r="C136" s="39"/>
      <c r="D136" s="39"/>
      <c r="E136" s="39"/>
      <c r="F136" s="39"/>
      <c r="G136" s="39"/>
      <c r="H136" s="75"/>
      <c r="I136" s="75"/>
      <c r="J136" s="75"/>
      <c r="K136" s="75"/>
      <c r="L136" s="39"/>
      <c r="M136" s="45"/>
      <c r="N136" s="3"/>
      <c r="O136" s="3"/>
      <c r="P136" s="3"/>
      <c r="Q136" s="3"/>
    </row>
    <row r="137" spans="1:17" ht="15">
      <c r="A137" s="44"/>
      <c r="B137" s="39"/>
      <c r="C137" s="39"/>
      <c r="D137" s="39"/>
      <c r="E137" s="39"/>
      <c r="F137" s="39"/>
      <c r="G137" s="39"/>
      <c r="H137" s="75"/>
      <c r="I137" s="75"/>
      <c r="J137" s="75"/>
      <c r="K137" s="75"/>
      <c r="L137" s="39"/>
      <c r="M137" s="45"/>
      <c r="N137" s="3"/>
      <c r="O137" s="3"/>
      <c r="P137" s="3"/>
      <c r="Q137" s="3"/>
    </row>
    <row r="138" spans="1:17" ht="15">
      <c r="A138" s="44"/>
      <c r="B138" s="39"/>
      <c r="C138" s="39"/>
      <c r="D138" s="39"/>
      <c r="E138" s="39"/>
      <c r="F138" s="39"/>
      <c r="G138" s="39"/>
      <c r="H138" s="75"/>
      <c r="I138" s="75"/>
      <c r="J138" s="75"/>
      <c r="K138" s="75"/>
      <c r="L138" s="39"/>
      <c r="M138" s="45"/>
      <c r="N138" s="3"/>
      <c r="O138" s="3"/>
      <c r="P138" s="3"/>
      <c r="Q138" s="3"/>
    </row>
    <row r="139" spans="1:17" ht="15">
      <c r="A139" s="44"/>
      <c r="B139" s="39"/>
      <c r="C139" s="39"/>
      <c r="D139" s="39"/>
      <c r="E139" s="39"/>
      <c r="F139" s="39"/>
      <c r="G139" s="39"/>
      <c r="H139" s="75"/>
      <c r="I139" s="75"/>
      <c r="J139" s="75"/>
      <c r="K139" s="75"/>
      <c r="L139" s="39"/>
      <c r="M139" s="45"/>
      <c r="N139" s="3"/>
      <c r="O139" s="3"/>
      <c r="P139" s="3"/>
      <c r="Q139" s="3"/>
    </row>
    <row r="140" spans="1:17" ht="15">
      <c r="A140" s="44"/>
      <c r="B140" s="39"/>
      <c r="C140" s="39"/>
      <c r="D140" s="39"/>
      <c r="E140" s="39"/>
      <c r="F140" s="39"/>
      <c r="G140" s="39"/>
      <c r="H140" s="75"/>
      <c r="I140" s="75"/>
      <c r="J140" s="75"/>
      <c r="K140" s="75"/>
      <c r="L140" s="39"/>
      <c r="M140" s="45"/>
      <c r="N140" s="3"/>
      <c r="O140" s="3"/>
      <c r="P140" s="3"/>
      <c r="Q140" s="3"/>
    </row>
    <row r="141" spans="1:17" ht="15">
      <c r="A141" s="44"/>
      <c r="B141" s="39"/>
      <c r="C141" s="39"/>
      <c r="D141" s="39"/>
      <c r="E141" s="39"/>
      <c r="F141" s="39"/>
      <c r="G141" s="39"/>
      <c r="H141" s="75"/>
      <c r="I141" s="75"/>
      <c r="J141" s="75"/>
      <c r="K141" s="75"/>
      <c r="L141" s="39"/>
      <c r="M141" s="45"/>
      <c r="N141" s="3"/>
      <c r="O141" s="3"/>
      <c r="P141" s="3"/>
      <c r="Q141" s="3"/>
    </row>
    <row r="142" spans="1:17" ht="15">
      <c r="A142" s="44"/>
      <c r="B142" s="39"/>
      <c r="C142" s="39"/>
      <c r="D142" s="39"/>
      <c r="E142" s="39"/>
      <c r="F142" s="39"/>
      <c r="G142" s="39"/>
      <c r="H142" s="75"/>
      <c r="I142" s="75"/>
      <c r="J142" s="75"/>
      <c r="K142" s="75"/>
      <c r="L142" s="39"/>
      <c r="M142" s="45"/>
      <c r="N142" s="3"/>
      <c r="O142" s="3"/>
      <c r="P142" s="3"/>
      <c r="Q142" s="3"/>
    </row>
    <row r="143" spans="1:17" ht="15">
      <c r="A143" s="44"/>
      <c r="B143" s="39"/>
      <c r="C143" s="39"/>
      <c r="D143" s="39"/>
      <c r="E143" s="39"/>
      <c r="F143" s="39"/>
      <c r="G143" s="39"/>
      <c r="H143" s="75"/>
      <c r="I143" s="75"/>
      <c r="J143" s="75"/>
      <c r="K143" s="75"/>
      <c r="L143" s="39"/>
      <c r="M143" s="45"/>
      <c r="N143" s="3"/>
      <c r="O143" s="3"/>
      <c r="P143" s="3"/>
      <c r="Q143" s="3"/>
    </row>
    <row r="144" spans="1:17" ht="15">
      <c r="A144" s="44"/>
      <c r="B144" s="39"/>
      <c r="C144" s="39"/>
      <c r="D144" s="39"/>
      <c r="E144" s="39"/>
      <c r="F144" s="39"/>
      <c r="G144" s="39"/>
      <c r="H144" s="75"/>
      <c r="I144" s="75"/>
      <c r="J144" s="75"/>
      <c r="K144" s="75"/>
      <c r="L144" s="39"/>
      <c r="M144" s="45"/>
      <c r="N144" s="3"/>
      <c r="O144" s="3"/>
      <c r="P144" s="3"/>
      <c r="Q144" s="3"/>
    </row>
    <row r="145" spans="1:17" ht="15">
      <c r="A145" s="44"/>
      <c r="B145" s="39"/>
      <c r="C145" s="39"/>
      <c r="D145" s="39"/>
      <c r="E145" s="39"/>
      <c r="F145" s="39"/>
      <c r="G145" s="39"/>
      <c r="H145" s="75"/>
      <c r="I145" s="75"/>
      <c r="J145" s="75"/>
      <c r="K145" s="75"/>
      <c r="L145" s="39"/>
      <c r="M145" s="45"/>
      <c r="N145" s="3"/>
      <c r="O145" s="3"/>
      <c r="P145" s="3"/>
      <c r="Q145" s="3"/>
    </row>
    <row r="146" spans="1:17" ht="15">
      <c r="A146" s="44"/>
      <c r="B146" s="39"/>
      <c r="C146" s="39"/>
      <c r="D146" s="39"/>
      <c r="E146" s="39"/>
      <c r="F146" s="39"/>
      <c r="G146" s="39"/>
      <c r="H146" s="75"/>
      <c r="I146" s="75"/>
      <c r="J146" s="75"/>
      <c r="K146" s="75"/>
      <c r="L146" s="39"/>
      <c r="M146" s="45"/>
      <c r="N146" s="3"/>
      <c r="O146" s="3"/>
      <c r="P146" s="3"/>
      <c r="Q146" s="3"/>
    </row>
    <row r="147" spans="1:17" ht="15">
      <c r="A147" s="44"/>
      <c r="B147" s="39"/>
      <c r="C147" s="39"/>
      <c r="D147" s="39"/>
      <c r="E147" s="39"/>
      <c r="F147" s="39"/>
      <c r="G147" s="39"/>
      <c r="H147" s="75"/>
      <c r="I147" s="75"/>
      <c r="J147" s="75"/>
      <c r="K147" s="75"/>
      <c r="L147" s="39"/>
      <c r="M147" s="45"/>
      <c r="N147" s="3"/>
      <c r="O147" s="3"/>
      <c r="P147" s="3"/>
      <c r="Q147" s="3"/>
    </row>
    <row r="148" spans="1:17" ht="15">
      <c r="A148" s="44"/>
      <c r="B148" s="39"/>
      <c r="C148" s="39"/>
      <c r="D148" s="39"/>
      <c r="E148" s="39"/>
      <c r="F148" s="39"/>
      <c r="G148" s="39"/>
      <c r="H148" s="75"/>
      <c r="I148" s="75"/>
      <c r="J148" s="75"/>
      <c r="K148" s="75"/>
      <c r="L148" s="39"/>
      <c r="M148" s="45"/>
      <c r="N148" s="3"/>
      <c r="O148" s="3"/>
      <c r="P148" s="3"/>
      <c r="Q148" s="3"/>
    </row>
    <row r="149" spans="1:17" ht="15">
      <c r="A149" s="44"/>
      <c r="B149" s="39"/>
      <c r="C149" s="39"/>
      <c r="D149" s="39"/>
      <c r="E149" s="39"/>
      <c r="F149" s="39"/>
      <c r="G149" s="39"/>
      <c r="H149" s="75"/>
      <c r="I149" s="75"/>
      <c r="J149" s="75"/>
      <c r="K149" s="75"/>
      <c r="L149" s="39"/>
      <c r="M149" s="45"/>
      <c r="N149" s="3"/>
      <c r="O149" s="3"/>
      <c r="P149" s="3"/>
      <c r="Q149" s="3"/>
    </row>
    <row r="150" spans="1:17" ht="15">
      <c r="A150" s="44"/>
      <c r="B150" s="39"/>
      <c r="C150" s="39"/>
      <c r="D150" s="39"/>
      <c r="E150" s="39"/>
      <c r="F150" s="39"/>
      <c r="G150" s="39"/>
      <c r="H150" s="75"/>
      <c r="I150" s="75"/>
      <c r="J150" s="75"/>
      <c r="K150" s="75"/>
      <c r="L150" s="39"/>
      <c r="M150" s="45"/>
      <c r="N150" s="3"/>
      <c r="O150" s="3"/>
      <c r="P150" s="3"/>
      <c r="Q150" s="3"/>
    </row>
    <row r="151" spans="1:17" ht="15">
      <c r="A151" s="44"/>
      <c r="B151" s="39"/>
      <c r="C151" s="39"/>
      <c r="D151" s="39"/>
      <c r="E151" s="39"/>
      <c r="F151" s="39"/>
      <c r="G151" s="39"/>
      <c r="H151" s="75"/>
      <c r="I151" s="75"/>
      <c r="J151" s="75"/>
      <c r="K151" s="75"/>
      <c r="L151" s="39"/>
      <c r="M151" s="45"/>
      <c r="N151" s="3"/>
      <c r="O151" s="3"/>
      <c r="P151" s="3"/>
      <c r="Q151" s="3"/>
    </row>
    <row r="152" spans="1:17" ht="15">
      <c r="A152" s="44"/>
      <c r="B152" s="39"/>
      <c r="C152" s="39"/>
      <c r="D152" s="39"/>
      <c r="E152" s="39"/>
      <c r="F152" s="39"/>
      <c r="G152" s="39"/>
      <c r="H152" s="75"/>
      <c r="I152" s="75"/>
      <c r="J152" s="75"/>
      <c r="K152" s="75"/>
      <c r="L152" s="39"/>
      <c r="M152" s="45"/>
      <c r="N152" s="3"/>
      <c r="O152" s="3"/>
      <c r="P152" s="3"/>
      <c r="Q152" s="3"/>
    </row>
    <row r="153" spans="1:17" ht="15">
      <c r="A153" s="44"/>
      <c r="B153" s="39"/>
      <c r="C153" s="39"/>
      <c r="D153" s="39"/>
      <c r="E153" s="39"/>
      <c r="F153" s="39"/>
      <c r="G153" s="39"/>
      <c r="H153" s="75"/>
      <c r="I153" s="75"/>
      <c r="J153" s="75"/>
      <c r="K153" s="75"/>
      <c r="L153" s="39"/>
      <c r="M153" s="45"/>
      <c r="N153" s="3"/>
      <c r="O153" s="3"/>
      <c r="P153" s="3"/>
      <c r="Q153" s="3"/>
    </row>
    <row r="154" spans="1:17" ht="15">
      <c r="A154" s="44"/>
      <c r="B154" s="39"/>
      <c r="C154" s="39"/>
      <c r="D154" s="39"/>
      <c r="E154" s="39"/>
      <c r="F154" s="39"/>
      <c r="G154" s="39"/>
      <c r="H154" s="75"/>
      <c r="I154" s="75"/>
      <c r="J154" s="75"/>
      <c r="K154" s="75"/>
      <c r="L154" s="39"/>
      <c r="M154" s="45"/>
      <c r="N154" s="3"/>
      <c r="O154" s="3"/>
      <c r="P154" s="3"/>
      <c r="Q154" s="3"/>
    </row>
    <row r="155" spans="1:17" ht="15">
      <c r="A155" s="44"/>
      <c r="B155" s="39"/>
      <c r="C155" s="39"/>
      <c r="D155" s="39"/>
      <c r="E155" s="39"/>
      <c r="F155" s="39"/>
      <c r="G155" s="39"/>
      <c r="H155" s="75"/>
      <c r="I155" s="75"/>
      <c r="J155" s="75"/>
      <c r="K155" s="75"/>
      <c r="L155" s="39"/>
      <c r="M155" s="45"/>
      <c r="N155" s="3"/>
      <c r="O155" s="3"/>
      <c r="P155" s="3"/>
      <c r="Q155" s="3"/>
    </row>
    <row r="156" spans="1:17" ht="15">
      <c r="A156" s="44"/>
      <c r="B156" s="39"/>
      <c r="C156" s="39"/>
      <c r="D156" s="39"/>
      <c r="E156" s="39"/>
      <c r="F156" s="39"/>
      <c r="G156" s="39"/>
      <c r="H156" s="75"/>
      <c r="I156" s="75"/>
      <c r="J156" s="75"/>
      <c r="K156" s="75"/>
      <c r="L156" s="39"/>
      <c r="M156" s="45"/>
      <c r="N156" s="3"/>
      <c r="O156" s="3"/>
      <c r="P156" s="3"/>
      <c r="Q156" s="3"/>
    </row>
    <row r="157" spans="1:17" ht="15">
      <c r="A157" s="44"/>
      <c r="B157" s="39"/>
      <c r="C157" s="39"/>
      <c r="D157" s="39"/>
      <c r="E157" s="39"/>
      <c r="F157" s="39"/>
      <c r="G157" s="39"/>
      <c r="H157" s="75"/>
      <c r="I157" s="75"/>
      <c r="J157" s="75"/>
      <c r="K157" s="75"/>
      <c r="L157" s="39"/>
      <c r="M157" s="45"/>
      <c r="N157" s="3"/>
      <c r="O157" s="3"/>
      <c r="P157" s="3"/>
      <c r="Q157" s="3"/>
    </row>
    <row r="158" spans="1:17" ht="15">
      <c r="A158" s="44"/>
      <c r="B158" s="39"/>
      <c r="C158" s="39"/>
      <c r="D158" s="39"/>
      <c r="E158" s="39"/>
      <c r="F158" s="39"/>
      <c r="G158" s="39"/>
      <c r="H158" s="75"/>
      <c r="I158" s="75"/>
      <c r="J158" s="75"/>
      <c r="K158" s="75"/>
      <c r="L158" s="39"/>
      <c r="M158" s="45"/>
      <c r="N158" s="3"/>
      <c r="O158" s="3"/>
      <c r="P158" s="3"/>
      <c r="Q158" s="3"/>
    </row>
    <row r="159" spans="1:17" ht="15">
      <c r="A159" s="44"/>
      <c r="B159" s="39"/>
      <c r="C159" s="39"/>
      <c r="D159" s="39"/>
      <c r="E159" s="39"/>
      <c r="F159" s="39"/>
      <c r="G159" s="39"/>
      <c r="H159" s="75"/>
      <c r="I159" s="75"/>
      <c r="J159" s="75"/>
      <c r="K159" s="75"/>
      <c r="L159" s="39"/>
      <c r="M159" s="45"/>
      <c r="N159" s="3"/>
      <c r="O159" s="3"/>
      <c r="P159" s="3"/>
      <c r="Q159" s="3"/>
    </row>
    <row r="160" spans="1:17" ht="15">
      <c r="A160" s="44"/>
      <c r="B160" s="39"/>
      <c r="C160" s="39"/>
      <c r="D160" s="39"/>
      <c r="E160" s="39"/>
      <c r="F160" s="39"/>
      <c r="G160" s="39"/>
      <c r="H160" s="75"/>
      <c r="I160" s="75"/>
      <c r="J160" s="75"/>
      <c r="K160" s="75"/>
      <c r="L160" s="39"/>
      <c r="M160" s="45"/>
      <c r="N160" s="3"/>
      <c r="O160" s="3"/>
      <c r="P160" s="3"/>
      <c r="Q160" s="3"/>
    </row>
    <row r="161" spans="1:17" ht="15">
      <c r="A161" s="44"/>
      <c r="B161" s="39"/>
      <c r="C161" s="39"/>
      <c r="D161" s="39"/>
      <c r="E161" s="39"/>
      <c r="F161" s="39"/>
      <c r="G161" s="39"/>
      <c r="H161" s="75"/>
      <c r="I161" s="75"/>
      <c r="J161" s="75"/>
      <c r="K161" s="75"/>
      <c r="L161" s="39"/>
      <c r="M161" s="45"/>
      <c r="N161" s="3"/>
      <c r="O161" s="3"/>
      <c r="P161" s="3"/>
      <c r="Q161" s="3"/>
    </row>
    <row r="162" spans="1:17" ht="15">
      <c r="A162" s="44"/>
      <c r="B162" s="39"/>
      <c r="C162" s="39"/>
      <c r="D162" s="39"/>
      <c r="E162" s="39"/>
      <c r="F162" s="39"/>
      <c r="G162" s="39"/>
      <c r="H162" s="75"/>
      <c r="I162" s="75"/>
      <c r="J162" s="75"/>
      <c r="K162" s="75"/>
      <c r="L162" s="39"/>
      <c r="M162" s="45"/>
      <c r="N162" s="3"/>
      <c r="O162" s="3"/>
      <c r="P162" s="3"/>
      <c r="Q162" s="3"/>
    </row>
    <row r="163" spans="1:17" ht="15">
      <c r="A163" s="44"/>
      <c r="B163" s="39"/>
      <c r="C163" s="39"/>
      <c r="D163" s="39"/>
      <c r="E163" s="39"/>
      <c r="F163" s="39"/>
      <c r="G163" s="39"/>
      <c r="H163" s="75"/>
      <c r="I163" s="75"/>
      <c r="J163" s="75"/>
      <c r="K163" s="75"/>
      <c r="L163" s="39"/>
      <c r="M163" s="45"/>
      <c r="N163" s="3"/>
      <c r="O163" s="3"/>
      <c r="P163" s="3"/>
      <c r="Q163" s="3"/>
    </row>
    <row r="164" spans="1:17" ht="15">
      <c r="A164" s="44"/>
      <c r="B164" s="39"/>
      <c r="C164" s="39"/>
      <c r="D164" s="39"/>
      <c r="E164" s="39"/>
      <c r="F164" s="39"/>
      <c r="G164" s="39"/>
      <c r="H164" s="75"/>
      <c r="I164" s="75"/>
      <c r="J164" s="75"/>
      <c r="K164" s="75"/>
      <c r="L164" s="39"/>
      <c r="M164" s="45"/>
      <c r="N164" s="3"/>
      <c r="O164" s="3"/>
      <c r="P164" s="3"/>
      <c r="Q164" s="3"/>
    </row>
    <row r="165" spans="1:17" ht="15">
      <c r="A165" s="44"/>
      <c r="B165" s="39"/>
      <c r="C165" s="39"/>
      <c r="D165" s="39"/>
      <c r="E165" s="39"/>
      <c r="F165" s="39"/>
      <c r="G165" s="39"/>
      <c r="H165" s="75"/>
      <c r="I165" s="75"/>
      <c r="J165" s="75"/>
      <c r="K165" s="75"/>
      <c r="L165" s="39"/>
      <c r="M165" s="45"/>
      <c r="N165" s="3"/>
      <c r="O165" s="3"/>
      <c r="P165" s="3"/>
      <c r="Q165" s="3"/>
    </row>
    <row r="166" spans="1:17" ht="15">
      <c r="A166" s="44"/>
      <c r="B166" s="39"/>
      <c r="C166" s="39"/>
      <c r="D166" s="39"/>
      <c r="E166" s="39"/>
      <c r="F166" s="39"/>
      <c r="G166" s="39"/>
      <c r="H166" s="75"/>
      <c r="I166" s="75"/>
      <c r="J166" s="75"/>
      <c r="K166" s="75"/>
      <c r="L166" s="39"/>
      <c r="M166" s="45"/>
      <c r="N166" s="3"/>
      <c r="O166" s="3"/>
      <c r="P166" s="3"/>
      <c r="Q166" s="3"/>
    </row>
    <row r="167" spans="1:17" ht="15">
      <c r="A167" s="44"/>
      <c r="B167" s="39"/>
      <c r="C167" s="39"/>
      <c r="D167" s="39"/>
      <c r="E167" s="39"/>
      <c r="F167" s="39"/>
      <c r="G167" s="39"/>
      <c r="H167" s="75"/>
      <c r="I167" s="75"/>
      <c r="J167" s="75"/>
      <c r="K167" s="75"/>
      <c r="L167" s="39"/>
      <c r="M167" s="45"/>
      <c r="N167" s="3"/>
      <c r="O167" s="3"/>
      <c r="P167" s="3"/>
      <c r="Q167" s="3"/>
    </row>
    <row r="168" spans="1:17" ht="15">
      <c r="A168" s="44"/>
      <c r="B168" s="39"/>
      <c r="C168" s="39"/>
      <c r="D168" s="39"/>
      <c r="E168" s="39"/>
      <c r="F168" s="39"/>
      <c r="G168" s="39"/>
      <c r="H168" s="75"/>
      <c r="I168" s="75"/>
      <c r="J168" s="75"/>
      <c r="K168" s="75"/>
      <c r="L168" s="39"/>
      <c r="M168" s="45"/>
      <c r="N168" s="3"/>
      <c r="O168" s="3"/>
      <c r="P168" s="3"/>
      <c r="Q168" s="3"/>
    </row>
    <row r="169" spans="1:17" ht="15">
      <c r="A169" s="44"/>
      <c r="B169" s="39"/>
      <c r="C169" s="39"/>
      <c r="D169" s="39"/>
      <c r="E169" s="39"/>
      <c r="F169" s="39"/>
      <c r="G169" s="39"/>
      <c r="H169" s="75"/>
      <c r="I169" s="75"/>
      <c r="J169" s="75"/>
      <c r="K169" s="75"/>
      <c r="L169" s="39"/>
      <c r="M169" s="45"/>
      <c r="N169" s="3"/>
      <c r="O169" s="3"/>
      <c r="P169" s="3"/>
      <c r="Q169" s="3"/>
    </row>
    <row r="170" spans="1:17" ht="15">
      <c r="A170" s="44"/>
      <c r="B170" s="39"/>
      <c r="C170" s="39"/>
      <c r="D170" s="39"/>
      <c r="E170" s="39"/>
      <c r="F170" s="39"/>
      <c r="G170" s="39"/>
      <c r="H170" s="75"/>
      <c r="I170" s="75"/>
      <c r="J170" s="75"/>
      <c r="K170" s="75"/>
      <c r="L170" s="39"/>
      <c r="M170" s="45"/>
      <c r="N170" s="3"/>
      <c r="O170" s="3"/>
      <c r="P170" s="3"/>
      <c r="Q170" s="3"/>
    </row>
    <row r="171" spans="1:17" ht="15">
      <c r="A171" s="44"/>
      <c r="B171" s="39"/>
      <c r="C171" s="39"/>
      <c r="D171" s="39"/>
      <c r="E171" s="39"/>
      <c r="F171" s="39"/>
      <c r="G171" s="39"/>
      <c r="H171" s="75"/>
      <c r="I171" s="75"/>
      <c r="J171" s="75"/>
      <c r="K171" s="75"/>
      <c r="L171" s="39"/>
      <c r="M171" s="45"/>
      <c r="N171" s="3"/>
      <c r="O171" s="3"/>
      <c r="P171" s="3"/>
      <c r="Q171" s="3"/>
    </row>
    <row r="172" spans="1:17" ht="15">
      <c r="A172" s="44"/>
      <c r="B172" s="39"/>
      <c r="C172" s="39"/>
      <c r="D172" s="39"/>
      <c r="E172" s="39"/>
      <c r="F172" s="39"/>
      <c r="G172" s="39"/>
      <c r="H172" s="75"/>
      <c r="I172" s="75"/>
      <c r="J172" s="75"/>
      <c r="K172" s="75"/>
      <c r="L172" s="39"/>
      <c r="M172" s="45"/>
      <c r="N172" s="3"/>
      <c r="O172" s="3"/>
      <c r="P172" s="3"/>
      <c r="Q172" s="3"/>
    </row>
    <row r="173" spans="1:17" ht="15">
      <c r="A173" s="44"/>
      <c r="B173" s="39"/>
      <c r="C173" s="39"/>
      <c r="D173" s="39"/>
      <c r="E173" s="39"/>
      <c r="F173" s="39"/>
      <c r="G173" s="39"/>
      <c r="H173" s="75"/>
      <c r="I173" s="75"/>
      <c r="J173" s="75"/>
      <c r="K173" s="75"/>
      <c r="L173" s="39"/>
      <c r="M173" s="45"/>
      <c r="N173" s="3"/>
      <c r="O173" s="3"/>
      <c r="P173" s="3"/>
      <c r="Q173" s="3"/>
    </row>
    <row r="174" spans="1:17" ht="15">
      <c r="A174" s="44"/>
      <c r="B174" s="39"/>
      <c r="C174" s="39"/>
      <c r="D174" s="39"/>
      <c r="E174" s="39"/>
      <c r="F174" s="39"/>
      <c r="G174" s="39"/>
      <c r="H174" s="75"/>
      <c r="I174" s="75"/>
      <c r="J174" s="75"/>
      <c r="K174" s="75"/>
      <c r="L174" s="39"/>
      <c r="M174" s="45"/>
      <c r="N174" s="3"/>
      <c r="O174" s="3"/>
      <c r="P174" s="3"/>
      <c r="Q174" s="3"/>
    </row>
    <row r="175" spans="1:17" ht="15">
      <c r="A175" s="44"/>
      <c r="B175" s="39"/>
      <c r="C175" s="39"/>
      <c r="D175" s="39"/>
      <c r="E175" s="39"/>
      <c r="F175" s="39"/>
      <c r="G175" s="39"/>
      <c r="H175" s="75"/>
      <c r="I175" s="75"/>
      <c r="J175" s="75"/>
      <c r="K175" s="75"/>
      <c r="L175" s="39"/>
      <c r="M175" s="45"/>
      <c r="N175" s="3"/>
      <c r="O175" s="3"/>
      <c r="P175" s="3"/>
      <c r="Q175" s="3"/>
    </row>
    <row r="176" spans="1:17" ht="15">
      <c r="A176" s="44"/>
      <c r="B176" s="39"/>
      <c r="C176" s="39"/>
      <c r="D176" s="39"/>
      <c r="E176" s="39"/>
      <c r="F176" s="39"/>
      <c r="G176" s="39"/>
      <c r="H176" s="75"/>
      <c r="I176" s="75"/>
      <c r="J176" s="75"/>
      <c r="K176" s="75"/>
      <c r="L176" s="39"/>
      <c r="M176" s="45"/>
      <c r="N176" s="3"/>
      <c r="O176" s="3"/>
      <c r="P176" s="3"/>
      <c r="Q176" s="3"/>
    </row>
    <row r="177" spans="1:17" ht="15">
      <c r="A177" s="44"/>
      <c r="B177" s="39"/>
      <c r="C177" s="39"/>
      <c r="D177" s="39"/>
      <c r="E177" s="39"/>
      <c r="F177" s="39"/>
      <c r="G177" s="39"/>
      <c r="H177" s="75"/>
      <c r="I177" s="75"/>
      <c r="J177" s="75"/>
      <c r="K177" s="75"/>
      <c r="L177" s="39"/>
      <c r="M177" s="45"/>
      <c r="N177" s="3"/>
      <c r="O177" s="3"/>
      <c r="P177" s="3"/>
      <c r="Q177" s="3"/>
    </row>
    <row r="178" spans="1:17" ht="15">
      <c r="A178" s="44"/>
      <c r="B178" s="39"/>
      <c r="C178" s="39"/>
      <c r="D178" s="39"/>
      <c r="E178" s="39"/>
      <c r="F178" s="39"/>
      <c r="G178" s="39"/>
      <c r="H178" s="75"/>
      <c r="I178" s="75"/>
      <c r="J178" s="75"/>
      <c r="K178" s="75"/>
      <c r="L178" s="39"/>
      <c r="M178" s="45"/>
      <c r="N178" s="3"/>
      <c r="O178" s="3"/>
      <c r="P178" s="3"/>
      <c r="Q178" s="3"/>
    </row>
    <row r="179" spans="1:17" ht="15">
      <c r="A179" s="44"/>
      <c r="B179" s="39"/>
      <c r="C179" s="39"/>
      <c r="D179" s="39"/>
      <c r="E179" s="39"/>
      <c r="F179" s="39"/>
      <c r="G179" s="39"/>
      <c r="H179" s="75"/>
      <c r="I179" s="75"/>
      <c r="J179" s="75"/>
      <c r="K179" s="75"/>
      <c r="L179" s="39"/>
      <c r="M179" s="45"/>
      <c r="N179" s="3"/>
      <c r="O179" s="3"/>
      <c r="P179" s="3"/>
      <c r="Q179" s="3"/>
    </row>
    <row r="180" spans="1:17" ht="15">
      <c r="A180" s="44"/>
      <c r="B180" s="39"/>
      <c r="C180" s="39"/>
      <c r="D180" s="39"/>
      <c r="E180" s="39"/>
      <c r="F180" s="39"/>
      <c r="G180" s="39"/>
      <c r="H180" s="75"/>
      <c r="I180" s="75"/>
      <c r="J180" s="75"/>
      <c r="K180" s="75"/>
      <c r="L180" s="39"/>
      <c r="M180" s="45"/>
      <c r="N180" s="3"/>
      <c r="O180" s="3"/>
      <c r="P180" s="3"/>
      <c r="Q180" s="3"/>
    </row>
    <row r="181" spans="1:17" ht="15">
      <c r="A181" s="44"/>
      <c r="B181" s="39"/>
      <c r="C181" s="39"/>
      <c r="D181" s="39"/>
      <c r="E181" s="39"/>
      <c r="F181" s="39"/>
      <c r="G181" s="39"/>
      <c r="H181" s="75"/>
      <c r="I181" s="75"/>
      <c r="J181" s="75"/>
      <c r="K181" s="75"/>
      <c r="L181" s="39"/>
      <c r="M181" s="45"/>
      <c r="N181" s="3"/>
      <c r="O181" s="3"/>
      <c r="P181" s="3"/>
      <c r="Q181" s="3"/>
    </row>
    <row r="182" spans="1:17" ht="15">
      <c r="A182" s="44"/>
      <c r="B182" s="39"/>
      <c r="C182" s="39"/>
      <c r="D182" s="39"/>
      <c r="E182" s="39"/>
      <c r="F182" s="39"/>
      <c r="G182" s="39"/>
      <c r="H182" s="75"/>
      <c r="I182" s="75"/>
      <c r="J182" s="75"/>
      <c r="K182" s="75"/>
      <c r="L182" s="39"/>
      <c r="M182" s="45"/>
      <c r="N182" s="3"/>
      <c r="O182" s="3"/>
      <c r="P182" s="3"/>
      <c r="Q182" s="3"/>
    </row>
    <row r="183" spans="1:17" ht="15">
      <c r="A183" s="44"/>
      <c r="B183" s="39"/>
      <c r="C183" s="39"/>
      <c r="D183" s="39"/>
      <c r="E183" s="39"/>
      <c r="F183" s="39"/>
      <c r="G183" s="39"/>
      <c r="H183" s="75"/>
      <c r="I183" s="75"/>
      <c r="J183" s="75"/>
      <c r="K183" s="75"/>
      <c r="L183" s="39"/>
      <c r="M183" s="45"/>
      <c r="N183" s="3"/>
      <c r="O183" s="3"/>
      <c r="P183" s="3"/>
      <c r="Q183" s="3"/>
    </row>
    <row r="184" spans="1:17" ht="15">
      <c r="A184" s="44"/>
      <c r="B184" s="39"/>
      <c r="C184" s="39"/>
      <c r="D184" s="39"/>
      <c r="E184" s="39"/>
      <c r="F184" s="39"/>
      <c r="G184" s="39"/>
      <c r="H184" s="75"/>
      <c r="I184" s="75"/>
      <c r="J184" s="75"/>
      <c r="K184" s="75"/>
      <c r="L184" s="39"/>
      <c r="M184" s="45"/>
      <c r="N184" s="3"/>
      <c r="O184" s="3"/>
      <c r="P184" s="3"/>
      <c r="Q184" s="3"/>
    </row>
    <row r="185" spans="1:17" ht="15">
      <c r="A185" s="44"/>
      <c r="B185" s="39"/>
      <c r="C185" s="39"/>
      <c r="D185" s="39"/>
      <c r="E185" s="39"/>
      <c r="F185" s="39"/>
      <c r="G185" s="39"/>
      <c r="H185" s="75"/>
      <c r="I185" s="75"/>
      <c r="J185" s="75"/>
      <c r="K185" s="75"/>
      <c r="L185" s="39"/>
      <c r="M185" s="45"/>
      <c r="N185" s="3"/>
      <c r="O185" s="3"/>
      <c r="P185" s="3"/>
      <c r="Q185" s="3"/>
    </row>
    <row r="186" spans="1:17" ht="15">
      <c r="A186" s="44"/>
      <c r="B186" s="39"/>
      <c r="C186" s="39"/>
      <c r="D186" s="39"/>
      <c r="E186" s="39"/>
      <c r="F186" s="39"/>
      <c r="G186" s="39"/>
      <c r="H186" s="75"/>
      <c r="I186" s="75"/>
      <c r="J186" s="75"/>
      <c r="K186" s="75"/>
      <c r="L186" s="39"/>
      <c r="M186" s="45"/>
      <c r="N186" s="3"/>
      <c r="O186" s="3"/>
      <c r="P186" s="3"/>
      <c r="Q186" s="3"/>
    </row>
    <row r="187" spans="1:17" ht="15">
      <c r="A187" s="44"/>
      <c r="B187" s="39"/>
      <c r="C187" s="39"/>
      <c r="D187" s="39"/>
      <c r="E187" s="39"/>
      <c r="F187" s="39"/>
      <c r="G187" s="39"/>
      <c r="H187" s="75"/>
      <c r="I187" s="75"/>
      <c r="J187" s="75"/>
      <c r="K187" s="75"/>
      <c r="L187" s="39"/>
      <c r="M187" s="45"/>
      <c r="N187" s="3"/>
      <c r="O187" s="3"/>
      <c r="P187" s="3"/>
      <c r="Q187" s="3"/>
    </row>
    <row r="188" spans="1:17" ht="15">
      <c r="A188" s="44"/>
      <c r="B188" s="39"/>
      <c r="C188" s="39"/>
      <c r="D188" s="39"/>
      <c r="E188" s="39"/>
      <c r="F188" s="39"/>
      <c r="G188" s="39"/>
      <c r="H188" s="75"/>
      <c r="I188" s="75"/>
      <c r="J188" s="75"/>
      <c r="K188" s="75"/>
      <c r="L188" s="39"/>
      <c r="M188" s="45"/>
      <c r="N188" s="3"/>
      <c r="O188" s="3"/>
      <c r="P188" s="3"/>
      <c r="Q188" s="3"/>
    </row>
    <row r="189" spans="1:17" ht="15">
      <c r="A189" s="44"/>
      <c r="B189" s="39"/>
      <c r="C189" s="39"/>
      <c r="D189" s="39"/>
      <c r="E189" s="39"/>
      <c r="F189" s="39"/>
      <c r="G189" s="39"/>
      <c r="H189" s="75"/>
      <c r="I189" s="75"/>
      <c r="J189" s="75"/>
      <c r="K189" s="75"/>
      <c r="L189" s="39"/>
      <c r="M189" s="45"/>
      <c r="N189" s="3"/>
      <c r="O189" s="3"/>
      <c r="P189" s="3"/>
      <c r="Q189" s="3"/>
    </row>
    <row r="190" spans="1:17" ht="15">
      <c r="A190" s="44"/>
      <c r="B190" s="39"/>
      <c r="C190" s="39"/>
      <c r="D190" s="39"/>
      <c r="E190" s="39"/>
      <c r="F190" s="39"/>
      <c r="G190" s="39"/>
      <c r="H190" s="75"/>
      <c r="I190" s="75"/>
      <c r="J190" s="75"/>
      <c r="K190" s="75"/>
      <c r="L190" s="39"/>
      <c r="M190" s="45"/>
      <c r="N190" s="3"/>
      <c r="O190" s="3"/>
      <c r="P190" s="3"/>
      <c r="Q190" s="3"/>
    </row>
    <row r="191" spans="1:17" ht="15">
      <c r="A191" s="44"/>
      <c r="B191" s="39"/>
      <c r="C191" s="39"/>
      <c r="D191" s="39"/>
      <c r="E191" s="39"/>
      <c r="F191" s="39"/>
      <c r="G191" s="39"/>
      <c r="H191" s="75"/>
      <c r="I191" s="75"/>
      <c r="J191" s="75"/>
      <c r="K191" s="75"/>
      <c r="L191" s="39"/>
      <c r="M191" s="45"/>
      <c r="N191" s="3"/>
      <c r="O191" s="3"/>
      <c r="P191" s="3"/>
      <c r="Q191" s="3"/>
    </row>
    <row r="192" spans="1:17" ht="15">
      <c r="A192" s="44"/>
      <c r="B192" s="39"/>
      <c r="C192" s="39"/>
      <c r="D192" s="39"/>
      <c r="E192" s="39"/>
      <c r="F192" s="39"/>
      <c r="G192" s="39"/>
      <c r="H192" s="75"/>
      <c r="I192" s="75"/>
      <c r="J192" s="75"/>
      <c r="K192" s="75"/>
      <c r="L192" s="39"/>
      <c r="M192" s="45"/>
      <c r="N192" s="3"/>
      <c r="O192" s="3"/>
      <c r="P192" s="3"/>
      <c r="Q192" s="3"/>
    </row>
    <row r="193" spans="1:17" ht="15">
      <c r="A193" s="44"/>
      <c r="B193" s="39"/>
      <c r="C193" s="39"/>
      <c r="D193" s="39"/>
      <c r="E193" s="39"/>
      <c r="F193" s="39"/>
      <c r="G193" s="39"/>
      <c r="H193" s="75"/>
      <c r="I193" s="75"/>
      <c r="J193" s="75"/>
      <c r="K193" s="75"/>
      <c r="L193" s="39"/>
      <c r="M193" s="45"/>
      <c r="N193" s="3"/>
      <c r="O193" s="3"/>
      <c r="P193" s="3"/>
      <c r="Q193" s="3"/>
    </row>
    <row r="194" spans="1:17" ht="15">
      <c r="A194" s="44"/>
      <c r="B194" s="39"/>
      <c r="C194" s="39"/>
      <c r="D194" s="39"/>
      <c r="E194" s="39"/>
      <c r="F194" s="39"/>
      <c r="G194" s="39"/>
      <c r="H194" s="75"/>
      <c r="I194" s="75"/>
      <c r="J194" s="75"/>
      <c r="K194" s="75"/>
      <c r="L194" s="39"/>
      <c r="M194" s="45"/>
      <c r="N194" s="3"/>
      <c r="O194" s="3"/>
      <c r="P194" s="3"/>
      <c r="Q194" s="3"/>
    </row>
    <row r="195" spans="1:17" ht="15">
      <c r="A195" s="44"/>
      <c r="B195" s="39"/>
      <c r="C195" s="39"/>
      <c r="D195" s="39"/>
      <c r="E195" s="39"/>
      <c r="F195" s="39"/>
      <c r="G195" s="39"/>
      <c r="H195" s="75"/>
      <c r="I195" s="75"/>
      <c r="J195" s="75"/>
      <c r="K195" s="75"/>
      <c r="L195" s="39"/>
      <c r="M195" s="45"/>
      <c r="N195" s="3"/>
      <c r="O195" s="3"/>
      <c r="P195" s="3"/>
      <c r="Q195" s="3"/>
    </row>
    <row r="196" spans="1:17" ht="15">
      <c r="A196" s="44"/>
      <c r="B196" s="39"/>
      <c r="C196" s="39"/>
      <c r="D196" s="39"/>
      <c r="E196" s="39"/>
      <c r="F196" s="39"/>
      <c r="G196" s="39"/>
      <c r="H196" s="75"/>
      <c r="I196" s="75"/>
      <c r="J196" s="75"/>
      <c r="K196" s="75"/>
      <c r="L196" s="39"/>
      <c r="M196" s="45"/>
      <c r="N196" s="3"/>
      <c r="O196" s="3"/>
      <c r="P196" s="3"/>
      <c r="Q196" s="3"/>
    </row>
    <row r="197" spans="1:17" ht="15">
      <c r="A197" s="44"/>
      <c r="B197" s="39"/>
      <c r="C197" s="39"/>
      <c r="D197" s="39"/>
      <c r="E197" s="39"/>
      <c r="F197" s="39"/>
      <c r="G197" s="39"/>
      <c r="H197" s="75"/>
      <c r="I197" s="75"/>
      <c r="J197" s="75"/>
      <c r="K197" s="75"/>
      <c r="L197" s="39"/>
      <c r="M197" s="45"/>
      <c r="N197" s="3"/>
      <c r="O197" s="3"/>
      <c r="P197" s="3"/>
      <c r="Q197" s="3"/>
    </row>
    <row r="198" spans="1:17" ht="15">
      <c r="A198" s="44"/>
      <c r="B198" s="39"/>
      <c r="C198" s="39"/>
      <c r="D198" s="39"/>
      <c r="E198" s="39"/>
      <c r="F198" s="39"/>
      <c r="G198" s="39"/>
      <c r="H198" s="75"/>
      <c r="I198" s="75"/>
      <c r="J198" s="75"/>
      <c r="K198" s="75"/>
      <c r="L198" s="39"/>
      <c r="M198" s="45"/>
      <c r="N198" s="3"/>
      <c r="O198" s="3"/>
      <c r="P198" s="3"/>
      <c r="Q198" s="3"/>
    </row>
    <row r="199" spans="1:17" ht="15">
      <c r="A199" s="44"/>
      <c r="B199" s="39"/>
      <c r="C199" s="39"/>
      <c r="D199" s="39"/>
      <c r="E199" s="39"/>
      <c r="F199" s="39"/>
      <c r="G199" s="39"/>
      <c r="H199" s="75"/>
      <c r="I199" s="75"/>
      <c r="J199" s="75"/>
      <c r="K199" s="75"/>
      <c r="L199" s="39"/>
      <c r="M199" s="45"/>
      <c r="N199" s="3"/>
      <c r="O199" s="3"/>
      <c r="P199" s="3"/>
      <c r="Q199" s="3"/>
    </row>
    <row r="200" spans="1:17" ht="15">
      <c r="A200" s="44"/>
      <c r="B200" s="39"/>
      <c r="C200" s="39"/>
      <c r="D200" s="39"/>
      <c r="E200" s="39"/>
      <c r="F200" s="39"/>
      <c r="G200" s="39"/>
      <c r="H200" s="75"/>
      <c r="I200" s="75"/>
      <c r="J200" s="75"/>
      <c r="K200" s="75"/>
      <c r="L200" s="39"/>
      <c r="M200" s="45"/>
      <c r="N200" s="3"/>
      <c r="O200" s="3"/>
      <c r="P200" s="3"/>
      <c r="Q200" s="3"/>
    </row>
    <row r="201" spans="1:17" ht="15">
      <c r="A201" s="44"/>
      <c r="B201" s="39"/>
      <c r="C201" s="39"/>
      <c r="D201" s="39"/>
      <c r="E201" s="39"/>
      <c r="F201" s="39"/>
      <c r="G201" s="39"/>
      <c r="H201" s="75"/>
      <c r="I201" s="75"/>
      <c r="J201" s="75"/>
      <c r="K201" s="75"/>
      <c r="L201" s="39"/>
      <c r="M201" s="45"/>
      <c r="N201" s="3"/>
      <c r="O201" s="3"/>
      <c r="P201" s="3"/>
      <c r="Q201" s="3"/>
    </row>
    <row r="202" spans="1:17" ht="15">
      <c r="A202" s="44"/>
      <c r="B202" s="39"/>
      <c r="C202" s="39"/>
      <c r="D202" s="39"/>
      <c r="E202" s="39"/>
      <c r="F202" s="39"/>
      <c r="G202" s="39"/>
      <c r="H202" s="75"/>
      <c r="I202" s="75"/>
      <c r="J202" s="75"/>
      <c r="K202" s="75"/>
      <c r="L202" s="39"/>
      <c r="M202" s="45"/>
      <c r="N202" s="3"/>
      <c r="O202" s="3"/>
      <c r="P202" s="3"/>
      <c r="Q202" s="3"/>
    </row>
    <row r="203" spans="1:17" ht="15">
      <c r="A203" s="44"/>
      <c r="B203" s="39"/>
      <c r="C203" s="39"/>
      <c r="D203" s="39"/>
      <c r="E203" s="39"/>
      <c r="F203" s="39"/>
      <c r="G203" s="39"/>
      <c r="H203" s="75"/>
      <c r="I203" s="75"/>
      <c r="J203" s="75"/>
      <c r="K203" s="75"/>
      <c r="L203" s="39"/>
      <c r="M203" s="45"/>
      <c r="N203" s="3"/>
      <c r="O203" s="3"/>
      <c r="P203" s="3"/>
      <c r="Q203" s="3"/>
    </row>
    <row r="204" spans="1:17" ht="15">
      <c r="A204" s="44"/>
      <c r="B204" s="39"/>
      <c r="C204" s="39"/>
      <c r="D204" s="39"/>
      <c r="E204" s="39"/>
      <c r="F204" s="39"/>
      <c r="G204" s="39"/>
      <c r="H204" s="75"/>
      <c r="I204" s="75"/>
      <c r="J204" s="75"/>
      <c r="K204" s="75"/>
      <c r="L204" s="39"/>
      <c r="M204" s="45"/>
      <c r="N204" s="3"/>
      <c r="O204" s="3"/>
      <c r="P204" s="3"/>
      <c r="Q204" s="3"/>
    </row>
    <row r="205" spans="1:17" ht="15">
      <c r="A205" s="44"/>
      <c r="B205" s="39"/>
      <c r="C205" s="39"/>
      <c r="D205" s="39"/>
      <c r="E205" s="39"/>
      <c r="F205" s="39"/>
      <c r="G205" s="39"/>
      <c r="H205" s="75"/>
      <c r="I205" s="75"/>
      <c r="J205" s="75"/>
      <c r="K205" s="75"/>
      <c r="L205" s="39"/>
      <c r="M205" s="45"/>
      <c r="N205" s="3"/>
      <c r="O205" s="3"/>
      <c r="P205" s="3"/>
      <c r="Q205" s="3"/>
    </row>
    <row r="206" spans="1:17" ht="15">
      <c r="A206" s="53"/>
      <c r="B206" s="54"/>
      <c r="C206" s="54"/>
      <c r="D206" s="54"/>
      <c r="E206" s="54"/>
      <c r="F206" s="54"/>
      <c r="G206" s="54"/>
      <c r="H206" s="76"/>
      <c r="I206" s="76"/>
      <c r="J206" s="76"/>
      <c r="K206" s="76"/>
      <c r="L206" s="54"/>
      <c r="M206" s="55"/>
      <c r="N206" s="3"/>
      <c r="O206" s="3"/>
      <c r="P206" s="3"/>
      <c r="Q206" s="3"/>
    </row>
    <row r="207" spans="1:17" ht="15">
      <c r="A207" s="5"/>
      <c r="B207" s="5"/>
      <c r="C207" s="5"/>
      <c r="D207" s="5"/>
      <c r="E207" s="5"/>
      <c r="F207" s="5"/>
      <c r="G207" s="5"/>
      <c r="H207" s="77"/>
      <c r="I207" s="77"/>
      <c r="J207" s="77"/>
      <c r="K207" s="77"/>
      <c r="L207" s="5"/>
      <c r="M207" s="5"/>
      <c r="N207" s="3"/>
      <c r="O207" s="3"/>
      <c r="P207" s="3"/>
      <c r="Q207" s="3"/>
    </row>
    <row r="208" spans="1:17" ht="15">
      <c r="A208" s="5"/>
      <c r="B208" s="5"/>
      <c r="C208" s="5"/>
      <c r="D208" s="5"/>
      <c r="E208" s="5"/>
      <c r="F208" s="5"/>
      <c r="G208" s="5"/>
      <c r="H208" s="77"/>
      <c r="I208" s="77"/>
      <c r="J208" s="77"/>
      <c r="K208" s="77"/>
      <c r="L208" s="5"/>
      <c r="M208" s="5"/>
      <c r="N208" s="3"/>
      <c r="O208" s="3"/>
      <c r="P208" s="3"/>
      <c r="Q208" s="3"/>
    </row>
    <row r="209" spans="1:17" ht="15">
      <c r="A209" s="5"/>
      <c r="B209" s="5"/>
      <c r="C209" s="5"/>
      <c r="D209" s="5"/>
      <c r="E209" s="5"/>
      <c r="F209" s="5"/>
      <c r="G209" s="5"/>
      <c r="H209" s="77"/>
      <c r="I209" s="77"/>
      <c r="J209" s="77"/>
      <c r="K209" s="77"/>
      <c r="L209" s="5"/>
      <c r="M209" s="5"/>
      <c r="N209" s="3"/>
      <c r="O209" s="3"/>
      <c r="P209" s="3"/>
      <c r="Q209" s="3"/>
    </row>
    <row r="210" spans="1:17" ht="15">
      <c r="A210" s="5"/>
      <c r="B210" s="5"/>
      <c r="C210" s="5"/>
      <c r="D210" s="5"/>
      <c r="E210" s="5"/>
      <c r="F210" s="5"/>
      <c r="G210" s="5"/>
      <c r="H210" s="77"/>
      <c r="I210" s="77"/>
      <c r="J210" s="77"/>
      <c r="K210" s="77"/>
      <c r="L210" s="5"/>
      <c r="M210" s="5"/>
      <c r="N210" s="3"/>
      <c r="O210" s="3"/>
      <c r="P210" s="3"/>
      <c r="Q210" s="3"/>
    </row>
    <row r="211" spans="1:17" ht="15">
      <c r="A211" s="5"/>
      <c r="B211" s="5"/>
      <c r="C211" s="5"/>
      <c r="D211" s="5"/>
      <c r="E211" s="5"/>
      <c r="F211" s="5"/>
      <c r="G211" s="5"/>
      <c r="H211" s="77"/>
      <c r="I211" s="77"/>
      <c r="J211" s="77"/>
      <c r="K211" s="77"/>
      <c r="L211" s="5"/>
      <c r="M211" s="5"/>
      <c r="N211" s="3"/>
      <c r="O211" s="3"/>
      <c r="P211" s="3"/>
      <c r="Q211" s="3"/>
    </row>
    <row r="212" spans="1:17" ht="15">
      <c r="A212" s="5"/>
      <c r="B212" s="5"/>
      <c r="C212" s="5"/>
      <c r="D212" s="5"/>
      <c r="E212" s="5"/>
      <c r="F212" s="5"/>
      <c r="G212" s="5"/>
      <c r="H212" s="77"/>
      <c r="I212" s="77"/>
      <c r="J212" s="77"/>
      <c r="K212" s="77"/>
      <c r="L212" s="5"/>
      <c r="M212" s="5"/>
      <c r="N212" s="3"/>
      <c r="O212" s="3"/>
      <c r="P212" s="3"/>
      <c r="Q212" s="3"/>
    </row>
    <row r="213" spans="1:17" ht="15">
      <c r="A213" s="5"/>
      <c r="B213" s="5"/>
      <c r="C213" s="5"/>
      <c r="D213" s="5"/>
      <c r="E213" s="5"/>
      <c r="F213" s="5"/>
      <c r="G213" s="5"/>
      <c r="H213" s="77"/>
      <c r="I213" s="77"/>
      <c r="J213" s="77"/>
      <c r="K213" s="77"/>
      <c r="L213" s="5"/>
      <c r="M213" s="5"/>
      <c r="N213" s="3"/>
      <c r="O213" s="3"/>
      <c r="P213" s="3"/>
      <c r="Q213" s="3"/>
    </row>
    <row r="214" spans="1:17" ht="15">
      <c r="A214" s="5"/>
      <c r="B214" s="5"/>
      <c r="C214" s="5"/>
      <c r="D214" s="5"/>
      <c r="E214" s="5"/>
      <c r="F214" s="5"/>
      <c r="G214" s="5"/>
      <c r="H214" s="77"/>
      <c r="I214" s="77"/>
      <c r="J214" s="77"/>
      <c r="K214" s="77"/>
      <c r="L214" s="5"/>
      <c r="M214" s="5"/>
      <c r="N214" s="3"/>
      <c r="O214" s="3"/>
      <c r="P214" s="3"/>
      <c r="Q214" s="3"/>
    </row>
    <row r="215" spans="1:17" ht="15">
      <c r="A215" s="5"/>
      <c r="B215" s="5"/>
      <c r="C215" s="5"/>
      <c r="D215" s="5"/>
      <c r="E215" s="5"/>
      <c r="F215" s="5"/>
      <c r="G215" s="5"/>
      <c r="H215" s="77"/>
      <c r="I215" s="77"/>
      <c r="J215" s="77"/>
      <c r="K215" s="77"/>
      <c r="L215" s="5"/>
      <c r="M215" s="5"/>
      <c r="N215" s="3"/>
      <c r="O215" s="3"/>
      <c r="P215" s="3"/>
      <c r="Q215" s="3"/>
    </row>
    <row r="216" spans="1:17" ht="15">
      <c r="A216" s="5"/>
      <c r="B216" s="5"/>
      <c r="C216" s="5"/>
      <c r="D216" s="5"/>
      <c r="E216" s="5"/>
      <c r="F216" s="5"/>
      <c r="G216" s="5"/>
      <c r="H216" s="77"/>
      <c r="I216" s="77"/>
      <c r="J216" s="77"/>
      <c r="K216" s="77"/>
      <c r="L216" s="5"/>
      <c r="M216" s="5"/>
      <c r="N216" s="3"/>
      <c r="O216" s="3"/>
      <c r="P216" s="3"/>
      <c r="Q216" s="3"/>
    </row>
    <row r="217" spans="1:17" ht="15">
      <c r="A217" s="5"/>
      <c r="B217" s="5"/>
      <c r="C217" s="5"/>
      <c r="D217" s="5"/>
      <c r="E217" s="5"/>
      <c r="F217" s="5"/>
      <c r="G217" s="5"/>
      <c r="H217" s="77"/>
      <c r="I217" s="77"/>
      <c r="J217" s="77"/>
      <c r="K217" s="77"/>
      <c r="L217" s="5"/>
      <c r="M217" s="5"/>
      <c r="N217" s="3"/>
      <c r="O217" s="3"/>
      <c r="P217" s="3"/>
      <c r="Q217" s="3"/>
    </row>
    <row r="218" spans="1:17" ht="15">
      <c r="A218" s="5"/>
      <c r="B218" s="5"/>
      <c r="C218" s="5"/>
      <c r="D218" s="5"/>
      <c r="E218" s="5"/>
      <c r="F218" s="5"/>
      <c r="G218" s="5"/>
      <c r="H218" s="77"/>
      <c r="I218" s="77"/>
      <c r="J218" s="77"/>
      <c r="K218" s="77"/>
      <c r="L218" s="5"/>
      <c r="M218" s="5"/>
      <c r="N218" s="3"/>
      <c r="O218" s="3"/>
      <c r="P218" s="3"/>
      <c r="Q218" s="3"/>
    </row>
    <row r="219" spans="1:17" ht="15">
      <c r="A219" s="5"/>
      <c r="B219" s="5"/>
      <c r="C219" s="5"/>
      <c r="D219" s="5"/>
      <c r="E219" s="5"/>
      <c r="F219" s="5"/>
      <c r="G219" s="5"/>
      <c r="H219" s="77"/>
      <c r="I219" s="77"/>
      <c r="J219" s="77"/>
      <c r="K219" s="77"/>
      <c r="L219" s="5"/>
      <c r="M219" s="5"/>
      <c r="N219" s="3"/>
      <c r="O219" s="3"/>
      <c r="P219" s="3"/>
      <c r="Q219" s="3"/>
    </row>
    <row r="220" spans="1:17" ht="15">
      <c r="A220" s="5"/>
      <c r="B220" s="5"/>
      <c r="C220" s="5"/>
      <c r="D220" s="5"/>
      <c r="E220" s="5"/>
      <c r="F220" s="5"/>
      <c r="G220" s="5"/>
      <c r="H220" s="77"/>
      <c r="I220" s="77"/>
      <c r="J220" s="77"/>
      <c r="K220" s="77"/>
      <c r="L220" s="5"/>
      <c r="M220" s="5"/>
      <c r="N220" s="3"/>
      <c r="O220" s="3"/>
      <c r="P220" s="3"/>
      <c r="Q220" s="3"/>
    </row>
    <row r="221" spans="1:17" ht="15">
      <c r="A221" s="5"/>
      <c r="B221" s="5"/>
      <c r="C221" s="5"/>
      <c r="D221" s="5"/>
      <c r="E221" s="5"/>
      <c r="F221" s="5"/>
      <c r="G221" s="5"/>
      <c r="H221" s="77"/>
      <c r="I221" s="77"/>
      <c r="J221" s="77"/>
      <c r="K221" s="77"/>
      <c r="L221" s="5"/>
      <c r="M221" s="5"/>
      <c r="N221" s="3"/>
      <c r="O221" s="3"/>
      <c r="P221" s="3"/>
      <c r="Q221" s="3"/>
    </row>
    <row r="222" spans="1:17" ht="15">
      <c r="A222" s="5"/>
      <c r="B222" s="5"/>
      <c r="C222" s="5"/>
      <c r="D222" s="5"/>
      <c r="E222" s="5"/>
      <c r="F222" s="5"/>
      <c r="G222" s="5"/>
      <c r="H222" s="77"/>
      <c r="I222" s="77"/>
      <c r="J222" s="77"/>
      <c r="K222" s="77"/>
      <c r="L222" s="5"/>
      <c r="M222" s="5"/>
      <c r="N222" s="3"/>
      <c r="O222" s="3"/>
      <c r="P222" s="3"/>
      <c r="Q222" s="3"/>
    </row>
    <row r="223" spans="1:17" ht="15">
      <c r="A223" s="5"/>
      <c r="B223" s="5"/>
      <c r="C223" s="5"/>
      <c r="D223" s="5"/>
      <c r="E223" s="5"/>
      <c r="F223" s="5"/>
      <c r="G223" s="5"/>
      <c r="H223" s="77"/>
      <c r="I223" s="77"/>
      <c r="J223" s="77"/>
      <c r="K223" s="77"/>
      <c r="L223" s="5"/>
      <c r="M223" s="5"/>
      <c r="N223" s="3"/>
      <c r="O223" s="3"/>
      <c r="P223" s="3"/>
      <c r="Q223" s="3"/>
    </row>
    <row r="224" spans="1:17" ht="15">
      <c r="A224" s="5"/>
      <c r="B224" s="5"/>
      <c r="C224" s="5"/>
      <c r="D224" s="5"/>
      <c r="E224" s="5"/>
      <c r="F224" s="5"/>
      <c r="G224" s="5"/>
      <c r="H224" s="77"/>
      <c r="I224" s="77"/>
      <c r="J224" s="77"/>
      <c r="K224" s="77"/>
      <c r="L224" s="5"/>
      <c r="M224" s="5"/>
      <c r="N224" s="3"/>
      <c r="O224" s="3"/>
      <c r="P224" s="3"/>
      <c r="Q224" s="3"/>
    </row>
    <row r="225" spans="1:17" ht="15">
      <c r="A225" s="5"/>
      <c r="B225" s="5"/>
      <c r="C225" s="5"/>
      <c r="D225" s="5"/>
      <c r="E225" s="5"/>
      <c r="F225" s="5"/>
      <c r="G225" s="5"/>
      <c r="H225" s="77"/>
      <c r="I225" s="77"/>
      <c r="J225" s="77"/>
      <c r="K225" s="77"/>
      <c r="L225" s="5"/>
      <c r="M225" s="5"/>
      <c r="N225" s="3"/>
      <c r="O225" s="3"/>
      <c r="P225" s="3"/>
      <c r="Q225" s="3"/>
    </row>
    <row r="226" spans="1:17" ht="15">
      <c r="A226" s="5"/>
      <c r="B226" s="5"/>
      <c r="C226" s="5"/>
      <c r="D226" s="5"/>
      <c r="E226" s="5"/>
      <c r="F226" s="5"/>
      <c r="G226" s="5"/>
      <c r="H226" s="77"/>
      <c r="I226" s="77"/>
      <c r="J226" s="77"/>
      <c r="K226" s="77"/>
      <c r="L226" s="5"/>
      <c r="M226" s="5"/>
      <c r="N226" s="3"/>
      <c r="O226" s="3"/>
      <c r="P226" s="3"/>
      <c r="Q226" s="3"/>
    </row>
    <row r="227" spans="1:17" ht="15">
      <c r="A227" s="5"/>
      <c r="B227" s="5"/>
      <c r="C227" s="5"/>
      <c r="D227" s="5"/>
      <c r="E227" s="5"/>
      <c r="F227" s="5"/>
      <c r="G227" s="5"/>
      <c r="H227" s="77"/>
      <c r="I227" s="77"/>
      <c r="J227" s="77"/>
      <c r="K227" s="77"/>
      <c r="L227" s="5"/>
      <c r="M227" s="5"/>
      <c r="N227" s="3"/>
      <c r="O227" s="3"/>
      <c r="P227" s="3"/>
      <c r="Q227" s="3"/>
    </row>
    <row r="228" spans="1:17" ht="15">
      <c r="A228" s="5"/>
      <c r="B228" s="5"/>
      <c r="C228" s="5"/>
      <c r="D228" s="5"/>
      <c r="E228" s="5"/>
      <c r="F228" s="5"/>
      <c r="G228" s="5"/>
      <c r="H228" s="77"/>
      <c r="I228" s="77"/>
      <c r="J228" s="77"/>
      <c r="K228" s="77"/>
      <c r="L228" s="5"/>
      <c r="M228" s="5"/>
      <c r="N228" s="3"/>
      <c r="O228" s="3"/>
      <c r="P228" s="3"/>
      <c r="Q228" s="3"/>
    </row>
    <row r="229" spans="1:17" ht="15">
      <c r="A229" s="5"/>
      <c r="B229" s="5"/>
      <c r="C229" s="5"/>
      <c r="D229" s="5"/>
      <c r="E229" s="5"/>
      <c r="F229" s="5"/>
      <c r="G229" s="5"/>
      <c r="H229" s="77"/>
      <c r="I229" s="77"/>
      <c r="J229" s="77"/>
      <c r="K229" s="77"/>
      <c r="L229" s="5"/>
      <c r="M229" s="5"/>
      <c r="N229" s="3"/>
      <c r="O229" s="3"/>
      <c r="P229" s="3"/>
      <c r="Q229" s="3"/>
    </row>
    <row r="230" spans="1:17" ht="15">
      <c r="A230" s="5"/>
      <c r="B230" s="5"/>
      <c r="C230" s="5"/>
      <c r="D230" s="5"/>
      <c r="E230" s="5"/>
      <c r="F230" s="5"/>
      <c r="G230" s="5"/>
      <c r="H230" s="77"/>
      <c r="I230" s="77"/>
      <c r="J230" s="77"/>
      <c r="K230" s="77"/>
      <c r="L230" s="5"/>
      <c r="M230" s="5"/>
      <c r="N230" s="3"/>
      <c r="O230" s="3"/>
      <c r="P230" s="3"/>
      <c r="Q230" s="3"/>
    </row>
    <row r="231" spans="1:17" ht="15">
      <c r="A231" s="5"/>
      <c r="B231" s="5"/>
      <c r="C231" s="5"/>
      <c r="D231" s="5"/>
      <c r="E231" s="5"/>
      <c r="F231" s="5"/>
      <c r="G231" s="5"/>
      <c r="H231" s="77"/>
      <c r="I231" s="77"/>
      <c r="J231" s="77"/>
      <c r="K231" s="77"/>
      <c r="L231" s="5"/>
      <c r="M231" s="5"/>
      <c r="N231" s="3"/>
      <c r="O231" s="3"/>
      <c r="P231" s="3"/>
      <c r="Q231" s="3"/>
    </row>
    <row r="232" spans="1:17" ht="15">
      <c r="A232" s="5"/>
      <c r="B232" s="5"/>
      <c r="C232" s="5"/>
      <c r="D232" s="5"/>
      <c r="E232" s="5"/>
      <c r="F232" s="5"/>
      <c r="G232" s="5"/>
      <c r="H232" s="77"/>
      <c r="I232" s="77"/>
      <c r="J232" s="77"/>
      <c r="K232" s="77"/>
      <c r="L232" s="5"/>
      <c r="M232" s="5"/>
      <c r="N232" s="3"/>
      <c r="O232" s="3"/>
      <c r="P232" s="3"/>
      <c r="Q232" s="3"/>
    </row>
    <row r="233" spans="1:17" ht="15">
      <c r="A233" s="5"/>
      <c r="B233" s="5"/>
      <c r="C233" s="5"/>
      <c r="D233" s="5"/>
      <c r="E233" s="5"/>
      <c r="F233" s="5"/>
      <c r="G233" s="5"/>
      <c r="H233" s="77"/>
      <c r="I233" s="77"/>
      <c r="J233" s="77"/>
      <c r="K233" s="77"/>
      <c r="L233" s="5"/>
      <c r="M233" s="5"/>
      <c r="N233" s="3"/>
      <c r="O233" s="3"/>
      <c r="P233" s="3"/>
      <c r="Q233" s="3"/>
    </row>
    <row r="234" spans="1:17" ht="15">
      <c r="A234" s="5"/>
      <c r="B234" s="5"/>
      <c r="C234" s="5"/>
      <c r="D234" s="5"/>
      <c r="E234" s="5"/>
      <c r="F234" s="5"/>
      <c r="G234" s="5"/>
      <c r="H234" s="77"/>
      <c r="I234" s="77"/>
      <c r="J234" s="77"/>
      <c r="K234" s="77"/>
      <c r="L234" s="5"/>
      <c r="M234" s="5"/>
      <c r="N234" s="3"/>
      <c r="O234" s="3"/>
      <c r="P234" s="3"/>
      <c r="Q234" s="3"/>
    </row>
    <row r="235" spans="1:17" ht="15">
      <c r="A235" s="5"/>
      <c r="B235" s="5"/>
      <c r="C235" s="5"/>
      <c r="D235" s="5"/>
      <c r="E235" s="5"/>
      <c r="F235" s="5"/>
      <c r="G235" s="5"/>
      <c r="H235" s="77"/>
      <c r="I235" s="77"/>
      <c r="J235" s="77"/>
      <c r="K235" s="77"/>
      <c r="L235" s="5"/>
      <c r="M235" s="5"/>
      <c r="N235" s="3"/>
      <c r="O235" s="3"/>
      <c r="P235" s="3"/>
      <c r="Q235" s="3"/>
    </row>
    <row r="236" spans="1:17" ht="15">
      <c r="A236" s="5"/>
      <c r="B236" s="5"/>
      <c r="C236" s="5"/>
      <c r="D236" s="5"/>
      <c r="E236" s="5"/>
      <c r="F236" s="5"/>
      <c r="G236" s="5"/>
      <c r="H236" s="77"/>
      <c r="I236" s="77"/>
      <c r="J236" s="77"/>
      <c r="K236" s="77"/>
      <c r="L236" s="5"/>
      <c r="M236" s="5"/>
      <c r="N236" s="3"/>
      <c r="O236" s="3"/>
      <c r="P236" s="3"/>
      <c r="Q236" s="3"/>
    </row>
    <row r="237" spans="1:17" ht="15">
      <c r="A237" s="5"/>
      <c r="B237" s="5"/>
      <c r="C237" s="5"/>
      <c r="D237" s="5"/>
      <c r="E237" s="5"/>
      <c r="F237" s="5"/>
      <c r="G237" s="5"/>
      <c r="H237" s="77"/>
      <c r="I237" s="77"/>
      <c r="J237" s="77"/>
      <c r="K237" s="77"/>
      <c r="L237" s="5"/>
      <c r="M237" s="5"/>
      <c r="N237" s="3"/>
      <c r="O237" s="3"/>
      <c r="P237" s="3"/>
      <c r="Q237" s="3"/>
    </row>
    <row r="238" spans="1:17" ht="15">
      <c r="A238" s="5"/>
      <c r="B238" s="5"/>
      <c r="C238" s="5"/>
      <c r="D238" s="5"/>
      <c r="E238" s="5"/>
      <c r="F238" s="5"/>
      <c r="G238" s="5"/>
      <c r="H238" s="77"/>
      <c r="I238" s="77"/>
      <c r="J238" s="77"/>
      <c r="K238" s="77"/>
      <c r="L238" s="5"/>
      <c r="M238" s="5"/>
      <c r="N238" s="3"/>
      <c r="O238" s="3"/>
      <c r="P238" s="3"/>
      <c r="Q238" s="3"/>
    </row>
    <row r="239" spans="1:17" ht="15">
      <c r="A239" s="5"/>
      <c r="B239" s="5"/>
      <c r="C239" s="5"/>
      <c r="D239" s="5"/>
      <c r="E239" s="5"/>
      <c r="F239" s="5"/>
      <c r="G239" s="5"/>
      <c r="H239" s="77"/>
      <c r="I239" s="77"/>
      <c r="J239" s="77"/>
      <c r="K239" s="77"/>
      <c r="L239" s="5"/>
      <c r="M239" s="5"/>
      <c r="N239" s="3"/>
      <c r="O239" s="3"/>
      <c r="P239" s="3"/>
      <c r="Q239" s="3"/>
    </row>
    <row r="240" spans="1:17" ht="15">
      <c r="A240" s="5"/>
      <c r="B240" s="5"/>
      <c r="C240" s="5"/>
      <c r="D240" s="5"/>
      <c r="E240" s="5"/>
      <c r="F240" s="5"/>
      <c r="G240" s="5"/>
      <c r="H240" s="77"/>
      <c r="I240" s="77"/>
      <c r="J240" s="77"/>
      <c r="K240" s="77"/>
      <c r="L240" s="5"/>
      <c r="M240" s="5"/>
      <c r="N240" s="3"/>
      <c r="O240" s="3"/>
      <c r="P240" s="3"/>
      <c r="Q240" s="3"/>
    </row>
    <row r="241" spans="1:17" ht="15">
      <c r="A241" s="5"/>
      <c r="B241" s="5"/>
      <c r="C241" s="5"/>
      <c r="D241" s="5"/>
      <c r="E241" s="5"/>
      <c r="F241" s="5"/>
      <c r="G241" s="5"/>
      <c r="H241" s="77"/>
      <c r="I241" s="77"/>
      <c r="J241" s="77"/>
      <c r="K241" s="77"/>
      <c r="L241" s="5"/>
      <c r="M241" s="5"/>
      <c r="N241" s="3"/>
      <c r="O241" s="3"/>
      <c r="P241" s="3"/>
      <c r="Q241" s="3"/>
    </row>
    <row r="242" spans="1:17" ht="15">
      <c r="A242" s="5"/>
      <c r="B242" s="5"/>
      <c r="C242" s="5"/>
      <c r="D242" s="5"/>
      <c r="E242" s="5"/>
      <c r="F242" s="5"/>
      <c r="G242" s="5"/>
      <c r="H242" s="77"/>
      <c r="I242" s="77"/>
      <c r="J242" s="77"/>
      <c r="K242" s="77"/>
      <c r="L242" s="5"/>
      <c r="M242" s="5"/>
      <c r="N242" s="3"/>
      <c r="O242" s="3"/>
      <c r="P242" s="3"/>
      <c r="Q242" s="3"/>
    </row>
    <row r="243" spans="1:17" ht="15">
      <c r="A243" s="5"/>
      <c r="B243" s="5"/>
      <c r="C243" s="5"/>
      <c r="D243" s="5"/>
      <c r="E243" s="5"/>
      <c r="F243" s="5"/>
      <c r="G243" s="5"/>
      <c r="H243" s="77"/>
      <c r="I243" s="77"/>
      <c r="J243" s="77"/>
      <c r="K243" s="77"/>
      <c r="L243" s="5"/>
      <c r="M243" s="5"/>
      <c r="N243" s="3"/>
      <c r="O243" s="3"/>
      <c r="P243" s="3"/>
      <c r="Q243" s="3"/>
    </row>
    <row r="244" spans="1:17" ht="15">
      <c r="A244" s="5"/>
      <c r="B244" s="5"/>
      <c r="C244" s="5"/>
      <c r="D244" s="5"/>
      <c r="E244" s="5"/>
      <c r="F244" s="5"/>
      <c r="G244" s="5"/>
      <c r="H244" s="77"/>
      <c r="I244" s="77"/>
      <c r="J244" s="77"/>
      <c r="K244" s="77"/>
      <c r="L244" s="5"/>
      <c r="M244" s="5"/>
      <c r="N244" s="3"/>
      <c r="O244" s="3"/>
      <c r="P244" s="3"/>
      <c r="Q244" s="3"/>
    </row>
    <row r="245" spans="1:17" ht="15">
      <c r="A245" s="5"/>
      <c r="B245" s="5"/>
      <c r="C245" s="5"/>
      <c r="D245" s="5"/>
      <c r="E245" s="5"/>
      <c r="F245" s="5"/>
      <c r="G245" s="5"/>
      <c r="H245" s="77"/>
      <c r="I245" s="77"/>
      <c r="J245" s="77"/>
      <c r="K245" s="77"/>
      <c r="L245" s="5"/>
      <c r="M245" s="5"/>
      <c r="N245" s="3"/>
      <c r="O245" s="3"/>
      <c r="P245" s="3"/>
      <c r="Q245" s="3"/>
    </row>
    <row r="246" spans="1:17" ht="15">
      <c r="A246" s="5"/>
      <c r="B246" s="5"/>
      <c r="C246" s="5"/>
      <c r="D246" s="5"/>
      <c r="E246" s="5"/>
      <c r="F246" s="5"/>
      <c r="G246" s="5"/>
      <c r="H246" s="77"/>
      <c r="I246" s="77"/>
      <c r="J246" s="77"/>
      <c r="K246" s="77"/>
      <c r="L246" s="5"/>
      <c r="M246" s="5"/>
      <c r="N246" s="3"/>
      <c r="O246" s="3"/>
      <c r="P246" s="3"/>
      <c r="Q246" s="3"/>
    </row>
    <row r="247" spans="1:17" ht="15">
      <c r="A247" s="5"/>
      <c r="B247" s="5"/>
      <c r="C247" s="5"/>
      <c r="D247" s="5"/>
      <c r="E247" s="5"/>
      <c r="F247" s="5"/>
      <c r="G247" s="5"/>
      <c r="H247" s="77"/>
      <c r="I247" s="77"/>
      <c r="J247" s="77"/>
      <c r="K247" s="77"/>
      <c r="L247" s="5"/>
      <c r="M247" s="5"/>
      <c r="N247" s="3"/>
      <c r="O247" s="3"/>
      <c r="P247" s="3"/>
      <c r="Q247" s="3"/>
    </row>
    <row r="248" spans="1:17" ht="15">
      <c r="A248" s="5"/>
      <c r="B248" s="5"/>
      <c r="C248" s="5"/>
      <c r="D248" s="5"/>
      <c r="E248" s="5"/>
      <c r="F248" s="5"/>
      <c r="G248" s="5"/>
      <c r="H248" s="77"/>
      <c r="I248" s="77"/>
      <c r="J248" s="77"/>
      <c r="K248" s="77"/>
      <c r="L248" s="5"/>
      <c r="M248" s="5"/>
      <c r="N248" s="3"/>
      <c r="O248" s="3"/>
      <c r="P248" s="3"/>
      <c r="Q248" s="3"/>
    </row>
    <row r="249" spans="1:17" ht="15">
      <c r="A249" s="5"/>
      <c r="B249" s="5"/>
      <c r="C249" s="5"/>
      <c r="D249" s="5"/>
      <c r="E249" s="5"/>
      <c r="F249" s="5"/>
      <c r="G249" s="5"/>
      <c r="H249" s="77"/>
      <c r="I249" s="77"/>
      <c r="J249" s="77"/>
      <c r="K249" s="77"/>
      <c r="L249" s="5"/>
      <c r="M249" s="5"/>
      <c r="N249" s="3"/>
      <c r="O249" s="3"/>
      <c r="P249" s="3"/>
      <c r="Q249" s="3"/>
    </row>
    <row r="250" spans="1:17" ht="15">
      <c r="A250" s="5"/>
      <c r="B250" s="5"/>
      <c r="C250" s="5"/>
      <c r="D250" s="5"/>
      <c r="E250" s="5"/>
      <c r="F250" s="5"/>
      <c r="G250" s="5"/>
      <c r="H250" s="77"/>
      <c r="I250" s="77"/>
      <c r="J250" s="77"/>
      <c r="K250" s="77"/>
      <c r="L250" s="5"/>
      <c r="M250" s="5"/>
      <c r="N250" s="3"/>
      <c r="O250" s="3"/>
      <c r="P250" s="3"/>
      <c r="Q250" s="3"/>
    </row>
    <row r="251" spans="1:17">
      <c r="A251" s="1"/>
      <c r="B251" s="1"/>
      <c r="C251" s="1"/>
      <c r="D251" s="1"/>
      <c r="E251" s="1"/>
      <c r="F251" s="1"/>
      <c r="G251" s="1"/>
      <c r="H251" s="78"/>
      <c r="I251" s="78"/>
      <c r="J251" s="78"/>
      <c r="K251" s="78"/>
      <c r="L251" s="1"/>
      <c r="M251" s="1"/>
    </row>
    <row r="252" spans="1:17">
      <c r="A252" s="1"/>
      <c r="B252" s="1"/>
      <c r="C252" s="1"/>
      <c r="D252" s="1"/>
      <c r="E252" s="1"/>
      <c r="F252" s="1"/>
      <c r="G252" s="1"/>
      <c r="H252" s="78"/>
      <c r="I252" s="78"/>
      <c r="J252" s="78"/>
      <c r="K252" s="78"/>
      <c r="L252" s="1"/>
      <c r="M252" s="1"/>
    </row>
    <row r="253" spans="1:17">
      <c r="A253" s="1"/>
      <c r="B253" s="1"/>
      <c r="C253" s="1"/>
      <c r="D253" s="1"/>
      <c r="E253" s="1"/>
      <c r="F253" s="1"/>
      <c r="G253" s="1"/>
      <c r="H253" s="78"/>
      <c r="I253" s="78"/>
      <c r="J253" s="78"/>
      <c r="K253" s="78"/>
      <c r="L253" s="1"/>
      <c r="M253" s="1"/>
    </row>
    <row r="254" spans="1:17">
      <c r="A254" s="1"/>
      <c r="B254" s="1"/>
      <c r="C254" s="1"/>
      <c r="D254" s="1"/>
      <c r="E254" s="1"/>
      <c r="F254" s="1"/>
      <c r="G254" s="1"/>
      <c r="H254" s="78"/>
      <c r="I254" s="78"/>
      <c r="J254" s="78"/>
      <c r="K254" s="78"/>
      <c r="L254" s="1"/>
      <c r="M254" s="1"/>
    </row>
    <row r="255" spans="1:17">
      <c r="A255" s="1"/>
      <c r="B255" s="1"/>
      <c r="C255" s="1"/>
      <c r="D255" s="1"/>
      <c r="E255" s="1"/>
      <c r="F255" s="1"/>
      <c r="G255" s="1"/>
      <c r="H255" s="78"/>
      <c r="I255" s="78"/>
      <c r="J255" s="78"/>
      <c r="K255" s="78"/>
      <c r="L255" s="1"/>
      <c r="M255" s="1"/>
    </row>
    <row r="256" spans="1:17">
      <c r="A256" s="1"/>
      <c r="B256" s="1"/>
      <c r="C256" s="1"/>
      <c r="D256" s="1"/>
      <c r="E256" s="1"/>
      <c r="F256" s="1"/>
      <c r="G256" s="1"/>
      <c r="H256" s="78"/>
      <c r="I256" s="78"/>
      <c r="J256" s="78"/>
      <c r="K256" s="78"/>
      <c r="L256" s="1"/>
      <c r="M256" s="1"/>
    </row>
    <row r="257" spans="1:13">
      <c r="A257" s="1"/>
      <c r="B257" s="1"/>
      <c r="C257" s="1"/>
      <c r="D257" s="1"/>
      <c r="E257" s="1"/>
      <c r="F257" s="1"/>
      <c r="G257" s="1"/>
      <c r="H257" s="78"/>
      <c r="I257" s="78"/>
      <c r="J257" s="78"/>
      <c r="K257" s="78"/>
      <c r="L257" s="1"/>
      <c r="M257" s="1"/>
    </row>
    <row r="258" spans="1:13">
      <c r="A258" s="1"/>
      <c r="B258" s="1"/>
      <c r="C258" s="1"/>
      <c r="D258" s="1"/>
      <c r="E258" s="1"/>
      <c r="F258" s="1"/>
      <c r="G258" s="1"/>
      <c r="H258" s="78"/>
      <c r="I258" s="78"/>
      <c r="J258" s="78"/>
      <c r="K258" s="78"/>
      <c r="L258" s="1"/>
      <c r="M258" s="1"/>
    </row>
    <row r="259" spans="1:13">
      <c r="A259" s="1"/>
      <c r="B259" s="1"/>
      <c r="C259" s="1"/>
      <c r="D259" s="1"/>
      <c r="E259" s="1"/>
      <c r="F259" s="1"/>
      <c r="G259" s="1"/>
      <c r="H259" s="78"/>
      <c r="I259" s="78"/>
      <c r="J259" s="78"/>
      <c r="K259" s="78"/>
      <c r="L259" s="1"/>
      <c r="M259" s="1"/>
    </row>
    <row r="260" spans="1:13">
      <c r="A260" s="1"/>
      <c r="B260" s="1"/>
      <c r="C260" s="1"/>
      <c r="D260" s="1"/>
      <c r="E260" s="1"/>
      <c r="F260" s="1"/>
      <c r="G260" s="1"/>
      <c r="H260" s="78"/>
      <c r="I260" s="78"/>
      <c r="J260" s="78"/>
      <c r="K260" s="78"/>
      <c r="L260" s="1"/>
      <c r="M260" s="1"/>
    </row>
    <row r="261" spans="1:13">
      <c r="A261" s="1"/>
      <c r="B261" s="1"/>
      <c r="C261" s="1"/>
      <c r="D261" s="1"/>
      <c r="E261" s="1"/>
      <c r="F261" s="1"/>
      <c r="G261" s="1"/>
      <c r="H261" s="78"/>
      <c r="I261" s="78"/>
      <c r="J261" s="78"/>
      <c r="K261" s="78"/>
      <c r="L261" s="1"/>
      <c r="M261" s="1"/>
    </row>
    <row r="262" spans="1:13">
      <c r="A262" s="1"/>
      <c r="B262" s="1"/>
      <c r="C262" s="1"/>
      <c r="D262" s="1"/>
      <c r="E262" s="1"/>
      <c r="F262" s="1"/>
      <c r="G262" s="1"/>
      <c r="H262" s="78"/>
      <c r="I262" s="78"/>
      <c r="J262" s="78"/>
      <c r="K262" s="78"/>
      <c r="L262" s="1"/>
      <c r="M262" s="1"/>
    </row>
    <row r="263" spans="1:13">
      <c r="A263" s="1"/>
      <c r="B263" s="1"/>
      <c r="C263" s="1"/>
      <c r="D263" s="1"/>
      <c r="E263" s="1"/>
      <c r="F263" s="1"/>
      <c r="G263" s="1"/>
      <c r="H263" s="78"/>
      <c r="I263" s="78"/>
      <c r="J263" s="78"/>
      <c r="K263" s="78"/>
      <c r="L263" s="1"/>
      <c r="M263" s="1"/>
    </row>
    <row r="264" spans="1:13">
      <c r="A264" s="1"/>
      <c r="B264" s="1"/>
      <c r="C264" s="1"/>
      <c r="D264" s="1"/>
      <c r="E264" s="1"/>
      <c r="F264" s="1"/>
      <c r="G264" s="1"/>
      <c r="H264" s="78"/>
      <c r="I264" s="78"/>
      <c r="J264" s="78"/>
      <c r="K264" s="78"/>
      <c r="L264" s="1"/>
      <c r="M264" s="1"/>
    </row>
    <row r="265" spans="1:13">
      <c r="A265" s="1"/>
      <c r="B265" s="1"/>
      <c r="C265" s="1"/>
      <c r="D265" s="1"/>
      <c r="E265" s="1"/>
      <c r="F265" s="1"/>
      <c r="G265" s="1"/>
      <c r="H265" s="78"/>
      <c r="I265" s="78"/>
      <c r="J265" s="78"/>
      <c r="K265" s="78"/>
      <c r="L265" s="1"/>
      <c r="M265" s="1"/>
    </row>
    <row r="266" spans="1:13">
      <c r="A266" s="1"/>
      <c r="B266" s="1"/>
      <c r="C266" s="1"/>
      <c r="D266" s="1"/>
      <c r="E266" s="1"/>
      <c r="F266" s="1"/>
      <c r="G266" s="1"/>
      <c r="H266" s="78"/>
      <c r="I266" s="78"/>
      <c r="J266" s="78"/>
      <c r="K266" s="78"/>
      <c r="L266" s="1"/>
      <c r="M266" s="1"/>
    </row>
    <row r="267" spans="1:13">
      <c r="A267" s="1"/>
      <c r="B267" s="1"/>
      <c r="C267" s="1"/>
      <c r="D267" s="1"/>
      <c r="E267" s="1"/>
      <c r="F267" s="1"/>
      <c r="G267" s="1"/>
      <c r="H267" s="78"/>
      <c r="I267" s="78"/>
      <c r="J267" s="78"/>
      <c r="K267" s="78"/>
      <c r="L267" s="1"/>
      <c r="M267" s="1"/>
    </row>
    <row r="268" spans="1:13">
      <c r="A268" s="1"/>
      <c r="B268" s="1"/>
      <c r="C268" s="1"/>
      <c r="D268" s="1"/>
      <c r="E268" s="1"/>
      <c r="F268" s="1"/>
      <c r="G268" s="1"/>
      <c r="H268" s="78"/>
      <c r="I268" s="78"/>
      <c r="J268" s="78"/>
      <c r="K268" s="78"/>
      <c r="L268" s="1"/>
      <c r="M268" s="1"/>
    </row>
    <row r="269" spans="1:13">
      <c r="A269" s="1"/>
      <c r="B269" s="1"/>
      <c r="C269" s="1"/>
      <c r="D269" s="1"/>
      <c r="E269" s="1"/>
      <c r="F269" s="1"/>
      <c r="G269" s="1"/>
      <c r="H269" s="78"/>
      <c r="I269" s="78"/>
      <c r="J269" s="78"/>
      <c r="K269" s="78"/>
      <c r="L269" s="1"/>
      <c r="M269" s="1"/>
    </row>
    <row r="270" spans="1:13">
      <c r="A270" s="1"/>
      <c r="B270" s="1"/>
      <c r="C270" s="1"/>
      <c r="D270" s="1"/>
      <c r="E270" s="1"/>
      <c r="F270" s="1"/>
      <c r="G270" s="1"/>
      <c r="H270" s="78"/>
      <c r="I270" s="78"/>
      <c r="J270" s="78"/>
      <c r="K270" s="78"/>
      <c r="L270" s="1"/>
      <c r="M270" s="1"/>
    </row>
    <row r="271" spans="1:13">
      <c r="A271" s="1"/>
      <c r="B271" s="1"/>
      <c r="C271" s="1"/>
      <c r="D271" s="1"/>
      <c r="E271" s="1"/>
      <c r="F271" s="1"/>
      <c r="G271" s="1"/>
      <c r="H271" s="78"/>
      <c r="I271" s="78"/>
      <c r="J271" s="78"/>
      <c r="K271" s="78"/>
      <c r="L271" s="1"/>
      <c r="M271" s="1"/>
    </row>
    <row r="272" spans="1:13">
      <c r="A272" s="1"/>
      <c r="B272" s="1"/>
      <c r="C272" s="1"/>
      <c r="D272" s="1"/>
      <c r="E272" s="1"/>
      <c r="F272" s="1"/>
      <c r="G272" s="1"/>
      <c r="H272" s="78"/>
      <c r="I272" s="78"/>
      <c r="J272" s="78"/>
      <c r="K272" s="78"/>
      <c r="L272" s="1"/>
      <c r="M272" s="1"/>
    </row>
    <row r="273" spans="1:13">
      <c r="A273" s="1"/>
      <c r="B273" s="1"/>
      <c r="C273" s="1"/>
      <c r="D273" s="1"/>
      <c r="E273" s="1"/>
      <c r="F273" s="1"/>
      <c r="G273" s="1"/>
      <c r="H273" s="78"/>
      <c r="I273" s="78"/>
      <c r="J273" s="78"/>
      <c r="K273" s="78"/>
      <c r="L273" s="1"/>
      <c r="M273" s="1"/>
    </row>
    <row r="274" spans="1:13">
      <c r="A274" s="1"/>
      <c r="B274" s="1"/>
      <c r="C274" s="1"/>
      <c r="D274" s="1"/>
      <c r="E274" s="1"/>
      <c r="F274" s="1"/>
      <c r="G274" s="1"/>
      <c r="H274" s="78"/>
      <c r="I274" s="78"/>
      <c r="J274" s="78"/>
      <c r="K274" s="78"/>
      <c r="L274" s="1"/>
      <c r="M274" s="1"/>
    </row>
    <row r="275" spans="1:13">
      <c r="A275" s="1"/>
      <c r="B275" s="1"/>
      <c r="C275" s="1"/>
      <c r="D275" s="1"/>
      <c r="E275" s="1"/>
      <c r="F275" s="1"/>
      <c r="G275" s="1"/>
      <c r="H275" s="78"/>
      <c r="I275" s="78"/>
      <c r="J275" s="78"/>
      <c r="K275" s="78"/>
      <c r="L275" s="1"/>
      <c r="M275" s="1"/>
    </row>
    <row r="276" spans="1:13">
      <c r="A276" s="1"/>
      <c r="B276" s="1"/>
      <c r="C276" s="1"/>
      <c r="D276" s="1"/>
      <c r="E276" s="1"/>
      <c r="F276" s="1"/>
      <c r="G276" s="1"/>
      <c r="H276" s="78"/>
      <c r="I276" s="78"/>
      <c r="J276" s="78"/>
      <c r="K276" s="78"/>
      <c r="L276" s="1"/>
      <c r="M276" s="1"/>
    </row>
    <row r="277" spans="1:13">
      <c r="A277" s="1"/>
      <c r="B277" s="1"/>
      <c r="C277" s="1"/>
      <c r="D277" s="1"/>
      <c r="E277" s="1"/>
      <c r="F277" s="1"/>
      <c r="G277" s="1"/>
      <c r="H277" s="78"/>
      <c r="I277" s="78"/>
      <c r="J277" s="78"/>
      <c r="K277" s="78"/>
      <c r="L277" s="1"/>
      <c r="M277" s="1"/>
    </row>
    <row r="278" spans="1:13">
      <c r="A278" s="1"/>
      <c r="B278" s="1"/>
      <c r="C278" s="1"/>
      <c r="D278" s="1"/>
      <c r="E278" s="1"/>
      <c r="F278" s="1"/>
      <c r="G278" s="1"/>
      <c r="H278" s="78"/>
      <c r="I278" s="78"/>
      <c r="J278" s="78"/>
      <c r="K278" s="78"/>
      <c r="L278" s="1"/>
      <c r="M278" s="1"/>
    </row>
    <row r="279" spans="1:13">
      <c r="A279" s="1"/>
      <c r="B279" s="1"/>
      <c r="C279" s="1"/>
      <c r="D279" s="1"/>
      <c r="E279" s="1"/>
      <c r="F279" s="1"/>
      <c r="G279" s="1"/>
      <c r="H279" s="78"/>
      <c r="I279" s="78"/>
      <c r="J279" s="78"/>
      <c r="K279" s="78"/>
      <c r="L279" s="1"/>
      <c r="M279" s="1"/>
    </row>
    <row r="280" spans="1:13">
      <c r="A280" s="1"/>
      <c r="B280" s="1"/>
      <c r="C280" s="1"/>
      <c r="D280" s="1"/>
      <c r="E280" s="1"/>
      <c r="F280" s="1"/>
      <c r="G280" s="1"/>
      <c r="H280" s="78"/>
      <c r="I280" s="78"/>
      <c r="J280" s="78"/>
      <c r="K280" s="78"/>
      <c r="L280" s="1"/>
      <c r="M280" s="1"/>
    </row>
    <row r="281" spans="1:13">
      <c r="A281" s="1"/>
      <c r="B281" s="1"/>
      <c r="C281" s="1"/>
      <c r="D281" s="1"/>
      <c r="E281" s="1"/>
      <c r="F281" s="1"/>
      <c r="G281" s="1"/>
      <c r="H281" s="78"/>
      <c r="I281" s="78"/>
      <c r="J281" s="78"/>
      <c r="K281" s="78"/>
      <c r="L281" s="1"/>
      <c r="M281" s="1"/>
    </row>
    <row r="282" spans="1:13">
      <c r="A282" s="1"/>
      <c r="B282" s="1"/>
      <c r="C282" s="1"/>
      <c r="D282" s="1"/>
      <c r="E282" s="1"/>
      <c r="F282" s="1"/>
      <c r="G282" s="1"/>
      <c r="H282" s="78"/>
      <c r="I282" s="78"/>
      <c r="J282" s="78"/>
      <c r="K282" s="78"/>
      <c r="L282" s="1"/>
      <c r="M282" s="1"/>
    </row>
    <row r="283" spans="1:13">
      <c r="A283" s="1"/>
      <c r="B283" s="1"/>
      <c r="C283" s="1"/>
      <c r="D283" s="1"/>
      <c r="E283" s="1"/>
      <c r="F283" s="1"/>
      <c r="G283" s="1"/>
      <c r="H283" s="78"/>
      <c r="I283" s="78"/>
      <c r="J283" s="78"/>
      <c r="K283" s="78"/>
      <c r="L283" s="1"/>
      <c r="M283" s="1"/>
    </row>
    <row r="284" spans="1:13">
      <c r="A284" s="1"/>
      <c r="B284" s="1"/>
      <c r="C284" s="1"/>
      <c r="D284" s="1"/>
      <c r="E284" s="1"/>
      <c r="F284" s="1"/>
      <c r="G284" s="1"/>
      <c r="H284" s="78"/>
      <c r="I284" s="78"/>
      <c r="J284" s="78"/>
      <c r="K284" s="78"/>
      <c r="L284" s="1"/>
      <c r="M284" s="1"/>
    </row>
    <row r="285" spans="1:13">
      <c r="A285" s="1"/>
      <c r="B285" s="1"/>
      <c r="C285" s="1"/>
      <c r="D285" s="1"/>
      <c r="E285" s="1"/>
      <c r="F285" s="1"/>
      <c r="G285" s="1"/>
      <c r="H285" s="78"/>
      <c r="I285" s="78"/>
      <c r="J285" s="78"/>
      <c r="K285" s="78"/>
      <c r="L285" s="1"/>
      <c r="M285" s="1"/>
    </row>
    <row r="286" spans="1:13">
      <c r="A286" s="1"/>
      <c r="B286" s="1"/>
      <c r="C286" s="1"/>
      <c r="D286" s="1"/>
      <c r="E286" s="1"/>
      <c r="F286" s="1"/>
      <c r="G286" s="1"/>
      <c r="H286" s="78"/>
      <c r="I286" s="78"/>
      <c r="J286" s="78"/>
      <c r="K286" s="78"/>
      <c r="L286" s="1"/>
      <c r="M286" s="1"/>
    </row>
    <row r="287" spans="1:13">
      <c r="A287" s="1"/>
      <c r="B287" s="1"/>
      <c r="C287" s="1"/>
      <c r="D287" s="1"/>
      <c r="E287" s="1"/>
      <c r="F287" s="1"/>
      <c r="G287" s="1"/>
      <c r="H287" s="78"/>
      <c r="I287" s="78"/>
      <c r="J287" s="78"/>
      <c r="K287" s="78"/>
      <c r="L287" s="1"/>
      <c r="M287" s="1"/>
    </row>
    <row r="288" spans="1:13">
      <c r="A288" s="1"/>
      <c r="B288" s="1"/>
      <c r="C288" s="1"/>
      <c r="D288" s="1"/>
      <c r="E288" s="1"/>
      <c r="F288" s="1"/>
      <c r="G288" s="1"/>
      <c r="H288" s="78"/>
      <c r="I288" s="78"/>
      <c r="J288" s="78"/>
      <c r="K288" s="78"/>
      <c r="L288" s="1"/>
      <c r="M288" s="1"/>
    </row>
    <row r="289" spans="1:13">
      <c r="A289" s="1"/>
      <c r="B289" s="1"/>
      <c r="C289" s="1"/>
      <c r="D289" s="1"/>
      <c r="E289" s="1"/>
      <c r="F289" s="1"/>
      <c r="G289" s="1"/>
      <c r="H289" s="78"/>
      <c r="I289" s="78"/>
      <c r="J289" s="78"/>
      <c r="K289" s="78"/>
      <c r="L289" s="1"/>
      <c r="M289" s="1"/>
    </row>
    <row r="290" spans="1:13">
      <c r="A290" s="1"/>
      <c r="B290" s="1"/>
      <c r="C290" s="1"/>
      <c r="D290" s="1"/>
      <c r="E290" s="1"/>
      <c r="F290" s="1"/>
      <c r="G290" s="1"/>
      <c r="H290" s="78"/>
      <c r="I290" s="78"/>
      <c r="J290" s="78"/>
      <c r="K290" s="78"/>
      <c r="L290" s="1"/>
      <c r="M290" s="1"/>
    </row>
    <row r="291" spans="1:13">
      <c r="A291" s="1"/>
      <c r="B291" s="1"/>
      <c r="C291" s="1"/>
      <c r="D291" s="1"/>
      <c r="E291" s="1"/>
      <c r="F291" s="1"/>
      <c r="G291" s="1"/>
      <c r="H291" s="78"/>
      <c r="I291" s="78"/>
      <c r="J291" s="78"/>
      <c r="K291" s="78"/>
      <c r="L291" s="1"/>
      <c r="M291" s="1"/>
    </row>
    <row r="292" spans="1:13">
      <c r="A292" s="1"/>
      <c r="B292" s="1"/>
      <c r="C292" s="1"/>
      <c r="D292" s="1"/>
      <c r="E292" s="1"/>
      <c r="F292" s="1"/>
      <c r="G292" s="1"/>
      <c r="H292" s="78"/>
      <c r="I292" s="78"/>
      <c r="J292" s="78"/>
      <c r="K292" s="78"/>
      <c r="L292" s="1"/>
      <c r="M292" s="1"/>
    </row>
    <row r="293" spans="1:13">
      <c r="A293" s="1"/>
      <c r="B293" s="1"/>
      <c r="C293" s="1"/>
      <c r="D293" s="1"/>
      <c r="E293" s="1"/>
      <c r="F293" s="1"/>
      <c r="G293" s="1"/>
      <c r="H293" s="78"/>
      <c r="I293" s="78"/>
      <c r="J293" s="78"/>
      <c r="K293" s="78"/>
      <c r="L293" s="1"/>
      <c r="M293" s="1"/>
    </row>
    <row r="294" spans="1:13">
      <c r="A294" s="1"/>
      <c r="B294" s="1"/>
      <c r="C294" s="1"/>
      <c r="D294" s="1"/>
      <c r="E294" s="1"/>
      <c r="F294" s="1"/>
      <c r="G294" s="1"/>
      <c r="H294" s="78"/>
      <c r="I294" s="78"/>
      <c r="J294" s="78"/>
      <c r="K294" s="78"/>
      <c r="L294" s="1"/>
      <c r="M294" s="1"/>
    </row>
    <row r="295" spans="1:13">
      <c r="A295" s="1"/>
      <c r="B295" s="1"/>
      <c r="C295" s="1"/>
      <c r="D295" s="1"/>
      <c r="E295" s="1"/>
      <c r="F295" s="1"/>
      <c r="G295" s="1"/>
      <c r="H295" s="78"/>
      <c r="I295" s="78"/>
      <c r="J295" s="78"/>
      <c r="K295" s="78"/>
      <c r="L295" s="1"/>
      <c r="M295" s="1"/>
    </row>
    <row r="296" spans="1:13">
      <c r="A296" s="1"/>
      <c r="B296" s="1"/>
      <c r="C296" s="1"/>
      <c r="D296" s="1"/>
      <c r="E296" s="1"/>
      <c r="F296" s="1"/>
      <c r="G296" s="1"/>
      <c r="H296" s="78"/>
      <c r="I296" s="78"/>
      <c r="J296" s="78"/>
      <c r="K296" s="78"/>
      <c r="L296" s="1"/>
      <c r="M296" s="1"/>
    </row>
    <row r="297" spans="1:13">
      <c r="A297" s="1"/>
      <c r="B297" s="1"/>
      <c r="C297" s="1"/>
      <c r="D297" s="1"/>
      <c r="E297" s="1"/>
      <c r="F297" s="1"/>
      <c r="G297" s="1"/>
      <c r="H297" s="78"/>
      <c r="I297" s="78"/>
      <c r="J297" s="78"/>
      <c r="K297" s="78"/>
      <c r="L297" s="1"/>
      <c r="M297" s="1"/>
    </row>
    <row r="298" spans="1:13">
      <c r="A298" s="1"/>
      <c r="B298" s="1"/>
      <c r="C298" s="1"/>
      <c r="D298" s="1"/>
      <c r="E298" s="1"/>
      <c r="F298" s="1"/>
      <c r="G298" s="1"/>
      <c r="H298" s="78"/>
      <c r="I298" s="78"/>
      <c r="J298" s="78"/>
      <c r="K298" s="78"/>
      <c r="L298" s="1"/>
      <c r="M298" s="1"/>
    </row>
    <row r="299" spans="1:13">
      <c r="A299" s="1"/>
      <c r="B299" s="1"/>
      <c r="C299" s="1"/>
      <c r="D299" s="1"/>
      <c r="E299" s="1"/>
      <c r="F299" s="1"/>
      <c r="G299" s="1"/>
      <c r="H299" s="78"/>
      <c r="I299" s="78"/>
      <c r="J299" s="78"/>
      <c r="K299" s="78"/>
      <c r="L299" s="1"/>
      <c r="M299" s="1"/>
    </row>
    <row r="300" spans="1:13">
      <c r="A300" s="1"/>
      <c r="B300" s="1"/>
      <c r="C300" s="1"/>
      <c r="D300" s="1"/>
      <c r="E300" s="1"/>
      <c r="F300" s="1"/>
      <c r="G300" s="1"/>
      <c r="H300" s="78"/>
      <c r="I300" s="78"/>
      <c r="J300" s="78"/>
      <c r="K300" s="78"/>
      <c r="L300" s="1"/>
      <c r="M300" s="1"/>
    </row>
    <row r="301" spans="1:13">
      <c r="A301" s="1"/>
      <c r="B301" s="1"/>
      <c r="C301" s="1"/>
      <c r="D301" s="1"/>
      <c r="E301" s="1"/>
      <c r="F301" s="1"/>
      <c r="G301" s="1"/>
      <c r="H301" s="78"/>
      <c r="I301" s="78"/>
      <c r="J301" s="78"/>
      <c r="K301" s="78"/>
      <c r="L301" s="1"/>
      <c r="M301" s="1"/>
    </row>
    <row r="302" spans="1:13">
      <c r="A302" s="1"/>
      <c r="B302" s="1"/>
      <c r="C302" s="1"/>
      <c r="D302" s="1"/>
      <c r="E302" s="1"/>
      <c r="F302" s="1"/>
      <c r="G302" s="1"/>
      <c r="H302" s="78"/>
      <c r="I302" s="78"/>
      <c r="J302" s="78"/>
      <c r="K302" s="78"/>
      <c r="L302" s="1"/>
      <c r="M302" s="1"/>
    </row>
    <row r="303" spans="1:13">
      <c r="A303" s="1"/>
      <c r="B303" s="1"/>
      <c r="C303" s="1"/>
      <c r="D303" s="1"/>
      <c r="E303" s="1"/>
      <c r="F303" s="1"/>
      <c r="G303" s="1"/>
      <c r="H303" s="78"/>
      <c r="I303" s="78"/>
      <c r="J303" s="78"/>
      <c r="K303" s="78"/>
      <c r="L303" s="1"/>
      <c r="M303" s="1"/>
    </row>
    <row r="304" spans="1:13">
      <c r="A304" s="1"/>
      <c r="B304" s="1"/>
      <c r="C304" s="1"/>
      <c r="D304" s="1"/>
      <c r="E304" s="1"/>
      <c r="F304" s="1"/>
      <c r="G304" s="1"/>
      <c r="H304" s="78"/>
      <c r="I304" s="78"/>
      <c r="J304" s="78"/>
      <c r="K304" s="78"/>
      <c r="L304" s="1"/>
      <c r="M304" s="1"/>
    </row>
    <row r="305" spans="1:13">
      <c r="A305" s="1"/>
      <c r="B305" s="1"/>
      <c r="C305" s="1"/>
      <c r="D305" s="1"/>
      <c r="E305" s="1"/>
      <c r="F305" s="1"/>
      <c r="G305" s="1"/>
      <c r="H305" s="78"/>
      <c r="I305" s="78"/>
      <c r="J305" s="78"/>
      <c r="K305" s="78"/>
      <c r="L305" s="1"/>
      <c r="M305" s="1"/>
    </row>
    <row r="306" spans="1:13">
      <c r="A306" s="1"/>
      <c r="B306" s="1"/>
      <c r="C306" s="1"/>
      <c r="D306" s="1"/>
      <c r="E306" s="1"/>
      <c r="F306" s="1"/>
      <c r="G306" s="1"/>
      <c r="H306" s="78"/>
      <c r="I306" s="78"/>
      <c r="J306" s="78"/>
      <c r="K306" s="78"/>
      <c r="L306" s="1"/>
      <c r="M306" s="1"/>
    </row>
  </sheetData>
  <mergeCells count="2">
    <mergeCell ref="A1:M1"/>
    <mergeCell ref="A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50"/>
  <sheetViews>
    <sheetView workbookViewId="0"/>
  </sheetViews>
  <sheetFormatPr defaultRowHeight="14.25"/>
  <cols>
    <col min="1" max="2" width="14" customWidth="1"/>
    <col min="3" max="3" width="28" customWidth="1"/>
    <col min="4" max="4" width="12" customWidth="1"/>
    <col min="5" max="5" width="20" customWidth="1"/>
    <col min="6" max="6" width="22" customWidth="1"/>
    <col min="7" max="7" width="17" customWidth="1"/>
    <col min="8" max="8" width="13" customWidth="1"/>
    <col min="9" max="9" width="12" customWidth="1"/>
    <col min="10" max="12" width="18" customWidth="1"/>
    <col min="13" max="13" width="19" customWidth="1"/>
    <col min="14" max="14" width="18" customWidth="1"/>
    <col min="15" max="15" width="20" customWidth="1"/>
    <col min="16" max="16" width="16" customWidth="1"/>
    <col min="17" max="17" width="14" customWidth="1"/>
    <col min="18" max="18" width="46" customWidth="1"/>
    <col min="19" max="19" width="20" customWidth="1"/>
    <col min="20" max="20" width="18" customWidth="1"/>
  </cols>
  <sheetData>
    <row r="1" spans="1:20" ht="24" customHeight="1">
      <c r="A1" s="205" t="s">
        <v>430</v>
      </c>
      <c r="B1" s="205"/>
      <c r="C1" s="205"/>
      <c r="D1" s="205"/>
      <c r="E1" s="205"/>
      <c r="F1" s="205"/>
      <c r="G1" s="205"/>
      <c r="H1" s="205"/>
      <c r="I1" s="205"/>
      <c r="J1" s="205"/>
      <c r="K1" s="205"/>
      <c r="L1" s="205"/>
      <c r="M1" s="205"/>
      <c r="N1" s="205"/>
      <c r="O1" s="205"/>
      <c r="P1" s="205"/>
      <c r="Q1" s="205"/>
      <c r="R1" s="24"/>
      <c r="S1" s="24"/>
      <c r="T1" s="24"/>
    </row>
    <row r="2" spans="1:20" ht="33.950000000000003" customHeight="1">
      <c r="A2" s="202" t="s">
        <v>431</v>
      </c>
      <c r="B2" s="203"/>
      <c r="C2" s="203"/>
      <c r="D2" s="203"/>
      <c r="E2" s="203"/>
      <c r="F2" s="203"/>
      <c r="G2" s="203"/>
      <c r="H2" s="203"/>
      <c r="I2" s="203"/>
      <c r="J2" s="203"/>
      <c r="K2" s="203"/>
      <c r="L2" s="203"/>
      <c r="M2" s="203"/>
      <c r="N2" s="203"/>
      <c r="O2" s="203"/>
      <c r="P2" s="203"/>
      <c r="Q2" s="203"/>
    </row>
    <row r="3" spans="1:20" ht="15">
      <c r="A3" s="3"/>
      <c r="B3" s="3"/>
      <c r="C3" s="3"/>
      <c r="D3" s="3"/>
      <c r="E3" s="3"/>
      <c r="F3" s="3"/>
      <c r="G3" s="3"/>
      <c r="H3" s="3"/>
      <c r="I3" s="3"/>
      <c r="J3" s="3"/>
      <c r="K3" s="3"/>
      <c r="L3" s="3"/>
      <c r="M3" s="3"/>
      <c r="N3" s="3"/>
      <c r="O3" s="3"/>
      <c r="P3" s="3"/>
      <c r="Q3" s="3"/>
    </row>
    <row r="4" spans="1:20" ht="15">
      <c r="A4" s="3"/>
      <c r="B4" s="3"/>
      <c r="C4" s="3"/>
      <c r="D4" s="3"/>
      <c r="E4" s="3"/>
      <c r="F4" s="3"/>
      <c r="G4" s="3"/>
      <c r="H4" s="3"/>
      <c r="I4" s="3"/>
      <c r="J4" s="3"/>
      <c r="K4" s="3"/>
      <c r="L4" s="3"/>
      <c r="M4" s="3"/>
      <c r="N4" s="3"/>
      <c r="O4" s="3"/>
      <c r="P4" s="3"/>
      <c r="Q4" s="3"/>
    </row>
    <row r="5" spans="1:20" ht="15">
      <c r="A5" s="3"/>
      <c r="B5" s="3"/>
      <c r="C5" s="3"/>
      <c r="D5" s="3"/>
      <c r="E5" s="3"/>
      <c r="F5" s="3"/>
      <c r="G5" s="3"/>
      <c r="H5" s="3"/>
      <c r="I5" s="3"/>
      <c r="J5" s="3"/>
      <c r="K5" s="3"/>
      <c r="L5" s="3"/>
      <c r="M5" s="3"/>
      <c r="N5" s="3"/>
      <c r="O5" s="3"/>
      <c r="P5" s="3"/>
      <c r="Q5" s="3"/>
    </row>
    <row r="6" spans="1:20" ht="30" customHeight="1">
      <c r="A6" s="41" t="s">
        <v>938</v>
      </c>
      <c r="B6" s="42" t="s">
        <v>328</v>
      </c>
      <c r="C6" s="42" t="s">
        <v>321</v>
      </c>
      <c r="D6" s="42" t="s">
        <v>333</v>
      </c>
      <c r="E6" s="42" t="s">
        <v>939</v>
      </c>
      <c r="F6" s="42" t="s">
        <v>399</v>
      </c>
      <c r="G6" s="42" t="s">
        <v>940</v>
      </c>
      <c r="H6" s="42" t="s">
        <v>941</v>
      </c>
      <c r="I6" s="42" t="s">
        <v>942</v>
      </c>
      <c r="J6" s="42" t="s">
        <v>943</v>
      </c>
      <c r="K6" s="42" t="s">
        <v>944</v>
      </c>
      <c r="L6" s="42" t="s">
        <v>945</v>
      </c>
      <c r="M6" s="42" t="s">
        <v>946</v>
      </c>
      <c r="N6" s="42" t="s">
        <v>947</v>
      </c>
      <c r="O6" s="42" t="s">
        <v>418</v>
      </c>
      <c r="P6" s="42" t="s">
        <v>429</v>
      </c>
      <c r="Q6" s="42" t="s">
        <v>483</v>
      </c>
      <c r="R6" s="57" t="s">
        <v>309</v>
      </c>
      <c r="S6" s="57" t="s">
        <v>948</v>
      </c>
      <c r="T6" s="58" t="s">
        <v>949</v>
      </c>
    </row>
    <row r="7" spans="1:20">
      <c r="A7" s="44"/>
      <c r="B7" s="39"/>
      <c r="C7" s="39"/>
      <c r="D7" s="39"/>
      <c r="E7" s="39"/>
      <c r="F7" s="39"/>
      <c r="G7" s="73"/>
      <c r="H7" s="79"/>
      <c r="I7" s="67"/>
      <c r="J7" s="67"/>
      <c r="K7" s="81" t="str">
        <f t="shared" ref="K7:K38" si="0">IF(N7&lt;&gt;"","",IF(AND(G7&lt;&gt;"",H7&lt;&gt;"",J7&lt;&gt;""),ROUND(PPMT(H7,1,J7,-G7),0),""))</f>
        <v/>
      </c>
      <c r="L7" s="81" t="str">
        <f t="shared" ref="L7:L38" si="1">IF(N7&lt;&gt;"","",IF(AND(G7&lt;&gt;"",H7&lt;&gt;""),ROUND(G7*H7,0),""))</f>
        <v/>
      </c>
      <c r="M7" s="81" t="str">
        <f t="shared" ref="M7:M38" si="2">IF(N7&lt;&gt;"",N7,IF(AND(G7&lt;&gt;"",H7&lt;&gt;"",J7&lt;&gt;""),ROUND(PMT(H7,J7,-G7),0),""))</f>
        <v/>
      </c>
      <c r="N7" s="73"/>
      <c r="O7" s="39"/>
      <c r="P7" s="39"/>
      <c r="Q7" s="51" t="str">
        <f t="shared" ref="Q7:Q38" si="3">IF(A7="","",IF(D7="No","Excluded",IF(AND(OR(F7="N/A",E7="No Debt / N/A"),G7=""),"No Debt / N/A",IF(M7&lt;&gt;"","Ready","Partial"))))</f>
        <v/>
      </c>
      <c r="R7" s="56"/>
      <c r="S7" s="83"/>
      <c r="T7" s="31"/>
    </row>
    <row r="8" spans="1:20">
      <c r="A8" s="44"/>
      <c r="B8" s="39"/>
      <c r="C8" s="39"/>
      <c r="D8" s="39"/>
      <c r="E8" s="39"/>
      <c r="F8" s="39"/>
      <c r="G8" s="73"/>
      <c r="H8" s="79"/>
      <c r="I8" s="67"/>
      <c r="J8" s="67"/>
      <c r="K8" s="81" t="str">
        <f t="shared" si="0"/>
        <v/>
      </c>
      <c r="L8" s="81" t="str">
        <f t="shared" si="1"/>
        <v/>
      </c>
      <c r="M8" s="81" t="str">
        <f t="shared" si="2"/>
        <v/>
      </c>
      <c r="N8" s="73"/>
      <c r="O8" s="39"/>
      <c r="P8" s="39"/>
      <c r="Q8" s="51" t="str">
        <f t="shared" si="3"/>
        <v/>
      </c>
      <c r="R8" s="56"/>
      <c r="S8" s="83"/>
      <c r="T8" s="31"/>
    </row>
    <row r="9" spans="1:20">
      <c r="A9" s="44"/>
      <c r="B9" s="39"/>
      <c r="C9" s="39"/>
      <c r="D9" s="39"/>
      <c r="E9" s="39"/>
      <c r="F9" s="39"/>
      <c r="G9" s="73"/>
      <c r="H9" s="79"/>
      <c r="I9" s="67"/>
      <c r="J9" s="67"/>
      <c r="K9" s="81" t="str">
        <f t="shared" si="0"/>
        <v/>
      </c>
      <c r="L9" s="81" t="str">
        <f t="shared" si="1"/>
        <v/>
      </c>
      <c r="M9" s="81" t="str">
        <f t="shared" si="2"/>
        <v/>
      </c>
      <c r="N9" s="73"/>
      <c r="O9" s="39"/>
      <c r="P9" s="39"/>
      <c r="Q9" s="51" t="str">
        <f t="shared" si="3"/>
        <v/>
      </c>
      <c r="R9" s="56"/>
      <c r="S9" s="83"/>
      <c r="T9" s="31"/>
    </row>
    <row r="10" spans="1:20">
      <c r="A10" s="44"/>
      <c r="B10" s="39"/>
      <c r="C10" s="39"/>
      <c r="D10" s="39"/>
      <c r="E10" s="39"/>
      <c r="F10" s="39"/>
      <c r="G10" s="73"/>
      <c r="H10" s="79"/>
      <c r="I10" s="67"/>
      <c r="J10" s="67"/>
      <c r="K10" s="81" t="str">
        <f t="shared" si="0"/>
        <v/>
      </c>
      <c r="L10" s="81" t="str">
        <f t="shared" si="1"/>
        <v/>
      </c>
      <c r="M10" s="81" t="str">
        <f t="shared" si="2"/>
        <v/>
      </c>
      <c r="N10" s="73"/>
      <c r="O10" s="39"/>
      <c r="P10" s="39"/>
      <c r="Q10" s="51" t="str">
        <f t="shared" si="3"/>
        <v/>
      </c>
      <c r="R10" s="56"/>
      <c r="S10" s="83"/>
      <c r="T10" s="31"/>
    </row>
    <row r="11" spans="1:20">
      <c r="A11" s="44"/>
      <c r="B11" s="39"/>
      <c r="C11" s="39"/>
      <c r="D11" s="39"/>
      <c r="E11" s="39"/>
      <c r="F11" s="39"/>
      <c r="G11" s="73"/>
      <c r="H11" s="79"/>
      <c r="I11" s="67"/>
      <c r="J11" s="67"/>
      <c r="K11" s="81" t="str">
        <f t="shared" si="0"/>
        <v/>
      </c>
      <c r="L11" s="81" t="str">
        <f t="shared" si="1"/>
        <v/>
      </c>
      <c r="M11" s="81" t="str">
        <f t="shared" si="2"/>
        <v/>
      </c>
      <c r="N11" s="73"/>
      <c r="O11" s="39"/>
      <c r="P11" s="39"/>
      <c r="Q11" s="51" t="str">
        <f t="shared" si="3"/>
        <v/>
      </c>
      <c r="R11" s="56"/>
      <c r="S11" s="83"/>
      <c r="T11" s="31"/>
    </row>
    <row r="12" spans="1:20">
      <c r="A12" s="44"/>
      <c r="B12" s="39"/>
      <c r="C12" s="39"/>
      <c r="D12" s="39"/>
      <c r="E12" s="39"/>
      <c r="F12" s="39"/>
      <c r="G12" s="73"/>
      <c r="H12" s="79"/>
      <c r="I12" s="67"/>
      <c r="J12" s="67"/>
      <c r="K12" s="81" t="str">
        <f t="shared" si="0"/>
        <v/>
      </c>
      <c r="L12" s="81" t="str">
        <f t="shared" si="1"/>
        <v/>
      </c>
      <c r="M12" s="81" t="str">
        <f t="shared" si="2"/>
        <v/>
      </c>
      <c r="N12" s="73"/>
      <c r="O12" s="39"/>
      <c r="P12" s="39"/>
      <c r="Q12" s="51" t="str">
        <f t="shared" si="3"/>
        <v/>
      </c>
      <c r="R12" s="56"/>
      <c r="S12" s="83"/>
      <c r="T12" s="31"/>
    </row>
    <row r="13" spans="1:20">
      <c r="A13" s="44"/>
      <c r="B13" s="39"/>
      <c r="C13" s="39"/>
      <c r="D13" s="39"/>
      <c r="E13" s="39"/>
      <c r="F13" s="39"/>
      <c r="G13" s="73"/>
      <c r="H13" s="79"/>
      <c r="I13" s="67"/>
      <c r="J13" s="67"/>
      <c r="K13" s="81" t="str">
        <f t="shared" si="0"/>
        <v/>
      </c>
      <c r="L13" s="81" t="str">
        <f t="shared" si="1"/>
        <v/>
      </c>
      <c r="M13" s="81" t="str">
        <f t="shared" si="2"/>
        <v/>
      </c>
      <c r="N13" s="73"/>
      <c r="O13" s="39"/>
      <c r="P13" s="39"/>
      <c r="Q13" s="51" t="str">
        <f t="shared" si="3"/>
        <v/>
      </c>
      <c r="R13" s="56"/>
      <c r="S13" s="83"/>
      <c r="T13" s="31"/>
    </row>
    <row r="14" spans="1:20">
      <c r="A14" s="44"/>
      <c r="B14" s="39"/>
      <c r="C14" s="39"/>
      <c r="D14" s="39"/>
      <c r="E14" s="39"/>
      <c r="F14" s="39"/>
      <c r="G14" s="73"/>
      <c r="H14" s="79"/>
      <c r="I14" s="67"/>
      <c r="J14" s="67"/>
      <c r="K14" s="81" t="str">
        <f t="shared" si="0"/>
        <v/>
      </c>
      <c r="L14" s="81" t="str">
        <f t="shared" si="1"/>
        <v/>
      </c>
      <c r="M14" s="81" t="str">
        <f t="shared" si="2"/>
        <v/>
      </c>
      <c r="N14" s="73"/>
      <c r="O14" s="39"/>
      <c r="P14" s="39"/>
      <c r="Q14" s="51" t="str">
        <f t="shared" si="3"/>
        <v/>
      </c>
      <c r="R14" s="56"/>
      <c r="S14" s="83"/>
      <c r="T14" s="31"/>
    </row>
    <row r="15" spans="1:20">
      <c r="A15" s="44"/>
      <c r="B15" s="39"/>
      <c r="C15" s="39"/>
      <c r="D15" s="39"/>
      <c r="E15" s="39"/>
      <c r="F15" s="39"/>
      <c r="G15" s="73"/>
      <c r="H15" s="79"/>
      <c r="I15" s="67"/>
      <c r="J15" s="67"/>
      <c r="K15" s="81" t="str">
        <f t="shared" si="0"/>
        <v/>
      </c>
      <c r="L15" s="81" t="str">
        <f t="shared" si="1"/>
        <v/>
      </c>
      <c r="M15" s="81" t="str">
        <f t="shared" si="2"/>
        <v/>
      </c>
      <c r="N15" s="73"/>
      <c r="O15" s="39"/>
      <c r="P15" s="39"/>
      <c r="Q15" s="51" t="str">
        <f t="shared" si="3"/>
        <v/>
      </c>
      <c r="R15" s="56"/>
      <c r="S15" s="83"/>
      <c r="T15" s="31"/>
    </row>
    <row r="16" spans="1:20">
      <c r="A16" s="44"/>
      <c r="B16" s="39"/>
      <c r="C16" s="39"/>
      <c r="D16" s="39"/>
      <c r="E16" s="39"/>
      <c r="F16" s="39"/>
      <c r="G16" s="73"/>
      <c r="H16" s="79"/>
      <c r="I16" s="67"/>
      <c r="J16" s="67"/>
      <c r="K16" s="81" t="str">
        <f t="shared" si="0"/>
        <v/>
      </c>
      <c r="L16" s="81" t="str">
        <f t="shared" si="1"/>
        <v/>
      </c>
      <c r="M16" s="81" t="str">
        <f t="shared" si="2"/>
        <v/>
      </c>
      <c r="N16" s="73"/>
      <c r="O16" s="39"/>
      <c r="P16" s="39"/>
      <c r="Q16" s="51" t="str">
        <f t="shared" si="3"/>
        <v/>
      </c>
      <c r="R16" s="56"/>
      <c r="S16" s="83"/>
      <c r="T16" s="31"/>
    </row>
    <row r="17" spans="1:20">
      <c r="A17" s="44"/>
      <c r="B17" s="39"/>
      <c r="C17" s="39"/>
      <c r="D17" s="39"/>
      <c r="E17" s="39"/>
      <c r="F17" s="39"/>
      <c r="G17" s="73"/>
      <c r="H17" s="79"/>
      <c r="I17" s="67"/>
      <c r="J17" s="67"/>
      <c r="K17" s="81" t="str">
        <f t="shared" si="0"/>
        <v/>
      </c>
      <c r="L17" s="81" t="str">
        <f t="shared" si="1"/>
        <v/>
      </c>
      <c r="M17" s="81" t="str">
        <f t="shared" si="2"/>
        <v/>
      </c>
      <c r="N17" s="73"/>
      <c r="O17" s="39"/>
      <c r="P17" s="39"/>
      <c r="Q17" s="51" t="str">
        <f t="shared" si="3"/>
        <v/>
      </c>
      <c r="R17" s="56"/>
      <c r="S17" s="83"/>
      <c r="T17" s="31"/>
    </row>
    <row r="18" spans="1:20">
      <c r="A18" s="44"/>
      <c r="B18" s="39"/>
      <c r="C18" s="39"/>
      <c r="D18" s="39"/>
      <c r="E18" s="39"/>
      <c r="F18" s="39"/>
      <c r="G18" s="73"/>
      <c r="H18" s="79"/>
      <c r="I18" s="67"/>
      <c r="J18" s="67"/>
      <c r="K18" s="81" t="str">
        <f t="shared" si="0"/>
        <v/>
      </c>
      <c r="L18" s="81" t="str">
        <f t="shared" si="1"/>
        <v/>
      </c>
      <c r="M18" s="81" t="str">
        <f t="shared" si="2"/>
        <v/>
      </c>
      <c r="N18" s="73"/>
      <c r="O18" s="39"/>
      <c r="P18" s="39"/>
      <c r="Q18" s="51" t="str">
        <f t="shared" si="3"/>
        <v/>
      </c>
      <c r="R18" s="56"/>
      <c r="S18" s="83"/>
      <c r="T18" s="31"/>
    </row>
    <row r="19" spans="1:20">
      <c r="A19" s="44"/>
      <c r="B19" s="39"/>
      <c r="C19" s="39"/>
      <c r="D19" s="39"/>
      <c r="E19" s="39"/>
      <c r="F19" s="39"/>
      <c r="G19" s="73"/>
      <c r="H19" s="79"/>
      <c r="I19" s="67"/>
      <c r="J19" s="67"/>
      <c r="K19" s="81" t="str">
        <f t="shared" si="0"/>
        <v/>
      </c>
      <c r="L19" s="81" t="str">
        <f t="shared" si="1"/>
        <v/>
      </c>
      <c r="M19" s="81" t="str">
        <f t="shared" si="2"/>
        <v/>
      </c>
      <c r="N19" s="73"/>
      <c r="O19" s="39"/>
      <c r="P19" s="39"/>
      <c r="Q19" s="51" t="str">
        <f t="shared" si="3"/>
        <v/>
      </c>
      <c r="R19" s="56"/>
      <c r="S19" s="83"/>
      <c r="T19" s="31"/>
    </row>
    <row r="20" spans="1:20">
      <c r="A20" s="44"/>
      <c r="B20" s="39"/>
      <c r="C20" s="39"/>
      <c r="D20" s="39"/>
      <c r="E20" s="39"/>
      <c r="F20" s="39"/>
      <c r="G20" s="73"/>
      <c r="H20" s="79"/>
      <c r="I20" s="67"/>
      <c r="J20" s="67"/>
      <c r="K20" s="81" t="str">
        <f t="shared" si="0"/>
        <v/>
      </c>
      <c r="L20" s="81" t="str">
        <f t="shared" si="1"/>
        <v/>
      </c>
      <c r="M20" s="81" t="str">
        <f t="shared" si="2"/>
        <v/>
      </c>
      <c r="N20" s="73"/>
      <c r="O20" s="39"/>
      <c r="P20" s="39"/>
      <c r="Q20" s="51" t="str">
        <f t="shared" si="3"/>
        <v/>
      </c>
      <c r="R20" s="56"/>
      <c r="S20" s="83"/>
      <c r="T20" s="31"/>
    </row>
    <row r="21" spans="1:20">
      <c r="A21" s="44"/>
      <c r="B21" s="39"/>
      <c r="C21" s="39"/>
      <c r="D21" s="39"/>
      <c r="E21" s="39"/>
      <c r="F21" s="39"/>
      <c r="G21" s="73"/>
      <c r="H21" s="79"/>
      <c r="I21" s="67"/>
      <c r="J21" s="67"/>
      <c r="K21" s="81" t="str">
        <f t="shared" si="0"/>
        <v/>
      </c>
      <c r="L21" s="81" t="str">
        <f t="shared" si="1"/>
        <v/>
      </c>
      <c r="M21" s="81" t="str">
        <f t="shared" si="2"/>
        <v/>
      </c>
      <c r="N21" s="73"/>
      <c r="O21" s="39"/>
      <c r="P21" s="39"/>
      <c r="Q21" s="51" t="str">
        <f t="shared" si="3"/>
        <v/>
      </c>
      <c r="R21" s="56"/>
      <c r="S21" s="83"/>
      <c r="T21" s="31"/>
    </row>
    <row r="22" spans="1:20">
      <c r="A22" s="44"/>
      <c r="B22" s="39"/>
      <c r="C22" s="39"/>
      <c r="D22" s="39"/>
      <c r="E22" s="39"/>
      <c r="F22" s="39"/>
      <c r="G22" s="73"/>
      <c r="H22" s="79"/>
      <c r="I22" s="67"/>
      <c r="J22" s="67"/>
      <c r="K22" s="81" t="str">
        <f t="shared" si="0"/>
        <v/>
      </c>
      <c r="L22" s="81" t="str">
        <f t="shared" si="1"/>
        <v/>
      </c>
      <c r="M22" s="81" t="str">
        <f t="shared" si="2"/>
        <v/>
      </c>
      <c r="N22" s="73"/>
      <c r="O22" s="39"/>
      <c r="P22" s="39"/>
      <c r="Q22" s="51" t="str">
        <f t="shared" si="3"/>
        <v/>
      </c>
      <c r="R22" s="56"/>
      <c r="S22" s="83"/>
      <c r="T22" s="31"/>
    </row>
    <row r="23" spans="1:20">
      <c r="A23" s="44"/>
      <c r="B23" s="39"/>
      <c r="C23" s="39"/>
      <c r="D23" s="39"/>
      <c r="E23" s="39"/>
      <c r="F23" s="39"/>
      <c r="G23" s="73"/>
      <c r="H23" s="79"/>
      <c r="I23" s="67"/>
      <c r="J23" s="67"/>
      <c r="K23" s="81" t="str">
        <f t="shared" si="0"/>
        <v/>
      </c>
      <c r="L23" s="81" t="str">
        <f t="shared" si="1"/>
        <v/>
      </c>
      <c r="M23" s="81" t="str">
        <f t="shared" si="2"/>
        <v/>
      </c>
      <c r="N23" s="73"/>
      <c r="O23" s="39"/>
      <c r="P23" s="39"/>
      <c r="Q23" s="51" t="str">
        <f t="shared" si="3"/>
        <v/>
      </c>
      <c r="R23" s="56"/>
      <c r="S23" s="83"/>
      <c r="T23" s="31"/>
    </row>
    <row r="24" spans="1:20">
      <c r="A24" s="46"/>
      <c r="B24" s="40"/>
      <c r="C24" s="40"/>
      <c r="D24" s="39"/>
      <c r="E24" s="39"/>
      <c r="F24" s="39"/>
      <c r="G24" s="73"/>
      <c r="H24" s="79"/>
      <c r="I24" s="67"/>
      <c r="J24" s="67"/>
      <c r="K24" s="81" t="str">
        <f t="shared" si="0"/>
        <v/>
      </c>
      <c r="L24" s="81" t="str">
        <f t="shared" si="1"/>
        <v/>
      </c>
      <c r="M24" s="81" t="str">
        <f t="shared" si="2"/>
        <v/>
      </c>
      <c r="N24" s="73"/>
      <c r="O24" s="39"/>
      <c r="P24" s="39"/>
      <c r="Q24" s="51" t="str">
        <f t="shared" si="3"/>
        <v/>
      </c>
      <c r="R24" s="56"/>
      <c r="S24" s="83"/>
      <c r="T24" s="31"/>
    </row>
    <row r="25" spans="1:20">
      <c r="A25" s="46"/>
      <c r="B25" s="40"/>
      <c r="C25" s="40"/>
      <c r="D25" s="39"/>
      <c r="E25" s="39"/>
      <c r="F25" s="39"/>
      <c r="G25" s="73"/>
      <c r="H25" s="79"/>
      <c r="I25" s="67"/>
      <c r="J25" s="67"/>
      <c r="K25" s="81" t="str">
        <f t="shared" si="0"/>
        <v/>
      </c>
      <c r="L25" s="81" t="str">
        <f t="shared" si="1"/>
        <v/>
      </c>
      <c r="M25" s="81" t="str">
        <f t="shared" si="2"/>
        <v/>
      </c>
      <c r="N25" s="73"/>
      <c r="O25" s="39"/>
      <c r="P25" s="39"/>
      <c r="Q25" s="51" t="str">
        <f t="shared" si="3"/>
        <v/>
      </c>
      <c r="R25" s="56"/>
      <c r="S25" s="83"/>
      <c r="T25" s="31"/>
    </row>
    <row r="26" spans="1:20">
      <c r="A26" s="46"/>
      <c r="B26" s="40"/>
      <c r="C26" s="40"/>
      <c r="D26" s="39"/>
      <c r="E26" s="39"/>
      <c r="F26" s="39"/>
      <c r="G26" s="73"/>
      <c r="H26" s="79"/>
      <c r="I26" s="67"/>
      <c r="J26" s="67"/>
      <c r="K26" s="81" t="str">
        <f t="shared" si="0"/>
        <v/>
      </c>
      <c r="L26" s="81" t="str">
        <f t="shared" si="1"/>
        <v/>
      </c>
      <c r="M26" s="81" t="str">
        <f t="shared" si="2"/>
        <v/>
      </c>
      <c r="N26" s="73"/>
      <c r="O26" s="39"/>
      <c r="P26" s="39"/>
      <c r="Q26" s="51" t="str">
        <f t="shared" si="3"/>
        <v/>
      </c>
      <c r="R26" s="56"/>
      <c r="S26" s="83"/>
      <c r="T26" s="31"/>
    </row>
    <row r="27" spans="1:20">
      <c r="A27" s="46"/>
      <c r="B27" s="40"/>
      <c r="C27" s="40"/>
      <c r="D27" s="39"/>
      <c r="E27" s="39"/>
      <c r="F27" s="39"/>
      <c r="G27" s="73"/>
      <c r="H27" s="79"/>
      <c r="I27" s="67"/>
      <c r="J27" s="67"/>
      <c r="K27" s="81" t="str">
        <f t="shared" si="0"/>
        <v/>
      </c>
      <c r="L27" s="81" t="str">
        <f t="shared" si="1"/>
        <v/>
      </c>
      <c r="M27" s="81" t="str">
        <f t="shared" si="2"/>
        <v/>
      </c>
      <c r="N27" s="73"/>
      <c r="O27" s="39"/>
      <c r="P27" s="39"/>
      <c r="Q27" s="51" t="str">
        <f t="shared" si="3"/>
        <v/>
      </c>
      <c r="R27" s="56"/>
      <c r="S27" s="83"/>
      <c r="T27" s="31"/>
    </row>
    <row r="28" spans="1:20">
      <c r="A28" s="46"/>
      <c r="B28" s="40"/>
      <c r="C28" s="40"/>
      <c r="D28" s="39"/>
      <c r="E28" s="39"/>
      <c r="F28" s="39"/>
      <c r="G28" s="73"/>
      <c r="H28" s="79"/>
      <c r="I28" s="67"/>
      <c r="J28" s="67"/>
      <c r="K28" s="81" t="str">
        <f t="shared" si="0"/>
        <v/>
      </c>
      <c r="L28" s="81" t="str">
        <f t="shared" si="1"/>
        <v/>
      </c>
      <c r="M28" s="81" t="str">
        <f t="shared" si="2"/>
        <v/>
      </c>
      <c r="N28" s="73"/>
      <c r="O28" s="39"/>
      <c r="P28" s="39"/>
      <c r="Q28" s="51" t="str">
        <f t="shared" si="3"/>
        <v/>
      </c>
      <c r="R28" s="56"/>
      <c r="S28" s="83"/>
      <c r="T28" s="31"/>
    </row>
    <row r="29" spans="1:20">
      <c r="A29" s="46"/>
      <c r="B29" s="40"/>
      <c r="C29" s="40"/>
      <c r="D29" s="39"/>
      <c r="E29" s="39"/>
      <c r="F29" s="39"/>
      <c r="G29" s="73"/>
      <c r="H29" s="79"/>
      <c r="I29" s="67"/>
      <c r="J29" s="67"/>
      <c r="K29" s="81" t="str">
        <f t="shared" si="0"/>
        <v/>
      </c>
      <c r="L29" s="81" t="str">
        <f t="shared" si="1"/>
        <v/>
      </c>
      <c r="M29" s="81" t="str">
        <f t="shared" si="2"/>
        <v/>
      </c>
      <c r="N29" s="73"/>
      <c r="O29" s="39"/>
      <c r="P29" s="39"/>
      <c r="Q29" s="51" t="str">
        <f t="shared" si="3"/>
        <v/>
      </c>
      <c r="R29" s="56"/>
      <c r="S29" s="83"/>
      <c r="T29" s="31"/>
    </row>
    <row r="30" spans="1:20">
      <c r="A30" s="46"/>
      <c r="B30" s="40"/>
      <c r="C30" s="40"/>
      <c r="D30" s="39"/>
      <c r="E30" s="39"/>
      <c r="F30" s="39"/>
      <c r="G30" s="73"/>
      <c r="H30" s="79"/>
      <c r="I30" s="67"/>
      <c r="J30" s="67"/>
      <c r="K30" s="81" t="str">
        <f t="shared" si="0"/>
        <v/>
      </c>
      <c r="L30" s="81" t="str">
        <f t="shared" si="1"/>
        <v/>
      </c>
      <c r="M30" s="81" t="str">
        <f t="shared" si="2"/>
        <v/>
      </c>
      <c r="N30" s="73"/>
      <c r="O30" s="39"/>
      <c r="P30" s="39"/>
      <c r="Q30" s="51" t="str">
        <f t="shared" si="3"/>
        <v/>
      </c>
      <c r="R30" s="56"/>
      <c r="S30" s="83"/>
      <c r="T30" s="31"/>
    </row>
    <row r="31" spans="1:20">
      <c r="A31" s="46"/>
      <c r="B31" s="40"/>
      <c r="C31" s="40"/>
      <c r="D31" s="39"/>
      <c r="E31" s="39"/>
      <c r="F31" s="39"/>
      <c r="G31" s="73"/>
      <c r="H31" s="79"/>
      <c r="I31" s="67"/>
      <c r="J31" s="67"/>
      <c r="K31" s="81" t="str">
        <f t="shared" si="0"/>
        <v/>
      </c>
      <c r="L31" s="81" t="str">
        <f t="shared" si="1"/>
        <v/>
      </c>
      <c r="M31" s="81" t="str">
        <f t="shared" si="2"/>
        <v/>
      </c>
      <c r="N31" s="73"/>
      <c r="O31" s="39"/>
      <c r="P31" s="39"/>
      <c r="Q31" s="51" t="str">
        <f t="shared" si="3"/>
        <v/>
      </c>
      <c r="R31" s="56"/>
      <c r="S31" s="83"/>
      <c r="T31" s="31"/>
    </row>
    <row r="32" spans="1:20">
      <c r="A32" s="46"/>
      <c r="B32" s="40"/>
      <c r="C32" s="40"/>
      <c r="D32" s="39"/>
      <c r="E32" s="39"/>
      <c r="F32" s="39"/>
      <c r="G32" s="73"/>
      <c r="H32" s="79"/>
      <c r="I32" s="67"/>
      <c r="J32" s="67"/>
      <c r="K32" s="81" t="str">
        <f t="shared" si="0"/>
        <v/>
      </c>
      <c r="L32" s="81" t="str">
        <f t="shared" si="1"/>
        <v/>
      </c>
      <c r="M32" s="81" t="str">
        <f t="shared" si="2"/>
        <v/>
      </c>
      <c r="N32" s="73"/>
      <c r="O32" s="39"/>
      <c r="P32" s="39"/>
      <c r="Q32" s="51" t="str">
        <f t="shared" si="3"/>
        <v/>
      </c>
      <c r="R32" s="56"/>
      <c r="S32" s="83"/>
      <c r="T32" s="31"/>
    </row>
    <row r="33" spans="1:20">
      <c r="A33" s="46"/>
      <c r="B33" s="40"/>
      <c r="C33" s="40"/>
      <c r="D33" s="39"/>
      <c r="E33" s="39"/>
      <c r="F33" s="39"/>
      <c r="G33" s="73"/>
      <c r="H33" s="79"/>
      <c r="I33" s="67"/>
      <c r="J33" s="67"/>
      <c r="K33" s="81" t="str">
        <f t="shared" si="0"/>
        <v/>
      </c>
      <c r="L33" s="81" t="str">
        <f t="shared" si="1"/>
        <v/>
      </c>
      <c r="M33" s="81" t="str">
        <f t="shared" si="2"/>
        <v/>
      </c>
      <c r="N33" s="73"/>
      <c r="O33" s="39"/>
      <c r="P33" s="39"/>
      <c r="Q33" s="51" t="str">
        <f t="shared" si="3"/>
        <v/>
      </c>
      <c r="R33" s="56"/>
      <c r="S33" s="83"/>
      <c r="T33" s="31"/>
    </row>
    <row r="34" spans="1:20">
      <c r="A34" s="46"/>
      <c r="B34" s="40"/>
      <c r="C34" s="40"/>
      <c r="D34" s="39"/>
      <c r="E34" s="39"/>
      <c r="F34" s="39"/>
      <c r="G34" s="73"/>
      <c r="H34" s="79"/>
      <c r="I34" s="67"/>
      <c r="J34" s="67"/>
      <c r="K34" s="81" t="str">
        <f t="shared" si="0"/>
        <v/>
      </c>
      <c r="L34" s="81" t="str">
        <f t="shared" si="1"/>
        <v/>
      </c>
      <c r="M34" s="81" t="str">
        <f t="shared" si="2"/>
        <v/>
      </c>
      <c r="N34" s="73"/>
      <c r="O34" s="39"/>
      <c r="P34" s="39"/>
      <c r="Q34" s="51" t="str">
        <f t="shared" si="3"/>
        <v/>
      </c>
      <c r="R34" s="56"/>
      <c r="S34" s="83"/>
      <c r="T34" s="31"/>
    </row>
    <row r="35" spans="1:20">
      <c r="A35" s="46"/>
      <c r="B35" s="40"/>
      <c r="C35" s="40"/>
      <c r="D35" s="39"/>
      <c r="E35" s="39"/>
      <c r="F35" s="39"/>
      <c r="G35" s="73"/>
      <c r="H35" s="79"/>
      <c r="I35" s="67"/>
      <c r="J35" s="67"/>
      <c r="K35" s="81" t="str">
        <f t="shared" si="0"/>
        <v/>
      </c>
      <c r="L35" s="81" t="str">
        <f t="shared" si="1"/>
        <v/>
      </c>
      <c r="M35" s="81" t="str">
        <f t="shared" si="2"/>
        <v/>
      </c>
      <c r="N35" s="73"/>
      <c r="O35" s="39"/>
      <c r="P35" s="39"/>
      <c r="Q35" s="51" t="str">
        <f t="shared" si="3"/>
        <v/>
      </c>
      <c r="R35" s="56"/>
      <c r="S35" s="83"/>
      <c r="T35" s="31"/>
    </row>
    <row r="36" spans="1:20">
      <c r="A36" s="46"/>
      <c r="B36" s="40"/>
      <c r="C36" s="40"/>
      <c r="D36" s="39"/>
      <c r="E36" s="39"/>
      <c r="F36" s="39"/>
      <c r="G36" s="73"/>
      <c r="H36" s="79"/>
      <c r="I36" s="67"/>
      <c r="J36" s="67"/>
      <c r="K36" s="81" t="str">
        <f t="shared" si="0"/>
        <v/>
      </c>
      <c r="L36" s="81" t="str">
        <f t="shared" si="1"/>
        <v/>
      </c>
      <c r="M36" s="81" t="str">
        <f t="shared" si="2"/>
        <v/>
      </c>
      <c r="N36" s="73"/>
      <c r="O36" s="39"/>
      <c r="P36" s="39"/>
      <c r="Q36" s="51" t="str">
        <f t="shared" si="3"/>
        <v/>
      </c>
      <c r="R36" s="56"/>
      <c r="S36" s="83"/>
      <c r="T36" s="31"/>
    </row>
    <row r="37" spans="1:20">
      <c r="A37" s="46"/>
      <c r="B37" s="40"/>
      <c r="C37" s="40"/>
      <c r="D37" s="39"/>
      <c r="E37" s="39"/>
      <c r="F37" s="39"/>
      <c r="G37" s="73"/>
      <c r="H37" s="79"/>
      <c r="I37" s="67"/>
      <c r="J37" s="67"/>
      <c r="K37" s="81" t="str">
        <f t="shared" si="0"/>
        <v/>
      </c>
      <c r="L37" s="81" t="str">
        <f t="shared" si="1"/>
        <v/>
      </c>
      <c r="M37" s="81" t="str">
        <f t="shared" si="2"/>
        <v/>
      </c>
      <c r="N37" s="73"/>
      <c r="O37" s="39"/>
      <c r="P37" s="39"/>
      <c r="Q37" s="51" t="str">
        <f t="shared" si="3"/>
        <v/>
      </c>
      <c r="R37" s="56"/>
      <c r="S37" s="83"/>
      <c r="T37" s="31"/>
    </row>
    <row r="38" spans="1:20">
      <c r="A38" s="46"/>
      <c r="B38" s="40"/>
      <c r="C38" s="40"/>
      <c r="D38" s="39"/>
      <c r="E38" s="39"/>
      <c r="F38" s="39"/>
      <c r="G38" s="73"/>
      <c r="H38" s="79"/>
      <c r="I38" s="67"/>
      <c r="J38" s="67"/>
      <c r="K38" s="81" t="str">
        <f t="shared" si="0"/>
        <v/>
      </c>
      <c r="L38" s="81" t="str">
        <f t="shared" si="1"/>
        <v/>
      </c>
      <c r="M38" s="81" t="str">
        <f t="shared" si="2"/>
        <v/>
      </c>
      <c r="N38" s="73"/>
      <c r="O38" s="39"/>
      <c r="P38" s="39"/>
      <c r="Q38" s="51" t="str">
        <f t="shared" si="3"/>
        <v/>
      </c>
      <c r="R38" s="56"/>
      <c r="S38" s="83"/>
      <c r="T38" s="31"/>
    </row>
    <row r="39" spans="1:20">
      <c r="A39" s="46"/>
      <c r="B39" s="40"/>
      <c r="C39" s="40"/>
      <c r="D39" s="39"/>
      <c r="E39" s="39"/>
      <c r="F39" s="39"/>
      <c r="G39" s="73"/>
      <c r="H39" s="79"/>
      <c r="I39" s="67"/>
      <c r="J39" s="67"/>
      <c r="K39" s="81" t="str">
        <f t="shared" ref="K39:K70" si="4">IF(N39&lt;&gt;"","",IF(AND(G39&lt;&gt;"",H39&lt;&gt;"",J39&lt;&gt;""),ROUND(PPMT(H39,1,J39,-G39),0),""))</f>
        <v/>
      </c>
      <c r="L39" s="81" t="str">
        <f t="shared" ref="L39:L70" si="5">IF(N39&lt;&gt;"","",IF(AND(G39&lt;&gt;"",H39&lt;&gt;""),ROUND(G39*H39,0),""))</f>
        <v/>
      </c>
      <c r="M39" s="81" t="str">
        <f t="shared" ref="M39:M70" si="6">IF(N39&lt;&gt;"",N39,IF(AND(G39&lt;&gt;"",H39&lt;&gt;"",J39&lt;&gt;""),ROUND(PMT(H39,J39,-G39),0),""))</f>
        <v/>
      </c>
      <c r="N39" s="73"/>
      <c r="O39" s="39"/>
      <c r="P39" s="39"/>
      <c r="Q39" s="51" t="str">
        <f t="shared" ref="Q39:Q70" si="7">IF(A39="","",IF(D39="No","Excluded",IF(AND(OR(F39="N/A",E39="No Debt / N/A"),G39=""),"No Debt / N/A",IF(M39&lt;&gt;"","Ready","Partial"))))</f>
        <v/>
      </c>
      <c r="R39" s="56"/>
      <c r="S39" s="83"/>
      <c r="T39" s="31"/>
    </row>
    <row r="40" spans="1:20">
      <c r="A40" s="46"/>
      <c r="B40" s="40"/>
      <c r="C40" s="40"/>
      <c r="D40" s="39"/>
      <c r="E40" s="39"/>
      <c r="F40" s="39"/>
      <c r="G40" s="73"/>
      <c r="H40" s="79"/>
      <c r="I40" s="67"/>
      <c r="J40" s="67"/>
      <c r="K40" s="81" t="str">
        <f t="shared" si="4"/>
        <v/>
      </c>
      <c r="L40" s="81" t="str">
        <f t="shared" si="5"/>
        <v/>
      </c>
      <c r="M40" s="81" t="str">
        <f t="shared" si="6"/>
        <v/>
      </c>
      <c r="N40" s="73"/>
      <c r="O40" s="39"/>
      <c r="P40" s="39"/>
      <c r="Q40" s="51" t="str">
        <f t="shared" si="7"/>
        <v/>
      </c>
      <c r="R40" s="56"/>
      <c r="S40" s="83"/>
      <c r="T40" s="31"/>
    </row>
    <row r="41" spans="1:20">
      <c r="A41" s="46"/>
      <c r="B41" s="40"/>
      <c r="C41" s="40"/>
      <c r="D41" s="39"/>
      <c r="E41" s="39"/>
      <c r="F41" s="39"/>
      <c r="G41" s="73"/>
      <c r="H41" s="79"/>
      <c r="I41" s="67"/>
      <c r="J41" s="67"/>
      <c r="K41" s="81" t="str">
        <f t="shared" si="4"/>
        <v/>
      </c>
      <c r="L41" s="81" t="str">
        <f t="shared" si="5"/>
        <v/>
      </c>
      <c r="M41" s="81" t="str">
        <f t="shared" si="6"/>
        <v/>
      </c>
      <c r="N41" s="73"/>
      <c r="O41" s="39"/>
      <c r="P41" s="39"/>
      <c r="Q41" s="51" t="str">
        <f t="shared" si="7"/>
        <v/>
      </c>
      <c r="R41" s="56"/>
      <c r="S41" s="83"/>
      <c r="T41" s="31"/>
    </row>
    <row r="42" spans="1:20">
      <c r="A42" s="46"/>
      <c r="B42" s="40"/>
      <c r="C42" s="40"/>
      <c r="D42" s="39"/>
      <c r="E42" s="39"/>
      <c r="F42" s="39"/>
      <c r="G42" s="73"/>
      <c r="H42" s="79"/>
      <c r="I42" s="67"/>
      <c r="J42" s="67"/>
      <c r="K42" s="81" t="str">
        <f t="shared" si="4"/>
        <v/>
      </c>
      <c r="L42" s="81" t="str">
        <f t="shared" si="5"/>
        <v/>
      </c>
      <c r="M42" s="81" t="str">
        <f t="shared" si="6"/>
        <v/>
      </c>
      <c r="N42" s="73"/>
      <c r="O42" s="39"/>
      <c r="P42" s="39"/>
      <c r="Q42" s="51" t="str">
        <f t="shared" si="7"/>
        <v/>
      </c>
      <c r="R42" s="56"/>
      <c r="S42" s="83"/>
      <c r="T42" s="31"/>
    </row>
    <row r="43" spans="1:20">
      <c r="A43" s="46"/>
      <c r="B43" s="40"/>
      <c r="C43" s="40"/>
      <c r="D43" s="39"/>
      <c r="E43" s="39"/>
      <c r="F43" s="39"/>
      <c r="G43" s="73"/>
      <c r="H43" s="79"/>
      <c r="I43" s="67"/>
      <c r="J43" s="67"/>
      <c r="K43" s="81" t="str">
        <f t="shared" si="4"/>
        <v/>
      </c>
      <c r="L43" s="81" t="str">
        <f t="shared" si="5"/>
        <v/>
      </c>
      <c r="M43" s="81" t="str">
        <f t="shared" si="6"/>
        <v/>
      </c>
      <c r="N43" s="73"/>
      <c r="O43" s="39"/>
      <c r="P43" s="39"/>
      <c r="Q43" s="51" t="str">
        <f t="shared" si="7"/>
        <v/>
      </c>
      <c r="R43" s="56"/>
      <c r="S43" s="83"/>
      <c r="T43" s="31"/>
    </row>
    <row r="44" spans="1:20">
      <c r="A44" s="46"/>
      <c r="B44" s="40"/>
      <c r="C44" s="40"/>
      <c r="D44" s="39"/>
      <c r="E44" s="39"/>
      <c r="F44" s="39"/>
      <c r="G44" s="73"/>
      <c r="H44" s="79"/>
      <c r="I44" s="67"/>
      <c r="J44" s="67"/>
      <c r="K44" s="81" t="str">
        <f t="shared" si="4"/>
        <v/>
      </c>
      <c r="L44" s="81" t="str">
        <f t="shared" si="5"/>
        <v/>
      </c>
      <c r="M44" s="81" t="str">
        <f t="shared" si="6"/>
        <v/>
      </c>
      <c r="N44" s="73"/>
      <c r="O44" s="39"/>
      <c r="P44" s="39"/>
      <c r="Q44" s="51" t="str">
        <f t="shared" si="7"/>
        <v/>
      </c>
      <c r="R44" s="56"/>
      <c r="S44" s="83"/>
      <c r="T44" s="31"/>
    </row>
    <row r="45" spans="1:20">
      <c r="A45" s="46"/>
      <c r="B45" s="40"/>
      <c r="C45" s="40"/>
      <c r="D45" s="39"/>
      <c r="E45" s="39"/>
      <c r="F45" s="39"/>
      <c r="G45" s="73"/>
      <c r="H45" s="79"/>
      <c r="I45" s="67"/>
      <c r="J45" s="67"/>
      <c r="K45" s="81" t="str">
        <f t="shared" si="4"/>
        <v/>
      </c>
      <c r="L45" s="81" t="str">
        <f t="shared" si="5"/>
        <v/>
      </c>
      <c r="M45" s="81" t="str">
        <f t="shared" si="6"/>
        <v/>
      </c>
      <c r="N45" s="73"/>
      <c r="O45" s="39"/>
      <c r="P45" s="39"/>
      <c r="Q45" s="51" t="str">
        <f t="shared" si="7"/>
        <v/>
      </c>
      <c r="R45" s="56"/>
      <c r="S45" s="83"/>
      <c r="T45" s="31"/>
    </row>
    <row r="46" spans="1:20">
      <c r="A46" s="46"/>
      <c r="B46" s="40"/>
      <c r="C46" s="40"/>
      <c r="D46" s="39"/>
      <c r="E46" s="39"/>
      <c r="F46" s="39"/>
      <c r="G46" s="73"/>
      <c r="H46" s="79"/>
      <c r="I46" s="67"/>
      <c r="J46" s="67"/>
      <c r="K46" s="81" t="str">
        <f t="shared" si="4"/>
        <v/>
      </c>
      <c r="L46" s="81" t="str">
        <f t="shared" si="5"/>
        <v/>
      </c>
      <c r="M46" s="81" t="str">
        <f t="shared" si="6"/>
        <v/>
      </c>
      <c r="N46" s="73"/>
      <c r="O46" s="39"/>
      <c r="P46" s="39"/>
      <c r="Q46" s="51" t="str">
        <f t="shared" si="7"/>
        <v/>
      </c>
      <c r="R46" s="56"/>
      <c r="S46" s="83"/>
      <c r="T46" s="31"/>
    </row>
    <row r="47" spans="1:20">
      <c r="A47" s="46"/>
      <c r="B47" s="40"/>
      <c r="C47" s="40"/>
      <c r="D47" s="39"/>
      <c r="E47" s="39"/>
      <c r="F47" s="39"/>
      <c r="G47" s="73"/>
      <c r="H47" s="79"/>
      <c r="I47" s="67"/>
      <c r="J47" s="67"/>
      <c r="K47" s="81" t="str">
        <f t="shared" si="4"/>
        <v/>
      </c>
      <c r="L47" s="81" t="str">
        <f t="shared" si="5"/>
        <v/>
      </c>
      <c r="M47" s="81" t="str">
        <f t="shared" si="6"/>
        <v/>
      </c>
      <c r="N47" s="73"/>
      <c r="O47" s="39"/>
      <c r="P47" s="39"/>
      <c r="Q47" s="51" t="str">
        <f t="shared" si="7"/>
        <v/>
      </c>
      <c r="R47" s="56"/>
      <c r="S47" s="83"/>
      <c r="T47" s="31"/>
    </row>
    <row r="48" spans="1:20">
      <c r="A48" s="46"/>
      <c r="B48" s="40"/>
      <c r="C48" s="40"/>
      <c r="D48" s="39"/>
      <c r="E48" s="39"/>
      <c r="F48" s="39"/>
      <c r="G48" s="73"/>
      <c r="H48" s="79"/>
      <c r="I48" s="67"/>
      <c r="J48" s="67"/>
      <c r="K48" s="81" t="str">
        <f t="shared" si="4"/>
        <v/>
      </c>
      <c r="L48" s="81" t="str">
        <f t="shared" si="5"/>
        <v/>
      </c>
      <c r="M48" s="81" t="str">
        <f t="shared" si="6"/>
        <v/>
      </c>
      <c r="N48" s="73"/>
      <c r="O48" s="39"/>
      <c r="P48" s="39"/>
      <c r="Q48" s="51" t="str">
        <f t="shared" si="7"/>
        <v/>
      </c>
      <c r="R48" s="56"/>
      <c r="S48" s="83"/>
      <c r="T48" s="31"/>
    </row>
    <row r="49" spans="1:20">
      <c r="A49" s="46"/>
      <c r="B49" s="40"/>
      <c r="C49" s="40"/>
      <c r="D49" s="39"/>
      <c r="E49" s="39"/>
      <c r="F49" s="39"/>
      <c r="G49" s="73"/>
      <c r="H49" s="79"/>
      <c r="I49" s="67"/>
      <c r="J49" s="67"/>
      <c r="K49" s="81" t="str">
        <f t="shared" si="4"/>
        <v/>
      </c>
      <c r="L49" s="81" t="str">
        <f t="shared" si="5"/>
        <v/>
      </c>
      <c r="M49" s="81" t="str">
        <f t="shared" si="6"/>
        <v/>
      </c>
      <c r="N49" s="73"/>
      <c r="O49" s="39"/>
      <c r="P49" s="39"/>
      <c r="Q49" s="51" t="str">
        <f t="shared" si="7"/>
        <v/>
      </c>
      <c r="R49" s="56"/>
      <c r="S49" s="83"/>
      <c r="T49" s="31"/>
    </row>
    <row r="50" spans="1:20">
      <c r="A50" s="46"/>
      <c r="B50" s="40"/>
      <c r="C50" s="40"/>
      <c r="D50" s="39"/>
      <c r="E50" s="39"/>
      <c r="F50" s="39"/>
      <c r="G50" s="73"/>
      <c r="H50" s="79"/>
      <c r="I50" s="67"/>
      <c r="J50" s="67"/>
      <c r="K50" s="81" t="str">
        <f t="shared" si="4"/>
        <v/>
      </c>
      <c r="L50" s="81" t="str">
        <f t="shared" si="5"/>
        <v/>
      </c>
      <c r="M50" s="81" t="str">
        <f t="shared" si="6"/>
        <v/>
      </c>
      <c r="N50" s="73"/>
      <c r="O50" s="39"/>
      <c r="P50" s="39"/>
      <c r="Q50" s="51" t="str">
        <f t="shared" si="7"/>
        <v/>
      </c>
      <c r="R50" s="56"/>
      <c r="S50" s="83"/>
      <c r="T50" s="31"/>
    </row>
    <row r="51" spans="1:20">
      <c r="A51" s="46"/>
      <c r="B51" s="40"/>
      <c r="C51" s="40"/>
      <c r="D51" s="39"/>
      <c r="E51" s="39"/>
      <c r="F51" s="39"/>
      <c r="G51" s="73"/>
      <c r="H51" s="79"/>
      <c r="I51" s="67"/>
      <c r="J51" s="67"/>
      <c r="K51" s="81" t="str">
        <f t="shared" si="4"/>
        <v/>
      </c>
      <c r="L51" s="81" t="str">
        <f t="shared" si="5"/>
        <v/>
      </c>
      <c r="M51" s="81" t="str">
        <f t="shared" si="6"/>
        <v/>
      </c>
      <c r="N51" s="73"/>
      <c r="O51" s="39"/>
      <c r="P51" s="39"/>
      <c r="Q51" s="51" t="str">
        <f t="shared" si="7"/>
        <v/>
      </c>
      <c r="R51" s="56"/>
      <c r="S51" s="83"/>
      <c r="T51" s="31"/>
    </row>
    <row r="52" spans="1:20">
      <c r="A52" s="46"/>
      <c r="B52" s="40"/>
      <c r="C52" s="40"/>
      <c r="D52" s="39"/>
      <c r="E52" s="39"/>
      <c r="F52" s="39"/>
      <c r="G52" s="73"/>
      <c r="H52" s="79"/>
      <c r="I52" s="67"/>
      <c r="J52" s="67"/>
      <c r="K52" s="81" t="str">
        <f t="shared" si="4"/>
        <v/>
      </c>
      <c r="L52" s="81" t="str">
        <f t="shared" si="5"/>
        <v/>
      </c>
      <c r="M52" s="81" t="str">
        <f t="shared" si="6"/>
        <v/>
      </c>
      <c r="N52" s="73"/>
      <c r="O52" s="39"/>
      <c r="P52" s="39"/>
      <c r="Q52" s="51" t="str">
        <f t="shared" si="7"/>
        <v/>
      </c>
      <c r="R52" s="56"/>
      <c r="S52" s="83"/>
      <c r="T52" s="31"/>
    </row>
    <row r="53" spans="1:20">
      <c r="A53" s="46"/>
      <c r="B53" s="40"/>
      <c r="C53" s="40"/>
      <c r="D53" s="39"/>
      <c r="E53" s="39"/>
      <c r="F53" s="39"/>
      <c r="G53" s="73"/>
      <c r="H53" s="79"/>
      <c r="I53" s="67"/>
      <c r="J53" s="67"/>
      <c r="K53" s="81" t="str">
        <f t="shared" si="4"/>
        <v/>
      </c>
      <c r="L53" s="81" t="str">
        <f t="shared" si="5"/>
        <v/>
      </c>
      <c r="M53" s="81" t="str">
        <f t="shared" si="6"/>
        <v/>
      </c>
      <c r="N53" s="73"/>
      <c r="O53" s="39"/>
      <c r="P53" s="39"/>
      <c r="Q53" s="51" t="str">
        <f t="shared" si="7"/>
        <v/>
      </c>
      <c r="R53" s="56"/>
      <c r="S53" s="83"/>
      <c r="T53" s="31"/>
    </row>
    <row r="54" spans="1:20">
      <c r="A54" s="46"/>
      <c r="B54" s="40"/>
      <c r="C54" s="40"/>
      <c r="D54" s="39"/>
      <c r="E54" s="39"/>
      <c r="F54" s="39"/>
      <c r="G54" s="73"/>
      <c r="H54" s="79"/>
      <c r="I54" s="67"/>
      <c r="J54" s="67"/>
      <c r="K54" s="81" t="str">
        <f t="shared" si="4"/>
        <v/>
      </c>
      <c r="L54" s="81" t="str">
        <f t="shared" si="5"/>
        <v/>
      </c>
      <c r="M54" s="81" t="str">
        <f t="shared" si="6"/>
        <v/>
      </c>
      <c r="N54" s="73"/>
      <c r="O54" s="39"/>
      <c r="P54" s="39"/>
      <c r="Q54" s="51" t="str">
        <f t="shared" si="7"/>
        <v/>
      </c>
      <c r="R54" s="56"/>
      <c r="S54" s="83"/>
      <c r="T54" s="31"/>
    </row>
    <row r="55" spans="1:20">
      <c r="A55" s="46"/>
      <c r="B55" s="40"/>
      <c r="C55" s="40"/>
      <c r="D55" s="39"/>
      <c r="E55" s="39"/>
      <c r="F55" s="39"/>
      <c r="G55" s="73"/>
      <c r="H55" s="79"/>
      <c r="I55" s="67"/>
      <c r="J55" s="67"/>
      <c r="K55" s="81" t="str">
        <f t="shared" si="4"/>
        <v/>
      </c>
      <c r="L55" s="81" t="str">
        <f t="shared" si="5"/>
        <v/>
      </c>
      <c r="M55" s="81" t="str">
        <f t="shared" si="6"/>
        <v/>
      </c>
      <c r="N55" s="73"/>
      <c r="O55" s="39"/>
      <c r="P55" s="39"/>
      <c r="Q55" s="51" t="str">
        <f t="shared" si="7"/>
        <v/>
      </c>
      <c r="R55" s="56"/>
      <c r="S55" s="83"/>
      <c r="T55" s="31"/>
    </row>
    <row r="56" spans="1:20">
      <c r="A56" s="46"/>
      <c r="B56" s="40"/>
      <c r="C56" s="40"/>
      <c r="D56" s="39"/>
      <c r="E56" s="39"/>
      <c r="F56" s="39"/>
      <c r="G56" s="73"/>
      <c r="H56" s="79"/>
      <c r="I56" s="67"/>
      <c r="J56" s="67"/>
      <c r="K56" s="81" t="str">
        <f t="shared" si="4"/>
        <v/>
      </c>
      <c r="L56" s="81" t="str">
        <f t="shared" si="5"/>
        <v/>
      </c>
      <c r="M56" s="81" t="str">
        <f t="shared" si="6"/>
        <v/>
      </c>
      <c r="N56" s="73"/>
      <c r="O56" s="39"/>
      <c r="P56" s="39"/>
      <c r="Q56" s="51" t="str">
        <f t="shared" si="7"/>
        <v/>
      </c>
      <c r="R56" s="56"/>
      <c r="S56" s="83"/>
      <c r="T56" s="31"/>
    </row>
    <row r="57" spans="1:20">
      <c r="A57" s="46"/>
      <c r="B57" s="40"/>
      <c r="C57" s="40"/>
      <c r="D57" s="39"/>
      <c r="E57" s="39"/>
      <c r="F57" s="39"/>
      <c r="G57" s="73"/>
      <c r="H57" s="79"/>
      <c r="I57" s="67"/>
      <c r="J57" s="67"/>
      <c r="K57" s="81" t="str">
        <f t="shared" si="4"/>
        <v/>
      </c>
      <c r="L57" s="81" t="str">
        <f t="shared" si="5"/>
        <v/>
      </c>
      <c r="M57" s="81" t="str">
        <f t="shared" si="6"/>
        <v/>
      </c>
      <c r="N57" s="73"/>
      <c r="O57" s="39"/>
      <c r="P57" s="39"/>
      <c r="Q57" s="51" t="str">
        <f t="shared" si="7"/>
        <v/>
      </c>
      <c r="R57" s="56"/>
      <c r="S57" s="83"/>
      <c r="T57" s="31"/>
    </row>
    <row r="58" spans="1:20">
      <c r="A58" s="46"/>
      <c r="B58" s="40"/>
      <c r="C58" s="40"/>
      <c r="D58" s="39"/>
      <c r="E58" s="39"/>
      <c r="F58" s="39"/>
      <c r="G58" s="73"/>
      <c r="H58" s="79"/>
      <c r="I58" s="67"/>
      <c r="J58" s="67"/>
      <c r="K58" s="81" t="str">
        <f t="shared" si="4"/>
        <v/>
      </c>
      <c r="L58" s="81" t="str">
        <f t="shared" si="5"/>
        <v/>
      </c>
      <c r="M58" s="81" t="str">
        <f t="shared" si="6"/>
        <v/>
      </c>
      <c r="N58" s="73"/>
      <c r="O58" s="39"/>
      <c r="P58" s="39"/>
      <c r="Q58" s="51" t="str">
        <f t="shared" si="7"/>
        <v/>
      </c>
      <c r="R58" s="56"/>
      <c r="S58" s="83"/>
      <c r="T58" s="31"/>
    </row>
    <row r="59" spans="1:20">
      <c r="A59" s="46"/>
      <c r="B59" s="40"/>
      <c r="C59" s="40"/>
      <c r="D59" s="39"/>
      <c r="E59" s="39"/>
      <c r="F59" s="39"/>
      <c r="G59" s="73"/>
      <c r="H59" s="79"/>
      <c r="I59" s="67"/>
      <c r="J59" s="67"/>
      <c r="K59" s="81" t="str">
        <f t="shared" si="4"/>
        <v/>
      </c>
      <c r="L59" s="81" t="str">
        <f t="shared" si="5"/>
        <v/>
      </c>
      <c r="M59" s="81" t="str">
        <f t="shared" si="6"/>
        <v/>
      </c>
      <c r="N59" s="73"/>
      <c r="O59" s="39"/>
      <c r="P59" s="39"/>
      <c r="Q59" s="51" t="str">
        <f t="shared" si="7"/>
        <v/>
      </c>
      <c r="R59" s="56"/>
      <c r="S59" s="83"/>
      <c r="T59" s="31"/>
    </row>
    <row r="60" spans="1:20">
      <c r="A60" s="46"/>
      <c r="B60" s="40"/>
      <c r="C60" s="40"/>
      <c r="D60" s="39"/>
      <c r="E60" s="39"/>
      <c r="F60" s="39"/>
      <c r="G60" s="73"/>
      <c r="H60" s="79"/>
      <c r="I60" s="67"/>
      <c r="J60" s="67"/>
      <c r="K60" s="81" t="str">
        <f t="shared" si="4"/>
        <v/>
      </c>
      <c r="L60" s="81" t="str">
        <f t="shared" si="5"/>
        <v/>
      </c>
      <c r="M60" s="81" t="str">
        <f t="shared" si="6"/>
        <v/>
      </c>
      <c r="N60" s="73"/>
      <c r="O60" s="39"/>
      <c r="P60" s="39"/>
      <c r="Q60" s="51" t="str">
        <f t="shared" si="7"/>
        <v/>
      </c>
      <c r="R60" s="56"/>
      <c r="S60" s="83"/>
      <c r="T60" s="31"/>
    </row>
    <row r="61" spans="1:20">
      <c r="A61" s="46"/>
      <c r="B61" s="40"/>
      <c r="C61" s="40"/>
      <c r="D61" s="39"/>
      <c r="E61" s="39"/>
      <c r="F61" s="39"/>
      <c r="G61" s="73"/>
      <c r="H61" s="79"/>
      <c r="I61" s="67"/>
      <c r="J61" s="67"/>
      <c r="K61" s="81" t="str">
        <f t="shared" si="4"/>
        <v/>
      </c>
      <c r="L61" s="81" t="str">
        <f t="shared" si="5"/>
        <v/>
      </c>
      <c r="M61" s="81" t="str">
        <f t="shared" si="6"/>
        <v/>
      </c>
      <c r="N61" s="73"/>
      <c r="O61" s="39"/>
      <c r="P61" s="39"/>
      <c r="Q61" s="51" t="str">
        <f t="shared" si="7"/>
        <v/>
      </c>
      <c r="R61" s="56"/>
      <c r="S61" s="83"/>
      <c r="T61" s="31"/>
    </row>
    <row r="62" spans="1:20">
      <c r="A62" s="46"/>
      <c r="B62" s="40"/>
      <c r="C62" s="40"/>
      <c r="D62" s="39"/>
      <c r="E62" s="39"/>
      <c r="F62" s="39"/>
      <c r="G62" s="73"/>
      <c r="H62" s="79"/>
      <c r="I62" s="67"/>
      <c r="J62" s="67"/>
      <c r="K62" s="81" t="str">
        <f t="shared" si="4"/>
        <v/>
      </c>
      <c r="L62" s="81" t="str">
        <f t="shared" si="5"/>
        <v/>
      </c>
      <c r="M62" s="81" t="str">
        <f t="shared" si="6"/>
        <v/>
      </c>
      <c r="N62" s="73"/>
      <c r="O62" s="39"/>
      <c r="P62" s="39"/>
      <c r="Q62" s="51" t="str">
        <f t="shared" si="7"/>
        <v/>
      </c>
      <c r="R62" s="56"/>
      <c r="S62" s="83"/>
      <c r="T62" s="31"/>
    </row>
    <row r="63" spans="1:20">
      <c r="A63" s="46"/>
      <c r="B63" s="40"/>
      <c r="C63" s="40"/>
      <c r="D63" s="39"/>
      <c r="E63" s="39"/>
      <c r="F63" s="39"/>
      <c r="G63" s="73"/>
      <c r="H63" s="79"/>
      <c r="I63" s="67"/>
      <c r="J63" s="67"/>
      <c r="K63" s="81" t="str">
        <f t="shared" si="4"/>
        <v/>
      </c>
      <c r="L63" s="81" t="str">
        <f t="shared" si="5"/>
        <v/>
      </c>
      <c r="M63" s="81" t="str">
        <f t="shared" si="6"/>
        <v/>
      </c>
      <c r="N63" s="73"/>
      <c r="O63" s="39"/>
      <c r="P63" s="39"/>
      <c r="Q63" s="51" t="str">
        <f t="shared" si="7"/>
        <v/>
      </c>
      <c r="R63" s="56"/>
      <c r="S63" s="83"/>
      <c r="T63" s="31"/>
    </row>
    <row r="64" spans="1:20">
      <c r="A64" s="46"/>
      <c r="B64" s="40"/>
      <c r="C64" s="40"/>
      <c r="D64" s="39"/>
      <c r="E64" s="39"/>
      <c r="F64" s="39"/>
      <c r="G64" s="73"/>
      <c r="H64" s="79"/>
      <c r="I64" s="67"/>
      <c r="J64" s="67"/>
      <c r="K64" s="81" t="str">
        <f t="shared" si="4"/>
        <v/>
      </c>
      <c r="L64" s="81" t="str">
        <f t="shared" si="5"/>
        <v/>
      </c>
      <c r="M64" s="81" t="str">
        <f t="shared" si="6"/>
        <v/>
      </c>
      <c r="N64" s="73"/>
      <c r="O64" s="39"/>
      <c r="P64" s="39"/>
      <c r="Q64" s="51" t="str">
        <f t="shared" si="7"/>
        <v/>
      </c>
      <c r="R64" s="56"/>
      <c r="S64" s="83"/>
      <c r="T64" s="31"/>
    </row>
    <row r="65" spans="1:20">
      <c r="A65" s="46"/>
      <c r="B65" s="40"/>
      <c r="C65" s="40"/>
      <c r="D65" s="39"/>
      <c r="E65" s="39"/>
      <c r="F65" s="39"/>
      <c r="G65" s="73"/>
      <c r="H65" s="79"/>
      <c r="I65" s="67"/>
      <c r="J65" s="67"/>
      <c r="K65" s="81" t="str">
        <f t="shared" si="4"/>
        <v/>
      </c>
      <c r="L65" s="81" t="str">
        <f t="shared" si="5"/>
        <v/>
      </c>
      <c r="M65" s="81" t="str">
        <f t="shared" si="6"/>
        <v/>
      </c>
      <c r="N65" s="73"/>
      <c r="O65" s="39"/>
      <c r="P65" s="39"/>
      <c r="Q65" s="51" t="str">
        <f t="shared" si="7"/>
        <v/>
      </c>
      <c r="R65" s="56"/>
      <c r="S65" s="83"/>
      <c r="T65" s="31"/>
    </row>
    <row r="66" spans="1:20">
      <c r="A66" s="46"/>
      <c r="B66" s="40"/>
      <c r="C66" s="40"/>
      <c r="D66" s="39"/>
      <c r="E66" s="39"/>
      <c r="F66" s="39"/>
      <c r="G66" s="73"/>
      <c r="H66" s="79"/>
      <c r="I66" s="67"/>
      <c r="J66" s="67"/>
      <c r="K66" s="81" t="str">
        <f t="shared" si="4"/>
        <v/>
      </c>
      <c r="L66" s="81" t="str">
        <f t="shared" si="5"/>
        <v/>
      </c>
      <c r="M66" s="81" t="str">
        <f t="shared" si="6"/>
        <v/>
      </c>
      <c r="N66" s="73"/>
      <c r="O66" s="39"/>
      <c r="P66" s="39"/>
      <c r="Q66" s="51" t="str">
        <f t="shared" si="7"/>
        <v/>
      </c>
      <c r="R66" s="56"/>
      <c r="S66" s="83"/>
      <c r="T66" s="31"/>
    </row>
    <row r="67" spans="1:20">
      <c r="A67" s="46"/>
      <c r="B67" s="40"/>
      <c r="C67" s="40"/>
      <c r="D67" s="39"/>
      <c r="E67" s="39"/>
      <c r="F67" s="39"/>
      <c r="G67" s="73"/>
      <c r="H67" s="79"/>
      <c r="I67" s="67"/>
      <c r="J67" s="67"/>
      <c r="K67" s="81" t="str">
        <f t="shared" si="4"/>
        <v/>
      </c>
      <c r="L67" s="81" t="str">
        <f t="shared" si="5"/>
        <v/>
      </c>
      <c r="M67" s="81" t="str">
        <f t="shared" si="6"/>
        <v/>
      </c>
      <c r="N67" s="73"/>
      <c r="O67" s="39"/>
      <c r="P67" s="39"/>
      <c r="Q67" s="51" t="str">
        <f t="shared" si="7"/>
        <v/>
      </c>
      <c r="R67" s="56"/>
      <c r="S67" s="83"/>
      <c r="T67" s="31"/>
    </row>
    <row r="68" spans="1:20">
      <c r="A68" s="46"/>
      <c r="B68" s="40"/>
      <c r="C68" s="40"/>
      <c r="D68" s="39"/>
      <c r="E68" s="39"/>
      <c r="F68" s="39"/>
      <c r="G68" s="73"/>
      <c r="H68" s="79"/>
      <c r="I68" s="67"/>
      <c r="J68" s="67"/>
      <c r="K68" s="81" t="str">
        <f t="shared" si="4"/>
        <v/>
      </c>
      <c r="L68" s="81" t="str">
        <f t="shared" si="5"/>
        <v/>
      </c>
      <c r="M68" s="81" t="str">
        <f t="shared" si="6"/>
        <v/>
      </c>
      <c r="N68" s="73"/>
      <c r="O68" s="39"/>
      <c r="P68" s="39"/>
      <c r="Q68" s="51" t="str">
        <f t="shared" si="7"/>
        <v/>
      </c>
      <c r="R68" s="56"/>
      <c r="S68" s="83"/>
      <c r="T68" s="31"/>
    </row>
    <row r="69" spans="1:20">
      <c r="A69" s="46"/>
      <c r="B69" s="40"/>
      <c r="C69" s="40"/>
      <c r="D69" s="39"/>
      <c r="E69" s="39"/>
      <c r="F69" s="39"/>
      <c r="G69" s="73"/>
      <c r="H69" s="79"/>
      <c r="I69" s="67"/>
      <c r="J69" s="67"/>
      <c r="K69" s="81" t="str">
        <f t="shared" si="4"/>
        <v/>
      </c>
      <c r="L69" s="81" t="str">
        <f t="shared" si="5"/>
        <v/>
      </c>
      <c r="M69" s="81" t="str">
        <f t="shared" si="6"/>
        <v/>
      </c>
      <c r="N69" s="73"/>
      <c r="O69" s="39"/>
      <c r="P69" s="39"/>
      <c r="Q69" s="51" t="str">
        <f t="shared" si="7"/>
        <v/>
      </c>
      <c r="R69" s="56"/>
      <c r="S69" s="83"/>
      <c r="T69" s="31"/>
    </row>
    <row r="70" spans="1:20">
      <c r="A70" s="46"/>
      <c r="B70" s="40"/>
      <c r="C70" s="40"/>
      <c r="D70" s="39"/>
      <c r="E70" s="39"/>
      <c r="F70" s="39"/>
      <c r="G70" s="73"/>
      <c r="H70" s="79"/>
      <c r="I70" s="67"/>
      <c r="J70" s="67"/>
      <c r="K70" s="81" t="str">
        <f t="shared" si="4"/>
        <v/>
      </c>
      <c r="L70" s="81" t="str">
        <f t="shared" si="5"/>
        <v/>
      </c>
      <c r="M70" s="81" t="str">
        <f t="shared" si="6"/>
        <v/>
      </c>
      <c r="N70" s="73"/>
      <c r="O70" s="39"/>
      <c r="P70" s="39"/>
      <c r="Q70" s="51" t="str">
        <f t="shared" si="7"/>
        <v/>
      </c>
      <c r="R70" s="56"/>
      <c r="S70" s="83"/>
      <c r="T70" s="31"/>
    </row>
    <row r="71" spans="1:20">
      <c r="A71" s="46"/>
      <c r="B71" s="40"/>
      <c r="C71" s="40"/>
      <c r="D71" s="39"/>
      <c r="E71" s="39"/>
      <c r="F71" s="39"/>
      <c r="G71" s="73"/>
      <c r="H71" s="79"/>
      <c r="I71" s="67"/>
      <c r="J71" s="67"/>
      <c r="K71" s="81" t="str">
        <f t="shared" ref="K71:K102" si="8">IF(N71&lt;&gt;"","",IF(AND(G71&lt;&gt;"",H71&lt;&gt;"",J71&lt;&gt;""),ROUND(PPMT(H71,1,J71,-G71),0),""))</f>
        <v/>
      </c>
      <c r="L71" s="81" t="str">
        <f t="shared" ref="L71:L102" si="9">IF(N71&lt;&gt;"","",IF(AND(G71&lt;&gt;"",H71&lt;&gt;""),ROUND(G71*H71,0),""))</f>
        <v/>
      </c>
      <c r="M71" s="81" t="str">
        <f t="shared" ref="M71:M102" si="10">IF(N71&lt;&gt;"",N71,IF(AND(G71&lt;&gt;"",H71&lt;&gt;"",J71&lt;&gt;""),ROUND(PMT(H71,J71,-G71),0),""))</f>
        <v/>
      </c>
      <c r="N71" s="73"/>
      <c r="O71" s="39"/>
      <c r="P71" s="39"/>
      <c r="Q71" s="51" t="str">
        <f t="shared" ref="Q71:Q102" si="11">IF(A71="","",IF(D71="No","Excluded",IF(AND(OR(F71="N/A",E71="No Debt / N/A"),G71=""),"No Debt / N/A",IF(M71&lt;&gt;"","Ready","Partial"))))</f>
        <v/>
      </c>
      <c r="R71" s="56"/>
      <c r="S71" s="83"/>
      <c r="T71" s="31"/>
    </row>
    <row r="72" spans="1:20">
      <c r="A72" s="46"/>
      <c r="B72" s="40"/>
      <c r="C72" s="40"/>
      <c r="D72" s="39"/>
      <c r="E72" s="39"/>
      <c r="F72" s="39"/>
      <c r="G72" s="73"/>
      <c r="H72" s="79"/>
      <c r="I72" s="67"/>
      <c r="J72" s="67"/>
      <c r="K72" s="81" t="str">
        <f t="shared" si="8"/>
        <v/>
      </c>
      <c r="L72" s="81" t="str">
        <f t="shared" si="9"/>
        <v/>
      </c>
      <c r="M72" s="81" t="str">
        <f t="shared" si="10"/>
        <v/>
      </c>
      <c r="N72" s="73"/>
      <c r="O72" s="39"/>
      <c r="P72" s="39"/>
      <c r="Q72" s="51" t="str">
        <f t="shared" si="11"/>
        <v/>
      </c>
      <c r="R72" s="56"/>
      <c r="S72" s="83"/>
      <c r="T72" s="31"/>
    </row>
    <row r="73" spans="1:20">
      <c r="A73" s="46"/>
      <c r="B73" s="40"/>
      <c r="C73" s="40"/>
      <c r="D73" s="39"/>
      <c r="E73" s="39"/>
      <c r="F73" s="39"/>
      <c r="G73" s="73"/>
      <c r="H73" s="79"/>
      <c r="I73" s="67"/>
      <c r="J73" s="67"/>
      <c r="K73" s="81" t="str">
        <f t="shared" si="8"/>
        <v/>
      </c>
      <c r="L73" s="81" t="str">
        <f t="shared" si="9"/>
        <v/>
      </c>
      <c r="M73" s="81" t="str">
        <f t="shared" si="10"/>
        <v/>
      </c>
      <c r="N73" s="73"/>
      <c r="O73" s="39"/>
      <c r="P73" s="39"/>
      <c r="Q73" s="51" t="str">
        <f t="shared" si="11"/>
        <v/>
      </c>
      <c r="R73" s="56"/>
      <c r="S73" s="83"/>
      <c r="T73" s="31"/>
    </row>
    <row r="74" spans="1:20">
      <c r="A74" s="46"/>
      <c r="B74" s="40"/>
      <c r="C74" s="40"/>
      <c r="D74" s="39"/>
      <c r="E74" s="39"/>
      <c r="F74" s="39"/>
      <c r="G74" s="73"/>
      <c r="H74" s="79"/>
      <c r="I74" s="67"/>
      <c r="J74" s="67"/>
      <c r="K74" s="81" t="str">
        <f t="shared" si="8"/>
        <v/>
      </c>
      <c r="L74" s="81" t="str">
        <f t="shared" si="9"/>
        <v/>
      </c>
      <c r="M74" s="81" t="str">
        <f t="shared" si="10"/>
        <v/>
      </c>
      <c r="N74" s="73"/>
      <c r="O74" s="39"/>
      <c r="P74" s="39"/>
      <c r="Q74" s="51" t="str">
        <f t="shared" si="11"/>
        <v/>
      </c>
      <c r="R74" s="56"/>
      <c r="S74" s="83"/>
      <c r="T74" s="31"/>
    </row>
    <row r="75" spans="1:20">
      <c r="A75" s="46"/>
      <c r="B75" s="40"/>
      <c r="C75" s="40"/>
      <c r="D75" s="39"/>
      <c r="E75" s="39"/>
      <c r="F75" s="39"/>
      <c r="G75" s="73"/>
      <c r="H75" s="79"/>
      <c r="I75" s="67"/>
      <c r="J75" s="67"/>
      <c r="K75" s="81" t="str">
        <f t="shared" si="8"/>
        <v/>
      </c>
      <c r="L75" s="81" t="str">
        <f t="shared" si="9"/>
        <v/>
      </c>
      <c r="M75" s="81" t="str">
        <f t="shared" si="10"/>
        <v/>
      </c>
      <c r="N75" s="73"/>
      <c r="O75" s="39"/>
      <c r="P75" s="39"/>
      <c r="Q75" s="51" t="str">
        <f t="shared" si="11"/>
        <v/>
      </c>
      <c r="R75" s="56"/>
      <c r="S75" s="83"/>
      <c r="T75" s="31"/>
    </row>
    <row r="76" spans="1:20">
      <c r="A76" s="46"/>
      <c r="B76" s="40"/>
      <c r="C76" s="40"/>
      <c r="D76" s="39"/>
      <c r="E76" s="39"/>
      <c r="F76" s="39"/>
      <c r="G76" s="73"/>
      <c r="H76" s="79"/>
      <c r="I76" s="67"/>
      <c r="J76" s="67"/>
      <c r="K76" s="81" t="str">
        <f t="shared" si="8"/>
        <v/>
      </c>
      <c r="L76" s="81" t="str">
        <f t="shared" si="9"/>
        <v/>
      </c>
      <c r="M76" s="81" t="str">
        <f t="shared" si="10"/>
        <v/>
      </c>
      <c r="N76" s="73"/>
      <c r="O76" s="39"/>
      <c r="P76" s="39"/>
      <c r="Q76" s="51" t="str">
        <f t="shared" si="11"/>
        <v/>
      </c>
      <c r="R76" s="56"/>
      <c r="S76" s="83"/>
      <c r="T76" s="31"/>
    </row>
    <row r="77" spans="1:20">
      <c r="A77" s="46"/>
      <c r="B77" s="40"/>
      <c r="C77" s="40"/>
      <c r="D77" s="39"/>
      <c r="E77" s="39"/>
      <c r="F77" s="39"/>
      <c r="G77" s="73"/>
      <c r="H77" s="79"/>
      <c r="I77" s="67"/>
      <c r="J77" s="67"/>
      <c r="K77" s="81" t="str">
        <f t="shared" si="8"/>
        <v/>
      </c>
      <c r="L77" s="81" t="str">
        <f t="shared" si="9"/>
        <v/>
      </c>
      <c r="M77" s="81" t="str">
        <f t="shared" si="10"/>
        <v/>
      </c>
      <c r="N77" s="73"/>
      <c r="O77" s="39"/>
      <c r="P77" s="39"/>
      <c r="Q77" s="51" t="str">
        <f t="shared" si="11"/>
        <v/>
      </c>
      <c r="R77" s="56"/>
      <c r="S77" s="83"/>
      <c r="T77" s="31"/>
    </row>
    <row r="78" spans="1:20">
      <c r="A78" s="46"/>
      <c r="B78" s="40"/>
      <c r="C78" s="40"/>
      <c r="D78" s="39"/>
      <c r="E78" s="39"/>
      <c r="F78" s="39"/>
      <c r="G78" s="73"/>
      <c r="H78" s="79"/>
      <c r="I78" s="67"/>
      <c r="J78" s="67"/>
      <c r="K78" s="81" t="str">
        <f t="shared" si="8"/>
        <v/>
      </c>
      <c r="L78" s="81" t="str">
        <f t="shared" si="9"/>
        <v/>
      </c>
      <c r="M78" s="81" t="str">
        <f t="shared" si="10"/>
        <v/>
      </c>
      <c r="N78" s="73"/>
      <c r="O78" s="39"/>
      <c r="P78" s="39"/>
      <c r="Q78" s="51" t="str">
        <f t="shared" si="11"/>
        <v/>
      </c>
      <c r="R78" s="56"/>
      <c r="S78" s="83"/>
      <c r="T78" s="31"/>
    </row>
    <row r="79" spans="1:20">
      <c r="A79" s="46"/>
      <c r="B79" s="40"/>
      <c r="C79" s="40"/>
      <c r="D79" s="39"/>
      <c r="E79" s="39"/>
      <c r="F79" s="39"/>
      <c r="G79" s="73"/>
      <c r="H79" s="79"/>
      <c r="I79" s="67"/>
      <c r="J79" s="67"/>
      <c r="K79" s="81" t="str">
        <f t="shared" si="8"/>
        <v/>
      </c>
      <c r="L79" s="81" t="str">
        <f t="shared" si="9"/>
        <v/>
      </c>
      <c r="M79" s="81" t="str">
        <f t="shared" si="10"/>
        <v/>
      </c>
      <c r="N79" s="73"/>
      <c r="O79" s="39"/>
      <c r="P79" s="39"/>
      <c r="Q79" s="51" t="str">
        <f t="shared" si="11"/>
        <v/>
      </c>
      <c r="R79" s="56"/>
      <c r="S79" s="83"/>
      <c r="T79" s="31"/>
    </row>
    <row r="80" spans="1:20">
      <c r="A80" s="46"/>
      <c r="B80" s="40"/>
      <c r="C80" s="40"/>
      <c r="D80" s="39"/>
      <c r="E80" s="39"/>
      <c r="F80" s="39"/>
      <c r="G80" s="73"/>
      <c r="H80" s="79"/>
      <c r="I80" s="67"/>
      <c r="J80" s="67"/>
      <c r="K80" s="81" t="str">
        <f t="shared" si="8"/>
        <v/>
      </c>
      <c r="L80" s="81" t="str">
        <f t="shared" si="9"/>
        <v/>
      </c>
      <c r="M80" s="81" t="str">
        <f t="shared" si="10"/>
        <v/>
      </c>
      <c r="N80" s="73"/>
      <c r="O80" s="39"/>
      <c r="P80" s="39"/>
      <c r="Q80" s="51" t="str">
        <f t="shared" si="11"/>
        <v/>
      </c>
      <c r="R80" s="56"/>
      <c r="S80" s="83"/>
      <c r="T80" s="31"/>
    </row>
    <row r="81" spans="1:20">
      <c r="A81" s="46"/>
      <c r="B81" s="40"/>
      <c r="C81" s="40"/>
      <c r="D81" s="39"/>
      <c r="E81" s="39"/>
      <c r="F81" s="39"/>
      <c r="G81" s="73"/>
      <c r="H81" s="79"/>
      <c r="I81" s="67"/>
      <c r="J81" s="67"/>
      <c r="K81" s="81" t="str">
        <f t="shared" si="8"/>
        <v/>
      </c>
      <c r="L81" s="81" t="str">
        <f t="shared" si="9"/>
        <v/>
      </c>
      <c r="M81" s="81" t="str">
        <f t="shared" si="10"/>
        <v/>
      </c>
      <c r="N81" s="73"/>
      <c r="O81" s="39"/>
      <c r="P81" s="39"/>
      <c r="Q81" s="51" t="str">
        <f t="shared" si="11"/>
        <v/>
      </c>
      <c r="R81" s="56"/>
      <c r="S81" s="83"/>
      <c r="T81" s="31"/>
    </row>
    <row r="82" spans="1:20">
      <c r="A82" s="46"/>
      <c r="B82" s="40"/>
      <c r="C82" s="40"/>
      <c r="D82" s="39"/>
      <c r="E82" s="39"/>
      <c r="F82" s="39"/>
      <c r="G82" s="73"/>
      <c r="H82" s="79"/>
      <c r="I82" s="67"/>
      <c r="J82" s="67"/>
      <c r="K82" s="81" t="str">
        <f t="shared" si="8"/>
        <v/>
      </c>
      <c r="L82" s="81" t="str">
        <f t="shared" si="9"/>
        <v/>
      </c>
      <c r="M82" s="81" t="str">
        <f t="shared" si="10"/>
        <v/>
      </c>
      <c r="N82" s="73"/>
      <c r="O82" s="39"/>
      <c r="P82" s="39"/>
      <c r="Q82" s="51" t="str">
        <f t="shared" si="11"/>
        <v/>
      </c>
      <c r="R82" s="56"/>
      <c r="S82" s="83"/>
      <c r="T82" s="31"/>
    </row>
    <row r="83" spans="1:20">
      <c r="A83" s="46"/>
      <c r="B83" s="40"/>
      <c r="C83" s="40"/>
      <c r="D83" s="39"/>
      <c r="E83" s="39"/>
      <c r="F83" s="39"/>
      <c r="G83" s="73"/>
      <c r="H83" s="79"/>
      <c r="I83" s="67"/>
      <c r="J83" s="67"/>
      <c r="K83" s="81" t="str">
        <f t="shared" si="8"/>
        <v/>
      </c>
      <c r="L83" s="81" t="str">
        <f t="shared" si="9"/>
        <v/>
      </c>
      <c r="M83" s="81" t="str">
        <f t="shared" si="10"/>
        <v/>
      </c>
      <c r="N83" s="73"/>
      <c r="O83" s="39"/>
      <c r="P83" s="39"/>
      <c r="Q83" s="51" t="str">
        <f t="shared" si="11"/>
        <v/>
      </c>
      <c r="R83" s="56"/>
      <c r="S83" s="83"/>
      <c r="T83" s="31"/>
    </row>
    <row r="84" spans="1:20">
      <c r="A84" s="46"/>
      <c r="B84" s="40"/>
      <c r="C84" s="40"/>
      <c r="D84" s="39"/>
      <c r="E84" s="39"/>
      <c r="F84" s="39"/>
      <c r="G84" s="73"/>
      <c r="H84" s="79"/>
      <c r="I84" s="67"/>
      <c r="J84" s="67"/>
      <c r="K84" s="81" t="str">
        <f t="shared" si="8"/>
        <v/>
      </c>
      <c r="L84" s="81" t="str">
        <f t="shared" si="9"/>
        <v/>
      </c>
      <c r="M84" s="81" t="str">
        <f t="shared" si="10"/>
        <v/>
      </c>
      <c r="N84" s="73"/>
      <c r="O84" s="39"/>
      <c r="P84" s="39"/>
      <c r="Q84" s="51" t="str">
        <f t="shared" si="11"/>
        <v/>
      </c>
      <c r="R84" s="56"/>
      <c r="S84" s="83"/>
      <c r="T84" s="31"/>
    </row>
    <row r="85" spans="1:20">
      <c r="A85" s="46"/>
      <c r="B85" s="40"/>
      <c r="C85" s="40"/>
      <c r="D85" s="39"/>
      <c r="E85" s="39"/>
      <c r="F85" s="39"/>
      <c r="G85" s="73"/>
      <c r="H85" s="79"/>
      <c r="I85" s="67"/>
      <c r="J85" s="67"/>
      <c r="K85" s="81" t="str">
        <f t="shared" si="8"/>
        <v/>
      </c>
      <c r="L85" s="81" t="str">
        <f t="shared" si="9"/>
        <v/>
      </c>
      <c r="M85" s="81" t="str">
        <f t="shared" si="10"/>
        <v/>
      </c>
      <c r="N85" s="73"/>
      <c r="O85" s="39"/>
      <c r="P85" s="39"/>
      <c r="Q85" s="51" t="str">
        <f t="shared" si="11"/>
        <v/>
      </c>
      <c r="R85" s="56"/>
      <c r="S85" s="83"/>
      <c r="T85" s="31"/>
    </row>
    <row r="86" spans="1:20">
      <c r="A86" s="46"/>
      <c r="B86" s="40"/>
      <c r="C86" s="40"/>
      <c r="D86" s="39"/>
      <c r="E86" s="39"/>
      <c r="F86" s="39"/>
      <c r="G86" s="73"/>
      <c r="H86" s="79"/>
      <c r="I86" s="67"/>
      <c r="J86" s="67"/>
      <c r="K86" s="81" t="str">
        <f t="shared" si="8"/>
        <v/>
      </c>
      <c r="L86" s="81" t="str">
        <f t="shared" si="9"/>
        <v/>
      </c>
      <c r="M86" s="81" t="str">
        <f t="shared" si="10"/>
        <v/>
      </c>
      <c r="N86" s="73"/>
      <c r="O86" s="39"/>
      <c r="P86" s="39"/>
      <c r="Q86" s="51" t="str">
        <f t="shared" si="11"/>
        <v/>
      </c>
      <c r="R86" s="56"/>
      <c r="S86" s="83"/>
      <c r="T86" s="31"/>
    </row>
    <row r="87" spans="1:20">
      <c r="A87" s="46"/>
      <c r="B87" s="40"/>
      <c r="C87" s="40"/>
      <c r="D87" s="39"/>
      <c r="E87" s="39"/>
      <c r="F87" s="39"/>
      <c r="G87" s="73"/>
      <c r="H87" s="79"/>
      <c r="I87" s="67"/>
      <c r="J87" s="67"/>
      <c r="K87" s="81" t="str">
        <f t="shared" si="8"/>
        <v/>
      </c>
      <c r="L87" s="81" t="str">
        <f t="shared" si="9"/>
        <v/>
      </c>
      <c r="M87" s="81" t="str">
        <f t="shared" si="10"/>
        <v/>
      </c>
      <c r="N87" s="73"/>
      <c r="O87" s="39"/>
      <c r="P87" s="39"/>
      <c r="Q87" s="51" t="str">
        <f t="shared" si="11"/>
        <v/>
      </c>
      <c r="R87" s="56"/>
      <c r="S87" s="83"/>
      <c r="T87" s="31"/>
    </row>
    <row r="88" spans="1:20">
      <c r="A88" s="46"/>
      <c r="B88" s="40"/>
      <c r="C88" s="40"/>
      <c r="D88" s="39"/>
      <c r="E88" s="39"/>
      <c r="F88" s="39"/>
      <c r="G88" s="73"/>
      <c r="H88" s="79"/>
      <c r="I88" s="67"/>
      <c r="J88" s="67"/>
      <c r="K88" s="81" t="str">
        <f t="shared" si="8"/>
        <v/>
      </c>
      <c r="L88" s="81" t="str">
        <f t="shared" si="9"/>
        <v/>
      </c>
      <c r="M88" s="81" t="str">
        <f t="shared" si="10"/>
        <v/>
      </c>
      <c r="N88" s="73"/>
      <c r="O88" s="39"/>
      <c r="P88" s="39"/>
      <c r="Q88" s="51" t="str">
        <f t="shared" si="11"/>
        <v/>
      </c>
      <c r="R88" s="56"/>
      <c r="S88" s="83"/>
      <c r="T88" s="31"/>
    </row>
    <row r="89" spans="1:20">
      <c r="A89" s="46"/>
      <c r="B89" s="40"/>
      <c r="C89" s="40"/>
      <c r="D89" s="39"/>
      <c r="E89" s="39"/>
      <c r="F89" s="39"/>
      <c r="G89" s="73"/>
      <c r="H89" s="79"/>
      <c r="I89" s="67"/>
      <c r="J89" s="67"/>
      <c r="K89" s="81" t="str">
        <f t="shared" si="8"/>
        <v/>
      </c>
      <c r="L89" s="81" t="str">
        <f t="shared" si="9"/>
        <v/>
      </c>
      <c r="M89" s="81" t="str">
        <f t="shared" si="10"/>
        <v/>
      </c>
      <c r="N89" s="73"/>
      <c r="O89" s="39"/>
      <c r="P89" s="39"/>
      <c r="Q89" s="51" t="str">
        <f t="shared" si="11"/>
        <v/>
      </c>
      <c r="R89" s="56"/>
      <c r="S89" s="83"/>
      <c r="T89" s="31"/>
    </row>
    <row r="90" spans="1:20">
      <c r="A90" s="46"/>
      <c r="B90" s="40"/>
      <c r="C90" s="40"/>
      <c r="D90" s="39"/>
      <c r="E90" s="39"/>
      <c r="F90" s="39"/>
      <c r="G90" s="73"/>
      <c r="H90" s="79"/>
      <c r="I90" s="67"/>
      <c r="J90" s="67"/>
      <c r="K90" s="81" t="str">
        <f t="shared" si="8"/>
        <v/>
      </c>
      <c r="L90" s="81" t="str">
        <f t="shared" si="9"/>
        <v/>
      </c>
      <c r="M90" s="81" t="str">
        <f t="shared" si="10"/>
        <v/>
      </c>
      <c r="N90" s="73"/>
      <c r="O90" s="39"/>
      <c r="P90" s="39"/>
      <c r="Q90" s="51" t="str">
        <f t="shared" si="11"/>
        <v/>
      </c>
      <c r="R90" s="56"/>
      <c r="S90" s="83"/>
      <c r="T90" s="31"/>
    </row>
    <row r="91" spans="1:20">
      <c r="A91" s="46"/>
      <c r="B91" s="40"/>
      <c r="C91" s="40"/>
      <c r="D91" s="39"/>
      <c r="E91" s="39"/>
      <c r="F91" s="39"/>
      <c r="G91" s="73"/>
      <c r="H91" s="79"/>
      <c r="I91" s="67"/>
      <c r="J91" s="67"/>
      <c r="K91" s="81" t="str">
        <f t="shared" si="8"/>
        <v/>
      </c>
      <c r="L91" s="81" t="str">
        <f t="shared" si="9"/>
        <v/>
      </c>
      <c r="M91" s="81" t="str">
        <f t="shared" si="10"/>
        <v/>
      </c>
      <c r="N91" s="73"/>
      <c r="O91" s="39"/>
      <c r="P91" s="39"/>
      <c r="Q91" s="51" t="str">
        <f t="shared" si="11"/>
        <v/>
      </c>
      <c r="R91" s="56"/>
      <c r="S91" s="83"/>
      <c r="T91" s="31"/>
    </row>
    <row r="92" spans="1:20">
      <c r="A92" s="46"/>
      <c r="B92" s="40"/>
      <c r="C92" s="40"/>
      <c r="D92" s="39"/>
      <c r="E92" s="39"/>
      <c r="F92" s="39"/>
      <c r="G92" s="73"/>
      <c r="H92" s="79"/>
      <c r="I92" s="67"/>
      <c r="J92" s="67"/>
      <c r="K92" s="81" t="str">
        <f t="shared" si="8"/>
        <v/>
      </c>
      <c r="L92" s="81" t="str">
        <f t="shared" si="9"/>
        <v/>
      </c>
      <c r="M92" s="81" t="str">
        <f t="shared" si="10"/>
        <v/>
      </c>
      <c r="N92" s="73"/>
      <c r="O92" s="39"/>
      <c r="P92" s="39"/>
      <c r="Q92" s="51" t="str">
        <f t="shared" si="11"/>
        <v/>
      </c>
      <c r="R92" s="56"/>
      <c r="S92" s="83"/>
      <c r="T92" s="31"/>
    </row>
    <row r="93" spans="1:20">
      <c r="A93" s="46"/>
      <c r="B93" s="40"/>
      <c r="C93" s="40"/>
      <c r="D93" s="39"/>
      <c r="E93" s="39"/>
      <c r="F93" s="39"/>
      <c r="G93" s="73"/>
      <c r="H93" s="79"/>
      <c r="I93" s="67"/>
      <c r="J93" s="67"/>
      <c r="K93" s="81" t="str">
        <f t="shared" si="8"/>
        <v/>
      </c>
      <c r="L93" s="81" t="str">
        <f t="shared" si="9"/>
        <v/>
      </c>
      <c r="M93" s="81" t="str">
        <f t="shared" si="10"/>
        <v/>
      </c>
      <c r="N93" s="73"/>
      <c r="O93" s="39"/>
      <c r="P93" s="39"/>
      <c r="Q93" s="51" t="str">
        <f t="shared" si="11"/>
        <v/>
      </c>
      <c r="R93" s="56"/>
      <c r="S93" s="83"/>
      <c r="T93" s="31"/>
    </row>
    <row r="94" spans="1:20">
      <c r="A94" s="46"/>
      <c r="B94" s="40"/>
      <c r="C94" s="40"/>
      <c r="D94" s="39"/>
      <c r="E94" s="39"/>
      <c r="F94" s="39"/>
      <c r="G94" s="73"/>
      <c r="H94" s="79"/>
      <c r="I94" s="67"/>
      <c r="J94" s="67"/>
      <c r="K94" s="81" t="str">
        <f t="shared" si="8"/>
        <v/>
      </c>
      <c r="L94" s="81" t="str">
        <f t="shared" si="9"/>
        <v/>
      </c>
      <c r="M94" s="81" t="str">
        <f t="shared" si="10"/>
        <v/>
      </c>
      <c r="N94" s="73"/>
      <c r="O94" s="39"/>
      <c r="P94" s="39"/>
      <c r="Q94" s="51" t="str">
        <f t="shared" si="11"/>
        <v/>
      </c>
      <c r="R94" s="56"/>
      <c r="S94" s="83"/>
      <c r="T94" s="31"/>
    </row>
    <row r="95" spans="1:20">
      <c r="A95" s="46"/>
      <c r="B95" s="40"/>
      <c r="C95" s="40"/>
      <c r="D95" s="39"/>
      <c r="E95" s="39"/>
      <c r="F95" s="39"/>
      <c r="G95" s="73"/>
      <c r="H95" s="79"/>
      <c r="I95" s="67"/>
      <c r="J95" s="67"/>
      <c r="K95" s="81" t="str">
        <f t="shared" si="8"/>
        <v/>
      </c>
      <c r="L95" s="81" t="str">
        <f t="shared" si="9"/>
        <v/>
      </c>
      <c r="M95" s="81" t="str">
        <f t="shared" si="10"/>
        <v/>
      </c>
      <c r="N95" s="73"/>
      <c r="O95" s="39"/>
      <c r="P95" s="39"/>
      <c r="Q95" s="51" t="str">
        <f t="shared" si="11"/>
        <v/>
      </c>
      <c r="R95" s="56"/>
      <c r="S95" s="83"/>
      <c r="T95" s="31"/>
    </row>
    <row r="96" spans="1:20">
      <c r="A96" s="46"/>
      <c r="B96" s="40"/>
      <c r="C96" s="40"/>
      <c r="D96" s="39"/>
      <c r="E96" s="39"/>
      <c r="F96" s="39"/>
      <c r="G96" s="73"/>
      <c r="H96" s="79"/>
      <c r="I96" s="67"/>
      <c r="J96" s="67"/>
      <c r="K96" s="81" t="str">
        <f t="shared" si="8"/>
        <v/>
      </c>
      <c r="L96" s="81" t="str">
        <f t="shared" si="9"/>
        <v/>
      </c>
      <c r="M96" s="81" t="str">
        <f t="shared" si="10"/>
        <v/>
      </c>
      <c r="N96" s="73"/>
      <c r="O96" s="39"/>
      <c r="P96" s="39"/>
      <c r="Q96" s="51" t="str">
        <f t="shared" si="11"/>
        <v/>
      </c>
      <c r="R96" s="56"/>
      <c r="S96" s="83"/>
      <c r="T96" s="31"/>
    </row>
    <row r="97" spans="1:20">
      <c r="A97" s="46"/>
      <c r="B97" s="40"/>
      <c r="C97" s="40"/>
      <c r="D97" s="39"/>
      <c r="E97" s="39"/>
      <c r="F97" s="39"/>
      <c r="G97" s="73"/>
      <c r="H97" s="79"/>
      <c r="I97" s="67"/>
      <c r="J97" s="67"/>
      <c r="K97" s="81" t="str">
        <f t="shared" si="8"/>
        <v/>
      </c>
      <c r="L97" s="81" t="str">
        <f t="shared" si="9"/>
        <v/>
      </c>
      <c r="M97" s="81" t="str">
        <f t="shared" si="10"/>
        <v/>
      </c>
      <c r="N97" s="73"/>
      <c r="O97" s="39"/>
      <c r="P97" s="39"/>
      <c r="Q97" s="51" t="str">
        <f t="shared" si="11"/>
        <v/>
      </c>
      <c r="R97" s="56"/>
      <c r="S97" s="83"/>
      <c r="T97" s="31"/>
    </row>
    <row r="98" spans="1:20">
      <c r="A98" s="46"/>
      <c r="B98" s="40"/>
      <c r="C98" s="40"/>
      <c r="D98" s="39"/>
      <c r="E98" s="39"/>
      <c r="F98" s="39"/>
      <c r="G98" s="73"/>
      <c r="H98" s="79"/>
      <c r="I98" s="67"/>
      <c r="J98" s="67"/>
      <c r="K98" s="81" t="str">
        <f t="shared" si="8"/>
        <v/>
      </c>
      <c r="L98" s="81" t="str">
        <f t="shared" si="9"/>
        <v/>
      </c>
      <c r="M98" s="81" t="str">
        <f t="shared" si="10"/>
        <v/>
      </c>
      <c r="N98" s="73"/>
      <c r="O98" s="39"/>
      <c r="P98" s="39"/>
      <c r="Q98" s="51" t="str">
        <f t="shared" si="11"/>
        <v/>
      </c>
      <c r="R98" s="56"/>
      <c r="S98" s="83"/>
      <c r="T98" s="31"/>
    </row>
    <row r="99" spans="1:20">
      <c r="A99" s="46"/>
      <c r="B99" s="40"/>
      <c r="C99" s="40"/>
      <c r="D99" s="39"/>
      <c r="E99" s="39"/>
      <c r="F99" s="39"/>
      <c r="G99" s="73"/>
      <c r="H99" s="79"/>
      <c r="I99" s="67"/>
      <c r="J99" s="67"/>
      <c r="K99" s="81" t="str">
        <f t="shared" si="8"/>
        <v/>
      </c>
      <c r="L99" s="81" t="str">
        <f t="shared" si="9"/>
        <v/>
      </c>
      <c r="M99" s="81" t="str">
        <f t="shared" si="10"/>
        <v/>
      </c>
      <c r="N99" s="73"/>
      <c r="O99" s="39"/>
      <c r="P99" s="39"/>
      <c r="Q99" s="51" t="str">
        <f t="shared" si="11"/>
        <v/>
      </c>
      <c r="R99" s="56"/>
      <c r="S99" s="83"/>
      <c r="T99" s="31"/>
    </row>
    <row r="100" spans="1:20">
      <c r="A100" s="46"/>
      <c r="B100" s="40"/>
      <c r="C100" s="40"/>
      <c r="D100" s="39"/>
      <c r="E100" s="39"/>
      <c r="F100" s="39"/>
      <c r="G100" s="73"/>
      <c r="H100" s="79"/>
      <c r="I100" s="67"/>
      <c r="J100" s="67"/>
      <c r="K100" s="81" t="str">
        <f t="shared" si="8"/>
        <v/>
      </c>
      <c r="L100" s="81" t="str">
        <f t="shared" si="9"/>
        <v/>
      </c>
      <c r="M100" s="81" t="str">
        <f t="shared" si="10"/>
        <v/>
      </c>
      <c r="N100" s="73"/>
      <c r="O100" s="39"/>
      <c r="P100" s="39"/>
      <c r="Q100" s="51" t="str">
        <f t="shared" si="11"/>
        <v/>
      </c>
      <c r="R100" s="56"/>
      <c r="S100" s="83"/>
      <c r="T100" s="31"/>
    </row>
    <row r="101" spans="1:20">
      <c r="A101" s="46"/>
      <c r="B101" s="40"/>
      <c r="C101" s="40"/>
      <c r="D101" s="39"/>
      <c r="E101" s="39"/>
      <c r="F101" s="39"/>
      <c r="G101" s="73"/>
      <c r="H101" s="79"/>
      <c r="I101" s="67"/>
      <c r="J101" s="67"/>
      <c r="K101" s="81" t="str">
        <f t="shared" si="8"/>
        <v/>
      </c>
      <c r="L101" s="81" t="str">
        <f t="shared" si="9"/>
        <v/>
      </c>
      <c r="M101" s="81" t="str">
        <f t="shared" si="10"/>
        <v/>
      </c>
      <c r="N101" s="73"/>
      <c r="O101" s="39"/>
      <c r="P101" s="39"/>
      <c r="Q101" s="51" t="str">
        <f t="shared" si="11"/>
        <v/>
      </c>
      <c r="R101" s="56"/>
      <c r="S101" s="83"/>
      <c r="T101" s="31"/>
    </row>
    <row r="102" spans="1:20">
      <c r="A102" s="46"/>
      <c r="B102" s="40"/>
      <c r="C102" s="40"/>
      <c r="D102" s="39"/>
      <c r="E102" s="39"/>
      <c r="F102" s="39"/>
      <c r="G102" s="73"/>
      <c r="H102" s="79"/>
      <c r="I102" s="67"/>
      <c r="J102" s="67"/>
      <c r="K102" s="81" t="str">
        <f t="shared" si="8"/>
        <v/>
      </c>
      <c r="L102" s="81" t="str">
        <f t="shared" si="9"/>
        <v/>
      </c>
      <c r="M102" s="81" t="str">
        <f t="shared" si="10"/>
        <v/>
      </c>
      <c r="N102" s="73"/>
      <c r="O102" s="39"/>
      <c r="P102" s="39"/>
      <c r="Q102" s="51" t="str">
        <f t="shared" si="11"/>
        <v/>
      </c>
      <c r="R102" s="56"/>
      <c r="S102" s="83"/>
      <c r="T102" s="31"/>
    </row>
    <row r="103" spans="1:20">
      <c r="A103" s="46"/>
      <c r="B103" s="40"/>
      <c r="C103" s="40"/>
      <c r="D103" s="39"/>
      <c r="E103" s="39"/>
      <c r="F103" s="39"/>
      <c r="G103" s="73"/>
      <c r="H103" s="79"/>
      <c r="I103" s="67"/>
      <c r="J103" s="67"/>
      <c r="K103" s="81" t="str">
        <f t="shared" ref="K103:K134" si="12">IF(N103&lt;&gt;"","",IF(AND(G103&lt;&gt;"",H103&lt;&gt;"",J103&lt;&gt;""),ROUND(PPMT(H103,1,J103,-G103),0),""))</f>
        <v/>
      </c>
      <c r="L103" s="81" t="str">
        <f t="shared" ref="L103:L134" si="13">IF(N103&lt;&gt;"","",IF(AND(G103&lt;&gt;"",H103&lt;&gt;""),ROUND(G103*H103,0),""))</f>
        <v/>
      </c>
      <c r="M103" s="81" t="str">
        <f t="shared" ref="M103:M134" si="14">IF(N103&lt;&gt;"",N103,IF(AND(G103&lt;&gt;"",H103&lt;&gt;"",J103&lt;&gt;""),ROUND(PMT(H103,J103,-G103),0),""))</f>
        <v/>
      </c>
      <c r="N103" s="73"/>
      <c r="O103" s="39"/>
      <c r="P103" s="39"/>
      <c r="Q103" s="51" t="str">
        <f t="shared" ref="Q103:Q134" si="15">IF(A103="","",IF(D103="No","Excluded",IF(AND(OR(F103="N/A",E103="No Debt / N/A"),G103=""),"No Debt / N/A",IF(M103&lt;&gt;"","Ready","Partial"))))</f>
        <v/>
      </c>
      <c r="R103" s="56"/>
      <c r="S103" s="83"/>
      <c r="T103" s="31"/>
    </row>
    <row r="104" spans="1:20">
      <c r="A104" s="46"/>
      <c r="B104" s="40"/>
      <c r="C104" s="40"/>
      <c r="D104" s="39"/>
      <c r="E104" s="39"/>
      <c r="F104" s="39"/>
      <c r="G104" s="73"/>
      <c r="H104" s="79"/>
      <c r="I104" s="67"/>
      <c r="J104" s="67"/>
      <c r="K104" s="81" t="str">
        <f t="shared" si="12"/>
        <v/>
      </c>
      <c r="L104" s="81" t="str">
        <f t="shared" si="13"/>
        <v/>
      </c>
      <c r="M104" s="81" t="str">
        <f t="shared" si="14"/>
        <v/>
      </c>
      <c r="N104" s="73"/>
      <c r="O104" s="39"/>
      <c r="P104" s="39"/>
      <c r="Q104" s="51" t="str">
        <f t="shared" si="15"/>
        <v/>
      </c>
      <c r="R104" s="56"/>
      <c r="S104" s="83"/>
      <c r="T104" s="31"/>
    </row>
    <row r="105" spans="1:20">
      <c r="A105" s="46"/>
      <c r="B105" s="40"/>
      <c r="C105" s="40"/>
      <c r="D105" s="39"/>
      <c r="E105" s="39"/>
      <c r="F105" s="39"/>
      <c r="G105" s="73"/>
      <c r="H105" s="79"/>
      <c r="I105" s="67"/>
      <c r="J105" s="67"/>
      <c r="K105" s="81" t="str">
        <f t="shared" si="12"/>
        <v/>
      </c>
      <c r="L105" s="81" t="str">
        <f t="shared" si="13"/>
        <v/>
      </c>
      <c r="M105" s="81" t="str">
        <f t="shared" si="14"/>
        <v/>
      </c>
      <c r="N105" s="73"/>
      <c r="O105" s="39"/>
      <c r="P105" s="39"/>
      <c r="Q105" s="51" t="str">
        <f t="shared" si="15"/>
        <v/>
      </c>
      <c r="R105" s="56"/>
      <c r="S105" s="83"/>
      <c r="T105" s="31"/>
    </row>
    <row r="106" spans="1:20">
      <c r="A106" s="46"/>
      <c r="B106" s="40"/>
      <c r="C106" s="40"/>
      <c r="D106" s="39"/>
      <c r="E106" s="39"/>
      <c r="F106" s="39"/>
      <c r="G106" s="73"/>
      <c r="H106" s="79"/>
      <c r="I106" s="67"/>
      <c r="J106" s="67"/>
      <c r="K106" s="81" t="str">
        <f t="shared" si="12"/>
        <v/>
      </c>
      <c r="L106" s="81" t="str">
        <f t="shared" si="13"/>
        <v/>
      </c>
      <c r="M106" s="81" t="str">
        <f t="shared" si="14"/>
        <v/>
      </c>
      <c r="N106" s="73"/>
      <c r="O106" s="39"/>
      <c r="P106" s="39"/>
      <c r="Q106" s="51" t="str">
        <f t="shared" si="15"/>
        <v/>
      </c>
      <c r="R106" s="56"/>
      <c r="S106" s="83"/>
      <c r="T106" s="31"/>
    </row>
    <row r="107" spans="1:20">
      <c r="A107" s="46"/>
      <c r="B107" s="40"/>
      <c r="C107" s="40"/>
      <c r="D107" s="39"/>
      <c r="E107" s="39"/>
      <c r="F107" s="39"/>
      <c r="G107" s="73"/>
      <c r="H107" s="79"/>
      <c r="I107" s="67"/>
      <c r="J107" s="67"/>
      <c r="K107" s="81" t="str">
        <f t="shared" si="12"/>
        <v/>
      </c>
      <c r="L107" s="81" t="str">
        <f t="shared" si="13"/>
        <v/>
      </c>
      <c r="M107" s="81" t="str">
        <f t="shared" si="14"/>
        <v/>
      </c>
      <c r="N107" s="73"/>
      <c r="O107" s="39"/>
      <c r="P107" s="39"/>
      <c r="Q107" s="51" t="str">
        <f t="shared" si="15"/>
        <v/>
      </c>
      <c r="R107" s="56"/>
      <c r="S107" s="83"/>
      <c r="T107" s="31"/>
    </row>
    <row r="108" spans="1:20">
      <c r="A108" s="46"/>
      <c r="B108" s="40"/>
      <c r="C108" s="40"/>
      <c r="D108" s="39"/>
      <c r="E108" s="39"/>
      <c r="F108" s="39"/>
      <c r="G108" s="73"/>
      <c r="H108" s="79"/>
      <c r="I108" s="67"/>
      <c r="J108" s="67"/>
      <c r="K108" s="81" t="str">
        <f t="shared" si="12"/>
        <v/>
      </c>
      <c r="L108" s="81" t="str">
        <f t="shared" si="13"/>
        <v/>
      </c>
      <c r="M108" s="81" t="str">
        <f t="shared" si="14"/>
        <v/>
      </c>
      <c r="N108" s="73"/>
      <c r="O108" s="39"/>
      <c r="P108" s="39"/>
      <c r="Q108" s="51" t="str">
        <f t="shared" si="15"/>
        <v/>
      </c>
      <c r="R108" s="56"/>
      <c r="S108" s="83"/>
      <c r="T108" s="31"/>
    </row>
    <row r="109" spans="1:20">
      <c r="A109" s="46"/>
      <c r="B109" s="40"/>
      <c r="C109" s="40"/>
      <c r="D109" s="39"/>
      <c r="E109" s="39"/>
      <c r="F109" s="39"/>
      <c r="G109" s="73"/>
      <c r="H109" s="79"/>
      <c r="I109" s="67"/>
      <c r="J109" s="67"/>
      <c r="K109" s="81" t="str">
        <f t="shared" si="12"/>
        <v/>
      </c>
      <c r="L109" s="81" t="str">
        <f t="shared" si="13"/>
        <v/>
      </c>
      <c r="M109" s="81" t="str">
        <f t="shared" si="14"/>
        <v/>
      </c>
      <c r="N109" s="73"/>
      <c r="O109" s="39"/>
      <c r="P109" s="39"/>
      <c r="Q109" s="51" t="str">
        <f t="shared" si="15"/>
        <v/>
      </c>
      <c r="R109" s="56"/>
      <c r="S109" s="83"/>
      <c r="T109" s="31"/>
    </row>
    <row r="110" spans="1:20">
      <c r="A110" s="46"/>
      <c r="B110" s="40"/>
      <c r="C110" s="40"/>
      <c r="D110" s="39"/>
      <c r="E110" s="39"/>
      <c r="F110" s="39"/>
      <c r="G110" s="73"/>
      <c r="H110" s="79"/>
      <c r="I110" s="67"/>
      <c r="J110" s="67"/>
      <c r="K110" s="81" t="str">
        <f t="shared" si="12"/>
        <v/>
      </c>
      <c r="L110" s="81" t="str">
        <f t="shared" si="13"/>
        <v/>
      </c>
      <c r="M110" s="81" t="str">
        <f t="shared" si="14"/>
        <v/>
      </c>
      <c r="N110" s="73"/>
      <c r="O110" s="39"/>
      <c r="P110" s="39"/>
      <c r="Q110" s="51" t="str">
        <f t="shared" si="15"/>
        <v/>
      </c>
      <c r="R110" s="56"/>
      <c r="S110" s="83"/>
      <c r="T110" s="31"/>
    </row>
    <row r="111" spans="1:20">
      <c r="A111" s="46"/>
      <c r="B111" s="40"/>
      <c r="C111" s="40"/>
      <c r="D111" s="39"/>
      <c r="E111" s="39"/>
      <c r="F111" s="39"/>
      <c r="G111" s="73"/>
      <c r="H111" s="79"/>
      <c r="I111" s="67"/>
      <c r="J111" s="67"/>
      <c r="K111" s="81" t="str">
        <f t="shared" si="12"/>
        <v/>
      </c>
      <c r="L111" s="81" t="str">
        <f t="shared" si="13"/>
        <v/>
      </c>
      <c r="M111" s="81" t="str">
        <f t="shared" si="14"/>
        <v/>
      </c>
      <c r="N111" s="73"/>
      <c r="O111" s="39"/>
      <c r="P111" s="39"/>
      <c r="Q111" s="51" t="str">
        <f t="shared" si="15"/>
        <v/>
      </c>
      <c r="R111" s="56"/>
      <c r="S111" s="83"/>
      <c r="T111" s="31"/>
    </row>
    <row r="112" spans="1:20">
      <c r="A112" s="46"/>
      <c r="B112" s="40"/>
      <c r="C112" s="40"/>
      <c r="D112" s="39"/>
      <c r="E112" s="39"/>
      <c r="F112" s="39"/>
      <c r="G112" s="73"/>
      <c r="H112" s="79"/>
      <c r="I112" s="67"/>
      <c r="J112" s="67"/>
      <c r="K112" s="81" t="str">
        <f t="shared" si="12"/>
        <v/>
      </c>
      <c r="L112" s="81" t="str">
        <f t="shared" si="13"/>
        <v/>
      </c>
      <c r="M112" s="81" t="str">
        <f t="shared" si="14"/>
        <v/>
      </c>
      <c r="N112" s="73"/>
      <c r="O112" s="39"/>
      <c r="P112" s="39"/>
      <c r="Q112" s="51" t="str">
        <f t="shared" si="15"/>
        <v/>
      </c>
      <c r="R112" s="56"/>
      <c r="S112" s="83"/>
      <c r="T112" s="31"/>
    </row>
    <row r="113" spans="1:20">
      <c r="A113" s="46"/>
      <c r="B113" s="40"/>
      <c r="C113" s="40"/>
      <c r="D113" s="39"/>
      <c r="E113" s="39"/>
      <c r="F113" s="39"/>
      <c r="G113" s="73"/>
      <c r="H113" s="79"/>
      <c r="I113" s="67"/>
      <c r="J113" s="67"/>
      <c r="K113" s="81" t="str">
        <f t="shared" si="12"/>
        <v/>
      </c>
      <c r="L113" s="81" t="str">
        <f t="shared" si="13"/>
        <v/>
      </c>
      <c r="M113" s="81" t="str">
        <f t="shared" si="14"/>
        <v/>
      </c>
      <c r="N113" s="73"/>
      <c r="O113" s="39"/>
      <c r="P113" s="39"/>
      <c r="Q113" s="51" t="str">
        <f t="shared" si="15"/>
        <v/>
      </c>
      <c r="R113" s="56"/>
      <c r="S113" s="83"/>
      <c r="T113" s="31"/>
    </row>
    <row r="114" spans="1:20">
      <c r="A114" s="46"/>
      <c r="B114" s="40"/>
      <c r="C114" s="40"/>
      <c r="D114" s="39"/>
      <c r="E114" s="39"/>
      <c r="F114" s="39"/>
      <c r="G114" s="73"/>
      <c r="H114" s="79"/>
      <c r="I114" s="67"/>
      <c r="J114" s="67"/>
      <c r="K114" s="81" t="str">
        <f t="shared" si="12"/>
        <v/>
      </c>
      <c r="L114" s="81" t="str">
        <f t="shared" si="13"/>
        <v/>
      </c>
      <c r="M114" s="81" t="str">
        <f t="shared" si="14"/>
        <v/>
      </c>
      <c r="N114" s="73"/>
      <c r="O114" s="39"/>
      <c r="P114" s="39"/>
      <c r="Q114" s="51" t="str">
        <f t="shared" si="15"/>
        <v/>
      </c>
      <c r="R114" s="56"/>
      <c r="S114" s="83"/>
      <c r="T114" s="31"/>
    </row>
    <row r="115" spans="1:20">
      <c r="A115" s="46"/>
      <c r="B115" s="40"/>
      <c r="C115" s="40"/>
      <c r="D115" s="39"/>
      <c r="E115" s="39"/>
      <c r="F115" s="39"/>
      <c r="G115" s="73"/>
      <c r="H115" s="79"/>
      <c r="I115" s="67"/>
      <c r="J115" s="67"/>
      <c r="K115" s="81" t="str">
        <f t="shared" si="12"/>
        <v/>
      </c>
      <c r="L115" s="81" t="str">
        <f t="shared" si="13"/>
        <v/>
      </c>
      <c r="M115" s="81" t="str">
        <f t="shared" si="14"/>
        <v/>
      </c>
      <c r="N115" s="73"/>
      <c r="O115" s="39"/>
      <c r="P115" s="39"/>
      <c r="Q115" s="51" t="str">
        <f t="shared" si="15"/>
        <v/>
      </c>
      <c r="R115" s="56"/>
      <c r="S115" s="83"/>
      <c r="T115" s="31"/>
    </row>
    <row r="116" spans="1:20">
      <c r="A116" s="46"/>
      <c r="B116" s="40"/>
      <c r="C116" s="40"/>
      <c r="D116" s="39"/>
      <c r="E116" s="39"/>
      <c r="F116" s="39"/>
      <c r="G116" s="73"/>
      <c r="H116" s="79"/>
      <c r="I116" s="67"/>
      <c r="J116" s="67"/>
      <c r="K116" s="81" t="str">
        <f t="shared" si="12"/>
        <v/>
      </c>
      <c r="L116" s="81" t="str">
        <f t="shared" si="13"/>
        <v/>
      </c>
      <c r="M116" s="81" t="str">
        <f t="shared" si="14"/>
        <v/>
      </c>
      <c r="N116" s="73"/>
      <c r="O116" s="39"/>
      <c r="P116" s="39"/>
      <c r="Q116" s="51" t="str">
        <f t="shared" si="15"/>
        <v/>
      </c>
      <c r="R116" s="56"/>
      <c r="S116" s="83"/>
      <c r="T116" s="31"/>
    </row>
    <row r="117" spans="1:20">
      <c r="A117" s="46"/>
      <c r="B117" s="40"/>
      <c r="C117" s="40"/>
      <c r="D117" s="39"/>
      <c r="E117" s="39"/>
      <c r="F117" s="39"/>
      <c r="G117" s="73"/>
      <c r="H117" s="79"/>
      <c r="I117" s="67"/>
      <c r="J117" s="67"/>
      <c r="K117" s="81" t="str">
        <f t="shared" si="12"/>
        <v/>
      </c>
      <c r="L117" s="81" t="str">
        <f t="shared" si="13"/>
        <v/>
      </c>
      <c r="M117" s="81" t="str">
        <f t="shared" si="14"/>
        <v/>
      </c>
      <c r="N117" s="73"/>
      <c r="O117" s="39"/>
      <c r="P117" s="39"/>
      <c r="Q117" s="51" t="str">
        <f t="shared" si="15"/>
        <v/>
      </c>
      <c r="R117" s="56"/>
      <c r="S117" s="83"/>
      <c r="T117" s="31"/>
    </row>
    <row r="118" spans="1:20">
      <c r="A118" s="46"/>
      <c r="B118" s="40"/>
      <c r="C118" s="40"/>
      <c r="D118" s="39"/>
      <c r="E118" s="39"/>
      <c r="F118" s="39"/>
      <c r="G118" s="73"/>
      <c r="H118" s="79"/>
      <c r="I118" s="67"/>
      <c r="J118" s="67"/>
      <c r="K118" s="81" t="str">
        <f t="shared" si="12"/>
        <v/>
      </c>
      <c r="L118" s="81" t="str">
        <f t="shared" si="13"/>
        <v/>
      </c>
      <c r="M118" s="81" t="str">
        <f t="shared" si="14"/>
        <v/>
      </c>
      <c r="N118" s="73"/>
      <c r="O118" s="39"/>
      <c r="P118" s="39"/>
      <c r="Q118" s="51" t="str">
        <f t="shared" si="15"/>
        <v/>
      </c>
      <c r="R118" s="56"/>
      <c r="S118" s="83"/>
      <c r="T118" s="31"/>
    </row>
    <row r="119" spans="1:20">
      <c r="A119" s="46"/>
      <c r="B119" s="40"/>
      <c r="C119" s="40"/>
      <c r="D119" s="39"/>
      <c r="E119" s="39"/>
      <c r="F119" s="39"/>
      <c r="G119" s="73"/>
      <c r="H119" s="79"/>
      <c r="I119" s="67"/>
      <c r="J119" s="67"/>
      <c r="K119" s="81" t="str">
        <f t="shared" si="12"/>
        <v/>
      </c>
      <c r="L119" s="81" t="str">
        <f t="shared" si="13"/>
        <v/>
      </c>
      <c r="M119" s="81" t="str">
        <f t="shared" si="14"/>
        <v/>
      </c>
      <c r="N119" s="73"/>
      <c r="O119" s="39"/>
      <c r="P119" s="39"/>
      <c r="Q119" s="51" t="str">
        <f t="shared" si="15"/>
        <v/>
      </c>
      <c r="R119" s="56"/>
      <c r="S119" s="83"/>
      <c r="T119" s="31"/>
    </row>
    <row r="120" spans="1:20">
      <c r="A120" s="46"/>
      <c r="B120" s="40"/>
      <c r="C120" s="40"/>
      <c r="D120" s="39"/>
      <c r="E120" s="39"/>
      <c r="F120" s="39"/>
      <c r="G120" s="73"/>
      <c r="H120" s="79"/>
      <c r="I120" s="67"/>
      <c r="J120" s="67"/>
      <c r="K120" s="81" t="str">
        <f t="shared" si="12"/>
        <v/>
      </c>
      <c r="L120" s="81" t="str">
        <f t="shared" si="13"/>
        <v/>
      </c>
      <c r="M120" s="81" t="str">
        <f t="shared" si="14"/>
        <v/>
      </c>
      <c r="N120" s="73"/>
      <c r="O120" s="39"/>
      <c r="P120" s="39"/>
      <c r="Q120" s="51" t="str">
        <f t="shared" si="15"/>
        <v/>
      </c>
      <c r="R120" s="56"/>
      <c r="S120" s="83"/>
      <c r="T120" s="31"/>
    </row>
    <row r="121" spans="1:20">
      <c r="A121" s="46"/>
      <c r="B121" s="40"/>
      <c r="C121" s="40"/>
      <c r="D121" s="39"/>
      <c r="E121" s="39"/>
      <c r="F121" s="39"/>
      <c r="G121" s="73"/>
      <c r="H121" s="79"/>
      <c r="I121" s="67"/>
      <c r="J121" s="67"/>
      <c r="K121" s="81" t="str">
        <f t="shared" si="12"/>
        <v/>
      </c>
      <c r="L121" s="81" t="str">
        <f t="shared" si="13"/>
        <v/>
      </c>
      <c r="M121" s="81" t="str">
        <f t="shared" si="14"/>
        <v/>
      </c>
      <c r="N121" s="73"/>
      <c r="O121" s="39"/>
      <c r="P121" s="39"/>
      <c r="Q121" s="51" t="str">
        <f t="shared" si="15"/>
        <v/>
      </c>
      <c r="R121" s="56"/>
      <c r="S121" s="83"/>
      <c r="T121" s="31"/>
    </row>
    <row r="122" spans="1:20">
      <c r="A122" s="46"/>
      <c r="B122" s="40"/>
      <c r="C122" s="40"/>
      <c r="D122" s="39"/>
      <c r="E122" s="39"/>
      <c r="F122" s="39"/>
      <c r="G122" s="73"/>
      <c r="H122" s="79"/>
      <c r="I122" s="67"/>
      <c r="J122" s="67"/>
      <c r="K122" s="81" t="str">
        <f t="shared" si="12"/>
        <v/>
      </c>
      <c r="L122" s="81" t="str">
        <f t="shared" si="13"/>
        <v/>
      </c>
      <c r="M122" s="81" t="str">
        <f t="shared" si="14"/>
        <v/>
      </c>
      <c r="N122" s="73"/>
      <c r="O122" s="39"/>
      <c r="P122" s="39"/>
      <c r="Q122" s="51" t="str">
        <f t="shared" si="15"/>
        <v/>
      </c>
      <c r="R122" s="56"/>
      <c r="S122" s="83"/>
      <c r="T122" s="31"/>
    </row>
    <row r="123" spans="1:20">
      <c r="A123" s="46"/>
      <c r="B123" s="40"/>
      <c r="C123" s="40"/>
      <c r="D123" s="39"/>
      <c r="E123" s="39"/>
      <c r="F123" s="39"/>
      <c r="G123" s="73"/>
      <c r="H123" s="79"/>
      <c r="I123" s="67"/>
      <c r="J123" s="67"/>
      <c r="K123" s="81" t="str">
        <f t="shared" si="12"/>
        <v/>
      </c>
      <c r="L123" s="81" t="str">
        <f t="shared" si="13"/>
        <v/>
      </c>
      <c r="M123" s="81" t="str">
        <f t="shared" si="14"/>
        <v/>
      </c>
      <c r="N123" s="73"/>
      <c r="O123" s="39"/>
      <c r="P123" s="39"/>
      <c r="Q123" s="51" t="str">
        <f t="shared" si="15"/>
        <v/>
      </c>
      <c r="R123" s="56"/>
      <c r="S123" s="83"/>
      <c r="T123" s="31"/>
    </row>
    <row r="124" spans="1:20">
      <c r="A124" s="46"/>
      <c r="B124" s="40"/>
      <c r="C124" s="40"/>
      <c r="D124" s="39"/>
      <c r="E124" s="39"/>
      <c r="F124" s="39"/>
      <c r="G124" s="73"/>
      <c r="H124" s="79"/>
      <c r="I124" s="67"/>
      <c r="J124" s="67"/>
      <c r="K124" s="81" t="str">
        <f t="shared" si="12"/>
        <v/>
      </c>
      <c r="L124" s="81" t="str">
        <f t="shared" si="13"/>
        <v/>
      </c>
      <c r="M124" s="81" t="str">
        <f t="shared" si="14"/>
        <v/>
      </c>
      <c r="N124" s="73"/>
      <c r="O124" s="39"/>
      <c r="P124" s="39"/>
      <c r="Q124" s="51" t="str">
        <f t="shared" si="15"/>
        <v/>
      </c>
      <c r="R124" s="56"/>
      <c r="S124" s="83"/>
      <c r="T124" s="31"/>
    </row>
    <row r="125" spans="1:20">
      <c r="A125" s="46"/>
      <c r="B125" s="40"/>
      <c r="C125" s="40"/>
      <c r="D125" s="39"/>
      <c r="E125" s="39"/>
      <c r="F125" s="39"/>
      <c r="G125" s="73"/>
      <c r="H125" s="79"/>
      <c r="I125" s="67"/>
      <c r="J125" s="67"/>
      <c r="K125" s="81" t="str">
        <f t="shared" si="12"/>
        <v/>
      </c>
      <c r="L125" s="81" t="str">
        <f t="shared" si="13"/>
        <v/>
      </c>
      <c r="M125" s="81" t="str">
        <f t="shared" si="14"/>
        <v/>
      </c>
      <c r="N125" s="73"/>
      <c r="O125" s="39"/>
      <c r="P125" s="39"/>
      <c r="Q125" s="51" t="str">
        <f t="shared" si="15"/>
        <v/>
      </c>
      <c r="R125" s="56"/>
      <c r="S125" s="83"/>
      <c r="T125" s="31"/>
    </row>
    <row r="126" spans="1:20">
      <c r="A126" s="46"/>
      <c r="B126" s="40"/>
      <c r="C126" s="40"/>
      <c r="D126" s="39"/>
      <c r="E126" s="39"/>
      <c r="F126" s="39"/>
      <c r="G126" s="73"/>
      <c r="H126" s="79"/>
      <c r="I126" s="67"/>
      <c r="J126" s="67"/>
      <c r="K126" s="81" t="str">
        <f t="shared" si="12"/>
        <v/>
      </c>
      <c r="L126" s="81" t="str">
        <f t="shared" si="13"/>
        <v/>
      </c>
      <c r="M126" s="81" t="str">
        <f t="shared" si="14"/>
        <v/>
      </c>
      <c r="N126" s="73"/>
      <c r="O126" s="39"/>
      <c r="P126" s="39"/>
      <c r="Q126" s="51" t="str">
        <f t="shared" si="15"/>
        <v/>
      </c>
      <c r="R126" s="56"/>
      <c r="S126" s="83"/>
      <c r="T126" s="31"/>
    </row>
    <row r="127" spans="1:20">
      <c r="A127" s="46"/>
      <c r="B127" s="40"/>
      <c r="C127" s="40"/>
      <c r="D127" s="39"/>
      <c r="E127" s="39"/>
      <c r="F127" s="39"/>
      <c r="G127" s="73"/>
      <c r="H127" s="79"/>
      <c r="I127" s="67"/>
      <c r="J127" s="67"/>
      <c r="K127" s="81" t="str">
        <f t="shared" si="12"/>
        <v/>
      </c>
      <c r="L127" s="81" t="str">
        <f t="shared" si="13"/>
        <v/>
      </c>
      <c r="M127" s="81" t="str">
        <f t="shared" si="14"/>
        <v/>
      </c>
      <c r="N127" s="73"/>
      <c r="O127" s="39"/>
      <c r="P127" s="39"/>
      <c r="Q127" s="51" t="str">
        <f t="shared" si="15"/>
        <v/>
      </c>
      <c r="R127" s="56"/>
      <c r="S127" s="83"/>
      <c r="T127" s="31"/>
    </row>
    <row r="128" spans="1:20">
      <c r="A128" s="46"/>
      <c r="B128" s="40"/>
      <c r="C128" s="40"/>
      <c r="D128" s="39"/>
      <c r="E128" s="39"/>
      <c r="F128" s="39"/>
      <c r="G128" s="73"/>
      <c r="H128" s="79"/>
      <c r="I128" s="67"/>
      <c r="J128" s="67"/>
      <c r="K128" s="81" t="str">
        <f t="shared" si="12"/>
        <v/>
      </c>
      <c r="L128" s="81" t="str">
        <f t="shared" si="13"/>
        <v/>
      </c>
      <c r="M128" s="81" t="str">
        <f t="shared" si="14"/>
        <v/>
      </c>
      <c r="N128" s="73"/>
      <c r="O128" s="39"/>
      <c r="P128" s="39"/>
      <c r="Q128" s="51" t="str">
        <f t="shared" si="15"/>
        <v/>
      </c>
      <c r="R128" s="56"/>
      <c r="S128" s="83"/>
      <c r="T128" s="31"/>
    </row>
    <row r="129" spans="1:20">
      <c r="A129" s="46"/>
      <c r="B129" s="40"/>
      <c r="C129" s="40"/>
      <c r="D129" s="39"/>
      <c r="E129" s="39"/>
      <c r="F129" s="39"/>
      <c r="G129" s="73"/>
      <c r="H129" s="79"/>
      <c r="I129" s="67"/>
      <c r="J129" s="67"/>
      <c r="K129" s="81" t="str">
        <f t="shared" si="12"/>
        <v/>
      </c>
      <c r="L129" s="81" t="str">
        <f t="shared" si="13"/>
        <v/>
      </c>
      <c r="M129" s="81" t="str">
        <f t="shared" si="14"/>
        <v/>
      </c>
      <c r="N129" s="73"/>
      <c r="O129" s="39"/>
      <c r="P129" s="39"/>
      <c r="Q129" s="51" t="str">
        <f t="shared" si="15"/>
        <v/>
      </c>
      <c r="R129" s="56"/>
      <c r="S129" s="83"/>
      <c r="T129" s="31"/>
    </row>
    <row r="130" spans="1:20">
      <c r="A130" s="46"/>
      <c r="B130" s="40"/>
      <c r="C130" s="40"/>
      <c r="D130" s="39"/>
      <c r="E130" s="39"/>
      <c r="F130" s="39"/>
      <c r="G130" s="73"/>
      <c r="H130" s="79"/>
      <c r="I130" s="67"/>
      <c r="J130" s="67"/>
      <c r="K130" s="81" t="str">
        <f t="shared" si="12"/>
        <v/>
      </c>
      <c r="L130" s="81" t="str">
        <f t="shared" si="13"/>
        <v/>
      </c>
      <c r="M130" s="81" t="str">
        <f t="shared" si="14"/>
        <v/>
      </c>
      <c r="N130" s="73"/>
      <c r="O130" s="39"/>
      <c r="P130" s="39"/>
      <c r="Q130" s="51" t="str">
        <f t="shared" si="15"/>
        <v/>
      </c>
      <c r="R130" s="56"/>
      <c r="S130" s="83"/>
      <c r="T130" s="31"/>
    </row>
    <row r="131" spans="1:20">
      <c r="A131" s="46"/>
      <c r="B131" s="40"/>
      <c r="C131" s="40"/>
      <c r="D131" s="39"/>
      <c r="E131" s="39"/>
      <c r="F131" s="39"/>
      <c r="G131" s="73"/>
      <c r="H131" s="79"/>
      <c r="I131" s="67"/>
      <c r="J131" s="67"/>
      <c r="K131" s="81" t="str">
        <f t="shared" si="12"/>
        <v/>
      </c>
      <c r="L131" s="81" t="str">
        <f t="shared" si="13"/>
        <v/>
      </c>
      <c r="M131" s="81" t="str">
        <f t="shared" si="14"/>
        <v/>
      </c>
      <c r="N131" s="73"/>
      <c r="O131" s="39"/>
      <c r="P131" s="39"/>
      <c r="Q131" s="51" t="str">
        <f t="shared" si="15"/>
        <v/>
      </c>
      <c r="R131" s="56"/>
      <c r="S131" s="83"/>
      <c r="T131" s="31"/>
    </row>
    <row r="132" spans="1:20">
      <c r="A132" s="46"/>
      <c r="B132" s="40"/>
      <c r="C132" s="40"/>
      <c r="D132" s="39"/>
      <c r="E132" s="39"/>
      <c r="F132" s="39"/>
      <c r="G132" s="73"/>
      <c r="H132" s="79"/>
      <c r="I132" s="67"/>
      <c r="J132" s="67"/>
      <c r="K132" s="81" t="str">
        <f t="shared" si="12"/>
        <v/>
      </c>
      <c r="L132" s="81" t="str">
        <f t="shared" si="13"/>
        <v/>
      </c>
      <c r="M132" s="81" t="str">
        <f t="shared" si="14"/>
        <v/>
      </c>
      <c r="N132" s="73"/>
      <c r="O132" s="39"/>
      <c r="P132" s="39"/>
      <c r="Q132" s="51" t="str">
        <f t="shared" si="15"/>
        <v/>
      </c>
      <c r="R132" s="56"/>
      <c r="S132" s="83"/>
      <c r="T132" s="31"/>
    </row>
    <row r="133" spans="1:20">
      <c r="A133" s="46"/>
      <c r="B133" s="40"/>
      <c r="C133" s="40"/>
      <c r="D133" s="39"/>
      <c r="E133" s="39"/>
      <c r="F133" s="39"/>
      <c r="G133" s="73"/>
      <c r="H133" s="79"/>
      <c r="I133" s="67"/>
      <c r="J133" s="67"/>
      <c r="K133" s="81" t="str">
        <f t="shared" si="12"/>
        <v/>
      </c>
      <c r="L133" s="81" t="str">
        <f t="shared" si="13"/>
        <v/>
      </c>
      <c r="M133" s="81" t="str">
        <f t="shared" si="14"/>
        <v/>
      </c>
      <c r="N133" s="73"/>
      <c r="O133" s="39"/>
      <c r="P133" s="39"/>
      <c r="Q133" s="51" t="str">
        <f t="shared" si="15"/>
        <v/>
      </c>
      <c r="R133" s="56"/>
      <c r="S133" s="83"/>
      <c r="T133" s="31"/>
    </row>
    <row r="134" spans="1:20">
      <c r="A134" s="46"/>
      <c r="B134" s="40"/>
      <c r="C134" s="40"/>
      <c r="D134" s="39"/>
      <c r="E134" s="39"/>
      <c r="F134" s="39"/>
      <c r="G134" s="73"/>
      <c r="H134" s="79"/>
      <c r="I134" s="67"/>
      <c r="J134" s="67"/>
      <c r="K134" s="81" t="str">
        <f t="shared" si="12"/>
        <v/>
      </c>
      <c r="L134" s="81" t="str">
        <f t="shared" si="13"/>
        <v/>
      </c>
      <c r="M134" s="81" t="str">
        <f t="shared" si="14"/>
        <v/>
      </c>
      <c r="N134" s="73"/>
      <c r="O134" s="39"/>
      <c r="P134" s="39"/>
      <c r="Q134" s="51" t="str">
        <f t="shared" si="15"/>
        <v/>
      </c>
      <c r="R134" s="56"/>
      <c r="S134" s="83"/>
      <c r="T134" s="31"/>
    </row>
    <row r="135" spans="1:20">
      <c r="A135" s="46"/>
      <c r="B135" s="40"/>
      <c r="C135" s="40"/>
      <c r="D135" s="39"/>
      <c r="E135" s="39"/>
      <c r="F135" s="39"/>
      <c r="G135" s="73"/>
      <c r="H135" s="79"/>
      <c r="I135" s="67"/>
      <c r="J135" s="67"/>
      <c r="K135" s="81" t="str">
        <f t="shared" ref="K135:K166" si="16">IF(N135&lt;&gt;"","",IF(AND(G135&lt;&gt;"",H135&lt;&gt;"",J135&lt;&gt;""),ROUND(PPMT(H135,1,J135,-G135),0),""))</f>
        <v/>
      </c>
      <c r="L135" s="81" t="str">
        <f t="shared" ref="L135:L166" si="17">IF(N135&lt;&gt;"","",IF(AND(G135&lt;&gt;"",H135&lt;&gt;""),ROUND(G135*H135,0),""))</f>
        <v/>
      </c>
      <c r="M135" s="81" t="str">
        <f t="shared" ref="M135:M166" si="18">IF(N135&lt;&gt;"",N135,IF(AND(G135&lt;&gt;"",H135&lt;&gt;"",J135&lt;&gt;""),ROUND(PMT(H135,J135,-G135),0),""))</f>
        <v/>
      </c>
      <c r="N135" s="73"/>
      <c r="O135" s="39"/>
      <c r="P135" s="39"/>
      <c r="Q135" s="51" t="str">
        <f t="shared" ref="Q135:Q166" si="19">IF(A135="","",IF(D135="No","Excluded",IF(AND(OR(F135="N/A",E135="No Debt / N/A"),G135=""),"No Debt / N/A",IF(M135&lt;&gt;"","Ready","Partial"))))</f>
        <v/>
      </c>
      <c r="R135" s="56"/>
      <c r="S135" s="83"/>
      <c r="T135" s="31"/>
    </row>
    <row r="136" spans="1:20">
      <c r="A136" s="46"/>
      <c r="B136" s="40"/>
      <c r="C136" s="40"/>
      <c r="D136" s="39"/>
      <c r="E136" s="39"/>
      <c r="F136" s="39"/>
      <c r="G136" s="73"/>
      <c r="H136" s="79"/>
      <c r="I136" s="67"/>
      <c r="J136" s="67"/>
      <c r="K136" s="81" t="str">
        <f t="shared" si="16"/>
        <v/>
      </c>
      <c r="L136" s="81" t="str">
        <f t="shared" si="17"/>
        <v/>
      </c>
      <c r="M136" s="81" t="str">
        <f t="shared" si="18"/>
        <v/>
      </c>
      <c r="N136" s="73"/>
      <c r="O136" s="39"/>
      <c r="P136" s="39"/>
      <c r="Q136" s="51" t="str">
        <f t="shared" si="19"/>
        <v/>
      </c>
      <c r="R136" s="56"/>
      <c r="S136" s="83"/>
      <c r="T136" s="31"/>
    </row>
    <row r="137" spans="1:20">
      <c r="A137" s="46"/>
      <c r="B137" s="40"/>
      <c r="C137" s="40"/>
      <c r="D137" s="39"/>
      <c r="E137" s="39"/>
      <c r="F137" s="39"/>
      <c r="G137" s="73"/>
      <c r="H137" s="79"/>
      <c r="I137" s="67"/>
      <c r="J137" s="67"/>
      <c r="K137" s="81" t="str">
        <f t="shared" si="16"/>
        <v/>
      </c>
      <c r="L137" s="81" t="str">
        <f t="shared" si="17"/>
        <v/>
      </c>
      <c r="M137" s="81" t="str">
        <f t="shared" si="18"/>
        <v/>
      </c>
      <c r="N137" s="73"/>
      <c r="O137" s="39"/>
      <c r="P137" s="39"/>
      <c r="Q137" s="51" t="str">
        <f t="shared" si="19"/>
        <v/>
      </c>
      <c r="R137" s="56"/>
      <c r="S137" s="83"/>
      <c r="T137" s="31"/>
    </row>
    <row r="138" spans="1:20">
      <c r="A138" s="46"/>
      <c r="B138" s="40"/>
      <c r="C138" s="40"/>
      <c r="D138" s="39"/>
      <c r="E138" s="39"/>
      <c r="F138" s="39"/>
      <c r="G138" s="73"/>
      <c r="H138" s="79"/>
      <c r="I138" s="67"/>
      <c r="J138" s="67"/>
      <c r="K138" s="81" t="str">
        <f t="shared" si="16"/>
        <v/>
      </c>
      <c r="L138" s="81" t="str">
        <f t="shared" si="17"/>
        <v/>
      </c>
      <c r="M138" s="81" t="str">
        <f t="shared" si="18"/>
        <v/>
      </c>
      <c r="N138" s="73"/>
      <c r="O138" s="39"/>
      <c r="P138" s="39"/>
      <c r="Q138" s="51" t="str">
        <f t="shared" si="19"/>
        <v/>
      </c>
      <c r="R138" s="56"/>
      <c r="S138" s="83"/>
      <c r="T138" s="31"/>
    </row>
    <row r="139" spans="1:20">
      <c r="A139" s="46"/>
      <c r="B139" s="40"/>
      <c r="C139" s="40"/>
      <c r="D139" s="39"/>
      <c r="E139" s="39"/>
      <c r="F139" s="39"/>
      <c r="G139" s="73"/>
      <c r="H139" s="79"/>
      <c r="I139" s="67"/>
      <c r="J139" s="67"/>
      <c r="K139" s="81" t="str">
        <f t="shared" si="16"/>
        <v/>
      </c>
      <c r="L139" s="81" t="str">
        <f t="shared" si="17"/>
        <v/>
      </c>
      <c r="M139" s="81" t="str">
        <f t="shared" si="18"/>
        <v/>
      </c>
      <c r="N139" s="73"/>
      <c r="O139" s="39"/>
      <c r="P139" s="39"/>
      <c r="Q139" s="51" t="str">
        <f t="shared" si="19"/>
        <v/>
      </c>
      <c r="R139" s="56"/>
      <c r="S139" s="83"/>
      <c r="T139" s="31"/>
    </row>
    <row r="140" spans="1:20">
      <c r="A140" s="46"/>
      <c r="B140" s="40"/>
      <c r="C140" s="40"/>
      <c r="D140" s="39"/>
      <c r="E140" s="39"/>
      <c r="F140" s="39"/>
      <c r="G140" s="73"/>
      <c r="H140" s="79"/>
      <c r="I140" s="67"/>
      <c r="J140" s="67"/>
      <c r="K140" s="81" t="str">
        <f t="shared" si="16"/>
        <v/>
      </c>
      <c r="L140" s="81" t="str">
        <f t="shared" si="17"/>
        <v/>
      </c>
      <c r="M140" s="81" t="str">
        <f t="shared" si="18"/>
        <v/>
      </c>
      <c r="N140" s="73"/>
      <c r="O140" s="39"/>
      <c r="P140" s="39"/>
      <c r="Q140" s="51" t="str">
        <f t="shared" si="19"/>
        <v/>
      </c>
      <c r="R140" s="56"/>
      <c r="S140" s="83"/>
      <c r="T140" s="31"/>
    </row>
    <row r="141" spans="1:20">
      <c r="A141" s="46"/>
      <c r="B141" s="40"/>
      <c r="C141" s="40"/>
      <c r="D141" s="39"/>
      <c r="E141" s="39"/>
      <c r="F141" s="39"/>
      <c r="G141" s="73"/>
      <c r="H141" s="79"/>
      <c r="I141" s="67"/>
      <c r="J141" s="67"/>
      <c r="K141" s="81" t="str">
        <f t="shared" si="16"/>
        <v/>
      </c>
      <c r="L141" s="81" t="str">
        <f t="shared" si="17"/>
        <v/>
      </c>
      <c r="M141" s="81" t="str">
        <f t="shared" si="18"/>
        <v/>
      </c>
      <c r="N141" s="73"/>
      <c r="O141" s="39"/>
      <c r="P141" s="39"/>
      <c r="Q141" s="51" t="str">
        <f t="shared" si="19"/>
        <v/>
      </c>
      <c r="R141" s="56"/>
      <c r="S141" s="83"/>
      <c r="T141" s="31"/>
    </row>
    <row r="142" spans="1:20">
      <c r="A142" s="46"/>
      <c r="B142" s="40"/>
      <c r="C142" s="40"/>
      <c r="D142" s="39"/>
      <c r="E142" s="39"/>
      <c r="F142" s="39"/>
      <c r="G142" s="73"/>
      <c r="H142" s="79"/>
      <c r="I142" s="67"/>
      <c r="J142" s="67"/>
      <c r="K142" s="81" t="str">
        <f t="shared" si="16"/>
        <v/>
      </c>
      <c r="L142" s="81" t="str">
        <f t="shared" si="17"/>
        <v/>
      </c>
      <c r="M142" s="81" t="str">
        <f t="shared" si="18"/>
        <v/>
      </c>
      <c r="N142" s="73"/>
      <c r="O142" s="39"/>
      <c r="P142" s="39"/>
      <c r="Q142" s="51" t="str">
        <f t="shared" si="19"/>
        <v/>
      </c>
      <c r="R142" s="56"/>
      <c r="S142" s="83"/>
      <c r="T142" s="31"/>
    </row>
    <row r="143" spans="1:20">
      <c r="A143" s="46"/>
      <c r="B143" s="40"/>
      <c r="C143" s="40"/>
      <c r="D143" s="39"/>
      <c r="E143" s="39"/>
      <c r="F143" s="39"/>
      <c r="G143" s="73"/>
      <c r="H143" s="79"/>
      <c r="I143" s="67"/>
      <c r="J143" s="67"/>
      <c r="K143" s="81" t="str">
        <f t="shared" si="16"/>
        <v/>
      </c>
      <c r="L143" s="81" t="str">
        <f t="shared" si="17"/>
        <v/>
      </c>
      <c r="M143" s="81" t="str">
        <f t="shared" si="18"/>
        <v/>
      </c>
      <c r="N143" s="73"/>
      <c r="O143" s="39"/>
      <c r="P143" s="39"/>
      <c r="Q143" s="51" t="str">
        <f t="shared" si="19"/>
        <v/>
      </c>
      <c r="R143" s="56"/>
      <c r="S143" s="83"/>
      <c r="T143" s="31"/>
    </row>
    <row r="144" spans="1:20">
      <c r="A144" s="46"/>
      <c r="B144" s="40"/>
      <c r="C144" s="40"/>
      <c r="D144" s="39"/>
      <c r="E144" s="39"/>
      <c r="F144" s="39"/>
      <c r="G144" s="73"/>
      <c r="H144" s="79"/>
      <c r="I144" s="67"/>
      <c r="J144" s="67"/>
      <c r="K144" s="81" t="str">
        <f t="shared" si="16"/>
        <v/>
      </c>
      <c r="L144" s="81" t="str">
        <f t="shared" si="17"/>
        <v/>
      </c>
      <c r="M144" s="81" t="str">
        <f t="shared" si="18"/>
        <v/>
      </c>
      <c r="N144" s="73"/>
      <c r="O144" s="39"/>
      <c r="P144" s="39"/>
      <c r="Q144" s="51" t="str">
        <f t="shared" si="19"/>
        <v/>
      </c>
      <c r="R144" s="56"/>
      <c r="S144" s="83"/>
      <c r="T144" s="31"/>
    </row>
    <row r="145" spans="1:20">
      <c r="A145" s="46"/>
      <c r="B145" s="40"/>
      <c r="C145" s="40"/>
      <c r="D145" s="39"/>
      <c r="E145" s="39"/>
      <c r="F145" s="39"/>
      <c r="G145" s="73"/>
      <c r="H145" s="79"/>
      <c r="I145" s="67"/>
      <c r="J145" s="67"/>
      <c r="K145" s="81" t="str">
        <f t="shared" si="16"/>
        <v/>
      </c>
      <c r="L145" s="81" t="str">
        <f t="shared" si="17"/>
        <v/>
      </c>
      <c r="M145" s="81" t="str">
        <f t="shared" si="18"/>
        <v/>
      </c>
      <c r="N145" s="73"/>
      <c r="O145" s="39"/>
      <c r="P145" s="39"/>
      <c r="Q145" s="51" t="str">
        <f t="shared" si="19"/>
        <v/>
      </c>
      <c r="R145" s="56"/>
      <c r="S145" s="83"/>
      <c r="T145" s="31"/>
    </row>
    <row r="146" spans="1:20">
      <c r="A146" s="46"/>
      <c r="B146" s="40"/>
      <c r="C146" s="40"/>
      <c r="D146" s="39"/>
      <c r="E146" s="39"/>
      <c r="F146" s="39"/>
      <c r="G146" s="73"/>
      <c r="H146" s="79"/>
      <c r="I146" s="67"/>
      <c r="J146" s="67"/>
      <c r="K146" s="81" t="str">
        <f t="shared" si="16"/>
        <v/>
      </c>
      <c r="L146" s="81" t="str">
        <f t="shared" si="17"/>
        <v/>
      </c>
      <c r="M146" s="81" t="str">
        <f t="shared" si="18"/>
        <v/>
      </c>
      <c r="N146" s="73"/>
      <c r="O146" s="39"/>
      <c r="P146" s="39"/>
      <c r="Q146" s="51" t="str">
        <f t="shared" si="19"/>
        <v/>
      </c>
      <c r="R146" s="56"/>
      <c r="S146" s="83"/>
      <c r="T146" s="31"/>
    </row>
    <row r="147" spans="1:20">
      <c r="A147" s="46"/>
      <c r="B147" s="40"/>
      <c r="C147" s="40"/>
      <c r="D147" s="39"/>
      <c r="E147" s="39"/>
      <c r="F147" s="39"/>
      <c r="G147" s="73"/>
      <c r="H147" s="79"/>
      <c r="I147" s="67"/>
      <c r="J147" s="67"/>
      <c r="K147" s="81" t="str">
        <f t="shared" si="16"/>
        <v/>
      </c>
      <c r="L147" s="81" t="str">
        <f t="shared" si="17"/>
        <v/>
      </c>
      <c r="M147" s="81" t="str">
        <f t="shared" si="18"/>
        <v/>
      </c>
      <c r="N147" s="73"/>
      <c r="O147" s="39"/>
      <c r="P147" s="39"/>
      <c r="Q147" s="51" t="str">
        <f t="shared" si="19"/>
        <v/>
      </c>
      <c r="R147" s="56"/>
      <c r="S147" s="83"/>
      <c r="T147" s="31"/>
    </row>
    <row r="148" spans="1:20">
      <c r="A148" s="46"/>
      <c r="B148" s="40"/>
      <c r="C148" s="40"/>
      <c r="D148" s="39"/>
      <c r="E148" s="39"/>
      <c r="F148" s="39"/>
      <c r="G148" s="73"/>
      <c r="H148" s="79"/>
      <c r="I148" s="67"/>
      <c r="J148" s="67"/>
      <c r="K148" s="81" t="str">
        <f t="shared" si="16"/>
        <v/>
      </c>
      <c r="L148" s="81" t="str">
        <f t="shared" si="17"/>
        <v/>
      </c>
      <c r="M148" s="81" t="str">
        <f t="shared" si="18"/>
        <v/>
      </c>
      <c r="N148" s="73"/>
      <c r="O148" s="39"/>
      <c r="P148" s="39"/>
      <c r="Q148" s="51" t="str">
        <f t="shared" si="19"/>
        <v/>
      </c>
      <c r="R148" s="56"/>
      <c r="S148" s="83"/>
      <c r="T148" s="31"/>
    </row>
    <row r="149" spans="1:20">
      <c r="A149" s="46"/>
      <c r="B149" s="40"/>
      <c r="C149" s="40"/>
      <c r="D149" s="39"/>
      <c r="E149" s="39"/>
      <c r="F149" s="39"/>
      <c r="G149" s="73"/>
      <c r="H149" s="79"/>
      <c r="I149" s="67"/>
      <c r="J149" s="67"/>
      <c r="K149" s="81" t="str">
        <f t="shared" si="16"/>
        <v/>
      </c>
      <c r="L149" s="81" t="str">
        <f t="shared" si="17"/>
        <v/>
      </c>
      <c r="M149" s="81" t="str">
        <f t="shared" si="18"/>
        <v/>
      </c>
      <c r="N149" s="73"/>
      <c r="O149" s="39"/>
      <c r="P149" s="39"/>
      <c r="Q149" s="51" t="str">
        <f t="shared" si="19"/>
        <v/>
      </c>
      <c r="R149" s="56"/>
      <c r="S149" s="83"/>
      <c r="T149" s="31"/>
    </row>
    <row r="150" spans="1:20">
      <c r="A150" s="46"/>
      <c r="B150" s="40"/>
      <c r="C150" s="40"/>
      <c r="D150" s="39"/>
      <c r="E150" s="39"/>
      <c r="F150" s="39"/>
      <c r="G150" s="73"/>
      <c r="H150" s="79"/>
      <c r="I150" s="67"/>
      <c r="J150" s="67"/>
      <c r="K150" s="81" t="str">
        <f t="shared" si="16"/>
        <v/>
      </c>
      <c r="L150" s="81" t="str">
        <f t="shared" si="17"/>
        <v/>
      </c>
      <c r="M150" s="81" t="str">
        <f t="shared" si="18"/>
        <v/>
      </c>
      <c r="N150" s="73"/>
      <c r="O150" s="39"/>
      <c r="P150" s="39"/>
      <c r="Q150" s="51" t="str">
        <f t="shared" si="19"/>
        <v/>
      </c>
      <c r="R150" s="56"/>
      <c r="S150" s="83"/>
      <c r="T150" s="31"/>
    </row>
    <row r="151" spans="1:20">
      <c r="A151" s="46"/>
      <c r="B151" s="40"/>
      <c r="C151" s="40"/>
      <c r="D151" s="39"/>
      <c r="E151" s="39"/>
      <c r="F151" s="39"/>
      <c r="G151" s="73"/>
      <c r="H151" s="79"/>
      <c r="I151" s="67"/>
      <c r="J151" s="67"/>
      <c r="K151" s="81" t="str">
        <f t="shared" si="16"/>
        <v/>
      </c>
      <c r="L151" s="81" t="str">
        <f t="shared" si="17"/>
        <v/>
      </c>
      <c r="M151" s="81" t="str">
        <f t="shared" si="18"/>
        <v/>
      </c>
      <c r="N151" s="73"/>
      <c r="O151" s="39"/>
      <c r="P151" s="39"/>
      <c r="Q151" s="51" t="str">
        <f t="shared" si="19"/>
        <v/>
      </c>
      <c r="R151" s="56"/>
      <c r="S151" s="83"/>
      <c r="T151" s="31"/>
    </row>
    <row r="152" spans="1:20">
      <c r="A152" s="46"/>
      <c r="B152" s="40"/>
      <c r="C152" s="40"/>
      <c r="D152" s="39"/>
      <c r="E152" s="39"/>
      <c r="F152" s="39"/>
      <c r="G152" s="73"/>
      <c r="H152" s="79"/>
      <c r="I152" s="67"/>
      <c r="J152" s="67"/>
      <c r="K152" s="81" t="str">
        <f t="shared" si="16"/>
        <v/>
      </c>
      <c r="L152" s="81" t="str">
        <f t="shared" si="17"/>
        <v/>
      </c>
      <c r="M152" s="81" t="str">
        <f t="shared" si="18"/>
        <v/>
      </c>
      <c r="N152" s="73"/>
      <c r="O152" s="39"/>
      <c r="P152" s="39"/>
      <c r="Q152" s="51" t="str">
        <f t="shared" si="19"/>
        <v/>
      </c>
      <c r="R152" s="56"/>
      <c r="S152" s="83"/>
      <c r="T152" s="31"/>
    </row>
    <row r="153" spans="1:20">
      <c r="A153" s="46"/>
      <c r="B153" s="40"/>
      <c r="C153" s="40"/>
      <c r="D153" s="39"/>
      <c r="E153" s="39"/>
      <c r="F153" s="39"/>
      <c r="G153" s="73"/>
      <c r="H153" s="79"/>
      <c r="I153" s="67"/>
      <c r="J153" s="67"/>
      <c r="K153" s="81" t="str">
        <f t="shared" si="16"/>
        <v/>
      </c>
      <c r="L153" s="81" t="str">
        <f t="shared" si="17"/>
        <v/>
      </c>
      <c r="M153" s="81" t="str">
        <f t="shared" si="18"/>
        <v/>
      </c>
      <c r="N153" s="73"/>
      <c r="O153" s="39"/>
      <c r="P153" s="39"/>
      <c r="Q153" s="51" t="str">
        <f t="shared" si="19"/>
        <v/>
      </c>
      <c r="R153" s="56"/>
      <c r="S153" s="83"/>
      <c r="T153" s="31"/>
    </row>
    <row r="154" spans="1:20">
      <c r="A154" s="46"/>
      <c r="B154" s="40"/>
      <c r="C154" s="40"/>
      <c r="D154" s="39"/>
      <c r="E154" s="39"/>
      <c r="F154" s="39"/>
      <c r="G154" s="73"/>
      <c r="H154" s="79"/>
      <c r="I154" s="67"/>
      <c r="J154" s="67"/>
      <c r="K154" s="81" t="str">
        <f t="shared" si="16"/>
        <v/>
      </c>
      <c r="L154" s="81" t="str">
        <f t="shared" si="17"/>
        <v/>
      </c>
      <c r="M154" s="81" t="str">
        <f t="shared" si="18"/>
        <v/>
      </c>
      <c r="N154" s="73"/>
      <c r="O154" s="39"/>
      <c r="P154" s="39"/>
      <c r="Q154" s="51" t="str">
        <f t="shared" si="19"/>
        <v/>
      </c>
      <c r="R154" s="56"/>
      <c r="S154" s="83"/>
      <c r="T154" s="31"/>
    </row>
    <row r="155" spans="1:20">
      <c r="A155" s="46"/>
      <c r="B155" s="40"/>
      <c r="C155" s="40"/>
      <c r="D155" s="39"/>
      <c r="E155" s="39"/>
      <c r="F155" s="39"/>
      <c r="G155" s="73"/>
      <c r="H155" s="79"/>
      <c r="I155" s="67"/>
      <c r="J155" s="67"/>
      <c r="K155" s="81" t="str">
        <f t="shared" si="16"/>
        <v/>
      </c>
      <c r="L155" s="81" t="str">
        <f t="shared" si="17"/>
        <v/>
      </c>
      <c r="M155" s="81" t="str">
        <f t="shared" si="18"/>
        <v/>
      </c>
      <c r="N155" s="73"/>
      <c r="O155" s="39"/>
      <c r="P155" s="39"/>
      <c r="Q155" s="51" t="str">
        <f t="shared" si="19"/>
        <v/>
      </c>
      <c r="R155" s="56"/>
      <c r="S155" s="83"/>
      <c r="T155" s="31"/>
    </row>
    <row r="156" spans="1:20">
      <c r="A156" s="46"/>
      <c r="B156" s="40"/>
      <c r="C156" s="40"/>
      <c r="D156" s="39"/>
      <c r="E156" s="39"/>
      <c r="F156" s="39"/>
      <c r="G156" s="73"/>
      <c r="H156" s="79"/>
      <c r="I156" s="67"/>
      <c r="J156" s="67"/>
      <c r="K156" s="81" t="str">
        <f t="shared" si="16"/>
        <v/>
      </c>
      <c r="L156" s="81" t="str">
        <f t="shared" si="17"/>
        <v/>
      </c>
      <c r="M156" s="81" t="str">
        <f t="shared" si="18"/>
        <v/>
      </c>
      <c r="N156" s="73"/>
      <c r="O156" s="39"/>
      <c r="P156" s="39"/>
      <c r="Q156" s="51" t="str">
        <f t="shared" si="19"/>
        <v/>
      </c>
      <c r="R156" s="56"/>
      <c r="S156" s="83"/>
      <c r="T156" s="31"/>
    </row>
    <row r="157" spans="1:20">
      <c r="A157" s="46"/>
      <c r="B157" s="40"/>
      <c r="C157" s="40"/>
      <c r="D157" s="39"/>
      <c r="E157" s="39"/>
      <c r="F157" s="39"/>
      <c r="G157" s="73"/>
      <c r="H157" s="79"/>
      <c r="I157" s="67"/>
      <c r="J157" s="67"/>
      <c r="K157" s="81" t="str">
        <f t="shared" si="16"/>
        <v/>
      </c>
      <c r="L157" s="81" t="str">
        <f t="shared" si="17"/>
        <v/>
      </c>
      <c r="M157" s="81" t="str">
        <f t="shared" si="18"/>
        <v/>
      </c>
      <c r="N157" s="73"/>
      <c r="O157" s="39"/>
      <c r="P157" s="39"/>
      <c r="Q157" s="51" t="str">
        <f t="shared" si="19"/>
        <v/>
      </c>
      <c r="R157" s="56"/>
      <c r="S157" s="83"/>
      <c r="T157" s="31"/>
    </row>
    <row r="158" spans="1:20">
      <c r="A158" s="46"/>
      <c r="B158" s="40"/>
      <c r="C158" s="40"/>
      <c r="D158" s="39"/>
      <c r="E158" s="39"/>
      <c r="F158" s="39"/>
      <c r="G158" s="73"/>
      <c r="H158" s="79"/>
      <c r="I158" s="67"/>
      <c r="J158" s="67"/>
      <c r="K158" s="81" t="str">
        <f t="shared" si="16"/>
        <v/>
      </c>
      <c r="L158" s="81" t="str">
        <f t="shared" si="17"/>
        <v/>
      </c>
      <c r="M158" s="81" t="str">
        <f t="shared" si="18"/>
        <v/>
      </c>
      <c r="N158" s="73"/>
      <c r="O158" s="39"/>
      <c r="P158" s="39"/>
      <c r="Q158" s="51" t="str">
        <f t="shared" si="19"/>
        <v/>
      </c>
      <c r="R158" s="56"/>
      <c r="S158" s="83"/>
      <c r="T158" s="31"/>
    </row>
    <row r="159" spans="1:20">
      <c r="A159" s="46"/>
      <c r="B159" s="40"/>
      <c r="C159" s="40"/>
      <c r="D159" s="39"/>
      <c r="E159" s="39"/>
      <c r="F159" s="39"/>
      <c r="G159" s="73"/>
      <c r="H159" s="79"/>
      <c r="I159" s="67"/>
      <c r="J159" s="67"/>
      <c r="K159" s="81" t="str">
        <f t="shared" si="16"/>
        <v/>
      </c>
      <c r="L159" s="81" t="str">
        <f t="shared" si="17"/>
        <v/>
      </c>
      <c r="M159" s="81" t="str">
        <f t="shared" si="18"/>
        <v/>
      </c>
      <c r="N159" s="73"/>
      <c r="O159" s="39"/>
      <c r="P159" s="39"/>
      <c r="Q159" s="51" t="str">
        <f t="shared" si="19"/>
        <v/>
      </c>
      <c r="R159" s="56"/>
      <c r="S159" s="83"/>
      <c r="T159" s="31"/>
    </row>
    <row r="160" spans="1:20">
      <c r="A160" s="46"/>
      <c r="B160" s="40"/>
      <c r="C160" s="40"/>
      <c r="D160" s="39"/>
      <c r="E160" s="39"/>
      <c r="F160" s="39"/>
      <c r="G160" s="73"/>
      <c r="H160" s="79"/>
      <c r="I160" s="67"/>
      <c r="J160" s="67"/>
      <c r="K160" s="81" t="str">
        <f t="shared" si="16"/>
        <v/>
      </c>
      <c r="L160" s="81" t="str">
        <f t="shared" si="17"/>
        <v/>
      </c>
      <c r="M160" s="81" t="str">
        <f t="shared" si="18"/>
        <v/>
      </c>
      <c r="N160" s="73"/>
      <c r="O160" s="39"/>
      <c r="P160" s="39"/>
      <c r="Q160" s="51" t="str">
        <f t="shared" si="19"/>
        <v/>
      </c>
      <c r="R160" s="56"/>
      <c r="S160" s="83"/>
      <c r="T160" s="31"/>
    </row>
    <row r="161" spans="1:20">
      <c r="A161" s="46"/>
      <c r="B161" s="40"/>
      <c r="C161" s="40"/>
      <c r="D161" s="39"/>
      <c r="E161" s="39"/>
      <c r="F161" s="39"/>
      <c r="G161" s="73"/>
      <c r="H161" s="79"/>
      <c r="I161" s="67"/>
      <c r="J161" s="67"/>
      <c r="K161" s="81" t="str">
        <f t="shared" si="16"/>
        <v/>
      </c>
      <c r="L161" s="81" t="str">
        <f t="shared" si="17"/>
        <v/>
      </c>
      <c r="M161" s="81" t="str">
        <f t="shared" si="18"/>
        <v/>
      </c>
      <c r="N161" s="73"/>
      <c r="O161" s="39"/>
      <c r="P161" s="39"/>
      <c r="Q161" s="51" t="str">
        <f t="shared" si="19"/>
        <v/>
      </c>
      <c r="R161" s="56"/>
      <c r="S161" s="83"/>
      <c r="T161" s="31"/>
    </row>
    <row r="162" spans="1:20">
      <c r="A162" s="46"/>
      <c r="B162" s="40"/>
      <c r="C162" s="40"/>
      <c r="D162" s="39"/>
      <c r="E162" s="39"/>
      <c r="F162" s="39"/>
      <c r="G162" s="73"/>
      <c r="H162" s="79"/>
      <c r="I162" s="67"/>
      <c r="J162" s="67"/>
      <c r="K162" s="81" t="str">
        <f t="shared" si="16"/>
        <v/>
      </c>
      <c r="L162" s="81" t="str">
        <f t="shared" si="17"/>
        <v/>
      </c>
      <c r="M162" s="81" t="str">
        <f t="shared" si="18"/>
        <v/>
      </c>
      <c r="N162" s="73"/>
      <c r="O162" s="39"/>
      <c r="P162" s="39"/>
      <c r="Q162" s="51" t="str">
        <f t="shared" si="19"/>
        <v/>
      </c>
      <c r="R162" s="56"/>
      <c r="S162" s="83"/>
      <c r="T162" s="31"/>
    </row>
    <row r="163" spans="1:20">
      <c r="A163" s="46"/>
      <c r="B163" s="40"/>
      <c r="C163" s="40"/>
      <c r="D163" s="39"/>
      <c r="E163" s="39"/>
      <c r="F163" s="39"/>
      <c r="G163" s="73"/>
      <c r="H163" s="79"/>
      <c r="I163" s="67"/>
      <c r="J163" s="67"/>
      <c r="K163" s="81" t="str">
        <f t="shared" si="16"/>
        <v/>
      </c>
      <c r="L163" s="81" t="str">
        <f t="shared" si="17"/>
        <v/>
      </c>
      <c r="M163" s="81" t="str">
        <f t="shared" si="18"/>
        <v/>
      </c>
      <c r="N163" s="73"/>
      <c r="O163" s="39"/>
      <c r="P163" s="39"/>
      <c r="Q163" s="51" t="str">
        <f t="shared" si="19"/>
        <v/>
      </c>
      <c r="R163" s="56"/>
      <c r="S163" s="83"/>
      <c r="T163" s="31"/>
    </row>
    <row r="164" spans="1:20">
      <c r="A164" s="46"/>
      <c r="B164" s="40"/>
      <c r="C164" s="40"/>
      <c r="D164" s="39"/>
      <c r="E164" s="39"/>
      <c r="F164" s="39"/>
      <c r="G164" s="73"/>
      <c r="H164" s="79"/>
      <c r="I164" s="67"/>
      <c r="J164" s="67"/>
      <c r="K164" s="81" t="str">
        <f t="shared" si="16"/>
        <v/>
      </c>
      <c r="L164" s="81" t="str">
        <f t="shared" si="17"/>
        <v/>
      </c>
      <c r="M164" s="81" t="str">
        <f t="shared" si="18"/>
        <v/>
      </c>
      <c r="N164" s="73"/>
      <c r="O164" s="39"/>
      <c r="P164" s="39"/>
      <c r="Q164" s="51" t="str">
        <f t="shared" si="19"/>
        <v/>
      </c>
      <c r="R164" s="56"/>
      <c r="S164" s="83"/>
      <c r="T164" s="31"/>
    </row>
    <row r="165" spans="1:20">
      <c r="A165" s="46"/>
      <c r="B165" s="40"/>
      <c r="C165" s="40"/>
      <c r="D165" s="39"/>
      <c r="E165" s="39"/>
      <c r="F165" s="39"/>
      <c r="G165" s="73"/>
      <c r="H165" s="79"/>
      <c r="I165" s="67"/>
      <c r="J165" s="67"/>
      <c r="K165" s="81" t="str">
        <f t="shared" si="16"/>
        <v/>
      </c>
      <c r="L165" s="81" t="str">
        <f t="shared" si="17"/>
        <v/>
      </c>
      <c r="M165" s="81" t="str">
        <f t="shared" si="18"/>
        <v/>
      </c>
      <c r="N165" s="73"/>
      <c r="O165" s="39"/>
      <c r="P165" s="39"/>
      <c r="Q165" s="51" t="str">
        <f t="shared" si="19"/>
        <v/>
      </c>
      <c r="R165" s="56"/>
      <c r="S165" s="83"/>
      <c r="T165" s="31"/>
    </row>
    <row r="166" spans="1:20">
      <c r="A166" s="46"/>
      <c r="B166" s="40"/>
      <c r="C166" s="40"/>
      <c r="D166" s="39"/>
      <c r="E166" s="39"/>
      <c r="F166" s="39"/>
      <c r="G166" s="73"/>
      <c r="H166" s="79"/>
      <c r="I166" s="67"/>
      <c r="J166" s="67"/>
      <c r="K166" s="81" t="str">
        <f t="shared" si="16"/>
        <v/>
      </c>
      <c r="L166" s="81" t="str">
        <f t="shared" si="17"/>
        <v/>
      </c>
      <c r="M166" s="81" t="str">
        <f t="shared" si="18"/>
        <v/>
      </c>
      <c r="N166" s="73"/>
      <c r="O166" s="39"/>
      <c r="P166" s="39"/>
      <c r="Q166" s="51" t="str">
        <f t="shared" si="19"/>
        <v/>
      </c>
      <c r="R166" s="56"/>
      <c r="S166" s="83"/>
      <c r="T166" s="31"/>
    </row>
    <row r="167" spans="1:20">
      <c r="A167" s="46"/>
      <c r="B167" s="40"/>
      <c r="C167" s="40"/>
      <c r="D167" s="39"/>
      <c r="E167" s="39"/>
      <c r="F167" s="39"/>
      <c r="G167" s="73"/>
      <c r="H167" s="79"/>
      <c r="I167" s="67"/>
      <c r="J167" s="67"/>
      <c r="K167" s="81" t="str">
        <f t="shared" ref="K167:K198" si="20">IF(N167&lt;&gt;"","",IF(AND(G167&lt;&gt;"",H167&lt;&gt;"",J167&lt;&gt;""),ROUND(PPMT(H167,1,J167,-G167),0),""))</f>
        <v/>
      </c>
      <c r="L167" s="81" t="str">
        <f t="shared" ref="L167:L198" si="21">IF(N167&lt;&gt;"","",IF(AND(G167&lt;&gt;"",H167&lt;&gt;""),ROUND(G167*H167,0),""))</f>
        <v/>
      </c>
      <c r="M167" s="81" t="str">
        <f t="shared" ref="M167:M198" si="22">IF(N167&lt;&gt;"",N167,IF(AND(G167&lt;&gt;"",H167&lt;&gt;"",J167&lt;&gt;""),ROUND(PMT(H167,J167,-G167),0),""))</f>
        <v/>
      </c>
      <c r="N167" s="73"/>
      <c r="O167" s="39"/>
      <c r="P167" s="39"/>
      <c r="Q167" s="51" t="str">
        <f t="shared" ref="Q167:Q198" si="23">IF(A167="","",IF(D167="No","Excluded",IF(AND(OR(F167="N/A",E167="No Debt / N/A"),G167=""),"No Debt / N/A",IF(M167&lt;&gt;"","Ready","Partial"))))</f>
        <v/>
      </c>
      <c r="R167" s="56"/>
      <c r="S167" s="83"/>
      <c r="T167" s="31"/>
    </row>
    <row r="168" spans="1:20">
      <c r="A168" s="46"/>
      <c r="B168" s="40"/>
      <c r="C168" s="40"/>
      <c r="D168" s="39"/>
      <c r="E168" s="39"/>
      <c r="F168" s="39"/>
      <c r="G168" s="73"/>
      <c r="H168" s="79"/>
      <c r="I168" s="67"/>
      <c r="J168" s="67"/>
      <c r="K168" s="81" t="str">
        <f t="shared" si="20"/>
        <v/>
      </c>
      <c r="L168" s="81" t="str">
        <f t="shared" si="21"/>
        <v/>
      </c>
      <c r="M168" s="81" t="str">
        <f t="shared" si="22"/>
        <v/>
      </c>
      <c r="N168" s="73"/>
      <c r="O168" s="39"/>
      <c r="P168" s="39"/>
      <c r="Q168" s="51" t="str">
        <f t="shared" si="23"/>
        <v/>
      </c>
      <c r="R168" s="56"/>
      <c r="S168" s="83"/>
      <c r="T168" s="31"/>
    </row>
    <row r="169" spans="1:20">
      <c r="A169" s="46"/>
      <c r="B169" s="40"/>
      <c r="C169" s="40"/>
      <c r="D169" s="39"/>
      <c r="E169" s="39"/>
      <c r="F169" s="39"/>
      <c r="G169" s="73"/>
      <c r="H169" s="79"/>
      <c r="I169" s="67"/>
      <c r="J169" s="67"/>
      <c r="K169" s="81" t="str">
        <f t="shared" si="20"/>
        <v/>
      </c>
      <c r="L169" s="81" t="str">
        <f t="shared" si="21"/>
        <v/>
      </c>
      <c r="M169" s="81" t="str">
        <f t="shared" si="22"/>
        <v/>
      </c>
      <c r="N169" s="73"/>
      <c r="O169" s="39"/>
      <c r="P169" s="39"/>
      <c r="Q169" s="51" t="str">
        <f t="shared" si="23"/>
        <v/>
      </c>
      <c r="R169" s="56"/>
      <c r="S169" s="83"/>
      <c r="T169" s="31"/>
    </row>
    <row r="170" spans="1:20">
      <c r="A170" s="46"/>
      <c r="B170" s="40"/>
      <c r="C170" s="40"/>
      <c r="D170" s="39"/>
      <c r="E170" s="39"/>
      <c r="F170" s="39"/>
      <c r="G170" s="73"/>
      <c r="H170" s="79"/>
      <c r="I170" s="67"/>
      <c r="J170" s="67"/>
      <c r="K170" s="81" t="str">
        <f t="shared" si="20"/>
        <v/>
      </c>
      <c r="L170" s="81" t="str">
        <f t="shared" si="21"/>
        <v/>
      </c>
      <c r="M170" s="81" t="str">
        <f t="shared" si="22"/>
        <v/>
      </c>
      <c r="N170" s="73"/>
      <c r="O170" s="39"/>
      <c r="P170" s="39"/>
      <c r="Q170" s="51" t="str">
        <f t="shared" si="23"/>
        <v/>
      </c>
      <c r="R170" s="56"/>
      <c r="S170" s="83"/>
      <c r="T170" s="31"/>
    </row>
    <row r="171" spans="1:20">
      <c r="A171" s="46"/>
      <c r="B171" s="40"/>
      <c r="C171" s="40"/>
      <c r="D171" s="39"/>
      <c r="E171" s="39"/>
      <c r="F171" s="39"/>
      <c r="G171" s="73"/>
      <c r="H171" s="79"/>
      <c r="I171" s="67"/>
      <c r="J171" s="67"/>
      <c r="K171" s="81" t="str">
        <f t="shared" si="20"/>
        <v/>
      </c>
      <c r="L171" s="81" t="str">
        <f t="shared" si="21"/>
        <v/>
      </c>
      <c r="M171" s="81" t="str">
        <f t="shared" si="22"/>
        <v/>
      </c>
      <c r="N171" s="73"/>
      <c r="O171" s="39"/>
      <c r="P171" s="39"/>
      <c r="Q171" s="51" t="str">
        <f t="shared" si="23"/>
        <v/>
      </c>
      <c r="R171" s="56"/>
      <c r="S171" s="83"/>
      <c r="T171" s="31"/>
    </row>
    <row r="172" spans="1:20">
      <c r="A172" s="46"/>
      <c r="B172" s="40"/>
      <c r="C172" s="40"/>
      <c r="D172" s="39"/>
      <c r="E172" s="39"/>
      <c r="F172" s="39"/>
      <c r="G172" s="73"/>
      <c r="H172" s="79"/>
      <c r="I172" s="67"/>
      <c r="J172" s="67"/>
      <c r="K172" s="81" t="str">
        <f t="shared" si="20"/>
        <v/>
      </c>
      <c r="L172" s="81" t="str">
        <f t="shared" si="21"/>
        <v/>
      </c>
      <c r="M172" s="81" t="str">
        <f t="shared" si="22"/>
        <v/>
      </c>
      <c r="N172" s="73"/>
      <c r="O172" s="39"/>
      <c r="P172" s="39"/>
      <c r="Q172" s="51" t="str">
        <f t="shared" si="23"/>
        <v/>
      </c>
      <c r="R172" s="56"/>
      <c r="S172" s="83"/>
      <c r="T172" s="31"/>
    </row>
    <row r="173" spans="1:20">
      <c r="A173" s="46"/>
      <c r="B173" s="40"/>
      <c r="C173" s="40"/>
      <c r="D173" s="39"/>
      <c r="E173" s="39"/>
      <c r="F173" s="39"/>
      <c r="G173" s="73"/>
      <c r="H173" s="79"/>
      <c r="I173" s="67"/>
      <c r="J173" s="67"/>
      <c r="K173" s="81" t="str">
        <f t="shared" si="20"/>
        <v/>
      </c>
      <c r="L173" s="81" t="str">
        <f t="shared" si="21"/>
        <v/>
      </c>
      <c r="M173" s="81" t="str">
        <f t="shared" si="22"/>
        <v/>
      </c>
      <c r="N173" s="73"/>
      <c r="O173" s="39"/>
      <c r="P173" s="39"/>
      <c r="Q173" s="51" t="str">
        <f t="shared" si="23"/>
        <v/>
      </c>
      <c r="R173" s="56"/>
      <c r="S173" s="83"/>
      <c r="T173" s="31"/>
    </row>
    <row r="174" spans="1:20">
      <c r="A174" s="46"/>
      <c r="B174" s="40"/>
      <c r="C174" s="40"/>
      <c r="D174" s="39"/>
      <c r="E174" s="39"/>
      <c r="F174" s="39"/>
      <c r="G174" s="73"/>
      <c r="H174" s="79"/>
      <c r="I174" s="67"/>
      <c r="J174" s="67"/>
      <c r="K174" s="81" t="str">
        <f t="shared" si="20"/>
        <v/>
      </c>
      <c r="L174" s="81" t="str">
        <f t="shared" si="21"/>
        <v/>
      </c>
      <c r="M174" s="81" t="str">
        <f t="shared" si="22"/>
        <v/>
      </c>
      <c r="N174" s="73"/>
      <c r="O174" s="39"/>
      <c r="P174" s="39"/>
      <c r="Q174" s="51" t="str">
        <f t="shared" si="23"/>
        <v/>
      </c>
      <c r="R174" s="56"/>
      <c r="S174" s="83"/>
      <c r="T174" s="31"/>
    </row>
    <row r="175" spans="1:20">
      <c r="A175" s="46"/>
      <c r="B175" s="40"/>
      <c r="C175" s="40"/>
      <c r="D175" s="39"/>
      <c r="E175" s="39"/>
      <c r="F175" s="39"/>
      <c r="G175" s="73"/>
      <c r="H175" s="79"/>
      <c r="I175" s="67"/>
      <c r="J175" s="67"/>
      <c r="K175" s="81" t="str">
        <f t="shared" si="20"/>
        <v/>
      </c>
      <c r="L175" s="81" t="str">
        <f t="shared" si="21"/>
        <v/>
      </c>
      <c r="M175" s="81" t="str">
        <f t="shared" si="22"/>
        <v/>
      </c>
      <c r="N175" s="73"/>
      <c r="O175" s="39"/>
      <c r="P175" s="39"/>
      <c r="Q175" s="51" t="str">
        <f t="shared" si="23"/>
        <v/>
      </c>
      <c r="R175" s="56"/>
      <c r="S175" s="83"/>
      <c r="T175" s="31"/>
    </row>
    <row r="176" spans="1:20">
      <c r="A176" s="46"/>
      <c r="B176" s="40"/>
      <c r="C176" s="40"/>
      <c r="D176" s="39"/>
      <c r="E176" s="39"/>
      <c r="F176" s="39"/>
      <c r="G176" s="73"/>
      <c r="H176" s="79"/>
      <c r="I176" s="67"/>
      <c r="J176" s="67"/>
      <c r="K176" s="81" t="str">
        <f t="shared" si="20"/>
        <v/>
      </c>
      <c r="L176" s="81" t="str">
        <f t="shared" si="21"/>
        <v/>
      </c>
      <c r="M176" s="81" t="str">
        <f t="shared" si="22"/>
        <v/>
      </c>
      <c r="N176" s="73"/>
      <c r="O176" s="39"/>
      <c r="P176" s="39"/>
      <c r="Q176" s="51" t="str">
        <f t="shared" si="23"/>
        <v/>
      </c>
      <c r="R176" s="56"/>
      <c r="S176" s="83"/>
      <c r="T176" s="31"/>
    </row>
    <row r="177" spans="1:20">
      <c r="A177" s="46"/>
      <c r="B177" s="40"/>
      <c r="C177" s="40"/>
      <c r="D177" s="39"/>
      <c r="E177" s="39"/>
      <c r="F177" s="39"/>
      <c r="G177" s="73"/>
      <c r="H177" s="79"/>
      <c r="I177" s="67"/>
      <c r="J177" s="67"/>
      <c r="K177" s="81" t="str">
        <f t="shared" si="20"/>
        <v/>
      </c>
      <c r="L177" s="81" t="str">
        <f t="shared" si="21"/>
        <v/>
      </c>
      <c r="M177" s="81" t="str">
        <f t="shared" si="22"/>
        <v/>
      </c>
      <c r="N177" s="73"/>
      <c r="O177" s="39"/>
      <c r="P177" s="39"/>
      <c r="Q177" s="51" t="str">
        <f t="shared" si="23"/>
        <v/>
      </c>
      <c r="R177" s="56"/>
      <c r="S177" s="83"/>
      <c r="T177" s="31"/>
    </row>
    <row r="178" spans="1:20">
      <c r="A178" s="46"/>
      <c r="B178" s="40"/>
      <c r="C178" s="40"/>
      <c r="D178" s="39"/>
      <c r="E178" s="39"/>
      <c r="F178" s="39"/>
      <c r="G178" s="73"/>
      <c r="H178" s="79"/>
      <c r="I178" s="67"/>
      <c r="J178" s="67"/>
      <c r="K178" s="81" t="str">
        <f t="shared" si="20"/>
        <v/>
      </c>
      <c r="L178" s="81" t="str">
        <f t="shared" si="21"/>
        <v/>
      </c>
      <c r="M178" s="81" t="str">
        <f t="shared" si="22"/>
        <v/>
      </c>
      <c r="N178" s="73"/>
      <c r="O178" s="39"/>
      <c r="P178" s="39"/>
      <c r="Q178" s="51" t="str">
        <f t="shared" si="23"/>
        <v/>
      </c>
      <c r="R178" s="56"/>
      <c r="S178" s="83"/>
      <c r="T178" s="31"/>
    </row>
    <row r="179" spans="1:20">
      <c r="A179" s="46"/>
      <c r="B179" s="40"/>
      <c r="C179" s="40"/>
      <c r="D179" s="39"/>
      <c r="E179" s="39"/>
      <c r="F179" s="39"/>
      <c r="G179" s="73"/>
      <c r="H179" s="79"/>
      <c r="I179" s="67"/>
      <c r="J179" s="67"/>
      <c r="K179" s="81" t="str">
        <f t="shared" si="20"/>
        <v/>
      </c>
      <c r="L179" s="81" t="str">
        <f t="shared" si="21"/>
        <v/>
      </c>
      <c r="M179" s="81" t="str">
        <f t="shared" si="22"/>
        <v/>
      </c>
      <c r="N179" s="73"/>
      <c r="O179" s="39"/>
      <c r="P179" s="39"/>
      <c r="Q179" s="51" t="str">
        <f t="shared" si="23"/>
        <v/>
      </c>
      <c r="R179" s="56"/>
      <c r="S179" s="83"/>
      <c r="T179" s="31"/>
    </row>
    <row r="180" spans="1:20">
      <c r="A180" s="46"/>
      <c r="B180" s="40"/>
      <c r="C180" s="40"/>
      <c r="D180" s="39"/>
      <c r="E180" s="39"/>
      <c r="F180" s="39"/>
      <c r="G180" s="73"/>
      <c r="H180" s="79"/>
      <c r="I180" s="67"/>
      <c r="J180" s="67"/>
      <c r="K180" s="81" t="str">
        <f t="shared" si="20"/>
        <v/>
      </c>
      <c r="L180" s="81" t="str">
        <f t="shared" si="21"/>
        <v/>
      </c>
      <c r="M180" s="81" t="str">
        <f t="shared" si="22"/>
        <v/>
      </c>
      <c r="N180" s="73"/>
      <c r="O180" s="39"/>
      <c r="P180" s="39"/>
      <c r="Q180" s="51" t="str">
        <f t="shared" si="23"/>
        <v/>
      </c>
      <c r="R180" s="56"/>
      <c r="S180" s="83"/>
      <c r="T180" s="31"/>
    </row>
    <row r="181" spans="1:20">
      <c r="A181" s="46"/>
      <c r="B181" s="40"/>
      <c r="C181" s="40"/>
      <c r="D181" s="39"/>
      <c r="E181" s="39"/>
      <c r="F181" s="39"/>
      <c r="G181" s="73"/>
      <c r="H181" s="79"/>
      <c r="I181" s="67"/>
      <c r="J181" s="67"/>
      <c r="K181" s="81" t="str">
        <f t="shared" si="20"/>
        <v/>
      </c>
      <c r="L181" s="81" t="str">
        <f t="shared" si="21"/>
        <v/>
      </c>
      <c r="M181" s="81" t="str">
        <f t="shared" si="22"/>
        <v/>
      </c>
      <c r="N181" s="73"/>
      <c r="O181" s="39"/>
      <c r="P181" s="39"/>
      <c r="Q181" s="51" t="str">
        <f t="shared" si="23"/>
        <v/>
      </c>
      <c r="R181" s="56"/>
      <c r="S181" s="83"/>
      <c r="T181" s="31"/>
    </row>
    <row r="182" spans="1:20">
      <c r="A182" s="46"/>
      <c r="B182" s="40"/>
      <c r="C182" s="40"/>
      <c r="D182" s="39"/>
      <c r="E182" s="39"/>
      <c r="F182" s="39"/>
      <c r="G182" s="73"/>
      <c r="H182" s="79"/>
      <c r="I182" s="67"/>
      <c r="J182" s="67"/>
      <c r="K182" s="81" t="str">
        <f t="shared" si="20"/>
        <v/>
      </c>
      <c r="L182" s="81" t="str">
        <f t="shared" si="21"/>
        <v/>
      </c>
      <c r="M182" s="81" t="str">
        <f t="shared" si="22"/>
        <v/>
      </c>
      <c r="N182" s="73"/>
      <c r="O182" s="39"/>
      <c r="P182" s="39"/>
      <c r="Q182" s="51" t="str">
        <f t="shared" si="23"/>
        <v/>
      </c>
      <c r="R182" s="56"/>
      <c r="S182" s="83"/>
      <c r="T182" s="31"/>
    </row>
    <row r="183" spans="1:20">
      <c r="A183" s="46"/>
      <c r="B183" s="40"/>
      <c r="C183" s="40"/>
      <c r="D183" s="39"/>
      <c r="E183" s="39"/>
      <c r="F183" s="39"/>
      <c r="G183" s="73"/>
      <c r="H183" s="79"/>
      <c r="I183" s="67"/>
      <c r="J183" s="67"/>
      <c r="K183" s="81" t="str">
        <f t="shared" si="20"/>
        <v/>
      </c>
      <c r="L183" s="81" t="str">
        <f t="shared" si="21"/>
        <v/>
      </c>
      <c r="M183" s="81" t="str">
        <f t="shared" si="22"/>
        <v/>
      </c>
      <c r="N183" s="73"/>
      <c r="O183" s="39"/>
      <c r="P183" s="39"/>
      <c r="Q183" s="51" t="str">
        <f t="shared" si="23"/>
        <v/>
      </c>
      <c r="R183" s="56"/>
      <c r="S183" s="83"/>
      <c r="T183" s="31"/>
    </row>
    <row r="184" spans="1:20">
      <c r="A184" s="46"/>
      <c r="B184" s="40"/>
      <c r="C184" s="40"/>
      <c r="D184" s="39"/>
      <c r="E184" s="39"/>
      <c r="F184" s="39"/>
      <c r="G184" s="73"/>
      <c r="H184" s="79"/>
      <c r="I184" s="67"/>
      <c r="J184" s="67"/>
      <c r="K184" s="81" t="str">
        <f t="shared" si="20"/>
        <v/>
      </c>
      <c r="L184" s="81" t="str">
        <f t="shared" si="21"/>
        <v/>
      </c>
      <c r="M184" s="81" t="str">
        <f t="shared" si="22"/>
        <v/>
      </c>
      <c r="N184" s="73"/>
      <c r="O184" s="39"/>
      <c r="P184" s="39"/>
      <c r="Q184" s="51" t="str">
        <f t="shared" si="23"/>
        <v/>
      </c>
      <c r="R184" s="56"/>
      <c r="S184" s="83"/>
      <c r="T184" s="31"/>
    </row>
    <row r="185" spans="1:20">
      <c r="A185" s="46"/>
      <c r="B185" s="40"/>
      <c r="C185" s="40"/>
      <c r="D185" s="39"/>
      <c r="E185" s="39"/>
      <c r="F185" s="39"/>
      <c r="G185" s="73"/>
      <c r="H185" s="79"/>
      <c r="I185" s="67"/>
      <c r="J185" s="67"/>
      <c r="K185" s="81" t="str">
        <f t="shared" si="20"/>
        <v/>
      </c>
      <c r="L185" s="81" t="str">
        <f t="shared" si="21"/>
        <v/>
      </c>
      <c r="M185" s="81" t="str">
        <f t="shared" si="22"/>
        <v/>
      </c>
      <c r="N185" s="73"/>
      <c r="O185" s="39"/>
      <c r="P185" s="39"/>
      <c r="Q185" s="51" t="str">
        <f t="shared" si="23"/>
        <v/>
      </c>
      <c r="R185" s="56"/>
      <c r="S185" s="83"/>
      <c r="T185" s="31"/>
    </row>
    <row r="186" spans="1:20">
      <c r="A186" s="46"/>
      <c r="B186" s="40"/>
      <c r="C186" s="40"/>
      <c r="D186" s="39"/>
      <c r="E186" s="39"/>
      <c r="F186" s="39"/>
      <c r="G186" s="73"/>
      <c r="H186" s="79"/>
      <c r="I186" s="67"/>
      <c r="J186" s="67"/>
      <c r="K186" s="81" t="str">
        <f t="shared" si="20"/>
        <v/>
      </c>
      <c r="L186" s="81" t="str">
        <f t="shared" si="21"/>
        <v/>
      </c>
      <c r="M186" s="81" t="str">
        <f t="shared" si="22"/>
        <v/>
      </c>
      <c r="N186" s="73"/>
      <c r="O186" s="39"/>
      <c r="P186" s="39"/>
      <c r="Q186" s="51" t="str">
        <f t="shared" si="23"/>
        <v/>
      </c>
      <c r="R186" s="56"/>
      <c r="S186" s="83"/>
      <c r="T186" s="31"/>
    </row>
    <row r="187" spans="1:20">
      <c r="A187" s="46"/>
      <c r="B187" s="40"/>
      <c r="C187" s="40"/>
      <c r="D187" s="39"/>
      <c r="E187" s="39"/>
      <c r="F187" s="39"/>
      <c r="G187" s="73"/>
      <c r="H187" s="79"/>
      <c r="I187" s="67"/>
      <c r="J187" s="67"/>
      <c r="K187" s="81" t="str">
        <f t="shared" si="20"/>
        <v/>
      </c>
      <c r="L187" s="81" t="str">
        <f t="shared" si="21"/>
        <v/>
      </c>
      <c r="M187" s="81" t="str">
        <f t="shared" si="22"/>
        <v/>
      </c>
      <c r="N187" s="73"/>
      <c r="O187" s="39"/>
      <c r="P187" s="39"/>
      <c r="Q187" s="51" t="str">
        <f t="shared" si="23"/>
        <v/>
      </c>
      <c r="R187" s="56"/>
      <c r="S187" s="83"/>
      <c r="T187" s="31"/>
    </row>
    <row r="188" spans="1:20">
      <c r="A188" s="46"/>
      <c r="B188" s="40"/>
      <c r="C188" s="40"/>
      <c r="D188" s="39"/>
      <c r="E188" s="39"/>
      <c r="F188" s="39"/>
      <c r="G188" s="73"/>
      <c r="H188" s="79"/>
      <c r="I188" s="67"/>
      <c r="J188" s="67"/>
      <c r="K188" s="81" t="str">
        <f t="shared" si="20"/>
        <v/>
      </c>
      <c r="L188" s="81" t="str">
        <f t="shared" si="21"/>
        <v/>
      </c>
      <c r="M188" s="81" t="str">
        <f t="shared" si="22"/>
        <v/>
      </c>
      <c r="N188" s="73"/>
      <c r="O188" s="39"/>
      <c r="P188" s="39"/>
      <c r="Q188" s="51" t="str">
        <f t="shared" si="23"/>
        <v/>
      </c>
      <c r="R188" s="56"/>
      <c r="S188" s="83"/>
      <c r="T188" s="31"/>
    </row>
    <row r="189" spans="1:20">
      <c r="A189" s="46"/>
      <c r="B189" s="40"/>
      <c r="C189" s="40"/>
      <c r="D189" s="39"/>
      <c r="E189" s="39"/>
      <c r="F189" s="39"/>
      <c r="G189" s="73"/>
      <c r="H189" s="79"/>
      <c r="I189" s="67"/>
      <c r="J189" s="67"/>
      <c r="K189" s="81" t="str">
        <f t="shared" si="20"/>
        <v/>
      </c>
      <c r="L189" s="81" t="str">
        <f t="shared" si="21"/>
        <v/>
      </c>
      <c r="M189" s="81" t="str">
        <f t="shared" si="22"/>
        <v/>
      </c>
      <c r="N189" s="73"/>
      <c r="O189" s="39"/>
      <c r="P189" s="39"/>
      <c r="Q189" s="51" t="str">
        <f t="shared" si="23"/>
        <v/>
      </c>
      <c r="R189" s="56"/>
      <c r="S189" s="83"/>
      <c r="T189" s="31"/>
    </row>
    <row r="190" spans="1:20">
      <c r="A190" s="46"/>
      <c r="B190" s="40"/>
      <c r="C190" s="40"/>
      <c r="D190" s="39"/>
      <c r="E190" s="39"/>
      <c r="F190" s="39"/>
      <c r="G190" s="73"/>
      <c r="H190" s="79"/>
      <c r="I190" s="67"/>
      <c r="J190" s="67"/>
      <c r="K190" s="81" t="str">
        <f t="shared" si="20"/>
        <v/>
      </c>
      <c r="L190" s="81" t="str">
        <f t="shared" si="21"/>
        <v/>
      </c>
      <c r="M190" s="81" t="str">
        <f t="shared" si="22"/>
        <v/>
      </c>
      <c r="N190" s="73"/>
      <c r="O190" s="39"/>
      <c r="P190" s="39"/>
      <c r="Q190" s="51" t="str">
        <f t="shared" si="23"/>
        <v/>
      </c>
      <c r="R190" s="56"/>
      <c r="S190" s="83"/>
      <c r="T190" s="31"/>
    </row>
    <row r="191" spans="1:20">
      <c r="A191" s="46"/>
      <c r="B191" s="40"/>
      <c r="C191" s="40"/>
      <c r="D191" s="39"/>
      <c r="E191" s="39"/>
      <c r="F191" s="39"/>
      <c r="G191" s="73"/>
      <c r="H191" s="79"/>
      <c r="I191" s="67"/>
      <c r="J191" s="67"/>
      <c r="K191" s="81" t="str">
        <f t="shared" si="20"/>
        <v/>
      </c>
      <c r="L191" s="81" t="str">
        <f t="shared" si="21"/>
        <v/>
      </c>
      <c r="M191" s="81" t="str">
        <f t="shared" si="22"/>
        <v/>
      </c>
      <c r="N191" s="73"/>
      <c r="O191" s="39"/>
      <c r="P191" s="39"/>
      <c r="Q191" s="51" t="str">
        <f t="shared" si="23"/>
        <v/>
      </c>
      <c r="R191" s="56"/>
      <c r="S191" s="83"/>
      <c r="T191" s="31"/>
    </row>
    <row r="192" spans="1:20">
      <c r="A192" s="46"/>
      <c r="B192" s="40"/>
      <c r="C192" s="40"/>
      <c r="D192" s="39"/>
      <c r="E192" s="39"/>
      <c r="F192" s="39"/>
      <c r="G192" s="73"/>
      <c r="H192" s="79"/>
      <c r="I192" s="67"/>
      <c r="J192" s="67"/>
      <c r="K192" s="81" t="str">
        <f t="shared" si="20"/>
        <v/>
      </c>
      <c r="L192" s="81" t="str">
        <f t="shared" si="21"/>
        <v/>
      </c>
      <c r="M192" s="81" t="str">
        <f t="shared" si="22"/>
        <v/>
      </c>
      <c r="N192" s="73"/>
      <c r="O192" s="39"/>
      <c r="P192" s="39"/>
      <c r="Q192" s="51" t="str">
        <f t="shared" si="23"/>
        <v/>
      </c>
      <c r="R192" s="56"/>
      <c r="S192" s="83"/>
      <c r="T192" s="31"/>
    </row>
    <row r="193" spans="1:20">
      <c r="A193" s="46"/>
      <c r="B193" s="40"/>
      <c r="C193" s="40"/>
      <c r="D193" s="39"/>
      <c r="E193" s="39"/>
      <c r="F193" s="39"/>
      <c r="G193" s="73"/>
      <c r="H193" s="79"/>
      <c r="I193" s="67"/>
      <c r="J193" s="67"/>
      <c r="K193" s="81" t="str">
        <f t="shared" si="20"/>
        <v/>
      </c>
      <c r="L193" s="81" t="str">
        <f t="shared" si="21"/>
        <v/>
      </c>
      <c r="M193" s="81" t="str">
        <f t="shared" si="22"/>
        <v/>
      </c>
      <c r="N193" s="73"/>
      <c r="O193" s="39"/>
      <c r="P193" s="39"/>
      <c r="Q193" s="51" t="str">
        <f t="shared" si="23"/>
        <v/>
      </c>
      <c r="R193" s="56"/>
      <c r="S193" s="83"/>
      <c r="T193" s="31"/>
    </row>
    <row r="194" spans="1:20">
      <c r="A194" s="46"/>
      <c r="B194" s="40"/>
      <c r="C194" s="40"/>
      <c r="D194" s="39"/>
      <c r="E194" s="39"/>
      <c r="F194" s="39"/>
      <c r="G194" s="73"/>
      <c r="H194" s="79"/>
      <c r="I194" s="67"/>
      <c r="J194" s="67"/>
      <c r="K194" s="81" t="str">
        <f t="shared" si="20"/>
        <v/>
      </c>
      <c r="L194" s="81" t="str">
        <f t="shared" si="21"/>
        <v/>
      </c>
      <c r="M194" s="81" t="str">
        <f t="shared" si="22"/>
        <v/>
      </c>
      <c r="N194" s="73"/>
      <c r="O194" s="39"/>
      <c r="P194" s="39"/>
      <c r="Q194" s="51" t="str">
        <f t="shared" si="23"/>
        <v/>
      </c>
      <c r="R194" s="56"/>
      <c r="S194" s="83"/>
      <c r="T194" s="31"/>
    </row>
    <row r="195" spans="1:20">
      <c r="A195" s="46"/>
      <c r="B195" s="40"/>
      <c r="C195" s="40"/>
      <c r="D195" s="39"/>
      <c r="E195" s="39"/>
      <c r="F195" s="39"/>
      <c r="G195" s="73"/>
      <c r="H195" s="79"/>
      <c r="I195" s="67"/>
      <c r="J195" s="67"/>
      <c r="K195" s="81" t="str">
        <f t="shared" si="20"/>
        <v/>
      </c>
      <c r="L195" s="81" t="str">
        <f t="shared" si="21"/>
        <v/>
      </c>
      <c r="M195" s="81" t="str">
        <f t="shared" si="22"/>
        <v/>
      </c>
      <c r="N195" s="73"/>
      <c r="O195" s="39"/>
      <c r="P195" s="39"/>
      <c r="Q195" s="51" t="str">
        <f t="shared" si="23"/>
        <v/>
      </c>
      <c r="R195" s="56"/>
      <c r="S195" s="83"/>
      <c r="T195" s="31"/>
    </row>
    <row r="196" spans="1:20">
      <c r="A196" s="46"/>
      <c r="B196" s="40"/>
      <c r="C196" s="40"/>
      <c r="D196" s="39"/>
      <c r="E196" s="39"/>
      <c r="F196" s="39"/>
      <c r="G196" s="73"/>
      <c r="H196" s="79"/>
      <c r="I196" s="67"/>
      <c r="J196" s="67"/>
      <c r="K196" s="81" t="str">
        <f t="shared" si="20"/>
        <v/>
      </c>
      <c r="L196" s="81" t="str">
        <f t="shared" si="21"/>
        <v/>
      </c>
      <c r="M196" s="81" t="str">
        <f t="shared" si="22"/>
        <v/>
      </c>
      <c r="N196" s="73"/>
      <c r="O196" s="39"/>
      <c r="P196" s="39"/>
      <c r="Q196" s="51" t="str">
        <f t="shared" si="23"/>
        <v/>
      </c>
      <c r="R196" s="56"/>
      <c r="S196" s="83"/>
      <c r="T196" s="31"/>
    </row>
    <row r="197" spans="1:20">
      <c r="A197" s="46"/>
      <c r="B197" s="40"/>
      <c r="C197" s="40"/>
      <c r="D197" s="39"/>
      <c r="E197" s="39"/>
      <c r="F197" s="39"/>
      <c r="G197" s="73"/>
      <c r="H197" s="79"/>
      <c r="I197" s="67"/>
      <c r="J197" s="67"/>
      <c r="K197" s="81" t="str">
        <f t="shared" si="20"/>
        <v/>
      </c>
      <c r="L197" s="81" t="str">
        <f t="shared" si="21"/>
        <v/>
      </c>
      <c r="M197" s="81" t="str">
        <f t="shared" si="22"/>
        <v/>
      </c>
      <c r="N197" s="73"/>
      <c r="O197" s="39"/>
      <c r="P197" s="39"/>
      <c r="Q197" s="51" t="str">
        <f t="shared" si="23"/>
        <v/>
      </c>
      <c r="R197" s="56"/>
      <c r="S197" s="83"/>
      <c r="T197" s="31"/>
    </row>
    <row r="198" spans="1:20">
      <c r="A198" s="46"/>
      <c r="B198" s="40"/>
      <c r="C198" s="40"/>
      <c r="D198" s="39"/>
      <c r="E198" s="39"/>
      <c r="F198" s="39"/>
      <c r="G198" s="73"/>
      <c r="H198" s="79"/>
      <c r="I198" s="67"/>
      <c r="J198" s="67"/>
      <c r="K198" s="81" t="str">
        <f t="shared" si="20"/>
        <v/>
      </c>
      <c r="L198" s="81" t="str">
        <f t="shared" si="21"/>
        <v/>
      </c>
      <c r="M198" s="81" t="str">
        <f t="shared" si="22"/>
        <v/>
      </c>
      <c r="N198" s="73"/>
      <c r="O198" s="39"/>
      <c r="P198" s="39"/>
      <c r="Q198" s="51" t="str">
        <f t="shared" si="23"/>
        <v/>
      </c>
      <c r="R198" s="56"/>
      <c r="S198" s="83"/>
      <c r="T198" s="31"/>
    </row>
    <row r="199" spans="1:20">
      <c r="A199" s="46"/>
      <c r="B199" s="40"/>
      <c r="C199" s="40"/>
      <c r="D199" s="39"/>
      <c r="E199" s="39"/>
      <c r="F199" s="39"/>
      <c r="G199" s="73"/>
      <c r="H199" s="79"/>
      <c r="I199" s="67"/>
      <c r="J199" s="67"/>
      <c r="K199" s="81" t="str">
        <f t="shared" ref="K199:K206" si="24">IF(N199&lt;&gt;"","",IF(AND(G199&lt;&gt;"",H199&lt;&gt;"",J199&lt;&gt;""),ROUND(PPMT(H199,1,J199,-G199),0),""))</f>
        <v/>
      </c>
      <c r="L199" s="81" t="str">
        <f t="shared" ref="L199:L206" si="25">IF(N199&lt;&gt;"","",IF(AND(G199&lt;&gt;"",H199&lt;&gt;""),ROUND(G199*H199,0),""))</f>
        <v/>
      </c>
      <c r="M199" s="81" t="str">
        <f t="shared" ref="M199:M206" si="26">IF(N199&lt;&gt;"",N199,IF(AND(G199&lt;&gt;"",H199&lt;&gt;"",J199&lt;&gt;""),ROUND(PMT(H199,J199,-G199),0),""))</f>
        <v/>
      </c>
      <c r="N199" s="73"/>
      <c r="O199" s="39"/>
      <c r="P199" s="39"/>
      <c r="Q199" s="51" t="str">
        <f t="shared" ref="Q199:Q206" si="27">IF(A199="","",IF(D199="No","Excluded",IF(AND(OR(F199="N/A",E199="No Debt / N/A"),G199=""),"No Debt / N/A",IF(M199&lt;&gt;"","Ready","Partial"))))</f>
        <v/>
      </c>
      <c r="R199" s="56"/>
      <c r="S199" s="83"/>
      <c r="T199" s="31"/>
    </row>
    <row r="200" spans="1:20">
      <c r="A200" s="46"/>
      <c r="B200" s="40"/>
      <c r="C200" s="40"/>
      <c r="D200" s="39"/>
      <c r="E200" s="39"/>
      <c r="F200" s="39"/>
      <c r="G200" s="73"/>
      <c r="H200" s="79"/>
      <c r="I200" s="67"/>
      <c r="J200" s="67"/>
      <c r="K200" s="81" t="str">
        <f t="shared" si="24"/>
        <v/>
      </c>
      <c r="L200" s="81" t="str">
        <f t="shared" si="25"/>
        <v/>
      </c>
      <c r="M200" s="81" t="str">
        <f t="shared" si="26"/>
        <v/>
      </c>
      <c r="N200" s="73"/>
      <c r="O200" s="39"/>
      <c r="P200" s="39"/>
      <c r="Q200" s="51" t="str">
        <f t="shared" si="27"/>
        <v/>
      </c>
      <c r="R200" s="56"/>
      <c r="S200" s="83"/>
      <c r="T200" s="31"/>
    </row>
    <row r="201" spans="1:20">
      <c r="A201" s="46"/>
      <c r="B201" s="40"/>
      <c r="C201" s="40"/>
      <c r="D201" s="39"/>
      <c r="E201" s="39"/>
      <c r="F201" s="39"/>
      <c r="G201" s="73"/>
      <c r="H201" s="79"/>
      <c r="I201" s="67"/>
      <c r="J201" s="67"/>
      <c r="K201" s="81" t="str">
        <f t="shared" si="24"/>
        <v/>
      </c>
      <c r="L201" s="81" t="str">
        <f t="shared" si="25"/>
        <v/>
      </c>
      <c r="M201" s="81" t="str">
        <f t="shared" si="26"/>
        <v/>
      </c>
      <c r="N201" s="73"/>
      <c r="O201" s="39"/>
      <c r="P201" s="39"/>
      <c r="Q201" s="51" t="str">
        <f t="shared" si="27"/>
        <v/>
      </c>
      <c r="R201" s="56"/>
      <c r="S201" s="83"/>
      <c r="T201" s="31"/>
    </row>
    <row r="202" spans="1:20">
      <c r="A202" s="46"/>
      <c r="B202" s="40"/>
      <c r="C202" s="40"/>
      <c r="D202" s="39"/>
      <c r="E202" s="39"/>
      <c r="F202" s="39"/>
      <c r="G202" s="73"/>
      <c r="H202" s="79"/>
      <c r="I202" s="67"/>
      <c r="J202" s="67"/>
      <c r="K202" s="81" t="str">
        <f t="shared" si="24"/>
        <v/>
      </c>
      <c r="L202" s="81" t="str">
        <f t="shared" si="25"/>
        <v/>
      </c>
      <c r="M202" s="81" t="str">
        <f t="shared" si="26"/>
        <v/>
      </c>
      <c r="N202" s="73"/>
      <c r="O202" s="39"/>
      <c r="P202" s="39"/>
      <c r="Q202" s="51" t="str">
        <f t="shared" si="27"/>
        <v/>
      </c>
      <c r="R202" s="56"/>
      <c r="S202" s="83"/>
      <c r="T202" s="31"/>
    </row>
    <row r="203" spans="1:20">
      <c r="A203" s="46"/>
      <c r="B203" s="40"/>
      <c r="C203" s="40"/>
      <c r="D203" s="39"/>
      <c r="E203" s="39"/>
      <c r="F203" s="39"/>
      <c r="G203" s="73"/>
      <c r="H203" s="79"/>
      <c r="I203" s="67"/>
      <c r="J203" s="67"/>
      <c r="K203" s="81" t="str">
        <f t="shared" si="24"/>
        <v/>
      </c>
      <c r="L203" s="81" t="str">
        <f t="shared" si="25"/>
        <v/>
      </c>
      <c r="M203" s="81" t="str">
        <f t="shared" si="26"/>
        <v/>
      </c>
      <c r="N203" s="73"/>
      <c r="O203" s="39"/>
      <c r="P203" s="39"/>
      <c r="Q203" s="51" t="str">
        <f t="shared" si="27"/>
        <v/>
      </c>
      <c r="R203" s="56"/>
      <c r="S203" s="83"/>
      <c r="T203" s="31"/>
    </row>
    <row r="204" spans="1:20">
      <c r="A204" s="46"/>
      <c r="B204" s="40"/>
      <c r="C204" s="40"/>
      <c r="D204" s="39"/>
      <c r="E204" s="39"/>
      <c r="F204" s="39"/>
      <c r="G204" s="73"/>
      <c r="H204" s="79"/>
      <c r="I204" s="67"/>
      <c r="J204" s="67"/>
      <c r="K204" s="81" t="str">
        <f t="shared" si="24"/>
        <v/>
      </c>
      <c r="L204" s="81" t="str">
        <f t="shared" si="25"/>
        <v/>
      </c>
      <c r="M204" s="81" t="str">
        <f t="shared" si="26"/>
        <v/>
      </c>
      <c r="N204" s="73"/>
      <c r="O204" s="39"/>
      <c r="P204" s="39"/>
      <c r="Q204" s="51" t="str">
        <f t="shared" si="27"/>
        <v/>
      </c>
      <c r="R204" s="56"/>
      <c r="S204" s="83"/>
      <c r="T204" s="31"/>
    </row>
    <row r="205" spans="1:20">
      <c r="A205" s="46"/>
      <c r="B205" s="40"/>
      <c r="C205" s="40"/>
      <c r="D205" s="39"/>
      <c r="E205" s="39"/>
      <c r="F205" s="39"/>
      <c r="G205" s="73"/>
      <c r="H205" s="79"/>
      <c r="I205" s="67"/>
      <c r="J205" s="67"/>
      <c r="K205" s="81" t="str">
        <f t="shared" si="24"/>
        <v/>
      </c>
      <c r="L205" s="81" t="str">
        <f t="shared" si="25"/>
        <v/>
      </c>
      <c r="M205" s="81" t="str">
        <f t="shared" si="26"/>
        <v/>
      </c>
      <c r="N205" s="73"/>
      <c r="O205" s="39"/>
      <c r="P205" s="39"/>
      <c r="Q205" s="51" t="str">
        <f t="shared" si="27"/>
        <v/>
      </c>
      <c r="R205" s="56"/>
      <c r="S205" s="83"/>
      <c r="T205" s="31"/>
    </row>
    <row r="206" spans="1:20">
      <c r="A206" s="48"/>
      <c r="B206" s="49"/>
      <c r="C206" s="49"/>
      <c r="D206" s="54"/>
      <c r="E206" s="54"/>
      <c r="F206" s="54"/>
      <c r="G206" s="74"/>
      <c r="H206" s="80"/>
      <c r="I206" s="71"/>
      <c r="J206" s="71"/>
      <c r="K206" s="82" t="str">
        <f t="shared" si="24"/>
        <v/>
      </c>
      <c r="L206" s="82" t="str">
        <f t="shared" si="25"/>
        <v/>
      </c>
      <c r="M206" s="82" t="str">
        <f t="shared" si="26"/>
        <v/>
      </c>
      <c r="N206" s="74"/>
      <c r="O206" s="54"/>
      <c r="P206" s="54"/>
      <c r="Q206" s="59" t="str">
        <f t="shared" si="27"/>
        <v/>
      </c>
      <c r="R206" s="60"/>
      <c r="S206" s="84"/>
      <c r="T206" s="33"/>
    </row>
    <row r="207" spans="1:20" ht="15">
      <c r="A207" s="3"/>
      <c r="B207" s="3"/>
      <c r="C207" s="3"/>
      <c r="D207" s="3"/>
      <c r="E207" s="3"/>
      <c r="F207" s="3"/>
      <c r="G207" s="3"/>
      <c r="H207" s="3"/>
      <c r="I207" s="3"/>
      <c r="J207" s="3"/>
      <c r="K207" s="3"/>
      <c r="L207" s="3"/>
      <c r="M207" s="3"/>
      <c r="N207" s="3"/>
      <c r="O207" s="3"/>
      <c r="P207" s="3"/>
      <c r="Q207" s="3"/>
    </row>
    <row r="208" spans="1:20"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0"/>
  <sheetViews>
    <sheetView workbookViewId="0"/>
  </sheetViews>
  <sheetFormatPr defaultRowHeight="14.25"/>
  <cols>
    <col min="1" max="1" width="14" customWidth="1"/>
    <col min="2" max="2" width="16" customWidth="1"/>
    <col min="3" max="4" width="18" customWidth="1"/>
    <col min="5" max="5" width="20" customWidth="1"/>
    <col min="6" max="10" width="18" customWidth="1"/>
    <col min="11" max="11" width="38" customWidth="1"/>
    <col min="12" max="12" width="18" customWidth="1"/>
  </cols>
  <sheetData>
    <row r="1" spans="1:17" ht="24" customHeight="1">
      <c r="A1" s="205" t="s">
        <v>432</v>
      </c>
      <c r="B1" s="205"/>
      <c r="C1" s="205"/>
      <c r="D1" s="205"/>
      <c r="E1" s="205"/>
      <c r="F1" s="205"/>
      <c r="G1" s="205"/>
      <c r="H1" s="205"/>
      <c r="I1" s="205"/>
      <c r="J1" s="205"/>
      <c r="K1" s="205"/>
      <c r="L1" s="205"/>
      <c r="M1" s="3"/>
      <c r="N1" s="3"/>
      <c r="O1" s="3"/>
      <c r="P1" s="3"/>
      <c r="Q1" s="3"/>
    </row>
    <row r="2" spans="1:17" ht="33.950000000000003" customHeight="1">
      <c r="A2" s="202" t="s">
        <v>433</v>
      </c>
      <c r="B2" s="203"/>
      <c r="C2" s="203"/>
      <c r="D2" s="203"/>
      <c r="E2" s="203"/>
      <c r="F2" s="203"/>
      <c r="G2" s="203"/>
      <c r="H2" s="203"/>
      <c r="I2" s="203"/>
      <c r="J2" s="203"/>
      <c r="K2" s="203"/>
      <c r="L2" s="20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434</v>
      </c>
      <c r="B6" s="42" t="s">
        <v>435</v>
      </c>
      <c r="C6" s="42" t="s">
        <v>328</v>
      </c>
      <c r="D6" s="42" t="s">
        <v>436</v>
      </c>
      <c r="E6" s="42" t="s">
        <v>437</v>
      </c>
      <c r="F6" s="42" t="s">
        <v>438</v>
      </c>
      <c r="G6" s="42" t="s">
        <v>439</v>
      </c>
      <c r="H6" s="42" t="s">
        <v>440</v>
      </c>
      <c r="I6" s="42" t="s">
        <v>441</v>
      </c>
      <c r="J6" s="42" t="s">
        <v>442</v>
      </c>
      <c r="K6" s="42" t="s">
        <v>418</v>
      </c>
      <c r="L6" s="43" t="s">
        <v>429</v>
      </c>
      <c r="M6" s="3"/>
      <c r="N6" s="3"/>
      <c r="O6" s="3"/>
      <c r="P6" s="3"/>
      <c r="Q6" s="3"/>
    </row>
    <row r="7" spans="1:17" ht="15">
      <c r="A7" s="44"/>
      <c r="B7" s="39"/>
      <c r="C7" s="39"/>
      <c r="D7" s="39"/>
      <c r="E7" s="73"/>
      <c r="F7" s="73"/>
      <c r="G7" s="73"/>
      <c r="H7" s="73"/>
      <c r="I7" s="73"/>
      <c r="J7" s="73"/>
      <c r="K7" s="39"/>
      <c r="L7" s="45"/>
      <c r="M7" s="3"/>
      <c r="N7" s="3"/>
      <c r="O7" s="3"/>
      <c r="P7" s="3"/>
      <c r="Q7" s="3"/>
    </row>
    <row r="8" spans="1:17" ht="15">
      <c r="A8" s="44"/>
      <c r="B8" s="39"/>
      <c r="C8" s="39"/>
      <c r="D8" s="39"/>
      <c r="E8" s="73"/>
      <c r="F8" s="73"/>
      <c r="G8" s="73"/>
      <c r="H8" s="73"/>
      <c r="I8" s="73"/>
      <c r="J8" s="73"/>
      <c r="K8" s="39"/>
      <c r="L8" s="45"/>
      <c r="M8" s="3"/>
      <c r="N8" s="3"/>
      <c r="O8" s="3"/>
      <c r="P8" s="3"/>
      <c r="Q8" s="3"/>
    </row>
    <row r="9" spans="1:17" ht="15">
      <c r="A9" s="44"/>
      <c r="B9" s="39"/>
      <c r="C9" s="39"/>
      <c r="D9" s="39"/>
      <c r="E9" s="73"/>
      <c r="F9" s="73"/>
      <c r="G9" s="73"/>
      <c r="H9" s="73"/>
      <c r="I9" s="73"/>
      <c r="J9" s="73"/>
      <c r="K9" s="39"/>
      <c r="L9" s="45"/>
      <c r="M9" s="3"/>
      <c r="N9" s="3"/>
      <c r="O9" s="3"/>
      <c r="P9" s="3"/>
      <c r="Q9" s="3"/>
    </row>
    <row r="10" spans="1:17" ht="15">
      <c r="A10" s="44"/>
      <c r="B10" s="39"/>
      <c r="C10" s="39"/>
      <c r="D10" s="39"/>
      <c r="E10" s="73"/>
      <c r="F10" s="73"/>
      <c r="G10" s="73"/>
      <c r="H10" s="73"/>
      <c r="I10" s="73"/>
      <c r="J10" s="73"/>
      <c r="K10" s="39"/>
      <c r="L10" s="45"/>
      <c r="M10" s="3"/>
      <c r="N10" s="3"/>
      <c r="O10" s="3"/>
      <c r="P10" s="3"/>
      <c r="Q10" s="3"/>
    </row>
    <row r="11" spans="1:17" ht="15">
      <c r="A11" s="44"/>
      <c r="B11" s="39"/>
      <c r="C11" s="39"/>
      <c r="D11" s="39"/>
      <c r="E11" s="73"/>
      <c r="F11" s="73"/>
      <c r="G11" s="73"/>
      <c r="H11" s="73"/>
      <c r="I11" s="73"/>
      <c r="J11" s="73"/>
      <c r="K11" s="39"/>
      <c r="L11" s="45"/>
      <c r="M11" s="3"/>
      <c r="N11" s="3"/>
      <c r="O11" s="3"/>
      <c r="P11" s="3"/>
      <c r="Q11" s="3"/>
    </row>
    <row r="12" spans="1:17" ht="15">
      <c r="A12" s="44"/>
      <c r="B12" s="39"/>
      <c r="C12" s="39"/>
      <c r="D12" s="39"/>
      <c r="E12" s="73"/>
      <c r="F12" s="73"/>
      <c r="G12" s="73"/>
      <c r="H12" s="73"/>
      <c r="I12" s="73"/>
      <c r="J12" s="73"/>
      <c r="K12" s="39"/>
      <c r="L12" s="45"/>
      <c r="M12" s="3"/>
      <c r="N12" s="3"/>
      <c r="O12" s="3"/>
      <c r="P12" s="3"/>
      <c r="Q12" s="3"/>
    </row>
    <row r="13" spans="1:17" ht="15">
      <c r="A13" s="44"/>
      <c r="B13" s="39"/>
      <c r="C13" s="39"/>
      <c r="D13" s="39"/>
      <c r="E13" s="73"/>
      <c r="F13" s="73"/>
      <c r="G13" s="73"/>
      <c r="H13" s="73"/>
      <c r="I13" s="73"/>
      <c r="J13" s="73"/>
      <c r="K13" s="39"/>
      <c r="L13" s="45"/>
      <c r="M13" s="3"/>
      <c r="N13" s="3"/>
      <c r="O13" s="3"/>
      <c r="P13" s="3"/>
      <c r="Q13" s="3"/>
    </row>
    <row r="14" spans="1:17" ht="15">
      <c r="A14" s="44"/>
      <c r="B14" s="39"/>
      <c r="C14" s="39"/>
      <c r="D14" s="39"/>
      <c r="E14" s="73"/>
      <c r="F14" s="73"/>
      <c r="G14" s="73"/>
      <c r="H14" s="73"/>
      <c r="I14" s="73"/>
      <c r="J14" s="73"/>
      <c r="K14" s="39"/>
      <c r="L14" s="45"/>
      <c r="M14" s="3"/>
      <c r="N14" s="3"/>
      <c r="O14" s="3"/>
      <c r="P14" s="3"/>
      <c r="Q14" s="3"/>
    </row>
    <row r="15" spans="1:17" ht="15">
      <c r="A15" s="44"/>
      <c r="B15" s="39"/>
      <c r="C15" s="39"/>
      <c r="D15" s="39"/>
      <c r="E15" s="73"/>
      <c r="F15" s="73"/>
      <c r="G15" s="73"/>
      <c r="H15" s="73"/>
      <c r="I15" s="73"/>
      <c r="J15" s="73"/>
      <c r="K15" s="39"/>
      <c r="L15" s="45"/>
      <c r="M15" s="3"/>
      <c r="N15" s="3"/>
      <c r="O15" s="3"/>
      <c r="P15" s="3"/>
      <c r="Q15" s="3"/>
    </row>
    <row r="16" spans="1:17" ht="15">
      <c r="A16" s="44"/>
      <c r="B16" s="39"/>
      <c r="C16" s="39"/>
      <c r="D16" s="39"/>
      <c r="E16" s="73"/>
      <c r="F16" s="73"/>
      <c r="G16" s="73"/>
      <c r="H16" s="73"/>
      <c r="I16" s="73"/>
      <c r="J16" s="73"/>
      <c r="K16" s="39"/>
      <c r="L16" s="45"/>
      <c r="M16" s="3"/>
      <c r="N16" s="3"/>
      <c r="O16" s="3"/>
      <c r="P16" s="3"/>
      <c r="Q16" s="3"/>
    </row>
    <row r="17" spans="1:17" ht="15">
      <c r="A17" s="44"/>
      <c r="B17" s="39"/>
      <c r="C17" s="39"/>
      <c r="D17" s="39"/>
      <c r="E17" s="73"/>
      <c r="F17" s="73"/>
      <c r="G17" s="73"/>
      <c r="H17" s="73"/>
      <c r="I17" s="73"/>
      <c r="J17" s="73"/>
      <c r="K17" s="39"/>
      <c r="L17" s="45"/>
      <c r="M17" s="3"/>
      <c r="N17" s="3"/>
      <c r="O17" s="3"/>
      <c r="P17" s="3"/>
      <c r="Q17" s="3"/>
    </row>
    <row r="18" spans="1:17" ht="15">
      <c r="A18" s="44"/>
      <c r="B18" s="39"/>
      <c r="C18" s="39"/>
      <c r="D18" s="39"/>
      <c r="E18" s="73"/>
      <c r="F18" s="73"/>
      <c r="G18" s="73"/>
      <c r="H18" s="73"/>
      <c r="I18" s="73"/>
      <c r="J18" s="73"/>
      <c r="K18" s="39"/>
      <c r="L18" s="45"/>
      <c r="M18" s="3"/>
      <c r="N18" s="3"/>
      <c r="O18" s="3"/>
      <c r="P18" s="3"/>
      <c r="Q18" s="3"/>
    </row>
    <row r="19" spans="1:17" ht="15">
      <c r="A19" s="44"/>
      <c r="B19" s="39"/>
      <c r="C19" s="39"/>
      <c r="D19" s="39"/>
      <c r="E19" s="73"/>
      <c r="F19" s="73"/>
      <c r="G19" s="73"/>
      <c r="H19" s="73"/>
      <c r="I19" s="73"/>
      <c r="J19" s="73"/>
      <c r="K19" s="39"/>
      <c r="L19" s="45"/>
      <c r="M19" s="3"/>
      <c r="N19" s="3"/>
      <c r="O19" s="3"/>
      <c r="P19" s="3"/>
      <c r="Q19" s="3"/>
    </row>
    <row r="20" spans="1:17" ht="15">
      <c r="A20" s="44"/>
      <c r="B20" s="39"/>
      <c r="C20" s="39"/>
      <c r="D20" s="39"/>
      <c r="E20" s="73"/>
      <c r="F20" s="73"/>
      <c r="G20" s="73"/>
      <c r="H20" s="73"/>
      <c r="I20" s="73"/>
      <c r="J20" s="73"/>
      <c r="K20" s="39"/>
      <c r="L20" s="45"/>
      <c r="M20" s="3"/>
      <c r="N20" s="3"/>
      <c r="O20" s="3"/>
      <c r="P20" s="3"/>
      <c r="Q20" s="3"/>
    </row>
    <row r="21" spans="1:17" ht="15">
      <c r="A21" s="44"/>
      <c r="B21" s="39"/>
      <c r="C21" s="39"/>
      <c r="D21" s="39"/>
      <c r="E21" s="73"/>
      <c r="F21" s="73"/>
      <c r="G21" s="73"/>
      <c r="H21" s="73"/>
      <c r="I21" s="73"/>
      <c r="J21" s="73"/>
      <c r="K21" s="39"/>
      <c r="L21" s="45"/>
      <c r="M21" s="3"/>
      <c r="N21" s="3"/>
      <c r="O21" s="3"/>
      <c r="P21" s="3"/>
      <c r="Q21" s="3"/>
    </row>
    <row r="22" spans="1:17" ht="15">
      <c r="A22" s="44"/>
      <c r="B22" s="39"/>
      <c r="C22" s="39"/>
      <c r="D22" s="39"/>
      <c r="E22" s="73"/>
      <c r="F22" s="73"/>
      <c r="G22" s="73"/>
      <c r="H22" s="73"/>
      <c r="I22" s="73"/>
      <c r="J22" s="73"/>
      <c r="K22" s="39"/>
      <c r="L22" s="45"/>
      <c r="M22" s="3"/>
      <c r="N22" s="3"/>
      <c r="O22" s="3"/>
      <c r="P22" s="3"/>
      <c r="Q22" s="3"/>
    </row>
    <row r="23" spans="1:17" ht="15">
      <c r="A23" s="44"/>
      <c r="B23" s="39"/>
      <c r="C23" s="39"/>
      <c r="D23" s="39"/>
      <c r="E23" s="73"/>
      <c r="F23" s="73"/>
      <c r="G23" s="73"/>
      <c r="H23" s="73"/>
      <c r="I23" s="73"/>
      <c r="J23" s="73"/>
      <c r="K23" s="39"/>
      <c r="L23" s="45"/>
      <c r="M23" s="3"/>
      <c r="N23" s="3"/>
      <c r="O23" s="3"/>
      <c r="P23" s="3"/>
      <c r="Q23" s="3"/>
    </row>
    <row r="24" spans="1:17" ht="15">
      <c r="A24" s="44"/>
      <c r="B24" s="39"/>
      <c r="C24" s="39"/>
      <c r="D24" s="39"/>
      <c r="E24" s="73"/>
      <c r="F24" s="73"/>
      <c r="G24" s="73"/>
      <c r="H24" s="73"/>
      <c r="I24" s="73"/>
      <c r="J24" s="73"/>
      <c r="K24" s="39"/>
      <c r="L24" s="45"/>
      <c r="M24" s="3"/>
      <c r="N24" s="3"/>
      <c r="O24" s="3"/>
      <c r="P24" s="3"/>
      <c r="Q24" s="3"/>
    </row>
    <row r="25" spans="1:17" ht="15">
      <c r="A25" s="44"/>
      <c r="B25" s="39"/>
      <c r="C25" s="39"/>
      <c r="D25" s="39"/>
      <c r="E25" s="73"/>
      <c r="F25" s="73"/>
      <c r="G25" s="73"/>
      <c r="H25" s="73"/>
      <c r="I25" s="73"/>
      <c r="J25" s="73"/>
      <c r="K25" s="39"/>
      <c r="L25" s="45"/>
      <c r="M25" s="3"/>
      <c r="N25" s="3"/>
      <c r="O25" s="3"/>
      <c r="P25" s="3"/>
      <c r="Q25" s="3"/>
    </row>
    <row r="26" spans="1:17" ht="15">
      <c r="A26" s="44"/>
      <c r="B26" s="39"/>
      <c r="C26" s="39"/>
      <c r="D26" s="39"/>
      <c r="E26" s="73"/>
      <c r="F26" s="73"/>
      <c r="G26" s="73"/>
      <c r="H26" s="73"/>
      <c r="I26" s="73"/>
      <c r="J26" s="73"/>
      <c r="K26" s="39"/>
      <c r="L26" s="45"/>
      <c r="M26" s="3"/>
      <c r="N26" s="3"/>
      <c r="O26" s="3"/>
      <c r="P26" s="3"/>
      <c r="Q26" s="3"/>
    </row>
    <row r="27" spans="1:17" ht="15">
      <c r="A27" s="44"/>
      <c r="B27" s="39"/>
      <c r="C27" s="39"/>
      <c r="D27" s="39"/>
      <c r="E27" s="73"/>
      <c r="F27" s="73"/>
      <c r="G27" s="73"/>
      <c r="H27" s="73"/>
      <c r="I27" s="73"/>
      <c r="J27" s="73"/>
      <c r="K27" s="39"/>
      <c r="L27" s="45"/>
      <c r="M27" s="3"/>
      <c r="N27" s="3"/>
      <c r="O27" s="3"/>
      <c r="P27" s="3"/>
      <c r="Q27" s="3"/>
    </row>
    <row r="28" spans="1:17" ht="15">
      <c r="A28" s="44"/>
      <c r="B28" s="39"/>
      <c r="C28" s="39"/>
      <c r="D28" s="39"/>
      <c r="E28" s="73"/>
      <c r="F28" s="73"/>
      <c r="G28" s="73"/>
      <c r="H28" s="73"/>
      <c r="I28" s="73"/>
      <c r="J28" s="73"/>
      <c r="K28" s="39"/>
      <c r="L28" s="45"/>
      <c r="M28" s="3"/>
      <c r="N28" s="3"/>
      <c r="O28" s="3"/>
      <c r="P28" s="3"/>
      <c r="Q28" s="3"/>
    </row>
    <row r="29" spans="1:17" ht="15">
      <c r="A29" s="44"/>
      <c r="B29" s="39"/>
      <c r="C29" s="39"/>
      <c r="D29" s="39"/>
      <c r="E29" s="73"/>
      <c r="F29" s="73"/>
      <c r="G29" s="73"/>
      <c r="H29" s="73"/>
      <c r="I29" s="73"/>
      <c r="J29" s="73"/>
      <c r="K29" s="39"/>
      <c r="L29" s="45"/>
      <c r="M29" s="3"/>
      <c r="N29" s="3"/>
      <c r="O29" s="3"/>
      <c r="P29" s="3"/>
      <c r="Q29" s="3"/>
    </row>
    <row r="30" spans="1:17" ht="15">
      <c r="A30" s="44"/>
      <c r="B30" s="39"/>
      <c r="C30" s="39"/>
      <c r="D30" s="39"/>
      <c r="E30" s="73"/>
      <c r="F30" s="73"/>
      <c r="G30" s="73"/>
      <c r="H30" s="73"/>
      <c r="I30" s="73"/>
      <c r="J30" s="73"/>
      <c r="K30" s="39"/>
      <c r="L30" s="45"/>
      <c r="M30" s="3"/>
      <c r="N30" s="3"/>
      <c r="O30" s="3"/>
      <c r="P30" s="3"/>
      <c r="Q30" s="3"/>
    </row>
    <row r="31" spans="1:17" ht="15">
      <c r="A31" s="44"/>
      <c r="B31" s="39"/>
      <c r="C31" s="39"/>
      <c r="D31" s="39"/>
      <c r="E31" s="73"/>
      <c r="F31" s="73"/>
      <c r="G31" s="73"/>
      <c r="H31" s="73"/>
      <c r="I31" s="73"/>
      <c r="J31" s="73"/>
      <c r="K31" s="39"/>
      <c r="L31" s="45"/>
      <c r="M31" s="3"/>
      <c r="N31" s="3"/>
      <c r="O31" s="3"/>
      <c r="P31" s="3"/>
      <c r="Q31" s="3"/>
    </row>
    <row r="32" spans="1:17" ht="15">
      <c r="A32" s="44"/>
      <c r="B32" s="39"/>
      <c r="C32" s="39"/>
      <c r="D32" s="39"/>
      <c r="E32" s="73"/>
      <c r="F32" s="73"/>
      <c r="G32" s="73"/>
      <c r="H32" s="73"/>
      <c r="I32" s="73"/>
      <c r="J32" s="73"/>
      <c r="K32" s="39"/>
      <c r="L32" s="45"/>
      <c r="M32" s="3"/>
      <c r="N32" s="3"/>
      <c r="O32" s="3"/>
      <c r="P32" s="3"/>
      <c r="Q32" s="3"/>
    </row>
    <row r="33" spans="1:17" ht="15">
      <c r="A33" s="44"/>
      <c r="B33" s="39"/>
      <c r="C33" s="39"/>
      <c r="D33" s="39"/>
      <c r="E33" s="73"/>
      <c r="F33" s="73"/>
      <c r="G33" s="73"/>
      <c r="H33" s="73"/>
      <c r="I33" s="73"/>
      <c r="J33" s="73"/>
      <c r="K33" s="39"/>
      <c r="L33" s="45"/>
      <c r="M33" s="3"/>
      <c r="N33" s="3"/>
      <c r="O33" s="3"/>
      <c r="P33" s="3"/>
      <c r="Q33" s="3"/>
    </row>
    <row r="34" spans="1:17" ht="15">
      <c r="A34" s="44"/>
      <c r="B34" s="39"/>
      <c r="C34" s="39"/>
      <c r="D34" s="39"/>
      <c r="E34" s="73"/>
      <c r="F34" s="73"/>
      <c r="G34" s="73"/>
      <c r="H34" s="73"/>
      <c r="I34" s="73"/>
      <c r="J34" s="73"/>
      <c r="K34" s="39"/>
      <c r="L34" s="45"/>
      <c r="M34" s="3"/>
      <c r="N34" s="3"/>
      <c r="O34" s="3"/>
      <c r="P34" s="3"/>
      <c r="Q34" s="3"/>
    </row>
    <row r="35" spans="1:17" ht="15">
      <c r="A35" s="44"/>
      <c r="B35" s="39"/>
      <c r="C35" s="39"/>
      <c r="D35" s="39"/>
      <c r="E35" s="73"/>
      <c r="F35" s="73"/>
      <c r="G35" s="73"/>
      <c r="H35" s="73"/>
      <c r="I35" s="73"/>
      <c r="J35" s="73"/>
      <c r="K35" s="39"/>
      <c r="L35" s="45"/>
      <c r="M35" s="3"/>
      <c r="N35" s="3"/>
      <c r="O35" s="3"/>
      <c r="P35" s="3"/>
      <c r="Q35" s="3"/>
    </row>
    <row r="36" spans="1:17" ht="15">
      <c r="A36" s="44"/>
      <c r="B36" s="39"/>
      <c r="C36" s="39"/>
      <c r="D36" s="39"/>
      <c r="E36" s="73"/>
      <c r="F36" s="73"/>
      <c r="G36" s="73"/>
      <c r="H36" s="73"/>
      <c r="I36" s="73"/>
      <c r="J36" s="73"/>
      <c r="K36" s="39"/>
      <c r="L36" s="45"/>
      <c r="M36" s="3"/>
      <c r="N36" s="3"/>
      <c r="O36" s="3"/>
      <c r="P36" s="3"/>
      <c r="Q36" s="3"/>
    </row>
    <row r="37" spans="1:17" ht="15">
      <c r="A37" s="44"/>
      <c r="B37" s="39"/>
      <c r="C37" s="39"/>
      <c r="D37" s="39"/>
      <c r="E37" s="73"/>
      <c r="F37" s="73"/>
      <c r="G37" s="73"/>
      <c r="H37" s="73"/>
      <c r="I37" s="73"/>
      <c r="J37" s="73"/>
      <c r="K37" s="39"/>
      <c r="L37" s="45"/>
      <c r="M37" s="3"/>
      <c r="N37" s="3"/>
      <c r="O37" s="3"/>
      <c r="P37" s="3"/>
      <c r="Q37" s="3"/>
    </row>
    <row r="38" spans="1:17" ht="15">
      <c r="A38" s="44"/>
      <c r="B38" s="39"/>
      <c r="C38" s="39"/>
      <c r="D38" s="39"/>
      <c r="E38" s="73"/>
      <c r="F38" s="73"/>
      <c r="G38" s="73"/>
      <c r="H38" s="73"/>
      <c r="I38" s="73"/>
      <c r="J38" s="73"/>
      <c r="K38" s="39"/>
      <c r="L38" s="45"/>
      <c r="M38" s="3"/>
      <c r="N38" s="3"/>
      <c r="O38" s="3"/>
      <c r="P38" s="3"/>
      <c r="Q38" s="3"/>
    </row>
    <row r="39" spans="1:17" ht="15">
      <c r="A39" s="44"/>
      <c r="B39" s="39"/>
      <c r="C39" s="39"/>
      <c r="D39" s="39"/>
      <c r="E39" s="73"/>
      <c r="F39" s="73"/>
      <c r="G39" s="73"/>
      <c r="H39" s="73"/>
      <c r="I39" s="73"/>
      <c r="J39" s="73"/>
      <c r="K39" s="39"/>
      <c r="L39" s="45"/>
      <c r="M39" s="3"/>
      <c r="N39" s="3"/>
      <c r="O39" s="3"/>
      <c r="P39" s="3"/>
      <c r="Q39" s="3"/>
    </row>
    <row r="40" spans="1:17" ht="15">
      <c r="A40" s="44"/>
      <c r="B40" s="39"/>
      <c r="C40" s="39"/>
      <c r="D40" s="39"/>
      <c r="E40" s="73"/>
      <c r="F40" s="73"/>
      <c r="G40" s="73"/>
      <c r="H40" s="73"/>
      <c r="I40" s="73"/>
      <c r="J40" s="73"/>
      <c r="K40" s="39"/>
      <c r="L40" s="45"/>
      <c r="M40" s="3"/>
      <c r="N40" s="3"/>
      <c r="O40" s="3"/>
      <c r="P40" s="3"/>
      <c r="Q40" s="3"/>
    </row>
    <row r="41" spans="1:17" ht="15">
      <c r="A41" s="44"/>
      <c r="B41" s="39"/>
      <c r="C41" s="39"/>
      <c r="D41" s="39"/>
      <c r="E41" s="73"/>
      <c r="F41" s="73"/>
      <c r="G41" s="73"/>
      <c r="H41" s="73"/>
      <c r="I41" s="73"/>
      <c r="J41" s="73"/>
      <c r="K41" s="39"/>
      <c r="L41" s="45"/>
      <c r="M41" s="3"/>
      <c r="N41" s="3"/>
      <c r="O41" s="3"/>
      <c r="P41" s="3"/>
      <c r="Q41" s="3"/>
    </row>
    <row r="42" spans="1:17" ht="15">
      <c r="A42" s="44"/>
      <c r="B42" s="39"/>
      <c r="C42" s="39"/>
      <c r="D42" s="39"/>
      <c r="E42" s="73"/>
      <c r="F42" s="73"/>
      <c r="G42" s="73"/>
      <c r="H42" s="73"/>
      <c r="I42" s="73"/>
      <c r="J42" s="73"/>
      <c r="K42" s="39"/>
      <c r="L42" s="45"/>
      <c r="M42" s="3"/>
      <c r="N42" s="3"/>
      <c r="O42" s="3"/>
      <c r="P42" s="3"/>
      <c r="Q42" s="3"/>
    </row>
    <row r="43" spans="1:17" ht="15">
      <c r="A43" s="44"/>
      <c r="B43" s="39"/>
      <c r="C43" s="39"/>
      <c r="D43" s="39"/>
      <c r="E43" s="73"/>
      <c r="F43" s="73"/>
      <c r="G43" s="73"/>
      <c r="H43" s="73"/>
      <c r="I43" s="73"/>
      <c r="J43" s="73"/>
      <c r="K43" s="39"/>
      <c r="L43" s="45"/>
      <c r="M43" s="3"/>
      <c r="N43" s="3"/>
      <c r="O43" s="3"/>
      <c r="P43" s="3"/>
      <c r="Q43" s="3"/>
    </row>
    <row r="44" spans="1:17" ht="15">
      <c r="A44" s="44"/>
      <c r="B44" s="39"/>
      <c r="C44" s="39"/>
      <c r="D44" s="39"/>
      <c r="E44" s="73"/>
      <c r="F44" s="73"/>
      <c r="G44" s="73"/>
      <c r="H44" s="73"/>
      <c r="I44" s="73"/>
      <c r="J44" s="73"/>
      <c r="K44" s="39"/>
      <c r="L44" s="45"/>
      <c r="M44" s="3"/>
      <c r="N44" s="3"/>
      <c r="O44" s="3"/>
      <c r="P44" s="3"/>
      <c r="Q44" s="3"/>
    </row>
    <row r="45" spans="1:17" ht="15">
      <c r="A45" s="44"/>
      <c r="B45" s="39"/>
      <c r="C45" s="39"/>
      <c r="D45" s="39"/>
      <c r="E45" s="73"/>
      <c r="F45" s="73"/>
      <c r="G45" s="73"/>
      <c r="H45" s="73"/>
      <c r="I45" s="73"/>
      <c r="J45" s="73"/>
      <c r="K45" s="39"/>
      <c r="L45" s="45"/>
      <c r="M45" s="3"/>
      <c r="N45" s="3"/>
      <c r="O45" s="3"/>
      <c r="P45" s="3"/>
      <c r="Q45" s="3"/>
    </row>
    <row r="46" spans="1:17" ht="15">
      <c r="A46" s="44"/>
      <c r="B46" s="39"/>
      <c r="C46" s="39"/>
      <c r="D46" s="39"/>
      <c r="E46" s="73"/>
      <c r="F46" s="73"/>
      <c r="G46" s="73"/>
      <c r="H46" s="73"/>
      <c r="I46" s="73"/>
      <c r="J46" s="73"/>
      <c r="K46" s="39"/>
      <c r="L46" s="45"/>
      <c r="M46" s="3"/>
      <c r="N46" s="3"/>
      <c r="O46" s="3"/>
      <c r="P46" s="3"/>
      <c r="Q46" s="3"/>
    </row>
    <row r="47" spans="1:17" ht="15">
      <c r="A47" s="44"/>
      <c r="B47" s="39"/>
      <c r="C47" s="39"/>
      <c r="D47" s="39"/>
      <c r="E47" s="73"/>
      <c r="F47" s="73"/>
      <c r="G47" s="73"/>
      <c r="H47" s="73"/>
      <c r="I47" s="73"/>
      <c r="J47" s="73"/>
      <c r="K47" s="39"/>
      <c r="L47" s="45"/>
      <c r="M47" s="3"/>
      <c r="N47" s="3"/>
      <c r="O47" s="3"/>
      <c r="P47" s="3"/>
      <c r="Q47" s="3"/>
    </row>
    <row r="48" spans="1:17" ht="15">
      <c r="A48" s="44"/>
      <c r="B48" s="39"/>
      <c r="C48" s="39"/>
      <c r="D48" s="39"/>
      <c r="E48" s="73"/>
      <c r="F48" s="73"/>
      <c r="G48" s="73"/>
      <c r="H48" s="73"/>
      <c r="I48" s="73"/>
      <c r="J48" s="73"/>
      <c r="K48" s="39"/>
      <c r="L48" s="45"/>
      <c r="M48" s="3"/>
      <c r="N48" s="3"/>
      <c r="O48" s="3"/>
      <c r="P48" s="3"/>
      <c r="Q48" s="3"/>
    </row>
    <row r="49" spans="1:17" ht="15">
      <c r="A49" s="44"/>
      <c r="B49" s="39"/>
      <c r="C49" s="39"/>
      <c r="D49" s="39"/>
      <c r="E49" s="73"/>
      <c r="F49" s="73"/>
      <c r="G49" s="73"/>
      <c r="H49" s="73"/>
      <c r="I49" s="73"/>
      <c r="J49" s="73"/>
      <c r="K49" s="39"/>
      <c r="L49" s="45"/>
      <c r="M49" s="3"/>
      <c r="N49" s="3"/>
      <c r="O49" s="3"/>
      <c r="P49" s="3"/>
      <c r="Q49" s="3"/>
    </row>
    <row r="50" spans="1:17" ht="15">
      <c r="A50" s="44"/>
      <c r="B50" s="39"/>
      <c r="C50" s="39"/>
      <c r="D50" s="39"/>
      <c r="E50" s="73"/>
      <c r="F50" s="73"/>
      <c r="G50" s="73"/>
      <c r="H50" s="73"/>
      <c r="I50" s="73"/>
      <c r="J50" s="73"/>
      <c r="K50" s="39"/>
      <c r="L50" s="45"/>
      <c r="M50" s="3"/>
      <c r="N50" s="3"/>
      <c r="O50" s="3"/>
      <c r="P50" s="3"/>
      <c r="Q50" s="3"/>
    </row>
    <row r="51" spans="1:17" ht="15">
      <c r="A51" s="44"/>
      <c r="B51" s="39"/>
      <c r="C51" s="39"/>
      <c r="D51" s="39"/>
      <c r="E51" s="73"/>
      <c r="F51" s="73"/>
      <c r="G51" s="73"/>
      <c r="H51" s="73"/>
      <c r="I51" s="73"/>
      <c r="J51" s="73"/>
      <c r="K51" s="39"/>
      <c r="L51" s="45"/>
      <c r="M51" s="3"/>
      <c r="N51" s="3"/>
      <c r="O51" s="3"/>
      <c r="P51" s="3"/>
      <c r="Q51" s="3"/>
    </row>
    <row r="52" spans="1:17" ht="15">
      <c r="A52" s="44"/>
      <c r="B52" s="39"/>
      <c r="C52" s="39"/>
      <c r="D52" s="39"/>
      <c r="E52" s="73"/>
      <c r="F52" s="73"/>
      <c r="G52" s="73"/>
      <c r="H52" s="73"/>
      <c r="I52" s="73"/>
      <c r="J52" s="73"/>
      <c r="K52" s="39"/>
      <c r="L52" s="45"/>
      <c r="M52" s="3"/>
      <c r="N52" s="3"/>
      <c r="O52" s="3"/>
      <c r="P52" s="3"/>
      <c r="Q52" s="3"/>
    </row>
    <row r="53" spans="1:17" ht="15">
      <c r="A53" s="44"/>
      <c r="B53" s="39"/>
      <c r="C53" s="39"/>
      <c r="D53" s="39"/>
      <c r="E53" s="73"/>
      <c r="F53" s="73"/>
      <c r="G53" s="73"/>
      <c r="H53" s="73"/>
      <c r="I53" s="73"/>
      <c r="J53" s="73"/>
      <c r="K53" s="39"/>
      <c r="L53" s="45"/>
      <c r="M53" s="3"/>
      <c r="N53" s="3"/>
      <c r="O53" s="3"/>
      <c r="P53" s="3"/>
      <c r="Q53" s="3"/>
    </row>
    <row r="54" spans="1:17" ht="15">
      <c r="A54" s="44"/>
      <c r="B54" s="39"/>
      <c r="C54" s="39"/>
      <c r="D54" s="39"/>
      <c r="E54" s="73"/>
      <c r="F54" s="73"/>
      <c r="G54" s="73"/>
      <c r="H54" s="73"/>
      <c r="I54" s="73"/>
      <c r="J54" s="73"/>
      <c r="K54" s="39"/>
      <c r="L54" s="45"/>
      <c r="M54" s="3"/>
      <c r="N54" s="3"/>
      <c r="O54" s="3"/>
      <c r="P54" s="3"/>
      <c r="Q54" s="3"/>
    </row>
    <row r="55" spans="1:17" ht="15">
      <c r="A55" s="44"/>
      <c r="B55" s="39"/>
      <c r="C55" s="39"/>
      <c r="D55" s="39"/>
      <c r="E55" s="73"/>
      <c r="F55" s="73"/>
      <c r="G55" s="73"/>
      <c r="H55" s="73"/>
      <c r="I55" s="73"/>
      <c r="J55" s="73"/>
      <c r="K55" s="39"/>
      <c r="L55" s="45"/>
      <c r="M55" s="3"/>
      <c r="N55" s="3"/>
      <c r="O55" s="3"/>
      <c r="P55" s="3"/>
      <c r="Q55" s="3"/>
    </row>
    <row r="56" spans="1:17" ht="15">
      <c r="A56" s="44"/>
      <c r="B56" s="39"/>
      <c r="C56" s="39"/>
      <c r="D56" s="39"/>
      <c r="E56" s="73"/>
      <c r="F56" s="73"/>
      <c r="G56" s="73"/>
      <c r="H56" s="73"/>
      <c r="I56" s="73"/>
      <c r="J56" s="73"/>
      <c r="K56" s="39"/>
      <c r="L56" s="45"/>
      <c r="M56" s="3"/>
      <c r="N56" s="3"/>
      <c r="O56" s="3"/>
      <c r="P56" s="3"/>
      <c r="Q56" s="3"/>
    </row>
    <row r="57" spans="1:17" ht="15">
      <c r="A57" s="44"/>
      <c r="B57" s="39"/>
      <c r="C57" s="39"/>
      <c r="D57" s="39"/>
      <c r="E57" s="73"/>
      <c r="F57" s="73"/>
      <c r="G57" s="73"/>
      <c r="H57" s="73"/>
      <c r="I57" s="73"/>
      <c r="J57" s="73"/>
      <c r="K57" s="39"/>
      <c r="L57" s="45"/>
      <c r="M57" s="3"/>
      <c r="N57" s="3"/>
      <c r="O57" s="3"/>
      <c r="P57" s="3"/>
      <c r="Q57" s="3"/>
    </row>
    <row r="58" spans="1:17" ht="15">
      <c r="A58" s="44"/>
      <c r="B58" s="39"/>
      <c r="C58" s="39"/>
      <c r="D58" s="39"/>
      <c r="E58" s="73"/>
      <c r="F58" s="73"/>
      <c r="G58" s="73"/>
      <c r="H58" s="73"/>
      <c r="I58" s="73"/>
      <c r="J58" s="73"/>
      <c r="K58" s="39"/>
      <c r="L58" s="45"/>
      <c r="M58" s="3"/>
      <c r="N58" s="3"/>
      <c r="O58" s="3"/>
      <c r="P58" s="3"/>
      <c r="Q58" s="3"/>
    </row>
    <row r="59" spans="1:17" ht="15">
      <c r="A59" s="44"/>
      <c r="B59" s="39"/>
      <c r="C59" s="39"/>
      <c r="D59" s="39"/>
      <c r="E59" s="73"/>
      <c r="F59" s="73"/>
      <c r="G59" s="73"/>
      <c r="H59" s="73"/>
      <c r="I59" s="73"/>
      <c r="J59" s="73"/>
      <c r="K59" s="39"/>
      <c r="L59" s="45"/>
      <c r="M59" s="3"/>
      <c r="N59" s="3"/>
      <c r="O59" s="3"/>
      <c r="P59" s="3"/>
      <c r="Q59" s="3"/>
    </row>
    <row r="60" spans="1:17" ht="15">
      <c r="A60" s="44"/>
      <c r="B60" s="39"/>
      <c r="C60" s="39"/>
      <c r="D60" s="39"/>
      <c r="E60" s="73"/>
      <c r="F60" s="73"/>
      <c r="G60" s="73"/>
      <c r="H60" s="73"/>
      <c r="I60" s="73"/>
      <c r="J60" s="73"/>
      <c r="K60" s="39"/>
      <c r="L60" s="45"/>
      <c r="M60" s="3"/>
      <c r="N60" s="3"/>
      <c r="O60" s="3"/>
      <c r="P60" s="3"/>
      <c r="Q60" s="3"/>
    </row>
    <row r="61" spans="1:17" ht="15">
      <c r="A61" s="44"/>
      <c r="B61" s="39"/>
      <c r="C61" s="39"/>
      <c r="D61" s="39"/>
      <c r="E61" s="73"/>
      <c r="F61" s="73"/>
      <c r="G61" s="73"/>
      <c r="H61" s="73"/>
      <c r="I61" s="73"/>
      <c r="J61" s="73"/>
      <c r="K61" s="39"/>
      <c r="L61" s="45"/>
      <c r="M61" s="3"/>
      <c r="N61" s="3"/>
      <c r="O61" s="3"/>
      <c r="P61" s="3"/>
      <c r="Q61" s="3"/>
    </row>
    <row r="62" spans="1:17" ht="15">
      <c r="A62" s="44"/>
      <c r="B62" s="39"/>
      <c r="C62" s="39"/>
      <c r="D62" s="39"/>
      <c r="E62" s="73"/>
      <c r="F62" s="73"/>
      <c r="G62" s="73"/>
      <c r="H62" s="73"/>
      <c r="I62" s="73"/>
      <c r="J62" s="73"/>
      <c r="K62" s="39"/>
      <c r="L62" s="45"/>
      <c r="M62" s="3"/>
      <c r="N62" s="3"/>
      <c r="O62" s="3"/>
      <c r="P62" s="3"/>
      <c r="Q62" s="3"/>
    </row>
    <row r="63" spans="1:17" ht="15">
      <c r="A63" s="44"/>
      <c r="B63" s="39"/>
      <c r="C63" s="39"/>
      <c r="D63" s="39"/>
      <c r="E63" s="73"/>
      <c r="F63" s="73"/>
      <c r="G63" s="73"/>
      <c r="H63" s="73"/>
      <c r="I63" s="73"/>
      <c r="J63" s="73"/>
      <c r="K63" s="39"/>
      <c r="L63" s="45"/>
      <c r="M63" s="3"/>
      <c r="N63" s="3"/>
      <c r="O63" s="3"/>
      <c r="P63" s="3"/>
      <c r="Q63" s="3"/>
    </row>
    <row r="64" spans="1:17" ht="15">
      <c r="A64" s="44"/>
      <c r="B64" s="39"/>
      <c r="C64" s="39"/>
      <c r="D64" s="39"/>
      <c r="E64" s="73"/>
      <c r="F64" s="73"/>
      <c r="G64" s="73"/>
      <c r="H64" s="73"/>
      <c r="I64" s="73"/>
      <c r="J64" s="73"/>
      <c r="K64" s="39"/>
      <c r="L64" s="45"/>
      <c r="M64" s="3"/>
      <c r="N64" s="3"/>
      <c r="O64" s="3"/>
      <c r="P64" s="3"/>
      <c r="Q64" s="3"/>
    </row>
    <row r="65" spans="1:17" ht="15">
      <c r="A65" s="44"/>
      <c r="B65" s="39"/>
      <c r="C65" s="39"/>
      <c r="D65" s="39"/>
      <c r="E65" s="73"/>
      <c r="F65" s="73"/>
      <c r="G65" s="73"/>
      <c r="H65" s="73"/>
      <c r="I65" s="73"/>
      <c r="J65" s="73"/>
      <c r="K65" s="39"/>
      <c r="L65" s="45"/>
      <c r="M65" s="3"/>
      <c r="N65" s="3"/>
      <c r="O65" s="3"/>
      <c r="P65" s="3"/>
      <c r="Q65" s="3"/>
    </row>
    <row r="66" spans="1:17" ht="15">
      <c r="A66" s="44"/>
      <c r="B66" s="39"/>
      <c r="C66" s="39"/>
      <c r="D66" s="39"/>
      <c r="E66" s="73"/>
      <c r="F66" s="73"/>
      <c r="G66" s="73"/>
      <c r="H66" s="73"/>
      <c r="I66" s="73"/>
      <c r="J66" s="73"/>
      <c r="K66" s="39"/>
      <c r="L66" s="45"/>
      <c r="M66" s="3"/>
      <c r="N66" s="3"/>
      <c r="O66" s="3"/>
      <c r="P66" s="3"/>
      <c r="Q66" s="3"/>
    </row>
    <row r="67" spans="1:17" ht="15">
      <c r="A67" s="44"/>
      <c r="B67" s="39"/>
      <c r="C67" s="39"/>
      <c r="D67" s="39"/>
      <c r="E67" s="73"/>
      <c r="F67" s="73"/>
      <c r="G67" s="73"/>
      <c r="H67" s="73"/>
      <c r="I67" s="73"/>
      <c r="J67" s="73"/>
      <c r="K67" s="39"/>
      <c r="L67" s="45"/>
      <c r="M67" s="3"/>
      <c r="N67" s="3"/>
      <c r="O67" s="3"/>
      <c r="P67" s="3"/>
      <c r="Q67" s="3"/>
    </row>
    <row r="68" spans="1:17" ht="15">
      <c r="A68" s="44"/>
      <c r="B68" s="39"/>
      <c r="C68" s="39"/>
      <c r="D68" s="39"/>
      <c r="E68" s="73"/>
      <c r="F68" s="73"/>
      <c r="G68" s="73"/>
      <c r="H68" s="73"/>
      <c r="I68" s="73"/>
      <c r="J68" s="73"/>
      <c r="K68" s="39"/>
      <c r="L68" s="45"/>
      <c r="M68" s="3"/>
      <c r="N68" s="3"/>
      <c r="O68" s="3"/>
      <c r="P68" s="3"/>
      <c r="Q68" s="3"/>
    </row>
    <row r="69" spans="1:17" ht="15">
      <c r="A69" s="44"/>
      <c r="B69" s="39"/>
      <c r="C69" s="39"/>
      <c r="D69" s="39"/>
      <c r="E69" s="73"/>
      <c r="F69" s="73"/>
      <c r="G69" s="73"/>
      <c r="H69" s="73"/>
      <c r="I69" s="73"/>
      <c r="J69" s="73"/>
      <c r="K69" s="39"/>
      <c r="L69" s="45"/>
      <c r="M69" s="3"/>
      <c r="N69" s="3"/>
      <c r="O69" s="3"/>
      <c r="P69" s="3"/>
      <c r="Q69" s="3"/>
    </row>
    <row r="70" spans="1:17" ht="15">
      <c r="A70" s="44"/>
      <c r="B70" s="39"/>
      <c r="C70" s="39"/>
      <c r="D70" s="39"/>
      <c r="E70" s="73"/>
      <c r="F70" s="73"/>
      <c r="G70" s="73"/>
      <c r="H70" s="73"/>
      <c r="I70" s="73"/>
      <c r="J70" s="73"/>
      <c r="K70" s="39"/>
      <c r="L70" s="45"/>
      <c r="M70" s="3"/>
      <c r="N70" s="3"/>
      <c r="O70" s="3"/>
      <c r="P70" s="3"/>
      <c r="Q70" s="3"/>
    </row>
    <row r="71" spans="1:17" ht="15">
      <c r="A71" s="44"/>
      <c r="B71" s="39"/>
      <c r="C71" s="39"/>
      <c r="D71" s="39"/>
      <c r="E71" s="73"/>
      <c r="F71" s="73"/>
      <c r="G71" s="73"/>
      <c r="H71" s="73"/>
      <c r="I71" s="73"/>
      <c r="J71" s="73"/>
      <c r="K71" s="39"/>
      <c r="L71" s="45"/>
      <c r="M71" s="3"/>
      <c r="N71" s="3"/>
      <c r="O71" s="3"/>
      <c r="P71" s="3"/>
      <c r="Q71" s="3"/>
    </row>
    <row r="72" spans="1:17" ht="15">
      <c r="A72" s="44"/>
      <c r="B72" s="39"/>
      <c r="C72" s="39"/>
      <c r="D72" s="39"/>
      <c r="E72" s="73"/>
      <c r="F72" s="73"/>
      <c r="G72" s="73"/>
      <c r="H72" s="73"/>
      <c r="I72" s="73"/>
      <c r="J72" s="73"/>
      <c r="K72" s="39"/>
      <c r="L72" s="45"/>
      <c r="M72" s="3"/>
      <c r="N72" s="3"/>
      <c r="O72" s="3"/>
      <c r="P72" s="3"/>
      <c r="Q72" s="3"/>
    </row>
    <row r="73" spans="1:17" ht="15">
      <c r="A73" s="44"/>
      <c r="B73" s="39"/>
      <c r="C73" s="39"/>
      <c r="D73" s="39"/>
      <c r="E73" s="73"/>
      <c r="F73" s="73"/>
      <c r="G73" s="73"/>
      <c r="H73" s="73"/>
      <c r="I73" s="73"/>
      <c r="J73" s="73"/>
      <c r="K73" s="39"/>
      <c r="L73" s="45"/>
      <c r="M73" s="3"/>
      <c r="N73" s="3"/>
      <c r="O73" s="3"/>
      <c r="P73" s="3"/>
      <c r="Q73" s="3"/>
    </row>
    <row r="74" spans="1:17" ht="15">
      <c r="A74" s="44"/>
      <c r="B74" s="39"/>
      <c r="C74" s="39"/>
      <c r="D74" s="39"/>
      <c r="E74" s="73"/>
      <c r="F74" s="73"/>
      <c r="G74" s="73"/>
      <c r="H74" s="73"/>
      <c r="I74" s="73"/>
      <c r="J74" s="73"/>
      <c r="K74" s="39"/>
      <c r="L74" s="45"/>
      <c r="M74" s="3"/>
      <c r="N74" s="3"/>
      <c r="O74" s="3"/>
      <c r="P74" s="3"/>
      <c r="Q74" s="3"/>
    </row>
    <row r="75" spans="1:17" ht="15">
      <c r="A75" s="44"/>
      <c r="B75" s="39"/>
      <c r="C75" s="39"/>
      <c r="D75" s="39"/>
      <c r="E75" s="73"/>
      <c r="F75" s="73"/>
      <c r="G75" s="73"/>
      <c r="H75" s="73"/>
      <c r="I75" s="73"/>
      <c r="J75" s="73"/>
      <c r="K75" s="39"/>
      <c r="L75" s="45"/>
      <c r="M75" s="3"/>
      <c r="N75" s="3"/>
      <c r="O75" s="3"/>
      <c r="P75" s="3"/>
      <c r="Q75" s="3"/>
    </row>
    <row r="76" spans="1:17" ht="15">
      <c r="A76" s="44"/>
      <c r="B76" s="39"/>
      <c r="C76" s="39"/>
      <c r="D76" s="39"/>
      <c r="E76" s="73"/>
      <c r="F76" s="73"/>
      <c r="G76" s="73"/>
      <c r="H76" s="73"/>
      <c r="I76" s="73"/>
      <c r="J76" s="73"/>
      <c r="K76" s="39"/>
      <c r="L76" s="45"/>
      <c r="M76" s="3"/>
      <c r="N76" s="3"/>
      <c r="O76" s="3"/>
      <c r="P76" s="3"/>
      <c r="Q76" s="3"/>
    </row>
    <row r="77" spans="1:17" ht="15">
      <c r="A77" s="44"/>
      <c r="B77" s="39"/>
      <c r="C77" s="39"/>
      <c r="D77" s="39"/>
      <c r="E77" s="73"/>
      <c r="F77" s="73"/>
      <c r="G77" s="73"/>
      <c r="H77" s="73"/>
      <c r="I77" s="73"/>
      <c r="J77" s="73"/>
      <c r="K77" s="39"/>
      <c r="L77" s="45"/>
      <c r="M77" s="3"/>
      <c r="N77" s="3"/>
      <c r="O77" s="3"/>
      <c r="P77" s="3"/>
      <c r="Q77" s="3"/>
    </row>
    <row r="78" spans="1:17" ht="15">
      <c r="A78" s="44"/>
      <c r="B78" s="39"/>
      <c r="C78" s="39"/>
      <c r="D78" s="39"/>
      <c r="E78" s="73"/>
      <c r="F78" s="73"/>
      <c r="G78" s="73"/>
      <c r="H78" s="73"/>
      <c r="I78" s="73"/>
      <c r="J78" s="73"/>
      <c r="K78" s="39"/>
      <c r="L78" s="45"/>
      <c r="M78" s="3"/>
      <c r="N78" s="3"/>
      <c r="O78" s="3"/>
      <c r="P78" s="3"/>
      <c r="Q78" s="3"/>
    </row>
    <row r="79" spans="1:17" ht="15">
      <c r="A79" s="44"/>
      <c r="B79" s="39"/>
      <c r="C79" s="39"/>
      <c r="D79" s="39"/>
      <c r="E79" s="73"/>
      <c r="F79" s="73"/>
      <c r="G79" s="73"/>
      <c r="H79" s="73"/>
      <c r="I79" s="73"/>
      <c r="J79" s="73"/>
      <c r="K79" s="39"/>
      <c r="L79" s="45"/>
      <c r="M79" s="3"/>
      <c r="N79" s="3"/>
      <c r="O79" s="3"/>
      <c r="P79" s="3"/>
      <c r="Q79" s="3"/>
    </row>
    <row r="80" spans="1:17" ht="15">
      <c r="A80" s="44"/>
      <c r="B80" s="39"/>
      <c r="C80" s="39"/>
      <c r="D80" s="39"/>
      <c r="E80" s="73"/>
      <c r="F80" s="73"/>
      <c r="G80" s="73"/>
      <c r="H80" s="73"/>
      <c r="I80" s="73"/>
      <c r="J80" s="73"/>
      <c r="K80" s="39"/>
      <c r="L80" s="45"/>
      <c r="M80" s="3"/>
      <c r="N80" s="3"/>
      <c r="O80" s="3"/>
      <c r="P80" s="3"/>
      <c r="Q80" s="3"/>
    </row>
    <row r="81" spans="1:17" ht="15">
      <c r="A81" s="44"/>
      <c r="B81" s="39"/>
      <c r="C81" s="39"/>
      <c r="D81" s="39"/>
      <c r="E81" s="73"/>
      <c r="F81" s="73"/>
      <c r="G81" s="73"/>
      <c r="H81" s="73"/>
      <c r="I81" s="73"/>
      <c r="J81" s="73"/>
      <c r="K81" s="39"/>
      <c r="L81" s="45"/>
      <c r="M81" s="3"/>
      <c r="N81" s="3"/>
      <c r="O81" s="3"/>
      <c r="P81" s="3"/>
      <c r="Q81" s="3"/>
    </row>
    <row r="82" spans="1:17" ht="15">
      <c r="A82" s="44"/>
      <c r="B82" s="39"/>
      <c r="C82" s="39"/>
      <c r="D82" s="39"/>
      <c r="E82" s="73"/>
      <c r="F82" s="73"/>
      <c r="G82" s="73"/>
      <c r="H82" s="73"/>
      <c r="I82" s="73"/>
      <c r="J82" s="73"/>
      <c r="K82" s="39"/>
      <c r="L82" s="45"/>
      <c r="M82" s="3"/>
      <c r="N82" s="3"/>
      <c r="O82" s="3"/>
      <c r="P82" s="3"/>
      <c r="Q82" s="3"/>
    </row>
    <row r="83" spans="1:17" ht="15">
      <c r="A83" s="44"/>
      <c r="B83" s="39"/>
      <c r="C83" s="39"/>
      <c r="D83" s="39"/>
      <c r="E83" s="73"/>
      <c r="F83" s="73"/>
      <c r="G83" s="73"/>
      <c r="H83" s="73"/>
      <c r="I83" s="73"/>
      <c r="J83" s="73"/>
      <c r="K83" s="39"/>
      <c r="L83" s="45"/>
      <c r="M83" s="3"/>
      <c r="N83" s="3"/>
      <c r="O83" s="3"/>
      <c r="P83" s="3"/>
      <c r="Q83" s="3"/>
    </row>
    <row r="84" spans="1:17" ht="15">
      <c r="A84" s="44"/>
      <c r="B84" s="39"/>
      <c r="C84" s="39"/>
      <c r="D84" s="39"/>
      <c r="E84" s="73"/>
      <c r="F84" s="73"/>
      <c r="G84" s="73"/>
      <c r="H84" s="73"/>
      <c r="I84" s="73"/>
      <c r="J84" s="73"/>
      <c r="K84" s="39"/>
      <c r="L84" s="45"/>
      <c r="M84" s="3"/>
      <c r="N84" s="3"/>
      <c r="O84" s="3"/>
      <c r="P84" s="3"/>
      <c r="Q84" s="3"/>
    </row>
    <row r="85" spans="1:17" ht="15">
      <c r="A85" s="44"/>
      <c r="B85" s="39"/>
      <c r="C85" s="39"/>
      <c r="D85" s="39"/>
      <c r="E85" s="73"/>
      <c r="F85" s="73"/>
      <c r="G85" s="73"/>
      <c r="H85" s="73"/>
      <c r="I85" s="73"/>
      <c r="J85" s="73"/>
      <c r="K85" s="39"/>
      <c r="L85" s="45"/>
      <c r="M85" s="3"/>
      <c r="N85" s="3"/>
      <c r="O85" s="3"/>
      <c r="P85" s="3"/>
      <c r="Q85" s="3"/>
    </row>
    <row r="86" spans="1:17" ht="15">
      <c r="A86" s="44"/>
      <c r="B86" s="39"/>
      <c r="C86" s="39"/>
      <c r="D86" s="39"/>
      <c r="E86" s="73"/>
      <c r="F86" s="73"/>
      <c r="G86" s="73"/>
      <c r="H86" s="73"/>
      <c r="I86" s="73"/>
      <c r="J86" s="73"/>
      <c r="K86" s="39"/>
      <c r="L86" s="45"/>
      <c r="M86" s="3"/>
      <c r="N86" s="3"/>
      <c r="O86" s="3"/>
      <c r="P86" s="3"/>
      <c r="Q86" s="3"/>
    </row>
    <row r="87" spans="1:17" ht="15">
      <c r="A87" s="44"/>
      <c r="B87" s="39"/>
      <c r="C87" s="39"/>
      <c r="D87" s="39"/>
      <c r="E87" s="73"/>
      <c r="F87" s="73"/>
      <c r="G87" s="73"/>
      <c r="H87" s="73"/>
      <c r="I87" s="73"/>
      <c r="J87" s="73"/>
      <c r="K87" s="39"/>
      <c r="L87" s="45"/>
      <c r="M87" s="3"/>
      <c r="N87" s="3"/>
      <c r="O87" s="3"/>
      <c r="P87" s="3"/>
      <c r="Q87" s="3"/>
    </row>
    <row r="88" spans="1:17" ht="15">
      <c r="A88" s="44"/>
      <c r="B88" s="39"/>
      <c r="C88" s="39"/>
      <c r="D88" s="39"/>
      <c r="E88" s="73"/>
      <c r="F88" s="73"/>
      <c r="G88" s="73"/>
      <c r="H88" s="73"/>
      <c r="I88" s="73"/>
      <c r="J88" s="73"/>
      <c r="K88" s="39"/>
      <c r="L88" s="45"/>
      <c r="M88" s="3"/>
      <c r="N88" s="3"/>
      <c r="O88" s="3"/>
      <c r="P88" s="3"/>
      <c r="Q88" s="3"/>
    </row>
    <row r="89" spans="1:17" ht="15">
      <c r="A89" s="44"/>
      <c r="B89" s="39"/>
      <c r="C89" s="39"/>
      <c r="D89" s="39"/>
      <c r="E89" s="73"/>
      <c r="F89" s="73"/>
      <c r="G89" s="73"/>
      <c r="H89" s="73"/>
      <c r="I89" s="73"/>
      <c r="J89" s="73"/>
      <c r="K89" s="39"/>
      <c r="L89" s="45"/>
      <c r="M89" s="3"/>
      <c r="N89" s="3"/>
      <c r="O89" s="3"/>
      <c r="P89" s="3"/>
      <c r="Q89" s="3"/>
    </row>
    <row r="90" spans="1:17" ht="15">
      <c r="A90" s="44"/>
      <c r="B90" s="39"/>
      <c r="C90" s="39"/>
      <c r="D90" s="39"/>
      <c r="E90" s="73"/>
      <c r="F90" s="73"/>
      <c r="G90" s="73"/>
      <c r="H90" s="73"/>
      <c r="I90" s="73"/>
      <c r="J90" s="73"/>
      <c r="K90" s="39"/>
      <c r="L90" s="45"/>
      <c r="M90" s="3"/>
      <c r="N90" s="3"/>
      <c r="O90" s="3"/>
      <c r="P90" s="3"/>
      <c r="Q90" s="3"/>
    </row>
    <row r="91" spans="1:17" ht="15">
      <c r="A91" s="44"/>
      <c r="B91" s="39"/>
      <c r="C91" s="39"/>
      <c r="D91" s="39"/>
      <c r="E91" s="73"/>
      <c r="F91" s="73"/>
      <c r="G91" s="73"/>
      <c r="H91" s="73"/>
      <c r="I91" s="73"/>
      <c r="J91" s="73"/>
      <c r="K91" s="39"/>
      <c r="L91" s="45"/>
      <c r="M91" s="3"/>
      <c r="N91" s="3"/>
      <c r="O91" s="3"/>
      <c r="P91" s="3"/>
      <c r="Q91" s="3"/>
    </row>
    <row r="92" spans="1:17" ht="15">
      <c r="A92" s="44"/>
      <c r="B92" s="39"/>
      <c r="C92" s="39"/>
      <c r="D92" s="39"/>
      <c r="E92" s="73"/>
      <c r="F92" s="73"/>
      <c r="G92" s="73"/>
      <c r="H92" s="73"/>
      <c r="I92" s="73"/>
      <c r="J92" s="73"/>
      <c r="K92" s="39"/>
      <c r="L92" s="45"/>
      <c r="M92" s="3"/>
      <c r="N92" s="3"/>
      <c r="O92" s="3"/>
      <c r="P92" s="3"/>
      <c r="Q92" s="3"/>
    </row>
    <row r="93" spans="1:17" ht="15">
      <c r="A93" s="44"/>
      <c r="B93" s="39"/>
      <c r="C93" s="39"/>
      <c r="D93" s="39"/>
      <c r="E93" s="73"/>
      <c r="F93" s="73"/>
      <c r="G93" s="73"/>
      <c r="H93" s="73"/>
      <c r="I93" s="73"/>
      <c r="J93" s="73"/>
      <c r="K93" s="39"/>
      <c r="L93" s="45"/>
      <c r="M93" s="3"/>
      <c r="N93" s="3"/>
      <c r="O93" s="3"/>
      <c r="P93" s="3"/>
      <c r="Q93" s="3"/>
    </row>
    <row r="94" spans="1:17" ht="15">
      <c r="A94" s="44"/>
      <c r="B94" s="39"/>
      <c r="C94" s="39"/>
      <c r="D94" s="39"/>
      <c r="E94" s="73"/>
      <c r="F94" s="73"/>
      <c r="G94" s="73"/>
      <c r="H94" s="73"/>
      <c r="I94" s="73"/>
      <c r="J94" s="73"/>
      <c r="K94" s="39"/>
      <c r="L94" s="45"/>
      <c r="M94" s="3"/>
      <c r="N94" s="3"/>
      <c r="O94" s="3"/>
      <c r="P94" s="3"/>
      <c r="Q94" s="3"/>
    </row>
    <row r="95" spans="1:17" ht="15">
      <c r="A95" s="44"/>
      <c r="B95" s="39"/>
      <c r="C95" s="39"/>
      <c r="D95" s="39"/>
      <c r="E95" s="73"/>
      <c r="F95" s="73"/>
      <c r="G95" s="73"/>
      <c r="H95" s="73"/>
      <c r="I95" s="73"/>
      <c r="J95" s="73"/>
      <c r="K95" s="39"/>
      <c r="L95" s="45"/>
      <c r="M95" s="3"/>
      <c r="N95" s="3"/>
      <c r="O95" s="3"/>
      <c r="P95" s="3"/>
      <c r="Q95" s="3"/>
    </row>
    <row r="96" spans="1:17" ht="15">
      <c r="A96" s="44"/>
      <c r="B96" s="39"/>
      <c r="C96" s="39"/>
      <c r="D96" s="39"/>
      <c r="E96" s="73"/>
      <c r="F96" s="73"/>
      <c r="G96" s="73"/>
      <c r="H96" s="73"/>
      <c r="I96" s="73"/>
      <c r="J96" s="73"/>
      <c r="K96" s="39"/>
      <c r="L96" s="45"/>
      <c r="M96" s="3"/>
      <c r="N96" s="3"/>
      <c r="O96" s="3"/>
      <c r="P96" s="3"/>
      <c r="Q96" s="3"/>
    </row>
    <row r="97" spans="1:17" ht="15">
      <c r="A97" s="44"/>
      <c r="B97" s="39"/>
      <c r="C97" s="39"/>
      <c r="D97" s="39"/>
      <c r="E97" s="73"/>
      <c r="F97" s="73"/>
      <c r="G97" s="73"/>
      <c r="H97" s="73"/>
      <c r="I97" s="73"/>
      <c r="J97" s="73"/>
      <c r="K97" s="39"/>
      <c r="L97" s="45"/>
      <c r="M97" s="3"/>
      <c r="N97" s="3"/>
      <c r="O97" s="3"/>
      <c r="P97" s="3"/>
      <c r="Q97" s="3"/>
    </row>
    <row r="98" spans="1:17" ht="15">
      <c r="A98" s="44"/>
      <c r="B98" s="39"/>
      <c r="C98" s="39"/>
      <c r="D98" s="39"/>
      <c r="E98" s="73"/>
      <c r="F98" s="73"/>
      <c r="G98" s="73"/>
      <c r="H98" s="73"/>
      <c r="I98" s="73"/>
      <c r="J98" s="73"/>
      <c r="K98" s="39"/>
      <c r="L98" s="45"/>
      <c r="M98" s="3"/>
      <c r="N98" s="3"/>
      <c r="O98" s="3"/>
      <c r="P98" s="3"/>
      <c r="Q98" s="3"/>
    </row>
    <row r="99" spans="1:17" ht="15">
      <c r="A99" s="44"/>
      <c r="B99" s="39"/>
      <c r="C99" s="39"/>
      <c r="D99" s="39"/>
      <c r="E99" s="73"/>
      <c r="F99" s="73"/>
      <c r="G99" s="73"/>
      <c r="H99" s="73"/>
      <c r="I99" s="73"/>
      <c r="J99" s="73"/>
      <c r="K99" s="39"/>
      <c r="L99" s="45"/>
      <c r="M99" s="3"/>
      <c r="N99" s="3"/>
      <c r="O99" s="3"/>
      <c r="P99" s="3"/>
      <c r="Q99" s="3"/>
    </row>
    <row r="100" spans="1:17" ht="15">
      <c r="A100" s="44"/>
      <c r="B100" s="39"/>
      <c r="C100" s="39"/>
      <c r="D100" s="39"/>
      <c r="E100" s="73"/>
      <c r="F100" s="73"/>
      <c r="G100" s="73"/>
      <c r="H100" s="73"/>
      <c r="I100" s="73"/>
      <c r="J100" s="73"/>
      <c r="K100" s="39"/>
      <c r="L100" s="45"/>
      <c r="M100" s="3"/>
      <c r="N100" s="3"/>
      <c r="O100" s="3"/>
      <c r="P100" s="3"/>
      <c r="Q100" s="3"/>
    </row>
    <row r="101" spans="1:17" ht="15">
      <c r="A101" s="44"/>
      <c r="B101" s="39"/>
      <c r="C101" s="39"/>
      <c r="D101" s="39"/>
      <c r="E101" s="73"/>
      <c r="F101" s="73"/>
      <c r="G101" s="73"/>
      <c r="H101" s="73"/>
      <c r="I101" s="73"/>
      <c r="J101" s="73"/>
      <c r="K101" s="39"/>
      <c r="L101" s="45"/>
      <c r="M101" s="3"/>
      <c r="N101" s="3"/>
      <c r="O101" s="3"/>
      <c r="P101" s="3"/>
      <c r="Q101" s="3"/>
    </row>
    <row r="102" spans="1:17" ht="15">
      <c r="A102" s="44"/>
      <c r="B102" s="39"/>
      <c r="C102" s="39"/>
      <c r="D102" s="39"/>
      <c r="E102" s="73"/>
      <c r="F102" s="73"/>
      <c r="G102" s="73"/>
      <c r="H102" s="73"/>
      <c r="I102" s="73"/>
      <c r="J102" s="73"/>
      <c r="K102" s="39"/>
      <c r="L102" s="45"/>
      <c r="M102" s="3"/>
      <c r="N102" s="3"/>
      <c r="O102" s="3"/>
      <c r="P102" s="3"/>
      <c r="Q102" s="3"/>
    </row>
    <row r="103" spans="1:17" ht="15">
      <c r="A103" s="44"/>
      <c r="B103" s="39"/>
      <c r="C103" s="39"/>
      <c r="D103" s="39"/>
      <c r="E103" s="73"/>
      <c r="F103" s="73"/>
      <c r="G103" s="73"/>
      <c r="H103" s="73"/>
      <c r="I103" s="73"/>
      <c r="J103" s="73"/>
      <c r="K103" s="39"/>
      <c r="L103" s="45"/>
      <c r="M103" s="3"/>
      <c r="N103" s="3"/>
      <c r="O103" s="3"/>
      <c r="P103" s="3"/>
      <c r="Q103" s="3"/>
    </row>
    <row r="104" spans="1:17" ht="15">
      <c r="A104" s="44"/>
      <c r="B104" s="39"/>
      <c r="C104" s="39"/>
      <c r="D104" s="39"/>
      <c r="E104" s="73"/>
      <c r="F104" s="73"/>
      <c r="G104" s="73"/>
      <c r="H104" s="73"/>
      <c r="I104" s="73"/>
      <c r="J104" s="73"/>
      <c r="K104" s="39"/>
      <c r="L104" s="45"/>
      <c r="M104" s="3"/>
      <c r="N104" s="3"/>
      <c r="O104" s="3"/>
      <c r="P104" s="3"/>
      <c r="Q104" s="3"/>
    </row>
    <row r="105" spans="1:17" ht="15">
      <c r="A105" s="44"/>
      <c r="B105" s="39"/>
      <c r="C105" s="39"/>
      <c r="D105" s="39"/>
      <c r="E105" s="73"/>
      <c r="F105" s="73"/>
      <c r="G105" s="73"/>
      <c r="H105" s="73"/>
      <c r="I105" s="73"/>
      <c r="J105" s="73"/>
      <c r="K105" s="39"/>
      <c r="L105" s="45"/>
      <c r="M105" s="3"/>
      <c r="N105" s="3"/>
      <c r="O105" s="3"/>
      <c r="P105" s="3"/>
      <c r="Q105" s="3"/>
    </row>
    <row r="106" spans="1:17" ht="15">
      <c r="A106" s="44"/>
      <c r="B106" s="39"/>
      <c r="C106" s="39"/>
      <c r="D106" s="39"/>
      <c r="E106" s="73"/>
      <c r="F106" s="73"/>
      <c r="G106" s="73"/>
      <c r="H106" s="73"/>
      <c r="I106" s="73"/>
      <c r="J106" s="73"/>
      <c r="K106" s="39"/>
      <c r="L106" s="45"/>
      <c r="M106" s="3"/>
      <c r="N106" s="3"/>
      <c r="O106" s="3"/>
      <c r="P106" s="3"/>
      <c r="Q106" s="3"/>
    </row>
    <row r="107" spans="1:17" ht="15">
      <c r="A107" s="44"/>
      <c r="B107" s="39"/>
      <c r="C107" s="39"/>
      <c r="D107" s="39"/>
      <c r="E107" s="73"/>
      <c r="F107" s="73"/>
      <c r="G107" s="73"/>
      <c r="H107" s="73"/>
      <c r="I107" s="73"/>
      <c r="J107" s="73"/>
      <c r="K107" s="39"/>
      <c r="L107" s="45"/>
      <c r="M107" s="3"/>
      <c r="N107" s="3"/>
      <c r="O107" s="3"/>
      <c r="P107" s="3"/>
      <c r="Q107" s="3"/>
    </row>
    <row r="108" spans="1:17" ht="15">
      <c r="A108" s="44"/>
      <c r="B108" s="39"/>
      <c r="C108" s="39"/>
      <c r="D108" s="39"/>
      <c r="E108" s="73"/>
      <c r="F108" s="73"/>
      <c r="G108" s="73"/>
      <c r="H108" s="73"/>
      <c r="I108" s="73"/>
      <c r="J108" s="73"/>
      <c r="K108" s="39"/>
      <c r="L108" s="45"/>
      <c r="M108" s="3"/>
      <c r="N108" s="3"/>
      <c r="O108" s="3"/>
      <c r="P108" s="3"/>
      <c r="Q108" s="3"/>
    </row>
    <row r="109" spans="1:17" ht="15">
      <c r="A109" s="44"/>
      <c r="B109" s="39"/>
      <c r="C109" s="39"/>
      <c r="D109" s="39"/>
      <c r="E109" s="73"/>
      <c r="F109" s="73"/>
      <c r="G109" s="73"/>
      <c r="H109" s="73"/>
      <c r="I109" s="73"/>
      <c r="J109" s="73"/>
      <c r="K109" s="39"/>
      <c r="L109" s="45"/>
      <c r="M109" s="3"/>
      <c r="N109" s="3"/>
      <c r="O109" s="3"/>
      <c r="P109" s="3"/>
      <c r="Q109" s="3"/>
    </row>
    <row r="110" spans="1:17" ht="15">
      <c r="A110" s="44"/>
      <c r="B110" s="39"/>
      <c r="C110" s="39"/>
      <c r="D110" s="39"/>
      <c r="E110" s="73"/>
      <c r="F110" s="73"/>
      <c r="G110" s="73"/>
      <c r="H110" s="73"/>
      <c r="I110" s="73"/>
      <c r="J110" s="73"/>
      <c r="K110" s="39"/>
      <c r="L110" s="45"/>
      <c r="M110" s="3"/>
      <c r="N110" s="3"/>
      <c r="O110" s="3"/>
      <c r="P110" s="3"/>
      <c r="Q110" s="3"/>
    </row>
    <row r="111" spans="1:17" ht="15">
      <c r="A111" s="44"/>
      <c r="B111" s="39"/>
      <c r="C111" s="39"/>
      <c r="D111" s="39"/>
      <c r="E111" s="73"/>
      <c r="F111" s="73"/>
      <c r="G111" s="73"/>
      <c r="H111" s="73"/>
      <c r="I111" s="73"/>
      <c r="J111" s="73"/>
      <c r="K111" s="39"/>
      <c r="L111" s="45"/>
      <c r="M111" s="3"/>
      <c r="N111" s="3"/>
      <c r="O111" s="3"/>
      <c r="P111" s="3"/>
      <c r="Q111" s="3"/>
    </row>
    <row r="112" spans="1:17" ht="15">
      <c r="A112" s="44"/>
      <c r="B112" s="39"/>
      <c r="C112" s="39"/>
      <c r="D112" s="39"/>
      <c r="E112" s="73"/>
      <c r="F112" s="73"/>
      <c r="G112" s="73"/>
      <c r="H112" s="73"/>
      <c r="I112" s="73"/>
      <c r="J112" s="73"/>
      <c r="K112" s="39"/>
      <c r="L112" s="45"/>
      <c r="M112" s="3"/>
      <c r="N112" s="3"/>
      <c r="O112" s="3"/>
      <c r="P112" s="3"/>
      <c r="Q112" s="3"/>
    </row>
    <row r="113" spans="1:17" ht="15">
      <c r="A113" s="44"/>
      <c r="B113" s="39"/>
      <c r="C113" s="39"/>
      <c r="D113" s="39"/>
      <c r="E113" s="73"/>
      <c r="F113" s="73"/>
      <c r="G113" s="73"/>
      <c r="H113" s="73"/>
      <c r="I113" s="73"/>
      <c r="J113" s="73"/>
      <c r="K113" s="39"/>
      <c r="L113" s="45"/>
      <c r="M113" s="3"/>
      <c r="N113" s="3"/>
      <c r="O113" s="3"/>
      <c r="P113" s="3"/>
      <c r="Q113" s="3"/>
    </row>
    <row r="114" spans="1:17" ht="15">
      <c r="A114" s="44"/>
      <c r="B114" s="39"/>
      <c r="C114" s="39"/>
      <c r="D114" s="39"/>
      <c r="E114" s="73"/>
      <c r="F114" s="73"/>
      <c r="G114" s="73"/>
      <c r="H114" s="73"/>
      <c r="I114" s="73"/>
      <c r="J114" s="73"/>
      <c r="K114" s="39"/>
      <c r="L114" s="45"/>
      <c r="M114" s="3"/>
      <c r="N114" s="3"/>
      <c r="O114" s="3"/>
      <c r="P114" s="3"/>
      <c r="Q114" s="3"/>
    </row>
    <row r="115" spans="1:17" ht="15">
      <c r="A115" s="44"/>
      <c r="B115" s="39"/>
      <c r="C115" s="39"/>
      <c r="D115" s="39"/>
      <c r="E115" s="73"/>
      <c r="F115" s="73"/>
      <c r="G115" s="73"/>
      <c r="H115" s="73"/>
      <c r="I115" s="73"/>
      <c r="J115" s="73"/>
      <c r="K115" s="39"/>
      <c r="L115" s="45"/>
      <c r="M115" s="3"/>
      <c r="N115" s="3"/>
      <c r="O115" s="3"/>
      <c r="P115" s="3"/>
      <c r="Q115" s="3"/>
    </row>
    <row r="116" spans="1:17" ht="15">
      <c r="A116" s="44"/>
      <c r="B116" s="39"/>
      <c r="C116" s="39"/>
      <c r="D116" s="39"/>
      <c r="E116" s="73"/>
      <c r="F116" s="73"/>
      <c r="G116" s="73"/>
      <c r="H116" s="73"/>
      <c r="I116" s="73"/>
      <c r="J116" s="73"/>
      <c r="K116" s="39"/>
      <c r="L116" s="45"/>
      <c r="M116" s="3"/>
      <c r="N116" s="3"/>
      <c r="O116" s="3"/>
      <c r="P116" s="3"/>
      <c r="Q116" s="3"/>
    </row>
    <row r="117" spans="1:17" ht="15">
      <c r="A117" s="44"/>
      <c r="B117" s="39"/>
      <c r="C117" s="39"/>
      <c r="D117" s="39"/>
      <c r="E117" s="73"/>
      <c r="F117" s="73"/>
      <c r="G117" s="73"/>
      <c r="H117" s="73"/>
      <c r="I117" s="73"/>
      <c r="J117" s="73"/>
      <c r="K117" s="39"/>
      <c r="L117" s="45"/>
      <c r="M117" s="3"/>
      <c r="N117" s="3"/>
      <c r="O117" s="3"/>
      <c r="P117" s="3"/>
      <c r="Q117" s="3"/>
    </row>
    <row r="118" spans="1:17" ht="15">
      <c r="A118" s="44"/>
      <c r="B118" s="39"/>
      <c r="C118" s="39"/>
      <c r="D118" s="39"/>
      <c r="E118" s="73"/>
      <c r="F118" s="73"/>
      <c r="G118" s="73"/>
      <c r="H118" s="73"/>
      <c r="I118" s="73"/>
      <c r="J118" s="73"/>
      <c r="K118" s="39"/>
      <c r="L118" s="45"/>
      <c r="M118" s="3"/>
      <c r="N118" s="3"/>
      <c r="O118" s="3"/>
      <c r="P118" s="3"/>
      <c r="Q118" s="3"/>
    </row>
    <row r="119" spans="1:17" ht="15">
      <c r="A119" s="44"/>
      <c r="B119" s="39"/>
      <c r="C119" s="39"/>
      <c r="D119" s="39"/>
      <c r="E119" s="73"/>
      <c r="F119" s="73"/>
      <c r="G119" s="73"/>
      <c r="H119" s="73"/>
      <c r="I119" s="73"/>
      <c r="J119" s="73"/>
      <c r="K119" s="39"/>
      <c r="L119" s="45"/>
      <c r="M119" s="3"/>
      <c r="N119" s="3"/>
      <c r="O119" s="3"/>
      <c r="P119" s="3"/>
      <c r="Q119" s="3"/>
    </row>
    <row r="120" spans="1:17" ht="15">
      <c r="A120" s="44"/>
      <c r="B120" s="39"/>
      <c r="C120" s="39"/>
      <c r="D120" s="39"/>
      <c r="E120" s="73"/>
      <c r="F120" s="73"/>
      <c r="G120" s="73"/>
      <c r="H120" s="73"/>
      <c r="I120" s="73"/>
      <c r="J120" s="73"/>
      <c r="K120" s="39"/>
      <c r="L120" s="45"/>
      <c r="M120" s="3"/>
      <c r="N120" s="3"/>
      <c r="O120" s="3"/>
      <c r="P120" s="3"/>
      <c r="Q120" s="3"/>
    </row>
    <row r="121" spans="1:17" ht="15">
      <c r="A121" s="44"/>
      <c r="B121" s="39"/>
      <c r="C121" s="39"/>
      <c r="D121" s="39"/>
      <c r="E121" s="73"/>
      <c r="F121" s="73"/>
      <c r="G121" s="73"/>
      <c r="H121" s="73"/>
      <c r="I121" s="73"/>
      <c r="J121" s="73"/>
      <c r="K121" s="39"/>
      <c r="L121" s="45"/>
      <c r="M121" s="3"/>
      <c r="N121" s="3"/>
      <c r="O121" s="3"/>
      <c r="P121" s="3"/>
      <c r="Q121" s="3"/>
    </row>
    <row r="122" spans="1:17" ht="15">
      <c r="A122" s="44"/>
      <c r="B122" s="39"/>
      <c r="C122" s="39"/>
      <c r="D122" s="39"/>
      <c r="E122" s="73"/>
      <c r="F122" s="73"/>
      <c r="G122" s="73"/>
      <c r="H122" s="73"/>
      <c r="I122" s="73"/>
      <c r="J122" s="73"/>
      <c r="K122" s="39"/>
      <c r="L122" s="45"/>
      <c r="M122" s="3"/>
      <c r="N122" s="3"/>
      <c r="O122" s="3"/>
      <c r="P122" s="3"/>
      <c r="Q122" s="3"/>
    </row>
    <row r="123" spans="1:17" ht="15">
      <c r="A123" s="44"/>
      <c r="B123" s="39"/>
      <c r="C123" s="39"/>
      <c r="D123" s="39"/>
      <c r="E123" s="73"/>
      <c r="F123" s="73"/>
      <c r="G123" s="73"/>
      <c r="H123" s="73"/>
      <c r="I123" s="73"/>
      <c r="J123" s="73"/>
      <c r="K123" s="39"/>
      <c r="L123" s="45"/>
      <c r="M123" s="3"/>
      <c r="N123" s="3"/>
      <c r="O123" s="3"/>
      <c r="P123" s="3"/>
      <c r="Q123" s="3"/>
    </row>
    <row r="124" spans="1:17" ht="15">
      <c r="A124" s="44"/>
      <c r="B124" s="39"/>
      <c r="C124" s="39"/>
      <c r="D124" s="39"/>
      <c r="E124" s="73"/>
      <c r="F124" s="73"/>
      <c r="G124" s="73"/>
      <c r="H124" s="73"/>
      <c r="I124" s="73"/>
      <c r="J124" s="73"/>
      <c r="K124" s="39"/>
      <c r="L124" s="45"/>
      <c r="M124" s="3"/>
      <c r="N124" s="3"/>
      <c r="O124" s="3"/>
      <c r="P124" s="3"/>
      <c r="Q124" s="3"/>
    </row>
    <row r="125" spans="1:17" ht="15">
      <c r="A125" s="44"/>
      <c r="B125" s="39"/>
      <c r="C125" s="39"/>
      <c r="D125" s="39"/>
      <c r="E125" s="73"/>
      <c r="F125" s="73"/>
      <c r="G125" s="73"/>
      <c r="H125" s="73"/>
      <c r="I125" s="73"/>
      <c r="J125" s="73"/>
      <c r="K125" s="39"/>
      <c r="L125" s="45"/>
      <c r="M125" s="3"/>
      <c r="N125" s="3"/>
      <c r="O125" s="3"/>
      <c r="P125" s="3"/>
      <c r="Q125" s="3"/>
    </row>
    <row r="126" spans="1:17" ht="15">
      <c r="A126" s="44"/>
      <c r="B126" s="39"/>
      <c r="C126" s="39"/>
      <c r="D126" s="39"/>
      <c r="E126" s="73"/>
      <c r="F126" s="73"/>
      <c r="G126" s="73"/>
      <c r="H126" s="73"/>
      <c r="I126" s="73"/>
      <c r="J126" s="73"/>
      <c r="K126" s="39"/>
      <c r="L126" s="45"/>
      <c r="M126" s="3"/>
      <c r="N126" s="3"/>
      <c r="O126" s="3"/>
      <c r="P126" s="3"/>
      <c r="Q126" s="3"/>
    </row>
    <row r="127" spans="1:17" ht="15">
      <c r="A127" s="44"/>
      <c r="B127" s="39"/>
      <c r="C127" s="39"/>
      <c r="D127" s="39"/>
      <c r="E127" s="73"/>
      <c r="F127" s="73"/>
      <c r="G127" s="73"/>
      <c r="H127" s="73"/>
      <c r="I127" s="73"/>
      <c r="J127" s="73"/>
      <c r="K127" s="39"/>
      <c r="L127" s="45"/>
      <c r="M127" s="3"/>
      <c r="N127" s="3"/>
      <c r="O127" s="3"/>
      <c r="P127" s="3"/>
      <c r="Q127" s="3"/>
    </row>
    <row r="128" spans="1:17" ht="15">
      <c r="A128" s="44"/>
      <c r="B128" s="39"/>
      <c r="C128" s="39"/>
      <c r="D128" s="39"/>
      <c r="E128" s="73"/>
      <c r="F128" s="73"/>
      <c r="G128" s="73"/>
      <c r="H128" s="73"/>
      <c r="I128" s="73"/>
      <c r="J128" s="73"/>
      <c r="K128" s="39"/>
      <c r="L128" s="45"/>
      <c r="M128" s="3"/>
      <c r="N128" s="3"/>
      <c r="O128" s="3"/>
      <c r="P128" s="3"/>
      <c r="Q128" s="3"/>
    </row>
    <row r="129" spans="1:17" ht="15">
      <c r="A129" s="44"/>
      <c r="B129" s="39"/>
      <c r="C129" s="39"/>
      <c r="D129" s="39"/>
      <c r="E129" s="73"/>
      <c r="F129" s="73"/>
      <c r="G129" s="73"/>
      <c r="H129" s="73"/>
      <c r="I129" s="73"/>
      <c r="J129" s="73"/>
      <c r="K129" s="39"/>
      <c r="L129" s="45"/>
      <c r="M129" s="3"/>
      <c r="N129" s="3"/>
      <c r="O129" s="3"/>
      <c r="P129" s="3"/>
      <c r="Q129" s="3"/>
    </row>
    <row r="130" spans="1:17" ht="15">
      <c r="A130" s="44"/>
      <c r="B130" s="39"/>
      <c r="C130" s="39"/>
      <c r="D130" s="39"/>
      <c r="E130" s="73"/>
      <c r="F130" s="73"/>
      <c r="G130" s="73"/>
      <c r="H130" s="73"/>
      <c r="I130" s="73"/>
      <c r="J130" s="73"/>
      <c r="K130" s="39"/>
      <c r="L130" s="45"/>
      <c r="M130" s="3"/>
      <c r="N130" s="3"/>
      <c r="O130" s="3"/>
      <c r="P130" s="3"/>
      <c r="Q130" s="3"/>
    </row>
    <row r="131" spans="1:17" ht="15">
      <c r="A131" s="44"/>
      <c r="B131" s="39"/>
      <c r="C131" s="39"/>
      <c r="D131" s="39"/>
      <c r="E131" s="73"/>
      <c r="F131" s="73"/>
      <c r="G131" s="73"/>
      <c r="H131" s="73"/>
      <c r="I131" s="73"/>
      <c r="J131" s="73"/>
      <c r="K131" s="39"/>
      <c r="L131" s="45"/>
      <c r="M131" s="3"/>
      <c r="N131" s="3"/>
      <c r="O131" s="3"/>
      <c r="P131" s="3"/>
      <c r="Q131" s="3"/>
    </row>
    <row r="132" spans="1:17" ht="15">
      <c r="A132" s="44"/>
      <c r="B132" s="39"/>
      <c r="C132" s="39"/>
      <c r="D132" s="39"/>
      <c r="E132" s="73"/>
      <c r="F132" s="73"/>
      <c r="G132" s="73"/>
      <c r="H132" s="73"/>
      <c r="I132" s="73"/>
      <c r="J132" s="73"/>
      <c r="K132" s="39"/>
      <c r="L132" s="45"/>
      <c r="M132" s="3"/>
      <c r="N132" s="3"/>
      <c r="O132" s="3"/>
      <c r="P132" s="3"/>
      <c r="Q132" s="3"/>
    </row>
    <row r="133" spans="1:17" ht="15">
      <c r="A133" s="44"/>
      <c r="B133" s="39"/>
      <c r="C133" s="39"/>
      <c r="D133" s="39"/>
      <c r="E133" s="73"/>
      <c r="F133" s="73"/>
      <c r="G133" s="73"/>
      <c r="H133" s="73"/>
      <c r="I133" s="73"/>
      <c r="J133" s="73"/>
      <c r="K133" s="39"/>
      <c r="L133" s="45"/>
      <c r="M133" s="3"/>
      <c r="N133" s="3"/>
      <c r="O133" s="3"/>
      <c r="P133" s="3"/>
      <c r="Q133" s="3"/>
    </row>
    <row r="134" spans="1:17" ht="15">
      <c r="A134" s="44"/>
      <c r="B134" s="39"/>
      <c r="C134" s="39"/>
      <c r="D134" s="39"/>
      <c r="E134" s="73"/>
      <c r="F134" s="73"/>
      <c r="G134" s="73"/>
      <c r="H134" s="73"/>
      <c r="I134" s="73"/>
      <c r="J134" s="73"/>
      <c r="K134" s="39"/>
      <c r="L134" s="45"/>
      <c r="M134" s="3"/>
      <c r="N134" s="3"/>
      <c r="O134" s="3"/>
      <c r="P134" s="3"/>
      <c r="Q134" s="3"/>
    </row>
    <row r="135" spans="1:17" ht="15">
      <c r="A135" s="44"/>
      <c r="B135" s="39"/>
      <c r="C135" s="39"/>
      <c r="D135" s="39"/>
      <c r="E135" s="73"/>
      <c r="F135" s="73"/>
      <c r="G135" s="73"/>
      <c r="H135" s="73"/>
      <c r="I135" s="73"/>
      <c r="J135" s="73"/>
      <c r="K135" s="39"/>
      <c r="L135" s="45"/>
      <c r="M135" s="3"/>
      <c r="N135" s="3"/>
      <c r="O135" s="3"/>
      <c r="P135" s="3"/>
      <c r="Q135" s="3"/>
    </row>
    <row r="136" spans="1:17" ht="15">
      <c r="A136" s="44"/>
      <c r="B136" s="39"/>
      <c r="C136" s="39"/>
      <c r="D136" s="39"/>
      <c r="E136" s="73"/>
      <c r="F136" s="73"/>
      <c r="G136" s="73"/>
      <c r="H136" s="73"/>
      <c r="I136" s="73"/>
      <c r="J136" s="73"/>
      <c r="K136" s="39"/>
      <c r="L136" s="45"/>
      <c r="M136" s="3"/>
      <c r="N136" s="3"/>
      <c r="O136" s="3"/>
      <c r="P136" s="3"/>
      <c r="Q136" s="3"/>
    </row>
    <row r="137" spans="1:17" ht="15">
      <c r="A137" s="44"/>
      <c r="B137" s="39"/>
      <c r="C137" s="39"/>
      <c r="D137" s="39"/>
      <c r="E137" s="73"/>
      <c r="F137" s="73"/>
      <c r="G137" s="73"/>
      <c r="H137" s="73"/>
      <c r="I137" s="73"/>
      <c r="J137" s="73"/>
      <c r="K137" s="39"/>
      <c r="L137" s="45"/>
      <c r="M137" s="3"/>
      <c r="N137" s="3"/>
      <c r="O137" s="3"/>
      <c r="P137" s="3"/>
      <c r="Q137" s="3"/>
    </row>
    <row r="138" spans="1:17" ht="15">
      <c r="A138" s="44"/>
      <c r="B138" s="39"/>
      <c r="C138" s="39"/>
      <c r="D138" s="39"/>
      <c r="E138" s="73"/>
      <c r="F138" s="73"/>
      <c r="G138" s="73"/>
      <c r="H138" s="73"/>
      <c r="I138" s="73"/>
      <c r="J138" s="73"/>
      <c r="K138" s="39"/>
      <c r="L138" s="45"/>
      <c r="M138" s="3"/>
      <c r="N138" s="3"/>
      <c r="O138" s="3"/>
      <c r="P138" s="3"/>
      <c r="Q138" s="3"/>
    </row>
    <row r="139" spans="1:17" ht="15">
      <c r="A139" s="44"/>
      <c r="B139" s="39"/>
      <c r="C139" s="39"/>
      <c r="D139" s="39"/>
      <c r="E139" s="73"/>
      <c r="F139" s="73"/>
      <c r="G139" s="73"/>
      <c r="H139" s="73"/>
      <c r="I139" s="73"/>
      <c r="J139" s="73"/>
      <c r="K139" s="39"/>
      <c r="L139" s="45"/>
      <c r="M139" s="3"/>
      <c r="N139" s="3"/>
      <c r="O139" s="3"/>
      <c r="P139" s="3"/>
      <c r="Q139" s="3"/>
    </row>
    <row r="140" spans="1:17" ht="15">
      <c r="A140" s="44"/>
      <c r="B140" s="39"/>
      <c r="C140" s="39"/>
      <c r="D140" s="39"/>
      <c r="E140" s="73"/>
      <c r="F140" s="73"/>
      <c r="G140" s="73"/>
      <c r="H140" s="73"/>
      <c r="I140" s="73"/>
      <c r="J140" s="73"/>
      <c r="K140" s="39"/>
      <c r="L140" s="45"/>
      <c r="M140" s="3"/>
      <c r="N140" s="3"/>
      <c r="O140" s="3"/>
      <c r="P140" s="3"/>
      <c r="Q140" s="3"/>
    </row>
    <row r="141" spans="1:17" ht="15">
      <c r="A141" s="44"/>
      <c r="B141" s="39"/>
      <c r="C141" s="39"/>
      <c r="D141" s="39"/>
      <c r="E141" s="73"/>
      <c r="F141" s="73"/>
      <c r="G141" s="73"/>
      <c r="H141" s="73"/>
      <c r="I141" s="73"/>
      <c r="J141" s="73"/>
      <c r="K141" s="39"/>
      <c r="L141" s="45"/>
      <c r="M141" s="3"/>
      <c r="N141" s="3"/>
      <c r="O141" s="3"/>
      <c r="P141" s="3"/>
      <c r="Q141" s="3"/>
    </row>
    <row r="142" spans="1:17" ht="15">
      <c r="A142" s="44"/>
      <c r="B142" s="39"/>
      <c r="C142" s="39"/>
      <c r="D142" s="39"/>
      <c r="E142" s="73"/>
      <c r="F142" s="73"/>
      <c r="G142" s="73"/>
      <c r="H142" s="73"/>
      <c r="I142" s="73"/>
      <c r="J142" s="73"/>
      <c r="K142" s="39"/>
      <c r="L142" s="45"/>
      <c r="M142" s="3"/>
      <c r="N142" s="3"/>
      <c r="O142" s="3"/>
      <c r="P142" s="3"/>
      <c r="Q142" s="3"/>
    </row>
    <row r="143" spans="1:17" ht="15">
      <c r="A143" s="44"/>
      <c r="B143" s="39"/>
      <c r="C143" s="39"/>
      <c r="D143" s="39"/>
      <c r="E143" s="73"/>
      <c r="F143" s="73"/>
      <c r="G143" s="73"/>
      <c r="H143" s="73"/>
      <c r="I143" s="73"/>
      <c r="J143" s="73"/>
      <c r="K143" s="39"/>
      <c r="L143" s="45"/>
      <c r="M143" s="3"/>
      <c r="N143" s="3"/>
      <c r="O143" s="3"/>
      <c r="P143" s="3"/>
      <c r="Q143" s="3"/>
    </row>
    <row r="144" spans="1:17" ht="15">
      <c r="A144" s="44"/>
      <c r="B144" s="39"/>
      <c r="C144" s="39"/>
      <c r="D144" s="39"/>
      <c r="E144" s="73"/>
      <c r="F144" s="73"/>
      <c r="G144" s="73"/>
      <c r="H144" s="73"/>
      <c r="I144" s="73"/>
      <c r="J144" s="73"/>
      <c r="K144" s="39"/>
      <c r="L144" s="45"/>
      <c r="M144" s="3"/>
      <c r="N144" s="3"/>
      <c r="O144" s="3"/>
      <c r="P144" s="3"/>
      <c r="Q144" s="3"/>
    </row>
    <row r="145" spans="1:17" ht="15">
      <c r="A145" s="44"/>
      <c r="B145" s="39"/>
      <c r="C145" s="39"/>
      <c r="D145" s="39"/>
      <c r="E145" s="73"/>
      <c r="F145" s="73"/>
      <c r="G145" s="73"/>
      <c r="H145" s="73"/>
      <c r="I145" s="73"/>
      <c r="J145" s="73"/>
      <c r="K145" s="39"/>
      <c r="L145" s="45"/>
      <c r="M145" s="3"/>
      <c r="N145" s="3"/>
      <c r="O145" s="3"/>
      <c r="P145" s="3"/>
      <c r="Q145" s="3"/>
    </row>
    <row r="146" spans="1:17" ht="15">
      <c r="A146" s="44"/>
      <c r="B146" s="39"/>
      <c r="C146" s="39"/>
      <c r="D146" s="39"/>
      <c r="E146" s="73"/>
      <c r="F146" s="73"/>
      <c r="G146" s="73"/>
      <c r="H146" s="73"/>
      <c r="I146" s="73"/>
      <c r="J146" s="73"/>
      <c r="K146" s="39"/>
      <c r="L146" s="45"/>
      <c r="M146" s="3"/>
      <c r="N146" s="3"/>
      <c r="O146" s="3"/>
      <c r="P146" s="3"/>
      <c r="Q146" s="3"/>
    </row>
    <row r="147" spans="1:17" ht="15">
      <c r="A147" s="44"/>
      <c r="B147" s="39"/>
      <c r="C147" s="39"/>
      <c r="D147" s="39"/>
      <c r="E147" s="73"/>
      <c r="F147" s="73"/>
      <c r="G147" s="73"/>
      <c r="H147" s="73"/>
      <c r="I147" s="73"/>
      <c r="J147" s="73"/>
      <c r="K147" s="39"/>
      <c r="L147" s="45"/>
      <c r="M147" s="3"/>
      <c r="N147" s="3"/>
      <c r="O147" s="3"/>
      <c r="P147" s="3"/>
      <c r="Q147" s="3"/>
    </row>
    <row r="148" spans="1:17" ht="15">
      <c r="A148" s="44"/>
      <c r="B148" s="39"/>
      <c r="C148" s="39"/>
      <c r="D148" s="39"/>
      <c r="E148" s="73"/>
      <c r="F148" s="73"/>
      <c r="G148" s="73"/>
      <c r="H148" s="73"/>
      <c r="I148" s="73"/>
      <c r="J148" s="73"/>
      <c r="K148" s="39"/>
      <c r="L148" s="45"/>
      <c r="M148" s="3"/>
      <c r="N148" s="3"/>
      <c r="O148" s="3"/>
      <c r="P148" s="3"/>
      <c r="Q148" s="3"/>
    </row>
    <row r="149" spans="1:17" ht="15">
      <c r="A149" s="44"/>
      <c r="B149" s="39"/>
      <c r="C149" s="39"/>
      <c r="D149" s="39"/>
      <c r="E149" s="73"/>
      <c r="F149" s="73"/>
      <c r="G149" s="73"/>
      <c r="H149" s="73"/>
      <c r="I149" s="73"/>
      <c r="J149" s="73"/>
      <c r="K149" s="39"/>
      <c r="L149" s="45"/>
      <c r="M149" s="3"/>
      <c r="N149" s="3"/>
      <c r="O149" s="3"/>
      <c r="P149" s="3"/>
      <c r="Q149" s="3"/>
    </row>
    <row r="150" spans="1:17" ht="15">
      <c r="A150" s="44"/>
      <c r="B150" s="39"/>
      <c r="C150" s="39"/>
      <c r="D150" s="39"/>
      <c r="E150" s="73"/>
      <c r="F150" s="73"/>
      <c r="G150" s="73"/>
      <c r="H150" s="73"/>
      <c r="I150" s="73"/>
      <c r="J150" s="73"/>
      <c r="K150" s="39"/>
      <c r="L150" s="45"/>
      <c r="M150" s="3"/>
      <c r="N150" s="3"/>
      <c r="O150" s="3"/>
      <c r="P150" s="3"/>
      <c r="Q150" s="3"/>
    </row>
    <row r="151" spans="1:17" ht="15">
      <c r="A151" s="44"/>
      <c r="B151" s="39"/>
      <c r="C151" s="39"/>
      <c r="D151" s="39"/>
      <c r="E151" s="73"/>
      <c r="F151" s="73"/>
      <c r="G151" s="73"/>
      <c r="H151" s="73"/>
      <c r="I151" s="73"/>
      <c r="J151" s="73"/>
      <c r="K151" s="39"/>
      <c r="L151" s="45"/>
      <c r="M151" s="3"/>
      <c r="N151" s="3"/>
      <c r="O151" s="3"/>
      <c r="P151" s="3"/>
      <c r="Q151" s="3"/>
    </row>
    <row r="152" spans="1:17" ht="15">
      <c r="A152" s="44"/>
      <c r="B152" s="39"/>
      <c r="C152" s="39"/>
      <c r="D152" s="39"/>
      <c r="E152" s="73"/>
      <c r="F152" s="73"/>
      <c r="G152" s="73"/>
      <c r="H152" s="73"/>
      <c r="I152" s="73"/>
      <c r="J152" s="73"/>
      <c r="K152" s="39"/>
      <c r="L152" s="45"/>
      <c r="M152" s="3"/>
      <c r="N152" s="3"/>
      <c r="O152" s="3"/>
      <c r="P152" s="3"/>
      <c r="Q152" s="3"/>
    </row>
    <row r="153" spans="1:17" ht="15">
      <c r="A153" s="44"/>
      <c r="B153" s="39"/>
      <c r="C153" s="39"/>
      <c r="D153" s="39"/>
      <c r="E153" s="73"/>
      <c r="F153" s="73"/>
      <c r="G153" s="73"/>
      <c r="H153" s="73"/>
      <c r="I153" s="73"/>
      <c r="J153" s="73"/>
      <c r="K153" s="39"/>
      <c r="L153" s="45"/>
      <c r="M153" s="3"/>
      <c r="N153" s="3"/>
      <c r="O153" s="3"/>
      <c r="P153" s="3"/>
      <c r="Q153" s="3"/>
    </row>
    <row r="154" spans="1:17" ht="15">
      <c r="A154" s="44"/>
      <c r="B154" s="39"/>
      <c r="C154" s="39"/>
      <c r="D154" s="39"/>
      <c r="E154" s="73"/>
      <c r="F154" s="73"/>
      <c r="G154" s="73"/>
      <c r="H154" s="73"/>
      <c r="I154" s="73"/>
      <c r="J154" s="73"/>
      <c r="K154" s="39"/>
      <c r="L154" s="45"/>
      <c r="M154" s="3"/>
      <c r="N154" s="3"/>
      <c r="O154" s="3"/>
      <c r="P154" s="3"/>
      <c r="Q154" s="3"/>
    </row>
    <row r="155" spans="1:17" ht="15">
      <c r="A155" s="44"/>
      <c r="B155" s="39"/>
      <c r="C155" s="39"/>
      <c r="D155" s="39"/>
      <c r="E155" s="73"/>
      <c r="F155" s="73"/>
      <c r="G155" s="73"/>
      <c r="H155" s="73"/>
      <c r="I155" s="73"/>
      <c r="J155" s="73"/>
      <c r="K155" s="39"/>
      <c r="L155" s="45"/>
      <c r="M155" s="3"/>
      <c r="N155" s="3"/>
      <c r="O155" s="3"/>
      <c r="P155" s="3"/>
      <c r="Q155" s="3"/>
    </row>
    <row r="156" spans="1:17" ht="15">
      <c r="A156" s="44"/>
      <c r="B156" s="39"/>
      <c r="C156" s="39"/>
      <c r="D156" s="39"/>
      <c r="E156" s="73"/>
      <c r="F156" s="73"/>
      <c r="G156" s="73"/>
      <c r="H156" s="73"/>
      <c r="I156" s="73"/>
      <c r="J156" s="73"/>
      <c r="K156" s="39"/>
      <c r="L156" s="45"/>
      <c r="M156" s="3"/>
      <c r="N156" s="3"/>
      <c r="O156" s="3"/>
      <c r="P156" s="3"/>
      <c r="Q156" s="3"/>
    </row>
    <row r="157" spans="1:17" ht="15">
      <c r="A157" s="44"/>
      <c r="B157" s="39"/>
      <c r="C157" s="39"/>
      <c r="D157" s="39"/>
      <c r="E157" s="73"/>
      <c r="F157" s="73"/>
      <c r="G157" s="73"/>
      <c r="H157" s="73"/>
      <c r="I157" s="73"/>
      <c r="J157" s="73"/>
      <c r="K157" s="39"/>
      <c r="L157" s="45"/>
      <c r="M157" s="3"/>
      <c r="N157" s="3"/>
      <c r="O157" s="3"/>
      <c r="P157" s="3"/>
      <c r="Q157" s="3"/>
    </row>
    <row r="158" spans="1:17" ht="15">
      <c r="A158" s="44"/>
      <c r="B158" s="39"/>
      <c r="C158" s="39"/>
      <c r="D158" s="39"/>
      <c r="E158" s="73"/>
      <c r="F158" s="73"/>
      <c r="G158" s="73"/>
      <c r="H158" s="73"/>
      <c r="I158" s="73"/>
      <c r="J158" s="73"/>
      <c r="K158" s="39"/>
      <c r="L158" s="45"/>
      <c r="M158" s="3"/>
      <c r="N158" s="3"/>
      <c r="O158" s="3"/>
      <c r="P158" s="3"/>
      <c r="Q158" s="3"/>
    </row>
    <row r="159" spans="1:17" ht="15">
      <c r="A159" s="44"/>
      <c r="B159" s="39"/>
      <c r="C159" s="39"/>
      <c r="D159" s="39"/>
      <c r="E159" s="73"/>
      <c r="F159" s="73"/>
      <c r="G159" s="73"/>
      <c r="H159" s="73"/>
      <c r="I159" s="73"/>
      <c r="J159" s="73"/>
      <c r="K159" s="39"/>
      <c r="L159" s="45"/>
      <c r="M159" s="3"/>
      <c r="N159" s="3"/>
      <c r="O159" s="3"/>
      <c r="P159" s="3"/>
      <c r="Q159" s="3"/>
    </row>
    <row r="160" spans="1:17" ht="15">
      <c r="A160" s="44"/>
      <c r="B160" s="39"/>
      <c r="C160" s="39"/>
      <c r="D160" s="39"/>
      <c r="E160" s="73"/>
      <c r="F160" s="73"/>
      <c r="G160" s="73"/>
      <c r="H160" s="73"/>
      <c r="I160" s="73"/>
      <c r="J160" s="73"/>
      <c r="K160" s="39"/>
      <c r="L160" s="45"/>
      <c r="M160" s="3"/>
      <c r="N160" s="3"/>
      <c r="O160" s="3"/>
      <c r="P160" s="3"/>
      <c r="Q160" s="3"/>
    </row>
    <row r="161" spans="1:17" ht="15">
      <c r="A161" s="44"/>
      <c r="B161" s="39"/>
      <c r="C161" s="39"/>
      <c r="D161" s="39"/>
      <c r="E161" s="73"/>
      <c r="F161" s="73"/>
      <c r="G161" s="73"/>
      <c r="H161" s="73"/>
      <c r="I161" s="73"/>
      <c r="J161" s="73"/>
      <c r="K161" s="39"/>
      <c r="L161" s="45"/>
      <c r="M161" s="3"/>
      <c r="N161" s="3"/>
      <c r="O161" s="3"/>
      <c r="P161" s="3"/>
      <c r="Q161" s="3"/>
    </row>
    <row r="162" spans="1:17" ht="15">
      <c r="A162" s="44"/>
      <c r="B162" s="39"/>
      <c r="C162" s="39"/>
      <c r="D162" s="39"/>
      <c r="E162" s="73"/>
      <c r="F162" s="73"/>
      <c r="G162" s="73"/>
      <c r="H162" s="73"/>
      <c r="I162" s="73"/>
      <c r="J162" s="73"/>
      <c r="K162" s="39"/>
      <c r="L162" s="45"/>
      <c r="M162" s="3"/>
      <c r="N162" s="3"/>
      <c r="O162" s="3"/>
      <c r="P162" s="3"/>
      <c r="Q162" s="3"/>
    </row>
    <row r="163" spans="1:17" ht="15">
      <c r="A163" s="44"/>
      <c r="B163" s="39"/>
      <c r="C163" s="39"/>
      <c r="D163" s="39"/>
      <c r="E163" s="73"/>
      <c r="F163" s="73"/>
      <c r="G163" s="73"/>
      <c r="H163" s="73"/>
      <c r="I163" s="73"/>
      <c r="J163" s="73"/>
      <c r="K163" s="39"/>
      <c r="L163" s="45"/>
      <c r="M163" s="3"/>
      <c r="N163" s="3"/>
      <c r="O163" s="3"/>
      <c r="P163" s="3"/>
      <c r="Q163" s="3"/>
    </row>
    <row r="164" spans="1:17" ht="15">
      <c r="A164" s="44"/>
      <c r="B164" s="39"/>
      <c r="C164" s="39"/>
      <c r="D164" s="39"/>
      <c r="E164" s="73"/>
      <c r="F164" s="73"/>
      <c r="G164" s="73"/>
      <c r="H164" s="73"/>
      <c r="I164" s="73"/>
      <c r="J164" s="73"/>
      <c r="K164" s="39"/>
      <c r="L164" s="45"/>
      <c r="M164" s="3"/>
      <c r="N164" s="3"/>
      <c r="O164" s="3"/>
      <c r="P164" s="3"/>
      <c r="Q164" s="3"/>
    </row>
    <row r="165" spans="1:17" ht="15">
      <c r="A165" s="44"/>
      <c r="B165" s="39"/>
      <c r="C165" s="39"/>
      <c r="D165" s="39"/>
      <c r="E165" s="73"/>
      <c r="F165" s="73"/>
      <c r="G165" s="73"/>
      <c r="H165" s="73"/>
      <c r="I165" s="73"/>
      <c r="J165" s="73"/>
      <c r="K165" s="39"/>
      <c r="L165" s="45"/>
      <c r="M165" s="3"/>
      <c r="N165" s="3"/>
      <c r="O165" s="3"/>
      <c r="P165" s="3"/>
      <c r="Q165" s="3"/>
    </row>
    <row r="166" spans="1:17" ht="15">
      <c r="A166" s="44"/>
      <c r="B166" s="39"/>
      <c r="C166" s="39"/>
      <c r="D166" s="39"/>
      <c r="E166" s="73"/>
      <c r="F166" s="73"/>
      <c r="G166" s="73"/>
      <c r="H166" s="73"/>
      <c r="I166" s="73"/>
      <c r="J166" s="73"/>
      <c r="K166" s="39"/>
      <c r="L166" s="45"/>
      <c r="M166" s="3"/>
      <c r="N166" s="3"/>
      <c r="O166" s="3"/>
      <c r="P166" s="3"/>
      <c r="Q166" s="3"/>
    </row>
    <row r="167" spans="1:17" ht="15">
      <c r="A167" s="44"/>
      <c r="B167" s="39"/>
      <c r="C167" s="39"/>
      <c r="D167" s="39"/>
      <c r="E167" s="73"/>
      <c r="F167" s="73"/>
      <c r="G167" s="73"/>
      <c r="H167" s="73"/>
      <c r="I167" s="73"/>
      <c r="J167" s="73"/>
      <c r="K167" s="39"/>
      <c r="L167" s="45"/>
      <c r="M167" s="3"/>
      <c r="N167" s="3"/>
      <c r="O167" s="3"/>
      <c r="P167" s="3"/>
      <c r="Q167" s="3"/>
    </row>
    <row r="168" spans="1:17" ht="15">
      <c r="A168" s="44"/>
      <c r="B168" s="39"/>
      <c r="C168" s="39"/>
      <c r="D168" s="39"/>
      <c r="E168" s="73"/>
      <c r="F168" s="73"/>
      <c r="G168" s="73"/>
      <c r="H168" s="73"/>
      <c r="I168" s="73"/>
      <c r="J168" s="73"/>
      <c r="K168" s="39"/>
      <c r="L168" s="45"/>
      <c r="M168" s="3"/>
      <c r="N168" s="3"/>
      <c r="O168" s="3"/>
      <c r="P168" s="3"/>
      <c r="Q168" s="3"/>
    </row>
    <row r="169" spans="1:17" ht="15">
      <c r="A169" s="44"/>
      <c r="B169" s="39"/>
      <c r="C169" s="39"/>
      <c r="D169" s="39"/>
      <c r="E169" s="73"/>
      <c r="F169" s="73"/>
      <c r="G169" s="73"/>
      <c r="H169" s="73"/>
      <c r="I169" s="73"/>
      <c r="J169" s="73"/>
      <c r="K169" s="39"/>
      <c r="L169" s="45"/>
      <c r="M169" s="3"/>
      <c r="N169" s="3"/>
      <c r="O169" s="3"/>
      <c r="P169" s="3"/>
      <c r="Q169" s="3"/>
    </row>
    <row r="170" spans="1:17" ht="15">
      <c r="A170" s="44"/>
      <c r="B170" s="39"/>
      <c r="C170" s="39"/>
      <c r="D170" s="39"/>
      <c r="E170" s="73"/>
      <c r="F170" s="73"/>
      <c r="G170" s="73"/>
      <c r="H170" s="73"/>
      <c r="I170" s="73"/>
      <c r="J170" s="73"/>
      <c r="K170" s="39"/>
      <c r="L170" s="45"/>
      <c r="M170" s="3"/>
      <c r="N170" s="3"/>
      <c r="O170" s="3"/>
      <c r="P170" s="3"/>
      <c r="Q170" s="3"/>
    </row>
    <row r="171" spans="1:17" ht="15">
      <c r="A171" s="44"/>
      <c r="B171" s="39"/>
      <c r="C171" s="39"/>
      <c r="D171" s="39"/>
      <c r="E171" s="73"/>
      <c r="F171" s="73"/>
      <c r="G171" s="73"/>
      <c r="H171" s="73"/>
      <c r="I171" s="73"/>
      <c r="J171" s="73"/>
      <c r="K171" s="39"/>
      <c r="L171" s="45"/>
      <c r="M171" s="3"/>
      <c r="N171" s="3"/>
      <c r="O171" s="3"/>
      <c r="P171" s="3"/>
      <c r="Q171" s="3"/>
    </row>
    <row r="172" spans="1:17" ht="15">
      <c r="A172" s="44"/>
      <c r="B172" s="39"/>
      <c r="C172" s="39"/>
      <c r="D172" s="39"/>
      <c r="E172" s="73"/>
      <c r="F172" s="73"/>
      <c r="G172" s="73"/>
      <c r="H172" s="73"/>
      <c r="I172" s="73"/>
      <c r="J172" s="73"/>
      <c r="K172" s="39"/>
      <c r="L172" s="45"/>
      <c r="M172" s="3"/>
      <c r="N172" s="3"/>
      <c r="O172" s="3"/>
      <c r="P172" s="3"/>
      <c r="Q172" s="3"/>
    </row>
    <row r="173" spans="1:17" ht="15">
      <c r="A173" s="44"/>
      <c r="B173" s="39"/>
      <c r="C173" s="39"/>
      <c r="D173" s="39"/>
      <c r="E173" s="73"/>
      <c r="F173" s="73"/>
      <c r="G173" s="73"/>
      <c r="H173" s="73"/>
      <c r="I173" s="73"/>
      <c r="J173" s="73"/>
      <c r="K173" s="39"/>
      <c r="L173" s="45"/>
      <c r="M173" s="3"/>
      <c r="N173" s="3"/>
      <c r="O173" s="3"/>
      <c r="P173" s="3"/>
      <c r="Q173" s="3"/>
    </row>
    <row r="174" spans="1:17" ht="15">
      <c r="A174" s="44"/>
      <c r="B174" s="39"/>
      <c r="C174" s="39"/>
      <c r="D174" s="39"/>
      <c r="E174" s="73"/>
      <c r="F174" s="73"/>
      <c r="G174" s="73"/>
      <c r="H174" s="73"/>
      <c r="I174" s="73"/>
      <c r="J174" s="73"/>
      <c r="K174" s="39"/>
      <c r="L174" s="45"/>
      <c r="M174" s="3"/>
      <c r="N174" s="3"/>
      <c r="O174" s="3"/>
      <c r="P174" s="3"/>
      <c r="Q174" s="3"/>
    </row>
    <row r="175" spans="1:17" ht="15">
      <c r="A175" s="44"/>
      <c r="B175" s="39"/>
      <c r="C175" s="39"/>
      <c r="D175" s="39"/>
      <c r="E175" s="73"/>
      <c r="F175" s="73"/>
      <c r="G175" s="73"/>
      <c r="H175" s="73"/>
      <c r="I175" s="73"/>
      <c r="J175" s="73"/>
      <c r="K175" s="39"/>
      <c r="L175" s="45"/>
      <c r="M175" s="3"/>
      <c r="N175" s="3"/>
      <c r="O175" s="3"/>
      <c r="P175" s="3"/>
      <c r="Q175" s="3"/>
    </row>
    <row r="176" spans="1:17" ht="15">
      <c r="A176" s="44"/>
      <c r="B176" s="39"/>
      <c r="C176" s="39"/>
      <c r="D176" s="39"/>
      <c r="E176" s="73"/>
      <c r="F176" s="73"/>
      <c r="G176" s="73"/>
      <c r="H176" s="73"/>
      <c r="I176" s="73"/>
      <c r="J176" s="73"/>
      <c r="K176" s="39"/>
      <c r="L176" s="45"/>
      <c r="M176" s="3"/>
      <c r="N176" s="3"/>
      <c r="O176" s="3"/>
      <c r="P176" s="3"/>
      <c r="Q176" s="3"/>
    </row>
    <row r="177" spans="1:17" ht="15">
      <c r="A177" s="44"/>
      <c r="B177" s="39"/>
      <c r="C177" s="39"/>
      <c r="D177" s="39"/>
      <c r="E177" s="73"/>
      <c r="F177" s="73"/>
      <c r="G177" s="73"/>
      <c r="H177" s="73"/>
      <c r="I177" s="73"/>
      <c r="J177" s="73"/>
      <c r="K177" s="39"/>
      <c r="L177" s="45"/>
      <c r="M177" s="3"/>
      <c r="N177" s="3"/>
      <c r="O177" s="3"/>
      <c r="P177" s="3"/>
      <c r="Q177" s="3"/>
    </row>
    <row r="178" spans="1:17" ht="15">
      <c r="A178" s="44"/>
      <c r="B178" s="39"/>
      <c r="C178" s="39"/>
      <c r="D178" s="39"/>
      <c r="E178" s="73"/>
      <c r="F178" s="73"/>
      <c r="G178" s="73"/>
      <c r="H178" s="73"/>
      <c r="I178" s="73"/>
      <c r="J178" s="73"/>
      <c r="K178" s="39"/>
      <c r="L178" s="45"/>
      <c r="M178" s="3"/>
      <c r="N178" s="3"/>
      <c r="O178" s="3"/>
      <c r="P178" s="3"/>
      <c r="Q178" s="3"/>
    </row>
    <row r="179" spans="1:17" ht="15">
      <c r="A179" s="44"/>
      <c r="B179" s="39"/>
      <c r="C179" s="39"/>
      <c r="D179" s="39"/>
      <c r="E179" s="73"/>
      <c r="F179" s="73"/>
      <c r="G179" s="73"/>
      <c r="H179" s="73"/>
      <c r="I179" s="73"/>
      <c r="J179" s="73"/>
      <c r="K179" s="39"/>
      <c r="L179" s="45"/>
      <c r="M179" s="3"/>
      <c r="N179" s="3"/>
      <c r="O179" s="3"/>
      <c r="P179" s="3"/>
      <c r="Q179" s="3"/>
    </row>
    <row r="180" spans="1:17" ht="15">
      <c r="A180" s="44"/>
      <c r="B180" s="39"/>
      <c r="C180" s="39"/>
      <c r="D180" s="39"/>
      <c r="E180" s="73"/>
      <c r="F180" s="73"/>
      <c r="G180" s="73"/>
      <c r="H180" s="73"/>
      <c r="I180" s="73"/>
      <c r="J180" s="73"/>
      <c r="K180" s="39"/>
      <c r="L180" s="45"/>
      <c r="M180" s="3"/>
      <c r="N180" s="3"/>
      <c r="O180" s="3"/>
      <c r="P180" s="3"/>
      <c r="Q180" s="3"/>
    </row>
    <row r="181" spans="1:17" ht="15">
      <c r="A181" s="44"/>
      <c r="B181" s="39"/>
      <c r="C181" s="39"/>
      <c r="D181" s="39"/>
      <c r="E181" s="73"/>
      <c r="F181" s="73"/>
      <c r="G181" s="73"/>
      <c r="H181" s="73"/>
      <c r="I181" s="73"/>
      <c r="J181" s="73"/>
      <c r="K181" s="39"/>
      <c r="L181" s="45"/>
      <c r="M181" s="3"/>
      <c r="N181" s="3"/>
      <c r="O181" s="3"/>
      <c r="P181" s="3"/>
      <c r="Q181" s="3"/>
    </row>
    <row r="182" spans="1:17" ht="15">
      <c r="A182" s="44"/>
      <c r="B182" s="39"/>
      <c r="C182" s="39"/>
      <c r="D182" s="39"/>
      <c r="E182" s="73"/>
      <c r="F182" s="73"/>
      <c r="G182" s="73"/>
      <c r="H182" s="73"/>
      <c r="I182" s="73"/>
      <c r="J182" s="73"/>
      <c r="K182" s="39"/>
      <c r="L182" s="45"/>
      <c r="M182" s="3"/>
      <c r="N182" s="3"/>
      <c r="O182" s="3"/>
      <c r="P182" s="3"/>
      <c r="Q182" s="3"/>
    </row>
    <row r="183" spans="1:17" ht="15">
      <c r="A183" s="44"/>
      <c r="B183" s="39"/>
      <c r="C183" s="39"/>
      <c r="D183" s="39"/>
      <c r="E183" s="73"/>
      <c r="F183" s="73"/>
      <c r="G183" s="73"/>
      <c r="H183" s="73"/>
      <c r="I183" s="73"/>
      <c r="J183" s="73"/>
      <c r="K183" s="39"/>
      <c r="L183" s="45"/>
      <c r="M183" s="3"/>
      <c r="N183" s="3"/>
      <c r="O183" s="3"/>
      <c r="P183" s="3"/>
      <c r="Q183" s="3"/>
    </row>
    <row r="184" spans="1:17" ht="15">
      <c r="A184" s="44"/>
      <c r="B184" s="39"/>
      <c r="C184" s="39"/>
      <c r="D184" s="39"/>
      <c r="E184" s="73"/>
      <c r="F184" s="73"/>
      <c r="G184" s="73"/>
      <c r="H184" s="73"/>
      <c r="I184" s="73"/>
      <c r="J184" s="73"/>
      <c r="K184" s="39"/>
      <c r="L184" s="45"/>
      <c r="M184" s="3"/>
      <c r="N184" s="3"/>
      <c r="O184" s="3"/>
      <c r="P184" s="3"/>
      <c r="Q184" s="3"/>
    </row>
    <row r="185" spans="1:17" ht="15">
      <c r="A185" s="44"/>
      <c r="B185" s="39"/>
      <c r="C185" s="39"/>
      <c r="D185" s="39"/>
      <c r="E185" s="73"/>
      <c r="F185" s="73"/>
      <c r="G185" s="73"/>
      <c r="H185" s="73"/>
      <c r="I185" s="73"/>
      <c r="J185" s="73"/>
      <c r="K185" s="39"/>
      <c r="L185" s="45"/>
      <c r="M185" s="3"/>
      <c r="N185" s="3"/>
      <c r="O185" s="3"/>
      <c r="P185" s="3"/>
      <c r="Q185" s="3"/>
    </row>
    <row r="186" spans="1:17" ht="15">
      <c r="A186" s="44"/>
      <c r="B186" s="39"/>
      <c r="C186" s="39"/>
      <c r="D186" s="39"/>
      <c r="E186" s="73"/>
      <c r="F186" s="73"/>
      <c r="G186" s="73"/>
      <c r="H186" s="73"/>
      <c r="I186" s="73"/>
      <c r="J186" s="73"/>
      <c r="K186" s="39"/>
      <c r="L186" s="45"/>
      <c r="M186" s="3"/>
      <c r="N186" s="3"/>
      <c r="O186" s="3"/>
      <c r="P186" s="3"/>
      <c r="Q186" s="3"/>
    </row>
    <row r="187" spans="1:17" ht="15">
      <c r="A187" s="44"/>
      <c r="B187" s="39"/>
      <c r="C187" s="39"/>
      <c r="D187" s="39"/>
      <c r="E187" s="73"/>
      <c r="F187" s="73"/>
      <c r="G187" s="73"/>
      <c r="H187" s="73"/>
      <c r="I187" s="73"/>
      <c r="J187" s="73"/>
      <c r="K187" s="39"/>
      <c r="L187" s="45"/>
      <c r="M187" s="3"/>
      <c r="N187" s="3"/>
      <c r="O187" s="3"/>
      <c r="P187" s="3"/>
      <c r="Q187" s="3"/>
    </row>
    <row r="188" spans="1:17" ht="15">
      <c r="A188" s="44"/>
      <c r="B188" s="39"/>
      <c r="C188" s="39"/>
      <c r="D188" s="39"/>
      <c r="E188" s="73"/>
      <c r="F188" s="73"/>
      <c r="G188" s="73"/>
      <c r="H188" s="73"/>
      <c r="I188" s="73"/>
      <c r="J188" s="73"/>
      <c r="K188" s="39"/>
      <c r="L188" s="45"/>
      <c r="M188" s="3"/>
      <c r="N188" s="3"/>
      <c r="O188" s="3"/>
      <c r="P188" s="3"/>
      <c r="Q188" s="3"/>
    </row>
    <row r="189" spans="1:17" ht="15">
      <c r="A189" s="44"/>
      <c r="B189" s="39"/>
      <c r="C189" s="39"/>
      <c r="D189" s="39"/>
      <c r="E189" s="73"/>
      <c r="F189" s="73"/>
      <c r="G189" s="73"/>
      <c r="H189" s="73"/>
      <c r="I189" s="73"/>
      <c r="J189" s="73"/>
      <c r="K189" s="39"/>
      <c r="L189" s="45"/>
      <c r="M189" s="3"/>
      <c r="N189" s="3"/>
      <c r="O189" s="3"/>
      <c r="P189" s="3"/>
      <c r="Q189" s="3"/>
    </row>
    <row r="190" spans="1:17" ht="15">
      <c r="A190" s="44"/>
      <c r="B190" s="39"/>
      <c r="C190" s="39"/>
      <c r="D190" s="39"/>
      <c r="E190" s="73"/>
      <c r="F190" s="73"/>
      <c r="G190" s="73"/>
      <c r="H190" s="73"/>
      <c r="I190" s="73"/>
      <c r="J190" s="73"/>
      <c r="K190" s="39"/>
      <c r="L190" s="45"/>
      <c r="M190" s="3"/>
      <c r="N190" s="3"/>
      <c r="O190" s="3"/>
      <c r="P190" s="3"/>
      <c r="Q190" s="3"/>
    </row>
    <row r="191" spans="1:17" ht="15">
      <c r="A191" s="44"/>
      <c r="B191" s="39"/>
      <c r="C191" s="39"/>
      <c r="D191" s="39"/>
      <c r="E191" s="73"/>
      <c r="F191" s="73"/>
      <c r="G191" s="73"/>
      <c r="H191" s="73"/>
      <c r="I191" s="73"/>
      <c r="J191" s="73"/>
      <c r="K191" s="39"/>
      <c r="L191" s="45"/>
      <c r="M191" s="3"/>
      <c r="N191" s="3"/>
      <c r="O191" s="3"/>
      <c r="P191" s="3"/>
      <c r="Q191" s="3"/>
    </row>
    <row r="192" spans="1:17" ht="15">
      <c r="A192" s="44"/>
      <c r="B192" s="39"/>
      <c r="C192" s="39"/>
      <c r="D192" s="39"/>
      <c r="E192" s="73"/>
      <c r="F192" s="73"/>
      <c r="G192" s="73"/>
      <c r="H192" s="73"/>
      <c r="I192" s="73"/>
      <c r="J192" s="73"/>
      <c r="K192" s="39"/>
      <c r="L192" s="45"/>
      <c r="M192" s="3"/>
      <c r="N192" s="3"/>
      <c r="O192" s="3"/>
      <c r="P192" s="3"/>
      <c r="Q192" s="3"/>
    </row>
    <row r="193" spans="1:17" ht="15">
      <c r="A193" s="44"/>
      <c r="B193" s="39"/>
      <c r="C193" s="39"/>
      <c r="D193" s="39"/>
      <c r="E193" s="73"/>
      <c r="F193" s="73"/>
      <c r="G193" s="73"/>
      <c r="H193" s="73"/>
      <c r="I193" s="73"/>
      <c r="J193" s="73"/>
      <c r="K193" s="39"/>
      <c r="L193" s="45"/>
      <c r="M193" s="3"/>
      <c r="N193" s="3"/>
      <c r="O193" s="3"/>
      <c r="P193" s="3"/>
      <c r="Q193" s="3"/>
    </row>
    <row r="194" spans="1:17" ht="15">
      <c r="A194" s="44"/>
      <c r="B194" s="39"/>
      <c r="C194" s="39"/>
      <c r="D194" s="39"/>
      <c r="E194" s="73"/>
      <c r="F194" s="73"/>
      <c r="G194" s="73"/>
      <c r="H194" s="73"/>
      <c r="I194" s="73"/>
      <c r="J194" s="73"/>
      <c r="K194" s="39"/>
      <c r="L194" s="45"/>
      <c r="M194" s="3"/>
      <c r="N194" s="3"/>
      <c r="O194" s="3"/>
      <c r="P194" s="3"/>
      <c r="Q194" s="3"/>
    </row>
    <row r="195" spans="1:17" ht="15">
      <c r="A195" s="44"/>
      <c r="B195" s="39"/>
      <c r="C195" s="39"/>
      <c r="D195" s="39"/>
      <c r="E195" s="73"/>
      <c r="F195" s="73"/>
      <c r="G195" s="73"/>
      <c r="H195" s="73"/>
      <c r="I195" s="73"/>
      <c r="J195" s="73"/>
      <c r="K195" s="39"/>
      <c r="L195" s="45"/>
      <c r="M195" s="3"/>
      <c r="N195" s="3"/>
      <c r="O195" s="3"/>
      <c r="P195" s="3"/>
      <c r="Q195" s="3"/>
    </row>
    <row r="196" spans="1:17" ht="15">
      <c r="A196" s="44"/>
      <c r="B196" s="39"/>
      <c r="C196" s="39"/>
      <c r="D196" s="39"/>
      <c r="E196" s="73"/>
      <c r="F196" s="73"/>
      <c r="G196" s="73"/>
      <c r="H196" s="73"/>
      <c r="I196" s="73"/>
      <c r="J196" s="73"/>
      <c r="K196" s="39"/>
      <c r="L196" s="45"/>
      <c r="M196" s="3"/>
      <c r="N196" s="3"/>
      <c r="O196" s="3"/>
      <c r="P196" s="3"/>
      <c r="Q196" s="3"/>
    </row>
    <row r="197" spans="1:17" ht="15">
      <c r="A197" s="44"/>
      <c r="B197" s="39"/>
      <c r="C197" s="39"/>
      <c r="D197" s="39"/>
      <c r="E197" s="73"/>
      <c r="F197" s="73"/>
      <c r="G197" s="73"/>
      <c r="H197" s="73"/>
      <c r="I197" s="73"/>
      <c r="J197" s="73"/>
      <c r="K197" s="39"/>
      <c r="L197" s="45"/>
      <c r="M197" s="3"/>
      <c r="N197" s="3"/>
      <c r="O197" s="3"/>
      <c r="P197" s="3"/>
      <c r="Q197" s="3"/>
    </row>
    <row r="198" spans="1:17" ht="15">
      <c r="A198" s="44"/>
      <c r="B198" s="39"/>
      <c r="C198" s="39"/>
      <c r="D198" s="39"/>
      <c r="E198" s="73"/>
      <c r="F198" s="73"/>
      <c r="G198" s="73"/>
      <c r="H198" s="73"/>
      <c r="I198" s="73"/>
      <c r="J198" s="73"/>
      <c r="K198" s="39"/>
      <c r="L198" s="45"/>
      <c r="M198" s="3"/>
      <c r="N198" s="3"/>
      <c r="O198" s="3"/>
      <c r="P198" s="3"/>
      <c r="Q198" s="3"/>
    </row>
    <row r="199" spans="1:17" ht="15">
      <c r="A199" s="44"/>
      <c r="B199" s="39"/>
      <c r="C199" s="39"/>
      <c r="D199" s="39"/>
      <c r="E199" s="73"/>
      <c r="F199" s="73"/>
      <c r="G199" s="73"/>
      <c r="H199" s="73"/>
      <c r="I199" s="73"/>
      <c r="J199" s="73"/>
      <c r="K199" s="39"/>
      <c r="L199" s="45"/>
      <c r="M199" s="3"/>
      <c r="N199" s="3"/>
      <c r="O199" s="3"/>
      <c r="P199" s="3"/>
      <c r="Q199" s="3"/>
    </row>
    <row r="200" spans="1:17" ht="15">
      <c r="A200" s="44"/>
      <c r="B200" s="39"/>
      <c r="C200" s="39"/>
      <c r="D200" s="39"/>
      <c r="E200" s="73"/>
      <c r="F200" s="73"/>
      <c r="G200" s="73"/>
      <c r="H200" s="73"/>
      <c r="I200" s="73"/>
      <c r="J200" s="73"/>
      <c r="K200" s="39"/>
      <c r="L200" s="45"/>
      <c r="M200" s="3"/>
      <c r="N200" s="3"/>
      <c r="O200" s="3"/>
      <c r="P200" s="3"/>
      <c r="Q200" s="3"/>
    </row>
    <row r="201" spans="1:17" ht="15">
      <c r="A201" s="44"/>
      <c r="B201" s="39"/>
      <c r="C201" s="39"/>
      <c r="D201" s="39"/>
      <c r="E201" s="73"/>
      <c r="F201" s="73"/>
      <c r="G201" s="73"/>
      <c r="H201" s="73"/>
      <c r="I201" s="73"/>
      <c r="J201" s="73"/>
      <c r="K201" s="39"/>
      <c r="L201" s="45"/>
      <c r="M201" s="3"/>
      <c r="N201" s="3"/>
      <c r="O201" s="3"/>
      <c r="P201" s="3"/>
      <c r="Q201" s="3"/>
    </row>
    <row r="202" spans="1:17" ht="15">
      <c r="A202" s="44"/>
      <c r="B202" s="39"/>
      <c r="C202" s="39"/>
      <c r="D202" s="39"/>
      <c r="E202" s="73"/>
      <c r="F202" s="73"/>
      <c r="G202" s="73"/>
      <c r="H202" s="73"/>
      <c r="I202" s="73"/>
      <c r="J202" s="73"/>
      <c r="K202" s="39"/>
      <c r="L202" s="45"/>
      <c r="M202" s="3"/>
      <c r="N202" s="3"/>
      <c r="O202" s="3"/>
      <c r="P202" s="3"/>
      <c r="Q202" s="3"/>
    </row>
    <row r="203" spans="1:17" ht="15">
      <c r="A203" s="44"/>
      <c r="B203" s="39"/>
      <c r="C203" s="39"/>
      <c r="D203" s="39"/>
      <c r="E203" s="73"/>
      <c r="F203" s="73"/>
      <c r="G203" s="73"/>
      <c r="H203" s="73"/>
      <c r="I203" s="73"/>
      <c r="J203" s="73"/>
      <c r="K203" s="39"/>
      <c r="L203" s="45"/>
      <c r="M203" s="3"/>
      <c r="N203" s="3"/>
      <c r="O203" s="3"/>
      <c r="P203" s="3"/>
      <c r="Q203" s="3"/>
    </row>
    <row r="204" spans="1:17" ht="15">
      <c r="A204" s="44"/>
      <c r="B204" s="39"/>
      <c r="C204" s="39"/>
      <c r="D204" s="39"/>
      <c r="E204" s="73"/>
      <c r="F204" s="73"/>
      <c r="G204" s="73"/>
      <c r="H204" s="73"/>
      <c r="I204" s="73"/>
      <c r="J204" s="73"/>
      <c r="K204" s="39"/>
      <c r="L204" s="45"/>
      <c r="M204" s="3"/>
      <c r="N204" s="3"/>
      <c r="O204" s="3"/>
      <c r="P204" s="3"/>
      <c r="Q204" s="3"/>
    </row>
    <row r="205" spans="1:17" ht="15">
      <c r="A205" s="44"/>
      <c r="B205" s="39"/>
      <c r="C205" s="39"/>
      <c r="D205" s="39"/>
      <c r="E205" s="73"/>
      <c r="F205" s="73"/>
      <c r="G205" s="73"/>
      <c r="H205" s="73"/>
      <c r="I205" s="73"/>
      <c r="J205" s="73"/>
      <c r="K205" s="39"/>
      <c r="L205" s="45"/>
      <c r="M205" s="3"/>
      <c r="N205" s="3"/>
      <c r="O205" s="3"/>
      <c r="P205" s="3"/>
      <c r="Q205" s="3"/>
    </row>
    <row r="206" spans="1:17" ht="15">
      <c r="A206" s="53"/>
      <c r="B206" s="54"/>
      <c r="C206" s="54"/>
      <c r="D206" s="54"/>
      <c r="E206" s="74"/>
      <c r="F206" s="74"/>
      <c r="G206" s="74"/>
      <c r="H206" s="74"/>
      <c r="I206" s="74"/>
      <c r="J206" s="74"/>
      <c r="K206" s="54"/>
      <c r="L206" s="55"/>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L1"/>
    <mergeCell ref="A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50"/>
  <sheetViews>
    <sheetView workbookViewId="0"/>
  </sheetViews>
  <sheetFormatPr defaultRowHeight="14.25"/>
  <cols>
    <col min="1" max="1" width="14" customWidth="1"/>
    <col min="2" max="2" width="12" customWidth="1"/>
    <col min="3" max="3" width="28" customWidth="1"/>
    <col min="4" max="4" width="18" customWidth="1"/>
    <col min="5" max="5" width="20" customWidth="1"/>
    <col min="6" max="7" width="12" customWidth="1"/>
    <col min="8" max="8" width="32" customWidth="1"/>
    <col min="9" max="11" width="20" customWidth="1"/>
    <col min="12" max="12" width="22" customWidth="1"/>
    <col min="13" max="13" width="14" customWidth="1"/>
    <col min="14" max="14" width="24" customWidth="1"/>
  </cols>
  <sheetData>
    <row r="1" spans="1:17" ht="24" customHeight="1">
      <c r="A1" s="200" t="s">
        <v>443</v>
      </c>
      <c r="B1" s="201"/>
      <c r="C1" s="201"/>
      <c r="D1" s="201"/>
      <c r="E1" s="201"/>
      <c r="F1" s="201"/>
      <c r="G1" s="201"/>
      <c r="H1" s="201"/>
      <c r="I1" s="201"/>
      <c r="J1" s="201"/>
      <c r="K1" s="201"/>
      <c r="L1" s="203"/>
      <c r="M1" s="203"/>
      <c r="N1" s="203"/>
      <c r="O1" s="3"/>
      <c r="P1" s="3"/>
      <c r="Q1" s="3"/>
    </row>
    <row r="2" spans="1:17" ht="33.950000000000003" customHeight="1">
      <c r="A2" s="202" t="s">
        <v>444</v>
      </c>
      <c r="B2" s="203"/>
      <c r="C2" s="203"/>
      <c r="D2" s="203"/>
      <c r="E2" s="203"/>
      <c r="F2" s="203"/>
      <c r="G2" s="203"/>
      <c r="H2" s="203"/>
      <c r="I2" s="203"/>
      <c r="J2" s="203"/>
      <c r="K2" s="203"/>
      <c r="L2" s="203"/>
      <c r="M2" s="203"/>
      <c r="N2" s="20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445</v>
      </c>
      <c r="B6" s="4" t="s">
        <v>328</v>
      </c>
      <c r="C6" s="4" t="s">
        <v>321</v>
      </c>
      <c r="D6" s="4" t="s">
        <v>446</v>
      </c>
      <c r="E6" s="4" t="s">
        <v>447</v>
      </c>
      <c r="F6" s="4" t="s">
        <v>448</v>
      </c>
      <c r="G6" s="4" t="s">
        <v>449</v>
      </c>
      <c r="H6" s="4" t="s">
        <v>450</v>
      </c>
      <c r="I6" s="4" t="s">
        <v>451</v>
      </c>
      <c r="J6" s="4" t="s">
        <v>452</v>
      </c>
      <c r="K6" s="4" t="s">
        <v>453</v>
      </c>
      <c r="L6" s="4" t="s">
        <v>454</v>
      </c>
      <c r="M6" s="4" t="s">
        <v>418</v>
      </c>
      <c r="N6" s="4" t="s">
        <v>429</v>
      </c>
      <c r="O6" s="3"/>
      <c r="P6" s="3"/>
      <c r="Q6" s="3"/>
    </row>
    <row r="7" spans="1:17" ht="15">
      <c r="A7" s="12"/>
      <c r="B7" s="12"/>
      <c r="C7" s="12"/>
      <c r="D7" s="12"/>
      <c r="E7" s="12"/>
      <c r="F7" s="12"/>
      <c r="G7" s="12"/>
      <c r="H7" s="12"/>
      <c r="I7" s="12"/>
      <c r="J7" s="12"/>
      <c r="K7" s="12"/>
      <c r="L7" s="12"/>
      <c r="M7" s="12"/>
      <c r="N7" s="12"/>
      <c r="O7" s="3"/>
      <c r="P7" s="3"/>
      <c r="Q7" s="3"/>
    </row>
    <row r="8" spans="1:17" ht="15">
      <c r="A8" s="12"/>
      <c r="B8" s="12"/>
      <c r="C8" s="12"/>
      <c r="D8" s="12"/>
      <c r="E8" s="12"/>
      <c r="F8" s="12"/>
      <c r="G8" s="12"/>
      <c r="H8" s="12"/>
      <c r="I8" s="12"/>
      <c r="J8" s="12"/>
      <c r="K8" s="12"/>
      <c r="L8" s="12"/>
      <c r="M8" s="12"/>
      <c r="N8" s="12"/>
      <c r="O8" s="3"/>
      <c r="P8" s="3"/>
      <c r="Q8" s="3"/>
    </row>
    <row r="9" spans="1:17" ht="15">
      <c r="A9" s="12"/>
      <c r="B9" s="12"/>
      <c r="C9" s="12"/>
      <c r="D9" s="12"/>
      <c r="E9" s="12"/>
      <c r="F9" s="12"/>
      <c r="G9" s="12"/>
      <c r="H9" s="12"/>
      <c r="I9" s="12"/>
      <c r="J9" s="12"/>
      <c r="K9" s="12"/>
      <c r="L9" s="12"/>
      <c r="M9" s="12"/>
      <c r="N9" s="12"/>
      <c r="O9" s="3"/>
      <c r="P9" s="3"/>
      <c r="Q9" s="3"/>
    </row>
    <row r="10" spans="1:17" ht="15">
      <c r="A10" s="12"/>
      <c r="B10" s="12"/>
      <c r="C10" s="12"/>
      <c r="D10" s="12"/>
      <c r="E10" s="12"/>
      <c r="F10" s="12"/>
      <c r="G10" s="12"/>
      <c r="H10" s="12"/>
      <c r="I10" s="12"/>
      <c r="J10" s="12"/>
      <c r="K10" s="12"/>
      <c r="L10" s="12"/>
      <c r="M10" s="12"/>
      <c r="N10" s="12"/>
      <c r="O10" s="3"/>
      <c r="P10" s="3"/>
      <c r="Q10" s="3"/>
    </row>
    <row r="11" spans="1:17" ht="15">
      <c r="A11" s="12"/>
      <c r="B11" s="12"/>
      <c r="C11" s="12"/>
      <c r="D11" s="12"/>
      <c r="E11" s="12"/>
      <c r="F11" s="12"/>
      <c r="G11" s="12"/>
      <c r="H11" s="12"/>
      <c r="I11" s="12"/>
      <c r="J11" s="12"/>
      <c r="K11" s="12"/>
      <c r="L11" s="12"/>
      <c r="M11" s="12"/>
      <c r="N11" s="12"/>
      <c r="O11" s="3"/>
      <c r="P11" s="3"/>
      <c r="Q11" s="3"/>
    </row>
    <row r="12" spans="1:17" ht="15">
      <c r="A12" s="12"/>
      <c r="B12" s="12"/>
      <c r="C12" s="12"/>
      <c r="D12" s="12"/>
      <c r="E12" s="12"/>
      <c r="F12" s="12"/>
      <c r="G12" s="12"/>
      <c r="H12" s="12"/>
      <c r="I12" s="12"/>
      <c r="J12" s="12"/>
      <c r="K12" s="12"/>
      <c r="L12" s="12"/>
      <c r="M12" s="12"/>
      <c r="N12" s="12"/>
      <c r="O12" s="3"/>
      <c r="P12" s="3"/>
      <c r="Q12" s="3"/>
    </row>
    <row r="13" spans="1:17" ht="15">
      <c r="A13" s="12"/>
      <c r="B13" s="12"/>
      <c r="C13" s="12"/>
      <c r="D13" s="12"/>
      <c r="E13" s="12"/>
      <c r="F13" s="12"/>
      <c r="G13" s="12"/>
      <c r="H13" s="12"/>
      <c r="I13" s="12"/>
      <c r="J13" s="12"/>
      <c r="K13" s="12"/>
      <c r="L13" s="12"/>
      <c r="M13" s="12"/>
      <c r="N13" s="12"/>
      <c r="O13" s="3"/>
      <c r="P13" s="3"/>
      <c r="Q13" s="3"/>
    </row>
    <row r="14" spans="1:17" ht="15">
      <c r="A14" s="12"/>
      <c r="B14" s="12"/>
      <c r="C14" s="12"/>
      <c r="D14" s="12"/>
      <c r="E14" s="12"/>
      <c r="F14" s="12"/>
      <c r="G14" s="12"/>
      <c r="H14" s="12"/>
      <c r="I14" s="12"/>
      <c r="J14" s="12"/>
      <c r="K14" s="12"/>
      <c r="L14" s="12"/>
      <c r="M14" s="12"/>
      <c r="N14" s="12"/>
      <c r="O14" s="3"/>
      <c r="P14" s="3"/>
      <c r="Q14" s="3"/>
    </row>
    <row r="15" spans="1:17" ht="15">
      <c r="A15" s="12"/>
      <c r="B15" s="12"/>
      <c r="C15" s="12"/>
      <c r="D15" s="12"/>
      <c r="E15" s="12"/>
      <c r="F15" s="12"/>
      <c r="G15" s="12"/>
      <c r="H15" s="12"/>
      <c r="I15" s="12"/>
      <c r="J15" s="12"/>
      <c r="K15" s="12"/>
      <c r="L15" s="12"/>
      <c r="M15" s="12"/>
      <c r="N15" s="12"/>
      <c r="O15" s="3"/>
      <c r="P15" s="3"/>
      <c r="Q15" s="3"/>
    </row>
    <row r="16" spans="1:17" ht="15">
      <c r="A16" s="12"/>
      <c r="B16" s="12"/>
      <c r="C16" s="12"/>
      <c r="D16" s="12"/>
      <c r="E16" s="12"/>
      <c r="F16" s="12"/>
      <c r="G16" s="12"/>
      <c r="H16" s="12"/>
      <c r="I16" s="12"/>
      <c r="J16" s="12"/>
      <c r="K16" s="12"/>
      <c r="L16" s="12"/>
      <c r="M16" s="12"/>
      <c r="N16" s="12"/>
      <c r="O16" s="3"/>
      <c r="P16" s="3"/>
      <c r="Q16" s="3"/>
    </row>
    <row r="17" spans="1:17" ht="15">
      <c r="A17" s="12"/>
      <c r="B17" s="12"/>
      <c r="C17" s="12"/>
      <c r="D17" s="12"/>
      <c r="E17" s="12"/>
      <c r="F17" s="12"/>
      <c r="G17" s="12"/>
      <c r="H17" s="12"/>
      <c r="I17" s="12"/>
      <c r="J17" s="12"/>
      <c r="K17" s="12"/>
      <c r="L17" s="12"/>
      <c r="M17" s="12"/>
      <c r="N17" s="12"/>
      <c r="O17" s="3"/>
      <c r="P17" s="3"/>
      <c r="Q17" s="3"/>
    </row>
    <row r="18" spans="1:17" ht="15">
      <c r="A18" s="12"/>
      <c r="B18" s="12"/>
      <c r="C18" s="12"/>
      <c r="D18" s="12"/>
      <c r="E18" s="12"/>
      <c r="F18" s="12"/>
      <c r="G18" s="12"/>
      <c r="H18" s="12"/>
      <c r="I18" s="12"/>
      <c r="J18" s="12"/>
      <c r="K18" s="12"/>
      <c r="L18" s="12"/>
      <c r="M18" s="12"/>
      <c r="N18" s="12"/>
      <c r="O18" s="3"/>
      <c r="P18" s="3"/>
      <c r="Q18" s="3"/>
    </row>
    <row r="19" spans="1:17" ht="15">
      <c r="A19" s="12"/>
      <c r="B19" s="12"/>
      <c r="C19" s="12"/>
      <c r="D19" s="12"/>
      <c r="E19" s="12"/>
      <c r="F19" s="12"/>
      <c r="G19" s="12"/>
      <c r="H19" s="12"/>
      <c r="I19" s="12"/>
      <c r="J19" s="12"/>
      <c r="K19" s="12"/>
      <c r="L19" s="12"/>
      <c r="M19" s="12"/>
      <c r="N19" s="12"/>
      <c r="O19" s="3"/>
      <c r="P19" s="3"/>
      <c r="Q19" s="3"/>
    </row>
    <row r="20" spans="1:17" ht="15">
      <c r="A20" s="12"/>
      <c r="B20" s="12"/>
      <c r="C20" s="12"/>
      <c r="D20" s="12"/>
      <c r="E20" s="12"/>
      <c r="F20" s="12"/>
      <c r="G20" s="12"/>
      <c r="H20" s="12"/>
      <c r="I20" s="12"/>
      <c r="J20" s="12"/>
      <c r="K20" s="12"/>
      <c r="L20" s="12"/>
      <c r="M20" s="12"/>
      <c r="N20" s="12"/>
      <c r="O20" s="3"/>
      <c r="P20" s="3"/>
      <c r="Q20" s="3"/>
    </row>
    <row r="21" spans="1:17" ht="15">
      <c r="A21" s="12"/>
      <c r="B21" s="12"/>
      <c r="C21" s="12"/>
      <c r="D21" s="12"/>
      <c r="E21" s="12"/>
      <c r="F21" s="12"/>
      <c r="G21" s="12"/>
      <c r="H21" s="12"/>
      <c r="I21" s="12"/>
      <c r="J21" s="12"/>
      <c r="K21" s="12"/>
      <c r="L21" s="12"/>
      <c r="M21" s="12"/>
      <c r="N21" s="12"/>
      <c r="O21" s="3"/>
      <c r="P21" s="3"/>
      <c r="Q21" s="3"/>
    </row>
    <row r="22" spans="1:17" ht="15">
      <c r="A22" s="12"/>
      <c r="B22" s="12"/>
      <c r="C22" s="12"/>
      <c r="D22" s="12"/>
      <c r="E22" s="12"/>
      <c r="F22" s="12"/>
      <c r="G22" s="12"/>
      <c r="H22" s="12"/>
      <c r="I22" s="12"/>
      <c r="J22" s="12"/>
      <c r="K22" s="12"/>
      <c r="L22" s="12"/>
      <c r="M22" s="12"/>
      <c r="N22" s="12"/>
      <c r="O22" s="3"/>
      <c r="P22" s="3"/>
      <c r="Q22" s="3"/>
    </row>
    <row r="23" spans="1:17" ht="15">
      <c r="A23" s="12"/>
      <c r="B23" s="12"/>
      <c r="C23" s="12"/>
      <c r="D23" s="12"/>
      <c r="E23" s="12"/>
      <c r="F23" s="12"/>
      <c r="G23" s="12"/>
      <c r="H23" s="12"/>
      <c r="I23" s="12"/>
      <c r="J23" s="12"/>
      <c r="K23" s="12"/>
      <c r="L23" s="12"/>
      <c r="M23" s="12"/>
      <c r="N23" s="12"/>
      <c r="O23" s="3"/>
      <c r="P23" s="3"/>
      <c r="Q23" s="3"/>
    </row>
    <row r="24" spans="1:17" ht="15">
      <c r="A24" s="12"/>
      <c r="B24" s="12"/>
      <c r="C24" s="12"/>
      <c r="D24" s="12"/>
      <c r="E24" s="12"/>
      <c r="F24" s="12"/>
      <c r="G24" s="12"/>
      <c r="H24" s="12"/>
      <c r="I24" s="12"/>
      <c r="J24" s="12"/>
      <c r="K24" s="12"/>
      <c r="L24" s="12"/>
      <c r="M24" s="12"/>
      <c r="N24" s="12"/>
      <c r="O24" s="3"/>
      <c r="P24" s="3"/>
      <c r="Q24" s="3"/>
    </row>
    <row r="25" spans="1:17" ht="15">
      <c r="A25" s="12"/>
      <c r="B25" s="12"/>
      <c r="C25" s="12"/>
      <c r="D25" s="12"/>
      <c r="E25" s="12"/>
      <c r="F25" s="12"/>
      <c r="G25" s="12"/>
      <c r="H25" s="12"/>
      <c r="I25" s="12"/>
      <c r="J25" s="12"/>
      <c r="K25" s="12"/>
      <c r="L25" s="12"/>
      <c r="M25" s="12"/>
      <c r="N25" s="12"/>
      <c r="O25" s="3"/>
      <c r="P25" s="3"/>
      <c r="Q25" s="3"/>
    </row>
    <row r="26" spans="1:17" ht="15">
      <c r="A26" s="12"/>
      <c r="B26" s="12"/>
      <c r="C26" s="12"/>
      <c r="D26" s="12"/>
      <c r="E26" s="12"/>
      <c r="F26" s="12"/>
      <c r="G26" s="12"/>
      <c r="H26" s="12"/>
      <c r="I26" s="12"/>
      <c r="J26" s="12"/>
      <c r="K26" s="12"/>
      <c r="L26" s="12"/>
      <c r="M26" s="12"/>
      <c r="N26" s="12"/>
      <c r="O26" s="3"/>
      <c r="P26" s="3"/>
      <c r="Q26" s="3"/>
    </row>
    <row r="27" spans="1:17" ht="15">
      <c r="A27" s="12"/>
      <c r="B27" s="12"/>
      <c r="C27" s="12"/>
      <c r="D27" s="12"/>
      <c r="E27" s="12"/>
      <c r="F27" s="12"/>
      <c r="G27" s="12"/>
      <c r="H27" s="12"/>
      <c r="I27" s="12"/>
      <c r="J27" s="12"/>
      <c r="K27" s="12"/>
      <c r="L27" s="12"/>
      <c r="M27" s="12"/>
      <c r="N27" s="12"/>
      <c r="O27" s="3"/>
      <c r="P27" s="3"/>
      <c r="Q27" s="3"/>
    </row>
    <row r="28" spans="1:17" ht="15">
      <c r="A28" s="12"/>
      <c r="B28" s="12"/>
      <c r="C28" s="12"/>
      <c r="D28" s="12"/>
      <c r="E28" s="12"/>
      <c r="F28" s="12"/>
      <c r="G28" s="12"/>
      <c r="H28" s="12"/>
      <c r="I28" s="12"/>
      <c r="J28" s="12"/>
      <c r="K28" s="12"/>
      <c r="L28" s="12"/>
      <c r="M28" s="12"/>
      <c r="N28" s="12"/>
      <c r="O28" s="3"/>
      <c r="P28" s="3"/>
      <c r="Q28" s="3"/>
    </row>
    <row r="29" spans="1:17" ht="15">
      <c r="A29" s="12"/>
      <c r="B29" s="12"/>
      <c r="C29" s="12"/>
      <c r="D29" s="12"/>
      <c r="E29" s="12"/>
      <c r="F29" s="12"/>
      <c r="G29" s="12"/>
      <c r="H29" s="12"/>
      <c r="I29" s="12"/>
      <c r="J29" s="12"/>
      <c r="K29" s="12"/>
      <c r="L29" s="12"/>
      <c r="M29" s="12"/>
      <c r="N29" s="12"/>
      <c r="O29" s="3"/>
      <c r="P29" s="3"/>
      <c r="Q29" s="3"/>
    </row>
    <row r="30" spans="1:17" ht="15">
      <c r="A30" s="12"/>
      <c r="B30" s="12"/>
      <c r="C30" s="12"/>
      <c r="D30" s="12"/>
      <c r="E30" s="12"/>
      <c r="F30" s="12"/>
      <c r="G30" s="12"/>
      <c r="H30" s="12"/>
      <c r="I30" s="12"/>
      <c r="J30" s="12"/>
      <c r="K30" s="12"/>
      <c r="L30" s="12"/>
      <c r="M30" s="12"/>
      <c r="N30" s="12"/>
      <c r="O30" s="3"/>
      <c r="P30" s="3"/>
      <c r="Q30" s="3"/>
    </row>
    <row r="31" spans="1:17" ht="15">
      <c r="A31" s="12"/>
      <c r="B31" s="12"/>
      <c r="C31" s="12"/>
      <c r="D31" s="12"/>
      <c r="E31" s="12"/>
      <c r="F31" s="12"/>
      <c r="G31" s="12"/>
      <c r="H31" s="12"/>
      <c r="I31" s="12"/>
      <c r="J31" s="12"/>
      <c r="K31" s="12"/>
      <c r="L31" s="12"/>
      <c r="M31" s="12"/>
      <c r="N31" s="12"/>
      <c r="O31" s="3"/>
      <c r="P31" s="3"/>
      <c r="Q31" s="3"/>
    </row>
    <row r="32" spans="1:17" ht="15">
      <c r="A32" s="12"/>
      <c r="B32" s="12"/>
      <c r="C32" s="12"/>
      <c r="D32" s="12"/>
      <c r="E32" s="12"/>
      <c r="F32" s="12"/>
      <c r="G32" s="12"/>
      <c r="H32" s="12"/>
      <c r="I32" s="12"/>
      <c r="J32" s="12"/>
      <c r="K32" s="12"/>
      <c r="L32" s="12"/>
      <c r="M32" s="12"/>
      <c r="N32" s="12"/>
      <c r="O32" s="3"/>
      <c r="P32" s="3"/>
      <c r="Q32" s="3"/>
    </row>
    <row r="33" spans="1:17" ht="15">
      <c r="A33" s="12"/>
      <c r="B33" s="12"/>
      <c r="C33" s="12"/>
      <c r="D33" s="12"/>
      <c r="E33" s="12"/>
      <c r="F33" s="12"/>
      <c r="G33" s="12"/>
      <c r="H33" s="12"/>
      <c r="I33" s="12"/>
      <c r="J33" s="12"/>
      <c r="K33" s="12"/>
      <c r="L33" s="12"/>
      <c r="M33" s="12"/>
      <c r="N33" s="12"/>
      <c r="O33" s="3"/>
      <c r="P33" s="3"/>
      <c r="Q33" s="3"/>
    </row>
    <row r="34" spans="1:17" ht="15">
      <c r="A34" s="12"/>
      <c r="B34" s="12"/>
      <c r="C34" s="12"/>
      <c r="D34" s="12"/>
      <c r="E34" s="12"/>
      <c r="F34" s="12"/>
      <c r="G34" s="12"/>
      <c r="H34" s="12"/>
      <c r="I34" s="12"/>
      <c r="J34" s="12"/>
      <c r="K34" s="12"/>
      <c r="L34" s="12"/>
      <c r="M34" s="12"/>
      <c r="N34" s="12"/>
      <c r="O34" s="3"/>
      <c r="P34" s="3"/>
      <c r="Q34" s="3"/>
    </row>
    <row r="35" spans="1:17" ht="15">
      <c r="A35" s="12"/>
      <c r="B35" s="12"/>
      <c r="C35" s="12"/>
      <c r="D35" s="12"/>
      <c r="E35" s="12"/>
      <c r="F35" s="12"/>
      <c r="G35" s="12"/>
      <c r="H35" s="12"/>
      <c r="I35" s="12"/>
      <c r="J35" s="12"/>
      <c r="K35" s="12"/>
      <c r="L35" s="12"/>
      <c r="M35" s="12"/>
      <c r="N35" s="12"/>
      <c r="O35" s="3"/>
      <c r="P35" s="3"/>
      <c r="Q35" s="3"/>
    </row>
    <row r="36" spans="1:17" ht="15">
      <c r="A36" s="12"/>
      <c r="B36" s="12"/>
      <c r="C36" s="12"/>
      <c r="D36" s="12"/>
      <c r="E36" s="12"/>
      <c r="F36" s="12"/>
      <c r="G36" s="12"/>
      <c r="H36" s="12"/>
      <c r="I36" s="12"/>
      <c r="J36" s="12"/>
      <c r="K36" s="12"/>
      <c r="L36" s="12"/>
      <c r="M36" s="12"/>
      <c r="N36" s="12"/>
      <c r="O36" s="3"/>
      <c r="P36" s="3"/>
      <c r="Q36" s="3"/>
    </row>
    <row r="37" spans="1:17" ht="15">
      <c r="A37" s="12"/>
      <c r="B37" s="12"/>
      <c r="C37" s="12"/>
      <c r="D37" s="12"/>
      <c r="E37" s="12"/>
      <c r="F37" s="12"/>
      <c r="G37" s="12"/>
      <c r="H37" s="12"/>
      <c r="I37" s="12"/>
      <c r="J37" s="12"/>
      <c r="K37" s="12"/>
      <c r="L37" s="12"/>
      <c r="M37" s="12"/>
      <c r="N37" s="12"/>
      <c r="O37" s="3"/>
      <c r="P37" s="3"/>
      <c r="Q37" s="3"/>
    </row>
    <row r="38" spans="1:17" ht="15">
      <c r="A38" s="12"/>
      <c r="B38" s="12"/>
      <c r="C38" s="12"/>
      <c r="D38" s="12"/>
      <c r="E38" s="12"/>
      <c r="F38" s="12"/>
      <c r="G38" s="12"/>
      <c r="H38" s="12"/>
      <c r="I38" s="12"/>
      <c r="J38" s="12"/>
      <c r="K38" s="12"/>
      <c r="L38" s="12"/>
      <c r="M38" s="12"/>
      <c r="N38" s="12"/>
      <c r="O38" s="3"/>
      <c r="P38" s="3"/>
      <c r="Q38" s="3"/>
    </row>
    <row r="39" spans="1:17" ht="15">
      <c r="A39" s="12"/>
      <c r="B39" s="12"/>
      <c r="C39" s="12"/>
      <c r="D39" s="12"/>
      <c r="E39" s="12"/>
      <c r="F39" s="12"/>
      <c r="G39" s="12"/>
      <c r="H39" s="12"/>
      <c r="I39" s="12"/>
      <c r="J39" s="12"/>
      <c r="K39" s="12"/>
      <c r="L39" s="12"/>
      <c r="M39" s="12"/>
      <c r="N39" s="12"/>
      <c r="O39" s="3"/>
      <c r="P39" s="3"/>
      <c r="Q39" s="3"/>
    </row>
    <row r="40" spans="1:17" ht="15">
      <c r="A40" s="12"/>
      <c r="B40" s="12"/>
      <c r="C40" s="12"/>
      <c r="D40" s="12"/>
      <c r="E40" s="12"/>
      <c r="F40" s="12"/>
      <c r="G40" s="12"/>
      <c r="H40" s="12"/>
      <c r="I40" s="12"/>
      <c r="J40" s="12"/>
      <c r="K40" s="12"/>
      <c r="L40" s="12"/>
      <c r="M40" s="12"/>
      <c r="N40" s="12"/>
      <c r="O40" s="3"/>
      <c r="P40" s="3"/>
      <c r="Q40" s="3"/>
    </row>
    <row r="41" spans="1:17" ht="15">
      <c r="A41" s="12"/>
      <c r="B41" s="12"/>
      <c r="C41" s="12"/>
      <c r="D41" s="12"/>
      <c r="E41" s="12"/>
      <c r="F41" s="12"/>
      <c r="G41" s="12"/>
      <c r="H41" s="12"/>
      <c r="I41" s="12"/>
      <c r="J41" s="12"/>
      <c r="K41" s="12"/>
      <c r="L41" s="12"/>
      <c r="M41" s="12"/>
      <c r="N41" s="12"/>
      <c r="O41" s="3"/>
      <c r="P41" s="3"/>
      <c r="Q41" s="3"/>
    </row>
    <row r="42" spans="1:17" ht="15">
      <c r="A42" s="12"/>
      <c r="B42" s="12"/>
      <c r="C42" s="12"/>
      <c r="D42" s="12"/>
      <c r="E42" s="12"/>
      <c r="F42" s="12"/>
      <c r="G42" s="12"/>
      <c r="H42" s="12"/>
      <c r="I42" s="12"/>
      <c r="J42" s="12"/>
      <c r="K42" s="12"/>
      <c r="L42" s="12"/>
      <c r="M42" s="12"/>
      <c r="N42" s="12"/>
      <c r="O42" s="3"/>
      <c r="P42" s="3"/>
      <c r="Q42" s="3"/>
    </row>
    <row r="43" spans="1:17" ht="15">
      <c r="A43" s="12"/>
      <c r="B43" s="12"/>
      <c r="C43" s="12"/>
      <c r="D43" s="12"/>
      <c r="E43" s="12"/>
      <c r="F43" s="12"/>
      <c r="G43" s="12"/>
      <c r="H43" s="12"/>
      <c r="I43" s="12"/>
      <c r="J43" s="12"/>
      <c r="K43" s="12"/>
      <c r="L43" s="12"/>
      <c r="M43" s="12"/>
      <c r="N43" s="12"/>
      <c r="O43" s="3"/>
      <c r="P43" s="3"/>
      <c r="Q43" s="3"/>
    </row>
    <row r="44" spans="1:17" ht="15">
      <c r="A44" s="12"/>
      <c r="B44" s="12"/>
      <c r="C44" s="12"/>
      <c r="D44" s="12"/>
      <c r="E44" s="12"/>
      <c r="F44" s="12"/>
      <c r="G44" s="12"/>
      <c r="H44" s="12"/>
      <c r="I44" s="12"/>
      <c r="J44" s="12"/>
      <c r="K44" s="12"/>
      <c r="L44" s="12"/>
      <c r="M44" s="12"/>
      <c r="N44" s="12"/>
      <c r="O44" s="3"/>
      <c r="P44" s="3"/>
      <c r="Q44" s="3"/>
    </row>
    <row r="45" spans="1:17" ht="15">
      <c r="A45" s="12"/>
      <c r="B45" s="12"/>
      <c r="C45" s="12"/>
      <c r="D45" s="12"/>
      <c r="E45" s="12"/>
      <c r="F45" s="12"/>
      <c r="G45" s="12"/>
      <c r="H45" s="12"/>
      <c r="I45" s="12"/>
      <c r="J45" s="12"/>
      <c r="K45" s="12"/>
      <c r="L45" s="12"/>
      <c r="M45" s="12"/>
      <c r="N45" s="12"/>
      <c r="O45" s="3"/>
      <c r="P45" s="3"/>
      <c r="Q45" s="3"/>
    </row>
    <row r="46" spans="1:17" ht="15">
      <c r="A46" s="12"/>
      <c r="B46" s="12"/>
      <c r="C46" s="12"/>
      <c r="D46" s="12"/>
      <c r="E46" s="12"/>
      <c r="F46" s="12"/>
      <c r="G46" s="12"/>
      <c r="H46" s="12"/>
      <c r="I46" s="12"/>
      <c r="J46" s="12"/>
      <c r="K46" s="12"/>
      <c r="L46" s="12"/>
      <c r="M46" s="12"/>
      <c r="N46" s="12"/>
      <c r="O46" s="3"/>
      <c r="P46" s="3"/>
      <c r="Q46" s="3"/>
    </row>
    <row r="47" spans="1:17" ht="15">
      <c r="A47" s="12"/>
      <c r="B47" s="12"/>
      <c r="C47" s="12"/>
      <c r="D47" s="12"/>
      <c r="E47" s="12"/>
      <c r="F47" s="12"/>
      <c r="G47" s="12"/>
      <c r="H47" s="12"/>
      <c r="I47" s="12"/>
      <c r="J47" s="12"/>
      <c r="K47" s="12"/>
      <c r="L47" s="12"/>
      <c r="M47" s="12"/>
      <c r="N47" s="12"/>
      <c r="O47" s="3"/>
      <c r="P47" s="3"/>
      <c r="Q47" s="3"/>
    </row>
    <row r="48" spans="1:17" ht="15">
      <c r="A48" s="12"/>
      <c r="B48" s="12"/>
      <c r="C48" s="12"/>
      <c r="D48" s="12"/>
      <c r="E48" s="12"/>
      <c r="F48" s="12"/>
      <c r="G48" s="12"/>
      <c r="H48" s="12"/>
      <c r="I48" s="12"/>
      <c r="J48" s="12"/>
      <c r="K48" s="12"/>
      <c r="L48" s="12"/>
      <c r="M48" s="12"/>
      <c r="N48" s="12"/>
      <c r="O48" s="3"/>
      <c r="P48" s="3"/>
      <c r="Q48" s="3"/>
    </row>
    <row r="49" spans="1:17" ht="15">
      <c r="A49" s="12"/>
      <c r="B49" s="12"/>
      <c r="C49" s="12"/>
      <c r="D49" s="12"/>
      <c r="E49" s="12"/>
      <c r="F49" s="12"/>
      <c r="G49" s="12"/>
      <c r="H49" s="12"/>
      <c r="I49" s="12"/>
      <c r="J49" s="12"/>
      <c r="K49" s="12"/>
      <c r="L49" s="12"/>
      <c r="M49" s="12"/>
      <c r="N49" s="12"/>
      <c r="O49" s="3"/>
      <c r="P49" s="3"/>
      <c r="Q49" s="3"/>
    </row>
    <row r="50" spans="1:17" ht="15">
      <c r="A50" s="12"/>
      <c r="B50" s="12"/>
      <c r="C50" s="12"/>
      <c r="D50" s="12"/>
      <c r="E50" s="12"/>
      <c r="F50" s="12"/>
      <c r="G50" s="12"/>
      <c r="H50" s="12"/>
      <c r="I50" s="12"/>
      <c r="J50" s="12"/>
      <c r="K50" s="12"/>
      <c r="L50" s="12"/>
      <c r="M50" s="12"/>
      <c r="N50" s="12"/>
      <c r="O50" s="3"/>
      <c r="P50" s="3"/>
      <c r="Q50" s="3"/>
    </row>
    <row r="51" spans="1:17" ht="15">
      <c r="A51" s="12"/>
      <c r="B51" s="12"/>
      <c r="C51" s="12"/>
      <c r="D51" s="12"/>
      <c r="E51" s="12"/>
      <c r="F51" s="12"/>
      <c r="G51" s="12"/>
      <c r="H51" s="12"/>
      <c r="I51" s="12"/>
      <c r="J51" s="12"/>
      <c r="K51" s="12"/>
      <c r="L51" s="12"/>
      <c r="M51" s="12"/>
      <c r="N51" s="12"/>
      <c r="O51" s="3"/>
      <c r="P51" s="3"/>
      <c r="Q51" s="3"/>
    </row>
    <row r="52" spans="1:17" ht="15">
      <c r="A52" s="12"/>
      <c r="B52" s="12"/>
      <c r="C52" s="12"/>
      <c r="D52" s="12"/>
      <c r="E52" s="12"/>
      <c r="F52" s="12"/>
      <c r="G52" s="12"/>
      <c r="H52" s="12"/>
      <c r="I52" s="12"/>
      <c r="J52" s="12"/>
      <c r="K52" s="12"/>
      <c r="L52" s="12"/>
      <c r="M52" s="12"/>
      <c r="N52" s="12"/>
      <c r="O52" s="3"/>
      <c r="P52" s="3"/>
      <c r="Q52" s="3"/>
    </row>
    <row r="53" spans="1:17" ht="15">
      <c r="A53" s="12"/>
      <c r="B53" s="12"/>
      <c r="C53" s="12"/>
      <c r="D53" s="12"/>
      <c r="E53" s="12"/>
      <c r="F53" s="12"/>
      <c r="G53" s="12"/>
      <c r="H53" s="12"/>
      <c r="I53" s="12"/>
      <c r="J53" s="12"/>
      <c r="K53" s="12"/>
      <c r="L53" s="12"/>
      <c r="M53" s="12"/>
      <c r="N53" s="12"/>
      <c r="O53" s="3"/>
      <c r="P53" s="3"/>
      <c r="Q53" s="3"/>
    </row>
    <row r="54" spans="1:17" ht="15">
      <c r="A54" s="12"/>
      <c r="B54" s="12"/>
      <c r="C54" s="12"/>
      <c r="D54" s="12"/>
      <c r="E54" s="12"/>
      <c r="F54" s="12"/>
      <c r="G54" s="12"/>
      <c r="H54" s="12"/>
      <c r="I54" s="12"/>
      <c r="J54" s="12"/>
      <c r="K54" s="12"/>
      <c r="L54" s="12"/>
      <c r="M54" s="12"/>
      <c r="N54" s="12"/>
      <c r="O54" s="3"/>
      <c r="P54" s="3"/>
      <c r="Q54" s="3"/>
    </row>
    <row r="55" spans="1:17" ht="15">
      <c r="A55" s="12"/>
      <c r="B55" s="12"/>
      <c r="C55" s="12"/>
      <c r="D55" s="12"/>
      <c r="E55" s="12"/>
      <c r="F55" s="12"/>
      <c r="G55" s="12"/>
      <c r="H55" s="12"/>
      <c r="I55" s="12"/>
      <c r="J55" s="12"/>
      <c r="K55" s="12"/>
      <c r="L55" s="12"/>
      <c r="M55" s="12"/>
      <c r="N55" s="12"/>
      <c r="O55" s="3"/>
      <c r="P55" s="3"/>
      <c r="Q55" s="3"/>
    </row>
    <row r="56" spans="1:17" ht="15">
      <c r="A56" s="12"/>
      <c r="B56" s="12"/>
      <c r="C56" s="12"/>
      <c r="D56" s="12"/>
      <c r="E56" s="12"/>
      <c r="F56" s="12"/>
      <c r="G56" s="12"/>
      <c r="H56" s="12"/>
      <c r="I56" s="12"/>
      <c r="J56" s="12"/>
      <c r="K56" s="12"/>
      <c r="L56" s="12"/>
      <c r="M56" s="12"/>
      <c r="N56" s="12"/>
      <c r="O56" s="3"/>
      <c r="P56" s="3"/>
      <c r="Q56" s="3"/>
    </row>
    <row r="57" spans="1:17" ht="15">
      <c r="A57" s="12"/>
      <c r="B57" s="12"/>
      <c r="C57" s="12"/>
      <c r="D57" s="12"/>
      <c r="E57" s="12"/>
      <c r="F57" s="12"/>
      <c r="G57" s="12"/>
      <c r="H57" s="12"/>
      <c r="I57" s="12"/>
      <c r="J57" s="12"/>
      <c r="K57" s="12"/>
      <c r="L57" s="12"/>
      <c r="M57" s="12"/>
      <c r="N57" s="12"/>
      <c r="O57" s="3"/>
      <c r="P57" s="3"/>
      <c r="Q57" s="3"/>
    </row>
    <row r="58" spans="1:17" ht="15">
      <c r="A58" s="12"/>
      <c r="B58" s="12"/>
      <c r="C58" s="12"/>
      <c r="D58" s="12"/>
      <c r="E58" s="12"/>
      <c r="F58" s="12"/>
      <c r="G58" s="12"/>
      <c r="H58" s="12"/>
      <c r="I58" s="12"/>
      <c r="J58" s="12"/>
      <c r="K58" s="12"/>
      <c r="L58" s="12"/>
      <c r="M58" s="12"/>
      <c r="N58" s="12"/>
      <c r="O58" s="3"/>
      <c r="P58" s="3"/>
      <c r="Q58" s="3"/>
    </row>
    <row r="59" spans="1:17" ht="15">
      <c r="A59" s="12"/>
      <c r="B59" s="12"/>
      <c r="C59" s="12"/>
      <c r="D59" s="12"/>
      <c r="E59" s="12"/>
      <c r="F59" s="12"/>
      <c r="G59" s="12"/>
      <c r="H59" s="12"/>
      <c r="I59" s="12"/>
      <c r="J59" s="12"/>
      <c r="K59" s="12"/>
      <c r="L59" s="12"/>
      <c r="M59" s="12"/>
      <c r="N59" s="12"/>
      <c r="O59" s="3"/>
      <c r="P59" s="3"/>
      <c r="Q59" s="3"/>
    </row>
    <row r="60" spans="1:17" ht="15">
      <c r="A60" s="12"/>
      <c r="B60" s="12"/>
      <c r="C60" s="12"/>
      <c r="D60" s="12"/>
      <c r="E60" s="12"/>
      <c r="F60" s="12"/>
      <c r="G60" s="12"/>
      <c r="H60" s="12"/>
      <c r="I60" s="12"/>
      <c r="J60" s="12"/>
      <c r="K60" s="12"/>
      <c r="L60" s="12"/>
      <c r="M60" s="12"/>
      <c r="N60" s="12"/>
      <c r="O60" s="3"/>
      <c r="P60" s="3"/>
      <c r="Q60" s="3"/>
    </row>
    <row r="61" spans="1:17" ht="15">
      <c r="A61" s="12"/>
      <c r="B61" s="12"/>
      <c r="C61" s="12"/>
      <c r="D61" s="12"/>
      <c r="E61" s="12"/>
      <c r="F61" s="12"/>
      <c r="G61" s="12"/>
      <c r="H61" s="12"/>
      <c r="I61" s="12"/>
      <c r="J61" s="12"/>
      <c r="K61" s="12"/>
      <c r="L61" s="12"/>
      <c r="M61" s="12"/>
      <c r="N61" s="12"/>
      <c r="O61" s="3"/>
      <c r="P61" s="3"/>
      <c r="Q61" s="3"/>
    </row>
    <row r="62" spans="1:17" ht="15">
      <c r="A62" s="12"/>
      <c r="B62" s="12"/>
      <c r="C62" s="12"/>
      <c r="D62" s="12"/>
      <c r="E62" s="12"/>
      <c r="F62" s="12"/>
      <c r="G62" s="12"/>
      <c r="H62" s="12"/>
      <c r="I62" s="12"/>
      <c r="J62" s="12"/>
      <c r="K62" s="12"/>
      <c r="L62" s="12"/>
      <c r="M62" s="12"/>
      <c r="N62" s="12"/>
      <c r="O62" s="3"/>
      <c r="P62" s="3"/>
      <c r="Q62" s="3"/>
    </row>
    <row r="63" spans="1:17" ht="15">
      <c r="A63" s="12"/>
      <c r="B63" s="12"/>
      <c r="C63" s="12"/>
      <c r="D63" s="12"/>
      <c r="E63" s="12"/>
      <c r="F63" s="12"/>
      <c r="G63" s="12"/>
      <c r="H63" s="12"/>
      <c r="I63" s="12"/>
      <c r="J63" s="12"/>
      <c r="K63" s="12"/>
      <c r="L63" s="12"/>
      <c r="M63" s="12"/>
      <c r="N63" s="12"/>
      <c r="O63" s="3"/>
      <c r="P63" s="3"/>
      <c r="Q63" s="3"/>
    </row>
    <row r="64" spans="1:17" ht="15">
      <c r="A64" s="12"/>
      <c r="B64" s="12"/>
      <c r="C64" s="12"/>
      <c r="D64" s="12"/>
      <c r="E64" s="12"/>
      <c r="F64" s="12"/>
      <c r="G64" s="12"/>
      <c r="H64" s="12"/>
      <c r="I64" s="12"/>
      <c r="J64" s="12"/>
      <c r="K64" s="12"/>
      <c r="L64" s="12"/>
      <c r="M64" s="12"/>
      <c r="N64" s="12"/>
      <c r="O64" s="3"/>
      <c r="P64" s="3"/>
      <c r="Q64" s="3"/>
    </row>
    <row r="65" spans="1:17" ht="15">
      <c r="A65" s="12"/>
      <c r="B65" s="12"/>
      <c r="C65" s="12"/>
      <c r="D65" s="12"/>
      <c r="E65" s="12"/>
      <c r="F65" s="12"/>
      <c r="G65" s="12"/>
      <c r="H65" s="12"/>
      <c r="I65" s="12"/>
      <c r="J65" s="12"/>
      <c r="K65" s="12"/>
      <c r="L65" s="12"/>
      <c r="M65" s="12"/>
      <c r="N65" s="12"/>
      <c r="O65" s="3"/>
      <c r="P65" s="3"/>
      <c r="Q65" s="3"/>
    </row>
    <row r="66" spans="1:17" ht="15">
      <c r="A66" s="12"/>
      <c r="B66" s="12"/>
      <c r="C66" s="12"/>
      <c r="D66" s="12"/>
      <c r="E66" s="12"/>
      <c r="F66" s="12"/>
      <c r="G66" s="12"/>
      <c r="H66" s="12"/>
      <c r="I66" s="12"/>
      <c r="J66" s="12"/>
      <c r="K66" s="12"/>
      <c r="L66" s="12"/>
      <c r="M66" s="12"/>
      <c r="N66" s="12"/>
      <c r="O66" s="3"/>
      <c r="P66" s="3"/>
      <c r="Q66" s="3"/>
    </row>
    <row r="67" spans="1:17" ht="15">
      <c r="A67" s="12"/>
      <c r="B67" s="12"/>
      <c r="C67" s="12"/>
      <c r="D67" s="12"/>
      <c r="E67" s="12"/>
      <c r="F67" s="12"/>
      <c r="G67" s="12"/>
      <c r="H67" s="12"/>
      <c r="I67" s="12"/>
      <c r="J67" s="12"/>
      <c r="K67" s="12"/>
      <c r="L67" s="12"/>
      <c r="M67" s="12"/>
      <c r="N67" s="12"/>
      <c r="O67" s="3"/>
      <c r="P67" s="3"/>
      <c r="Q67" s="3"/>
    </row>
    <row r="68" spans="1:17" ht="15">
      <c r="A68" s="12"/>
      <c r="B68" s="12"/>
      <c r="C68" s="12"/>
      <c r="D68" s="12"/>
      <c r="E68" s="12"/>
      <c r="F68" s="12"/>
      <c r="G68" s="12"/>
      <c r="H68" s="12"/>
      <c r="I68" s="12"/>
      <c r="J68" s="12"/>
      <c r="K68" s="12"/>
      <c r="L68" s="12"/>
      <c r="M68" s="12"/>
      <c r="N68" s="12"/>
      <c r="O68" s="3"/>
      <c r="P68" s="3"/>
      <c r="Q68" s="3"/>
    </row>
    <row r="69" spans="1:17" ht="15">
      <c r="A69" s="12"/>
      <c r="B69" s="12"/>
      <c r="C69" s="12"/>
      <c r="D69" s="12"/>
      <c r="E69" s="12"/>
      <c r="F69" s="12"/>
      <c r="G69" s="12"/>
      <c r="H69" s="12"/>
      <c r="I69" s="12"/>
      <c r="J69" s="12"/>
      <c r="K69" s="12"/>
      <c r="L69" s="12"/>
      <c r="M69" s="12"/>
      <c r="N69" s="12"/>
      <c r="O69" s="3"/>
      <c r="P69" s="3"/>
      <c r="Q69" s="3"/>
    </row>
    <row r="70" spans="1:17" ht="15">
      <c r="A70" s="12"/>
      <c r="B70" s="12"/>
      <c r="C70" s="12"/>
      <c r="D70" s="12"/>
      <c r="E70" s="12"/>
      <c r="F70" s="12"/>
      <c r="G70" s="12"/>
      <c r="H70" s="12"/>
      <c r="I70" s="12"/>
      <c r="J70" s="12"/>
      <c r="K70" s="12"/>
      <c r="L70" s="12"/>
      <c r="M70" s="12"/>
      <c r="N70" s="12"/>
      <c r="O70" s="3"/>
      <c r="P70" s="3"/>
      <c r="Q70" s="3"/>
    </row>
    <row r="71" spans="1:17" ht="15">
      <c r="A71" s="12"/>
      <c r="B71" s="12"/>
      <c r="C71" s="12"/>
      <c r="D71" s="12"/>
      <c r="E71" s="12"/>
      <c r="F71" s="12"/>
      <c r="G71" s="12"/>
      <c r="H71" s="12"/>
      <c r="I71" s="12"/>
      <c r="J71" s="12"/>
      <c r="K71" s="12"/>
      <c r="L71" s="12"/>
      <c r="M71" s="12"/>
      <c r="N71" s="12"/>
      <c r="O71" s="3"/>
      <c r="P71" s="3"/>
      <c r="Q71" s="3"/>
    </row>
    <row r="72" spans="1:17" ht="15">
      <c r="A72" s="12"/>
      <c r="B72" s="12"/>
      <c r="C72" s="12"/>
      <c r="D72" s="12"/>
      <c r="E72" s="12"/>
      <c r="F72" s="12"/>
      <c r="G72" s="12"/>
      <c r="H72" s="12"/>
      <c r="I72" s="12"/>
      <c r="J72" s="12"/>
      <c r="K72" s="12"/>
      <c r="L72" s="12"/>
      <c r="M72" s="12"/>
      <c r="N72" s="12"/>
      <c r="O72" s="3"/>
      <c r="P72" s="3"/>
      <c r="Q72" s="3"/>
    </row>
    <row r="73" spans="1:17" ht="15">
      <c r="A73" s="12"/>
      <c r="B73" s="12"/>
      <c r="C73" s="12"/>
      <c r="D73" s="12"/>
      <c r="E73" s="12"/>
      <c r="F73" s="12"/>
      <c r="G73" s="12"/>
      <c r="H73" s="12"/>
      <c r="I73" s="12"/>
      <c r="J73" s="12"/>
      <c r="K73" s="12"/>
      <c r="L73" s="12"/>
      <c r="M73" s="12"/>
      <c r="N73" s="12"/>
      <c r="O73" s="3"/>
      <c r="P73" s="3"/>
      <c r="Q73" s="3"/>
    </row>
    <row r="74" spans="1:17" ht="15">
      <c r="A74" s="12"/>
      <c r="B74" s="12"/>
      <c r="C74" s="12"/>
      <c r="D74" s="12"/>
      <c r="E74" s="12"/>
      <c r="F74" s="12"/>
      <c r="G74" s="12"/>
      <c r="H74" s="12"/>
      <c r="I74" s="12"/>
      <c r="J74" s="12"/>
      <c r="K74" s="12"/>
      <c r="L74" s="12"/>
      <c r="M74" s="12"/>
      <c r="N74" s="12"/>
      <c r="O74" s="3"/>
      <c r="P74" s="3"/>
      <c r="Q74" s="3"/>
    </row>
    <row r="75" spans="1:17" ht="15">
      <c r="A75" s="12"/>
      <c r="B75" s="12"/>
      <c r="C75" s="12"/>
      <c r="D75" s="12"/>
      <c r="E75" s="12"/>
      <c r="F75" s="12"/>
      <c r="G75" s="12"/>
      <c r="H75" s="12"/>
      <c r="I75" s="12"/>
      <c r="J75" s="12"/>
      <c r="K75" s="12"/>
      <c r="L75" s="12"/>
      <c r="M75" s="12"/>
      <c r="N75" s="12"/>
      <c r="O75" s="3"/>
      <c r="P75" s="3"/>
      <c r="Q75" s="3"/>
    </row>
    <row r="76" spans="1:17" ht="15">
      <c r="A76" s="12"/>
      <c r="B76" s="12"/>
      <c r="C76" s="12"/>
      <c r="D76" s="12"/>
      <c r="E76" s="12"/>
      <c r="F76" s="12"/>
      <c r="G76" s="12"/>
      <c r="H76" s="12"/>
      <c r="I76" s="12"/>
      <c r="J76" s="12"/>
      <c r="K76" s="12"/>
      <c r="L76" s="12"/>
      <c r="M76" s="12"/>
      <c r="N76" s="12"/>
      <c r="O76" s="3"/>
      <c r="P76" s="3"/>
      <c r="Q76" s="3"/>
    </row>
    <row r="77" spans="1:17" ht="15">
      <c r="A77" s="12"/>
      <c r="B77" s="12"/>
      <c r="C77" s="12"/>
      <c r="D77" s="12"/>
      <c r="E77" s="12"/>
      <c r="F77" s="12"/>
      <c r="G77" s="12"/>
      <c r="H77" s="12"/>
      <c r="I77" s="12"/>
      <c r="J77" s="12"/>
      <c r="K77" s="12"/>
      <c r="L77" s="12"/>
      <c r="M77" s="12"/>
      <c r="N77" s="12"/>
      <c r="O77" s="3"/>
      <c r="P77" s="3"/>
      <c r="Q77" s="3"/>
    </row>
    <row r="78" spans="1:17" ht="15">
      <c r="A78" s="12"/>
      <c r="B78" s="12"/>
      <c r="C78" s="12"/>
      <c r="D78" s="12"/>
      <c r="E78" s="12"/>
      <c r="F78" s="12"/>
      <c r="G78" s="12"/>
      <c r="H78" s="12"/>
      <c r="I78" s="12"/>
      <c r="J78" s="12"/>
      <c r="K78" s="12"/>
      <c r="L78" s="12"/>
      <c r="M78" s="12"/>
      <c r="N78" s="12"/>
      <c r="O78" s="3"/>
      <c r="P78" s="3"/>
      <c r="Q78" s="3"/>
    </row>
    <row r="79" spans="1:17" ht="15">
      <c r="A79" s="12"/>
      <c r="B79" s="12"/>
      <c r="C79" s="12"/>
      <c r="D79" s="12"/>
      <c r="E79" s="12"/>
      <c r="F79" s="12"/>
      <c r="G79" s="12"/>
      <c r="H79" s="12"/>
      <c r="I79" s="12"/>
      <c r="J79" s="12"/>
      <c r="K79" s="12"/>
      <c r="L79" s="12"/>
      <c r="M79" s="12"/>
      <c r="N79" s="12"/>
      <c r="O79" s="3"/>
      <c r="P79" s="3"/>
      <c r="Q79" s="3"/>
    </row>
    <row r="80" spans="1:17" ht="15">
      <c r="A80" s="12"/>
      <c r="B80" s="12"/>
      <c r="C80" s="12"/>
      <c r="D80" s="12"/>
      <c r="E80" s="12"/>
      <c r="F80" s="12"/>
      <c r="G80" s="12"/>
      <c r="H80" s="12"/>
      <c r="I80" s="12"/>
      <c r="J80" s="12"/>
      <c r="K80" s="12"/>
      <c r="L80" s="12"/>
      <c r="M80" s="12"/>
      <c r="N80" s="12"/>
      <c r="O80" s="3"/>
      <c r="P80" s="3"/>
      <c r="Q80" s="3"/>
    </row>
    <row r="81" spans="1:17" ht="15">
      <c r="A81" s="12"/>
      <c r="B81" s="12"/>
      <c r="C81" s="12"/>
      <c r="D81" s="12"/>
      <c r="E81" s="12"/>
      <c r="F81" s="12"/>
      <c r="G81" s="12"/>
      <c r="H81" s="12"/>
      <c r="I81" s="12"/>
      <c r="J81" s="12"/>
      <c r="K81" s="12"/>
      <c r="L81" s="12"/>
      <c r="M81" s="12"/>
      <c r="N81" s="12"/>
      <c r="O81" s="3"/>
      <c r="P81" s="3"/>
      <c r="Q81" s="3"/>
    </row>
    <row r="82" spans="1:17" ht="15">
      <c r="A82" s="12"/>
      <c r="B82" s="12"/>
      <c r="C82" s="12"/>
      <c r="D82" s="12"/>
      <c r="E82" s="12"/>
      <c r="F82" s="12"/>
      <c r="G82" s="12"/>
      <c r="H82" s="12"/>
      <c r="I82" s="12"/>
      <c r="J82" s="12"/>
      <c r="K82" s="12"/>
      <c r="L82" s="12"/>
      <c r="M82" s="12"/>
      <c r="N82" s="12"/>
      <c r="O82" s="3"/>
      <c r="P82" s="3"/>
      <c r="Q82" s="3"/>
    </row>
    <row r="83" spans="1:17" ht="15">
      <c r="A83" s="12"/>
      <c r="B83" s="12"/>
      <c r="C83" s="12"/>
      <c r="D83" s="12"/>
      <c r="E83" s="12"/>
      <c r="F83" s="12"/>
      <c r="G83" s="12"/>
      <c r="H83" s="12"/>
      <c r="I83" s="12"/>
      <c r="J83" s="12"/>
      <c r="K83" s="12"/>
      <c r="L83" s="12"/>
      <c r="M83" s="12"/>
      <c r="N83" s="12"/>
      <c r="O83" s="3"/>
      <c r="P83" s="3"/>
      <c r="Q83" s="3"/>
    </row>
    <row r="84" spans="1:17" ht="15">
      <c r="A84" s="12"/>
      <c r="B84" s="12"/>
      <c r="C84" s="12"/>
      <c r="D84" s="12"/>
      <c r="E84" s="12"/>
      <c r="F84" s="12"/>
      <c r="G84" s="12"/>
      <c r="H84" s="12"/>
      <c r="I84" s="12"/>
      <c r="J84" s="12"/>
      <c r="K84" s="12"/>
      <c r="L84" s="12"/>
      <c r="M84" s="12"/>
      <c r="N84" s="12"/>
      <c r="O84" s="3"/>
      <c r="P84" s="3"/>
      <c r="Q84" s="3"/>
    </row>
    <row r="85" spans="1:17" ht="15">
      <c r="A85" s="12"/>
      <c r="B85" s="12"/>
      <c r="C85" s="12"/>
      <c r="D85" s="12"/>
      <c r="E85" s="12"/>
      <c r="F85" s="12"/>
      <c r="G85" s="12"/>
      <c r="H85" s="12"/>
      <c r="I85" s="12"/>
      <c r="J85" s="12"/>
      <c r="K85" s="12"/>
      <c r="L85" s="12"/>
      <c r="M85" s="12"/>
      <c r="N85" s="12"/>
      <c r="O85" s="3"/>
      <c r="P85" s="3"/>
      <c r="Q85" s="3"/>
    </row>
    <row r="86" spans="1:17" ht="15">
      <c r="A86" s="12"/>
      <c r="B86" s="12"/>
      <c r="C86" s="12"/>
      <c r="D86" s="12"/>
      <c r="E86" s="12"/>
      <c r="F86" s="12"/>
      <c r="G86" s="12"/>
      <c r="H86" s="12"/>
      <c r="I86" s="12"/>
      <c r="J86" s="12"/>
      <c r="K86" s="12"/>
      <c r="L86" s="12"/>
      <c r="M86" s="12"/>
      <c r="N86" s="12"/>
      <c r="O86" s="3"/>
      <c r="P86" s="3"/>
      <c r="Q86" s="3"/>
    </row>
    <row r="87" spans="1:17" ht="15">
      <c r="A87" s="12"/>
      <c r="B87" s="12"/>
      <c r="C87" s="12"/>
      <c r="D87" s="12"/>
      <c r="E87" s="12"/>
      <c r="F87" s="12"/>
      <c r="G87" s="12"/>
      <c r="H87" s="12"/>
      <c r="I87" s="12"/>
      <c r="J87" s="12"/>
      <c r="K87" s="12"/>
      <c r="L87" s="12"/>
      <c r="M87" s="12"/>
      <c r="N87" s="12"/>
      <c r="O87" s="3"/>
      <c r="P87" s="3"/>
      <c r="Q87" s="3"/>
    </row>
    <row r="88" spans="1:17" ht="15">
      <c r="A88" s="12"/>
      <c r="B88" s="12"/>
      <c r="C88" s="12"/>
      <c r="D88" s="12"/>
      <c r="E88" s="12"/>
      <c r="F88" s="12"/>
      <c r="G88" s="12"/>
      <c r="H88" s="12"/>
      <c r="I88" s="12"/>
      <c r="J88" s="12"/>
      <c r="K88" s="12"/>
      <c r="L88" s="12"/>
      <c r="M88" s="12"/>
      <c r="N88" s="12"/>
      <c r="O88" s="3"/>
      <c r="P88" s="3"/>
      <c r="Q88" s="3"/>
    </row>
    <row r="89" spans="1:17" ht="15">
      <c r="A89" s="12"/>
      <c r="B89" s="12"/>
      <c r="C89" s="12"/>
      <c r="D89" s="12"/>
      <c r="E89" s="12"/>
      <c r="F89" s="12"/>
      <c r="G89" s="12"/>
      <c r="H89" s="12"/>
      <c r="I89" s="12"/>
      <c r="J89" s="12"/>
      <c r="K89" s="12"/>
      <c r="L89" s="12"/>
      <c r="M89" s="12"/>
      <c r="N89" s="12"/>
      <c r="O89" s="3"/>
      <c r="P89" s="3"/>
      <c r="Q89" s="3"/>
    </row>
    <row r="90" spans="1:17" ht="15">
      <c r="A90" s="12"/>
      <c r="B90" s="12"/>
      <c r="C90" s="12"/>
      <c r="D90" s="12"/>
      <c r="E90" s="12"/>
      <c r="F90" s="12"/>
      <c r="G90" s="12"/>
      <c r="H90" s="12"/>
      <c r="I90" s="12"/>
      <c r="J90" s="12"/>
      <c r="K90" s="12"/>
      <c r="L90" s="12"/>
      <c r="M90" s="12"/>
      <c r="N90" s="12"/>
      <c r="O90" s="3"/>
      <c r="P90" s="3"/>
      <c r="Q90" s="3"/>
    </row>
    <row r="91" spans="1:17" ht="15">
      <c r="A91" s="12"/>
      <c r="B91" s="12"/>
      <c r="C91" s="12"/>
      <c r="D91" s="12"/>
      <c r="E91" s="12"/>
      <c r="F91" s="12"/>
      <c r="G91" s="12"/>
      <c r="H91" s="12"/>
      <c r="I91" s="12"/>
      <c r="J91" s="12"/>
      <c r="K91" s="12"/>
      <c r="L91" s="12"/>
      <c r="M91" s="12"/>
      <c r="N91" s="12"/>
      <c r="O91" s="3"/>
      <c r="P91" s="3"/>
      <c r="Q91" s="3"/>
    </row>
    <row r="92" spans="1:17" ht="15">
      <c r="A92" s="12"/>
      <c r="B92" s="12"/>
      <c r="C92" s="12"/>
      <c r="D92" s="12"/>
      <c r="E92" s="12"/>
      <c r="F92" s="12"/>
      <c r="G92" s="12"/>
      <c r="H92" s="12"/>
      <c r="I92" s="12"/>
      <c r="J92" s="12"/>
      <c r="K92" s="12"/>
      <c r="L92" s="12"/>
      <c r="M92" s="12"/>
      <c r="N92" s="12"/>
      <c r="O92" s="3"/>
      <c r="P92" s="3"/>
      <c r="Q92" s="3"/>
    </row>
    <row r="93" spans="1:17" ht="15">
      <c r="A93" s="12"/>
      <c r="B93" s="12"/>
      <c r="C93" s="12"/>
      <c r="D93" s="12"/>
      <c r="E93" s="12"/>
      <c r="F93" s="12"/>
      <c r="G93" s="12"/>
      <c r="H93" s="12"/>
      <c r="I93" s="12"/>
      <c r="J93" s="12"/>
      <c r="K93" s="12"/>
      <c r="L93" s="12"/>
      <c r="M93" s="12"/>
      <c r="N93" s="12"/>
      <c r="O93" s="3"/>
      <c r="P93" s="3"/>
      <c r="Q93" s="3"/>
    </row>
    <row r="94" spans="1:17" ht="15">
      <c r="A94" s="12"/>
      <c r="B94" s="12"/>
      <c r="C94" s="12"/>
      <c r="D94" s="12"/>
      <c r="E94" s="12"/>
      <c r="F94" s="12"/>
      <c r="G94" s="12"/>
      <c r="H94" s="12"/>
      <c r="I94" s="12"/>
      <c r="J94" s="12"/>
      <c r="K94" s="12"/>
      <c r="L94" s="12"/>
      <c r="M94" s="12"/>
      <c r="N94" s="12"/>
      <c r="O94" s="3"/>
      <c r="P94" s="3"/>
      <c r="Q94" s="3"/>
    </row>
    <row r="95" spans="1:17" ht="15">
      <c r="A95" s="12"/>
      <c r="B95" s="12"/>
      <c r="C95" s="12"/>
      <c r="D95" s="12"/>
      <c r="E95" s="12"/>
      <c r="F95" s="12"/>
      <c r="G95" s="12"/>
      <c r="H95" s="12"/>
      <c r="I95" s="12"/>
      <c r="J95" s="12"/>
      <c r="K95" s="12"/>
      <c r="L95" s="12"/>
      <c r="M95" s="12"/>
      <c r="N95" s="12"/>
      <c r="O95" s="3"/>
      <c r="P95" s="3"/>
      <c r="Q95" s="3"/>
    </row>
    <row r="96" spans="1:17" ht="15">
      <c r="A96" s="12"/>
      <c r="B96" s="12"/>
      <c r="C96" s="12"/>
      <c r="D96" s="12"/>
      <c r="E96" s="12"/>
      <c r="F96" s="12"/>
      <c r="G96" s="12"/>
      <c r="H96" s="12"/>
      <c r="I96" s="12"/>
      <c r="J96" s="12"/>
      <c r="K96" s="12"/>
      <c r="L96" s="12"/>
      <c r="M96" s="12"/>
      <c r="N96" s="12"/>
      <c r="O96" s="3"/>
      <c r="P96" s="3"/>
      <c r="Q96" s="3"/>
    </row>
    <row r="97" spans="1:17" ht="15">
      <c r="A97" s="12"/>
      <c r="B97" s="12"/>
      <c r="C97" s="12"/>
      <c r="D97" s="12"/>
      <c r="E97" s="12"/>
      <c r="F97" s="12"/>
      <c r="G97" s="12"/>
      <c r="H97" s="12"/>
      <c r="I97" s="12"/>
      <c r="J97" s="12"/>
      <c r="K97" s="12"/>
      <c r="L97" s="12"/>
      <c r="M97" s="12"/>
      <c r="N97" s="12"/>
      <c r="O97" s="3"/>
      <c r="P97" s="3"/>
      <c r="Q97" s="3"/>
    </row>
    <row r="98" spans="1:17" ht="15">
      <c r="A98" s="12"/>
      <c r="B98" s="12"/>
      <c r="C98" s="12"/>
      <c r="D98" s="12"/>
      <c r="E98" s="12"/>
      <c r="F98" s="12"/>
      <c r="G98" s="12"/>
      <c r="H98" s="12"/>
      <c r="I98" s="12"/>
      <c r="J98" s="12"/>
      <c r="K98" s="12"/>
      <c r="L98" s="12"/>
      <c r="M98" s="12"/>
      <c r="N98" s="12"/>
      <c r="O98" s="3"/>
      <c r="P98" s="3"/>
      <c r="Q98" s="3"/>
    </row>
    <row r="99" spans="1:17" ht="15">
      <c r="A99" s="12"/>
      <c r="B99" s="12"/>
      <c r="C99" s="12"/>
      <c r="D99" s="12"/>
      <c r="E99" s="12"/>
      <c r="F99" s="12"/>
      <c r="G99" s="12"/>
      <c r="H99" s="12"/>
      <c r="I99" s="12"/>
      <c r="J99" s="12"/>
      <c r="K99" s="12"/>
      <c r="L99" s="12"/>
      <c r="M99" s="12"/>
      <c r="N99" s="12"/>
      <c r="O99" s="3"/>
      <c r="P99" s="3"/>
      <c r="Q99" s="3"/>
    </row>
    <row r="100" spans="1:17" ht="15">
      <c r="A100" s="12"/>
      <c r="B100" s="12"/>
      <c r="C100" s="12"/>
      <c r="D100" s="12"/>
      <c r="E100" s="12"/>
      <c r="F100" s="12"/>
      <c r="G100" s="12"/>
      <c r="H100" s="12"/>
      <c r="I100" s="12"/>
      <c r="J100" s="12"/>
      <c r="K100" s="12"/>
      <c r="L100" s="12"/>
      <c r="M100" s="12"/>
      <c r="N100" s="12"/>
      <c r="O100" s="3"/>
      <c r="P100" s="3"/>
      <c r="Q100" s="3"/>
    </row>
    <row r="101" spans="1:17" ht="15">
      <c r="A101" s="12"/>
      <c r="B101" s="12"/>
      <c r="C101" s="12"/>
      <c r="D101" s="12"/>
      <c r="E101" s="12"/>
      <c r="F101" s="12"/>
      <c r="G101" s="12"/>
      <c r="H101" s="12"/>
      <c r="I101" s="12"/>
      <c r="J101" s="12"/>
      <c r="K101" s="12"/>
      <c r="L101" s="12"/>
      <c r="M101" s="12"/>
      <c r="N101" s="12"/>
      <c r="O101" s="3"/>
      <c r="P101" s="3"/>
      <c r="Q101" s="3"/>
    </row>
    <row r="102" spans="1:17" ht="15">
      <c r="A102" s="12"/>
      <c r="B102" s="12"/>
      <c r="C102" s="12"/>
      <c r="D102" s="12"/>
      <c r="E102" s="12"/>
      <c r="F102" s="12"/>
      <c r="G102" s="12"/>
      <c r="H102" s="12"/>
      <c r="I102" s="12"/>
      <c r="J102" s="12"/>
      <c r="K102" s="12"/>
      <c r="L102" s="12"/>
      <c r="M102" s="12"/>
      <c r="N102" s="12"/>
      <c r="O102" s="3"/>
      <c r="P102" s="3"/>
      <c r="Q102" s="3"/>
    </row>
    <row r="103" spans="1:17" ht="15">
      <c r="A103" s="12"/>
      <c r="B103" s="12"/>
      <c r="C103" s="12"/>
      <c r="D103" s="12"/>
      <c r="E103" s="12"/>
      <c r="F103" s="12"/>
      <c r="G103" s="12"/>
      <c r="H103" s="12"/>
      <c r="I103" s="12"/>
      <c r="J103" s="12"/>
      <c r="K103" s="12"/>
      <c r="L103" s="12"/>
      <c r="M103" s="12"/>
      <c r="N103" s="12"/>
      <c r="O103" s="3"/>
      <c r="P103" s="3"/>
      <c r="Q103" s="3"/>
    </row>
    <row r="104" spans="1:17" ht="15">
      <c r="A104" s="12"/>
      <c r="B104" s="12"/>
      <c r="C104" s="12"/>
      <c r="D104" s="12"/>
      <c r="E104" s="12"/>
      <c r="F104" s="12"/>
      <c r="G104" s="12"/>
      <c r="H104" s="12"/>
      <c r="I104" s="12"/>
      <c r="J104" s="12"/>
      <c r="K104" s="12"/>
      <c r="L104" s="12"/>
      <c r="M104" s="12"/>
      <c r="N104" s="12"/>
      <c r="O104" s="3"/>
      <c r="P104" s="3"/>
      <c r="Q104" s="3"/>
    </row>
    <row r="105" spans="1:17" ht="15">
      <c r="A105" s="12"/>
      <c r="B105" s="12"/>
      <c r="C105" s="12"/>
      <c r="D105" s="12"/>
      <c r="E105" s="12"/>
      <c r="F105" s="12"/>
      <c r="G105" s="12"/>
      <c r="H105" s="12"/>
      <c r="I105" s="12"/>
      <c r="J105" s="12"/>
      <c r="K105" s="12"/>
      <c r="L105" s="12"/>
      <c r="M105" s="12"/>
      <c r="N105" s="12"/>
      <c r="O105" s="3"/>
      <c r="P105" s="3"/>
      <c r="Q105" s="3"/>
    </row>
    <row r="106" spans="1:17" ht="15">
      <c r="A106" s="12"/>
      <c r="B106" s="12"/>
      <c r="C106" s="12"/>
      <c r="D106" s="12"/>
      <c r="E106" s="12"/>
      <c r="F106" s="12"/>
      <c r="G106" s="12"/>
      <c r="H106" s="12"/>
      <c r="I106" s="12"/>
      <c r="J106" s="12"/>
      <c r="K106" s="12"/>
      <c r="L106" s="12"/>
      <c r="M106" s="12"/>
      <c r="N106" s="12"/>
      <c r="O106" s="3"/>
      <c r="P106" s="3"/>
      <c r="Q106" s="3"/>
    </row>
    <row r="107" spans="1:17" ht="15">
      <c r="A107" s="12"/>
      <c r="B107" s="12"/>
      <c r="C107" s="12"/>
      <c r="D107" s="12"/>
      <c r="E107" s="12"/>
      <c r="F107" s="12"/>
      <c r="G107" s="12"/>
      <c r="H107" s="12"/>
      <c r="I107" s="12"/>
      <c r="J107" s="12"/>
      <c r="K107" s="12"/>
      <c r="L107" s="12"/>
      <c r="M107" s="12"/>
      <c r="N107" s="12"/>
      <c r="O107" s="3"/>
      <c r="P107" s="3"/>
      <c r="Q107" s="3"/>
    </row>
    <row r="108" spans="1:17" ht="15">
      <c r="A108" s="12"/>
      <c r="B108" s="12"/>
      <c r="C108" s="12"/>
      <c r="D108" s="12"/>
      <c r="E108" s="12"/>
      <c r="F108" s="12"/>
      <c r="G108" s="12"/>
      <c r="H108" s="12"/>
      <c r="I108" s="12"/>
      <c r="J108" s="12"/>
      <c r="K108" s="12"/>
      <c r="L108" s="12"/>
      <c r="M108" s="12"/>
      <c r="N108" s="12"/>
      <c r="O108" s="3"/>
      <c r="P108" s="3"/>
      <c r="Q108" s="3"/>
    </row>
    <row r="109" spans="1:17" ht="15">
      <c r="A109" s="12"/>
      <c r="B109" s="12"/>
      <c r="C109" s="12"/>
      <c r="D109" s="12"/>
      <c r="E109" s="12"/>
      <c r="F109" s="12"/>
      <c r="G109" s="12"/>
      <c r="H109" s="12"/>
      <c r="I109" s="12"/>
      <c r="J109" s="12"/>
      <c r="K109" s="12"/>
      <c r="L109" s="12"/>
      <c r="M109" s="12"/>
      <c r="N109" s="12"/>
      <c r="O109" s="3"/>
      <c r="P109" s="3"/>
      <c r="Q109" s="3"/>
    </row>
    <row r="110" spans="1:17" ht="15">
      <c r="A110" s="12"/>
      <c r="B110" s="12"/>
      <c r="C110" s="12"/>
      <c r="D110" s="12"/>
      <c r="E110" s="12"/>
      <c r="F110" s="12"/>
      <c r="G110" s="12"/>
      <c r="H110" s="12"/>
      <c r="I110" s="12"/>
      <c r="J110" s="12"/>
      <c r="K110" s="12"/>
      <c r="L110" s="12"/>
      <c r="M110" s="12"/>
      <c r="N110" s="12"/>
      <c r="O110" s="3"/>
      <c r="P110" s="3"/>
      <c r="Q110" s="3"/>
    </row>
    <row r="111" spans="1:17" ht="15">
      <c r="A111" s="12"/>
      <c r="B111" s="12"/>
      <c r="C111" s="12"/>
      <c r="D111" s="12"/>
      <c r="E111" s="12"/>
      <c r="F111" s="12"/>
      <c r="G111" s="12"/>
      <c r="H111" s="12"/>
      <c r="I111" s="12"/>
      <c r="J111" s="12"/>
      <c r="K111" s="12"/>
      <c r="L111" s="12"/>
      <c r="M111" s="12"/>
      <c r="N111" s="12"/>
      <c r="O111" s="3"/>
      <c r="P111" s="3"/>
      <c r="Q111" s="3"/>
    </row>
    <row r="112" spans="1:17" ht="15">
      <c r="A112" s="12"/>
      <c r="B112" s="12"/>
      <c r="C112" s="12"/>
      <c r="D112" s="12"/>
      <c r="E112" s="12"/>
      <c r="F112" s="12"/>
      <c r="G112" s="12"/>
      <c r="H112" s="12"/>
      <c r="I112" s="12"/>
      <c r="J112" s="12"/>
      <c r="K112" s="12"/>
      <c r="L112" s="12"/>
      <c r="M112" s="12"/>
      <c r="N112" s="12"/>
      <c r="O112" s="3"/>
      <c r="P112" s="3"/>
      <c r="Q112" s="3"/>
    </row>
    <row r="113" spans="1:17" ht="15">
      <c r="A113" s="12"/>
      <c r="B113" s="12"/>
      <c r="C113" s="12"/>
      <c r="D113" s="12"/>
      <c r="E113" s="12"/>
      <c r="F113" s="12"/>
      <c r="G113" s="12"/>
      <c r="H113" s="12"/>
      <c r="I113" s="12"/>
      <c r="J113" s="12"/>
      <c r="K113" s="12"/>
      <c r="L113" s="12"/>
      <c r="M113" s="12"/>
      <c r="N113" s="12"/>
      <c r="O113" s="3"/>
      <c r="P113" s="3"/>
      <c r="Q113" s="3"/>
    </row>
    <row r="114" spans="1:17" ht="15">
      <c r="A114" s="12"/>
      <c r="B114" s="12"/>
      <c r="C114" s="12"/>
      <c r="D114" s="12"/>
      <c r="E114" s="12"/>
      <c r="F114" s="12"/>
      <c r="G114" s="12"/>
      <c r="H114" s="12"/>
      <c r="I114" s="12"/>
      <c r="J114" s="12"/>
      <c r="K114" s="12"/>
      <c r="L114" s="12"/>
      <c r="M114" s="12"/>
      <c r="N114" s="12"/>
      <c r="O114" s="3"/>
      <c r="P114" s="3"/>
      <c r="Q114" s="3"/>
    </row>
    <row r="115" spans="1:17" ht="15">
      <c r="A115" s="12"/>
      <c r="B115" s="12"/>
      <c r="C115" s="12"/>
      <c r="D115" s="12"/>
      <c r="E115" s="12"/>
      <c r="F115" s="12"/>
      <c r="G115" s="12"/>
      <c r="H115" s="12"/>
      <c r="I115" s="12"/>
      <c r="J115" s="12"/>
      <c r="K115" s="12"/>
      <c r="L115" s="12"/>
      <c r="M115" s="12"/>
      <c r="N115" s="12"/>
      <c r="O115" s="3"/>
      <c r="P115" s="3"/>
      <c r="Q115" s="3"/>
    </row>
    <row r="116" spans="1:17" ht="15">
      <c r="A116" s="12"/>
      <c r="B116" s="12"/>
      <c r="C116" s="12"/>
      <c r="D116" s="12"/>
      <c r="E116" s="12"/>
      <c r="F116" s="12"/>
      <c r="G116" s="12"/>
      <c r="H116" s="12"/>
      <c r="I116" s="12"/>
      <c r="J116" s="12"/>
      <c r="K116" s="12"/>
      <c r="L116" s="12"/>
      <c r="M116" s="12"/>
      <c r="N116" s="12"/>
      <c r="O116" s="3"/>
      <c r="P116" s="3"/>
      <c r="Q116" s="3"/>
    </row>
    <row r="117" spans="1:17" ht="15">
      <c r="A117" s="12"/>
      <c r="B117" s="12"/>
      <c r="C117" s="12"/>
      <c r="D117" s="12"/>
      <c r="E117" s="12"/>
      <c r="F117" s="12"/>
      <c r="G117" s="12"/>
      <c r="H117" s="12"/>
      <c r="I117" s="12"/>
      <c r="J117" s="12"/>
      <c r="K117" s="12"/>
      <c r="L117" s="12"/>
      <c r="M117" s="12"/>
      <c r="N117" s="12"/>
      <c r="O117" s="3"/>
      <c r="P117" s="3"/>
      <c r="Q117" s="3"/>
    </row>
    <row r="118" spans="1:17" ht="15">
      <c r="A118" s="12"/>
      <c r="B118" s="12"/>
      <c r="C118" s="12"/>
      <c r="D118" s="12"/>
      <c r="E118" s="12"/>
      <c r="F118" s="12"/>
      <c r="G118" s="12"/>
      <c r="H118" s="12"/>
      <c r="I118" s="12"/>
      <c r="J118" s="12"/>
      <c r="K118" s="12"/>
      <c r="L118" s="12"/>
      <c r="M118" s="12"/>
      <c r="N118" s="12"/>
      <c r="O118" s="3"/>
      <c r="P118" s="3"/>
      <c r="Q118" s="3"/>
    </row>
    <row r="119" spans="1:17" ht="15">
      <c r="A119" s="12"/>
      <c r="B119" s="12"/>
      <c r="C119" s="12"/>
      <c r="D119" s="12"/>
      <c r="E119" s="12"/>
      <c r="F119" s="12"/>
      <c r="G119" s="12"/>
      <c r="H119" s="12"/>
      <c r="I119" s="12"/>
      <c r="J119" s="12"/>
      <c r="K119" s="12"/>
      <c r="L119" s="12"/>
      <c r="M119" s="12"/>
      <c r="N119" s="12"/>
      <c r="O119" s="3"/>
      <c r="P119" s="3"/>
      <c r="Q119" s="3"/>
    </row>
    <row r="120" spans="1:17" ht="15">
      <c r="A120" s="12"/>
      <c r="B120" s="12"/>
      <c r="C120" s="12"/>
      <c r="D120" s="12"/>
      <c r="E120" s="12"/>
      <c r="F120" s="12"/>
      <c r="G120" s="12"/>
      <c r="H120" s="12"/>
      <c r="I120" s="12"/>
      <c r="J120" s="12"/>
      <c r="K120" s="12"/>
      <c r="L120" s="12"/>
      <c r="M120" s="12"/>
      <c r="N120" s="12"/>
      <c r="O120" s="3"/>
      <c r="P120" s="3"/>
      <c r="Q120" s="3"/>
    </row>
    <row r="121" spans="1:17" ht="15">
      <c r="A121" s="12"/>
      <c r="B121" s="12"/>
      <c r="C121" s="12"/>
      <c r="D121" s="12"/>
      <c r="E121" s="12"/>
      <c r="F121" s="12"/>
      <c r="G121" s="12"/>
      <c r="H121" s="12"/>
      <c r="I121" s="12"/>
      <c r="J121" s="12"/>
      <c r="K121" s="12"/>
      <c r="L121" s="12"/>
      <c r="M121" s="12"/>
      <c r="N121" s="12"/>
      <c r="O121" s="3"/>
      <c r="P121" s="3"/>
      <c r="Q121" s="3"/>
    </row>
    <row r="122" spans="1:17" ht="15">
      <c r="A122" s="12"/>
      <c r="B122" s="12"/>
      <c r="C122" s="12"/>
      <c r="D122" s="12"/>
      <c r="E122" s="12"/>
      <c r="F122" s="12"/>
      <c r="G122" s="12"/>
      <c r="H122" s="12"/>
      <c r="I122" s="12"/>
      <c r="J122" s="12"/>
      <c r="K122" s="12"/>
      <c r="L122" s="12"/>
      <c r="M122" s="12"/>
      <c r="N122" s="12"/>
      <c r="O122" s="3"/>
      <c r="P122" s="3"/>
      <c r="Q122" s="3"/>
    </row>
    <row r="123" spans="1:17" ht="15">
      <c r="A123" s="12"/>
      <c r="B123" s="12"/>
      <c r="C123" s="12"/>
      <c r="D123" s="12"/>
      <c r="E123" s="12"/>
      <c r="F123" s="12"/>
      <c r="G123" s="12"/>
      <c r="H123" s="12"/>
      <c r="I123" s="12"/>
      <c r="J123" s="12"/>
      <c r="K123" s="12"/>
      <c r="L123" s="12"/>
      <c r="M123" s="12"/>
      <c r="N123" s="12"/>
      <c r="O123" s="3"/>
      <c r="P123" s="3"/>
      <c r="Q123" s="3"/>
    </row>
    <row r="124" spans="1:17" ht="15">
      <c r="A124" s="12"/>
      <c r="B124" s="12"/>
      <c r="C124" s="12"/>
      <c r="D124" s="12"/>
      <c r="E124" s="12"/>
      <c r="F124" s="12"/>
      <c r="G124" s="12"/>
      <c r="H124" s="12"/>
      <c r="I124" s="12"/>
      <c r="J124" s="12"/>
      <c r="K124" s="12"/>
      <c r="L124" s="12"/>
      <c r="M124" s="12"/>
      <c r="N124" s="12"/>
      <c r="O124" s="3"/>
      <c r="P124" s="3"/>
      <c r="Q124" s="3"/>
    </row>
    <row r="125" spans="1:17" ht="15">
      <c r="A125" s="12"/>
      <c r="B125" s="12"/>
      <c r="C125" s="12"/>
      <c r="D125" s="12"/>
      <c r="E125" s="12"/>
      <c r="F125" s="12"/>
      <c r="G125" s="12"/>
      <c r="H125" s="12"/>
      <c r="I125" s="12"/>
      <c r="J125" s="12"/>
      <c r="K125" s="12"/>
      <c r="L125" s="12"/>
      <c r="M125" s="12"/>
      <c r="N125" s="12"/>
      <c r="O125" s="3"/>
      <c r="P125" s="3"/>
      <c r="Q125" s="3"/>
    </row>
    <row r="126" spans="1:17" ht="15">
      <c r="A126" s="12"/>
      <c r="B126" s="12"/>
      <c r="C126" s="12"/>
      <c r="D126" s="12"/>
      <c r="E126" s="12"/>
      <c r="F126" s="12"/>
      <c r="G126" s="12"/>
      <c r="H126" s="12"/>
      <c r="I126" s="12"/>
      <c r="J126" s="12"/>
      <c r="K126" s="12"/>
      <c r="L126" s="12"/>
      <c r="M126" s="12"/>
      <c r="N126" s="12"/>
      <c r="O126" s="3"/>
      <c r="P126" s="3"/>
      <c r="Q126" s="3"/>
    </row>
    <row r="127" spans="1:17" ht="15">
      <c r="A127" s="12"/>
      <c r="B127" s="12"/>
      <c r="C127" s="12"/>
      <c r="D127" s="12"/>
      <c r="E127" s="12"/>
      <c r="F127" s="12"/>
      <c r="G127" s="12"/>
      <c r="H127" s="12"/>
      <c r="I127" s="12"/>
      <c r="J127" s="12"/>
      <c r="K127" s="12"/>
      <c r="L127" s="12"/>
      <c r="M127" s="12"/>
      <c r="N127" s="12"/>
      <c r="O127" s="3"/>
      <c r="P127" s="3"/>
      <c r="Q127" s="3"/>
    </row>
    <row r="128" spans="1:17" ht="15">
      <c r="A128" s="12"/>
      <c r="B128" s="12"/>
      <c r="C128" s="12"/>
      <c r="D128" s="12"/>
      <c r="E128" s="12"/>
      <c r="F128" s="12"/>
      <c r="G128" s="12"/>
      <c r="H128" s="12"/>
      <c r="I128" s="12"/>
      <c r="J128" s="12"/>
      <c r="K128" s="12"/>
      <c r="L128" s="12"/>
      <c r="M128" s="12"/>
      <c r="N128" s="12"/>
      <c r="O128" s="3"/>
      <c r="P128" s="3"/>
      <c r="Q128" s="3"/>
    </row>
    <row r="129" spans="1:17" ht="15">
      <c r="A129" s="12"/>
      <c r="B129" s="12"/>
      <c r="C129" s="12"/>
      <c r="D129" s="12"/>
      <c r="E129" s="12"/>
      <c r="F129" s="12"/>
      <c r="G129" s="12"/>
      <c r="H129" s="12"/>
      <c r="I129" s="12"/>
      <c r="J129" s="12"/>
      <c r="K129" s="12"/>
      <c r="L129" s="12"/>
      <c r="M129" s="12"/>
      <c r="N129" s="12"/>
      <c r="O129" s="3"/>
      <c r="P129" s="3"/>
      <c r="Q129" s="3"/>
    </row>
    <row r="130" spans="1:17" ht="15">
      <c r="A130" s="12"/>
      <c r="B130" s="12"/>
      <c r="C130" s="12"/>
      <c r="D130" s="12"/>
      <c r="E130" s="12"/>
      <c r="F130" s="12"/>
      <c r="G130" s="12"/>
      <c r="H130" s="12"/>
      <c r="I130" s="12"/>
      <c r="J130" s="12"/>
      <c r="K130" s="12"/>
      <c r="L130" s="12"/>
      <c r="M130" s="12"/>
      <c r="N130" s="12"/>
      <c r="O130" s="3"/>
      <c r="P130" s="3"/>
      <c r="Q130" s="3"/>
    </row>
    <row r="131" spans="1:17" ht="15">
      <c r="A131" s="12"/>
      <c r="B131" s="12"/>
      <c r="C131" s="12"/>
      <c r="D131" s="12"/>
      <c r="E131" s="12"/>
      <c r="F131" s="12"/>
      <c r="G131" s="12"/>
      <c r="H131" s="12"/>
      <c r="I131" s="12"/>
      <c r="J131" s="12"/>
      <c r="K131" s="12"/>
      <c r="L131" s="12"/>
      <c r="M131" s="12"/>
      <c r="N131" s="12"/>
      <c r="O131" s="3"/>
      <c r="P131" s="3"/>
      <c r="Q131" s="3"/>
    </row>
    <row r="132" spans="1:17" ht="15">
      <c r="A132" s="12"/>
      <c r="B132" s="12"/>
      <c r="C132" s="12"/>
      <c r="D132" s="12"/>
      <c r="E132" s="12"/>
      <c r="F132" s="12"/>
      <c r="G132" s="12"/>
      <c r="H132" s="12"/>
      <c r="I132" s="12"/>
      <c r="J132" s="12"/>
      <c r="K132" s="12"/>
      <c r="L132" s="12"/>
      <c r="M132" s="12"/>
      <c r="N132" s="12"/>
      <c r="O132" s="3"/>
      <c r="P132" s="3"/>
      <c r="Q132" s="3"/>
    </row>
    <row r="133" spans="1:17" ht="15">
      <c r="A133" s="12"/>
      <c r="B133" s="12"/>
      <c r="C133" s="12"/>
      <c r="D133" s="12"/>
      <c r="E133" s="12"/>
      <c r="F133" s="12"/>
      <c r="G133" s="12"/>
      <c r="H133" s="12"/>
      <c r="I133" s="12"/>
      <c r="J133" s="12"/>
      <c r="K133" s="12"/>
      <c r="L133" s="12"/>
      <c r="M133" s="12"/>
      <c r="N133" s="12"/>
      <c r="O133" s="3"/>
      <c r="P133" s="3"/>
      <c r="Q133" s="3"/>
    </row>
    <row r="134" spans="1:17" ht="15">
      <c r="A134" s="12"/>
      <c r="B134" s="12"/>
      <c r="C134" s="12"/>
      <c r="D134" s="12"/>
      <c r="E134" s="12"/>
      <c r="F134" s="12"/>
      <c r="G134" s="12"/>
      <c r="H134" s="12"/>
      <c r="I134" s="12"/>
      <c r="J134" s="12"/>
      <c r="K134" s="12"/>
      <c r="L134" s="12"/>
      <c r="M134" s="12"/>
      <c r="N134" s="12"/>
      <c r="O134" s="3"/>
      <c r="P134" s="3"/>
      <c r="Q134" s="3"/>
    </row>
    <row r="135" spans="1:17" ht="15">
      <c r="A135" s="12"/>
      <c r="B135" s="12"/>
      <c r="C135" s="12"/>
      <c r="D135" s="12"/>
      <c r="E135" s="12"/>
      <c r="F135" s="12"/>
      <c r="G135" s="12"/>
      <c r="H135" s="12"/>
      <c r="I135" s="12"/>
      <c r="J135" s="12"/>
      <c r="K135" s="12"/>
      <c r="L135" s="12"/>
      <c r="M135" s="12"/>
      <c r="N135" s="12"/>
      <c r="O135" s="3"/>
      <c r="P135" s="3"/>
      <c r="Q135" s="3"/>
    </row>
    <row r="136" spans="1:17" ht="15">
      <c r="A136" s="12"/>
      <c r="B136" s="12"/>
      <c r="C136" s="12"/>
      <c r="D136" s="12"/>
      <c r="E136" s="12"/>
      <c r="F136" s="12"/>
      <c r="G136" s="12"/>
      <c r="H136" s="12"/>
      <c r="I136" s="12"/>
      <c r="J136" s="12"/>
      <c r="K136" s="12"/>
      <c r="L136" s="12"/>
      <c r="M136" s="12"/>
      <c r="N136" s="12"/>
      <c r="O136" s="3"/>
      <c r="P136" s="3"/>
      <c r="Q136" s="3"/>
    </row>
    <row r="137" spans="1:17" ht="15">
      <c r="A137" s="12"/>
      <c r="B137" s="12"/>
      <c r="C137" s="12"/>
      <c r="D137" s="12"/>
      <c r="E137" s="12"/>
      <c r="F137" s="12"/>
      <c r="G137" s="12"/>
      <c r="H137" s="12"/>
      <c r="I137" s="12"/>
      <c r="J137" s="12"/>
      <c r="K137" s="12"/>
      <c r="L137" s="12"/>
      <c r="M137" s="12"/>
      <c r="N137" s="12"/>
      <c r="O137" s="3"/>
      <c r="P137" s="3"/>
      <c r="Q137" s="3"/>
    </row>
    <row r="138" spans="1:17" ht="15">
      <c r="A138" s="12"/>
      <c r="B138" s="12"/>
      <c r="C138" s="12"/>
      <c r="D138" s="12"/>
      <c r="E138" s="12"/>
      <c r="F138" s="12"/>
      <c r="G138" s="12"/>
      <c r="H138" s="12"/>
      <c r="I138" s="12"/>
      <c r="J138" s="12"/>
      <c r="K138" s="12"/>
      <c r="L138" s="12"/>
      <c r="M138" s="12"/>
      <c r="N138" s="12"/>
      <c r="O138" s="3"/>
      <c r="P138" s="3"/>
      <c r="Q138" s="3"/>
    </row>
    <row r="139" spans="1:17" ht="15">
      <c r="A139" s="12"/>
      <c r="B139" s="12"/>
      <c r="C139" s="12"/>
      <c r="D139" s="12"/>
      <c r="E139" s="12"/>
      <c r="F139" s="12"/>
      <c r="G139" s="12"/>
      <c r="H139" s="12"/>
      <c r="I139" s="12"/>
      <c r="J139" s="12"/>
      <c r="K139" s="12"/>
      <c r="L139" s="12"/>
      <c r="M139" s="12"/>
      <c r="N139" s="12"/>
      <c r="O139" s="3"/>
      <c r="P139" s="3"/>
      <c r="Q139" s="3"/>
    </row>
    <row r="140" spans="1:17" ht="15">
      <c r="A140" s="12"/>
      <c r="B140" s="12"/>
      <c r="C140" s="12"/>
      <c r="D140" s="12"/>
      <c r="E140" s="12"/>
      <c r="F140" s="12"/>
      <c r="G140" s="12"/>
      <c r="H140" s="12"/>
      <c r="I140" s="12"/>
      <c r="J140" s="12"/>
      <c r="K140" s="12"/>
      <c r="L140" s="12"/>
      <c r="M140" s="12"/>
      <c r="N140" s="12"/>
      <c r="O140" s="3"/>
      <c r="P140" s="3"/>
      <c r="Q140" s="3"/>
    </row>
    <row r="141" spans="1:17" ht="15">
      <c r="A141" s="12"/>
      <c r="B141" s="12"/>
      <c r="C141" s="12"/>
      <c r="D141" s="12"/>
      <c r="E141" s="12"/>
      <c r="F141" s="12"/>
      <c r="G141" s="12"/>
      <c r="H141" s="12"/>
      <c r="I141" s="12"/>
      <c r="J141" s="12"/>
      <c r="K141" s="12"/>
      <c r="L141" s="12"/>
      <c r="M141" s="12"/>
      <c r="N141" s="12"/>
      <c r="O141" s="3"/>
      <c r="P141" s="3"/>
      <c r="Q141" s="3"/>
    </row>
    <row r="142" spans="1:17" ht="15">
      <c r="A142" s="12"/>
      <c r="B142" s="12"/>
      <c r="C142" s="12"/>
      <c r="D142" s="12"/>
      <c r="E142" s="12"/>
      <c r="F142" s="12"/>
      <c r="G142" s="12"/>
      <c r="H142" s="12"/>
      <c r="I142" s="12"/>
      <c r="J142" s="12"/>
      <c r="K142" s="12"/>
      <c r="L142" s="12"/>
      <c r="M142" s="12"/>
      <c r="N142" s="12"/>
      <c r="O142" s="3"/>
      <c r="P142" s="3"/>
      <c r="Q142" s="3"/>
    </row>
    <row r="143" spans="1:17" ht="15">
      <c r="A143" s="12"/>
      <c r="B143" s="12"/>
      <c r="C143" s="12"/>
      <c r="D143" s="12"/>
      <c r="E143" s="12"/>
      <c r="F143" s="12"/>
      <c r="G143" s="12"/>
      <c r="H143" s="12"/>
      <c r="I143" s="12"/>
      <c r="J143" s="12"/>
      <c r="K143" s="12"/>
      <c r="L143" s="12"/>
      <c r="M143" s="12"/>
      <c r="N143" s="12"/>
      <c r="O143" s="3"/>
      <c r="P143" s="3"/>
      <c r="Q143" s="3"/>
    </row>
    <row r="144" spans="1:17" ht="15">
      <c r="A144" s="12"/>
      <c r="B144" s="12"/>
      <c r="C144" s="12"/>
      <c r="D144" s="12"/>
      <c r="E144" s="12"/>
      <c r="F144" s="12"/>
      <c r="G144" s="12"/>
      <c r="H144" s="12"/>
      <c r="I144" s="12"/>
      <c r="J144" s="12"/>
      <c r="K144" s="12"/>
      <c r="L144" s="12"/>
      <c r="M144" s="12"/>
      <c r="N144" s="12"/>
      <c r="O144" s="3"/>
      <c r="P144" s="3"/>
      <c r="Q144" s="3"/>
    </row>
    <row r="145" spans="1:17" ht="15">
      <c r="A145" s="12"/>
      <c r="B145" s="12"/>
      <c r="C145" s="12"/>
      <c r="D145" s="12"/>
      <c r="E145" s="12"/>
      <c r="F145" s="12"/>
      <c r="G145" s="12"/>
      <c r="H145" s="12"/>
      <c r="I145" s="12"/>
      <c r="J145" s="12"/>
      <c r="K145" s="12"/>
      <c r="L145" s="12"/>
      <c r="M145" s="12"/>
      <c r="N145" s="12"/>
      <c r="O145" s="3"/>
      <c r="P145" s="3"/>
      <c r="Q145" s="3"/>
    </row>
    <row r="146" spans="1:17" ht="15">
      <c r="A146" s="12"/>
      <c r="B146" s="12"/>
      <c r="C146" s="12"/>
      <c r="D146" s="12"/>
      <c r="E146" s="12"/>
      <c r="F146" s="12"/>
      <c r="G146" s="12"/>
      <c r="H146" s="12"/>
      <c r="I146" s="12"/>
      <c r="J146" s="12"/>
      <c r="K146" s="12"/>
      <c r="L146" s="12"/>
      <c r="M146" s="12"/>
      <c r="N146" s="12"/>
      <c r="O146" s="3"/>
      <c r="P146" s="3"/>
      <c r="Q146" s="3"/>
    </row>
    <row r="147" spans="1:17" ht="15">
      <c r="A147" s="12"/>
      <c r="B147" s="12"/>
      <c r="C147" s="12"/>
      <c r="D147" s="12"/>
      <c r="E147" s="12"/>
      <c r="F147" s="12"/>
      <c r="G147" s="12"/>
      <c r="H147" s="12"/>
      <c r="I147" s="12"/>
      <c r="J147" s="12"/>
      <c r="K147" s="12"/>
      <c r="L147" s="12"/>
      <c r="M147" s="12"/>
      <c r="N147" s="12"/>
      <c r="O147" s="3"/>
      <c r="P147" s="3"/>
      <c r="Q147" s="3"/>
    </row>
    <row r="148" spans="1:17" ht="15">
      <c r="A148" s="12"/>
      <c r="B148" s="12"/>
      <c r="C148" s="12"/>
      <c r="D148" s="12"/>
      <c r="E148" s="12"/>
      <c r="F148" s="12"/>
      <c r="G148" s="12"/>
      <c r="H148" s="12"/>
      <c r="I148" s="12"/>
      <c r="J148" s="12"/>
      <c r="K148" s="12"/>
      <c r="L148" s="12"/>
      <c r="M148" s="12"/>
      <c r="N148" s="12"/>
      <c r="O148" s="3"/>
      <c r="P148" s="3"/>
      <c r="Q148" s="3"/>
    </row>
    <row r="149" spans="1:17" ht="15">
      <c r="A149" s="12"/>
      <c r="B149" s="12"/>
      <c r="C149" s="12"/>
      <c r="D149" s="12"/>
      <c r="E149" s="12"/>
      <c r="F149" s="12"/>
      <c r="G149" s="12"/>
      <c r="H149" s="12"/>
      <c r="I149" s="12"/>
      <c r="J149" s="12"/>
      <c r="K149" s="12"/>
      <c r="L149" s="12"/>
      <c r="M149" s="12"/>
      <c r="N149" s="12"/>
      <c r="O149" s="3"/>
      <c r="P149" s="3"/>
      <c r="Q149" s="3"/>
    </row>
    <row r="150" spans="1:17" ht="15">
      <c r="A150" s="12"/>
      <c r="B150" s="12"/>
      <c r="C150" s="12"/>
      <c r="D150" s="12"/>
      <c r="E150" s="12"/>
      <c r="F150" s="12"/>
      <c r="G150" s="12"/>
      <c r="H150" s="12"/>
      <c r="I150" s="12"/>
      <c r="J150" s="12"/>
      <c r="K150" s="12"/>
      <c r="L150" s="12"/>
      <c r="M150" s="12"/>
      <c r="N150" s="12"/>
      <c r="O150" s="3"/>
      <c r="P150" s="3"/>
      <c r="Q150" s="3"/>
    </row>
    <row r="151" spans="1:17" ht="15">
      <c r="A151" s="12"/>
      <c r="B151" s="12"/>
      <c r="C151" s="12"/>
      <c r="D151" s="12"/>
      <c r="E151" s="12"/>
      <c r="F151" s="12"/>
      <c r="G151" s="12"/>
      <c r="H151" s="12"/>
      <c r="I151" s="12"/>
      <c r="J151" s="12"/>
      <c r="K151" s="12"/>
      <c r="L151" s="12"/>
      <c r="M151" s="12"/>
      <c r="N151" s="12"/>
      <c r="O151" s="3"/>
      <c r="P151" s="3"/>
      <c r="Q151" s="3"/>
    </row>
    <row r="152" spans="1:17" ht="15">
      <c r="A152" s="12"/>
      <c r="B152" s="12"/>
      <c r="C152" s="12"/>
      <c r="D152" s="12"/>
      <c r="E152" s="12"/>
      <c r="F152" s="12"/>
      <c r="G152" s="12"/>
      <c r="H152" s="12"/>
      <c r="I152" s="12"/>
      <c r="J152" s="12"/>
      <c r="K152" s="12"/>
      <c r="L152" s="12"/>
      <c r="M152" s="12"/>
      <c r="N152" s="12"/>
      <c r="O152" s="3"/>
      <c r="P152" s="3"/>
      <c r="Q152" s="3"/>
    </row>
    <row r="153" spans="1:17" ht="15">
      <c r="A153" s="12"/>
      <c r="B153" s="12"/>
      <c r="C153" s="12"/>
      <c r="D153" s="12"/>
      <c r="E153" s="12"/>
      <c r="F153" s="12"/>
      <c r="G153" s="12"/>
      <c r="H153" s="12"/>
      <c r="I153" s="12"/>
      <c r="J153" s="12"/>
      <c r="K153" s="12"/>
      <c r="L153" s="12"/>
      <c r="M153" s="12"/>
      <c r="N153" s="12"/>
      <c r="O153" s="3"/>
      <c r="P153" s="3"/>
      <c r="Q153" s="3"/>
    </row>
    <row r="154" spans="1:17" ht="15">
      <c r="A154" s="12"/>
      <c r="B154" s="12"/>
      <c r="C154" s="12"/>
      <c r="D154" s="12"/>
      <c r="E154" s="12"/>
      <c r="F154" s="12"/>
      <c r="G154" s="12"/>
      <c r="H154" s="12"/>
      <c r="I154" s="12"/>
      <c r="J154" s="12"/>
      <c r="K154" s="12"/>
      <c r="L154" s="12"/>
      <c r="M154" s="12"/>
      <c r="N154" s="12"/>
      <c r="O154" s="3"/>
      <c r="P154" s="3"/>
      <c r="Q154" s="3"/>
    </row>
    <row r="155" spans="1:17" ht="15">
      <c r="A155" s="12"/>
      <c r="B155" s="12"/>
      <c r="C155" s="12"/>
      <c r="D155" s="12"/>
      <c r="E155" s="12"/>
      <c r="F155" s="12"/>
      <c r="G155" s="12"/>
      <c r="H155" s="12"/>
      <c r="I155" s="12"/>
      <c r="J155" s="12"/>
      <c r="K155" s="12"/>
      <c r="L155" s="12"/>
      <c r="M155" s="12"/>
      <c r="N155" s="12"/>
      <c r="O155" s="3"/>
      <c r="P155" s="3"/>
      <c r="Q155" s="3"/>
    </row>
    <row r="156" spans="1:17" ht="15">
      <c r="A156" s="12"/>
      <c r="B156" s="12"/>
      <c r="C156" s="12"/>
      <c r="D156" s="12"/>
      <c r="E156" s="12"/>
      <c r="F156" s="12"/>
      <c r="G156" s="12"/>
      <c r="H156" s="12"/>
      <c r="I156" s="12"/>
      <c r="J156" s="12"/>
      <c r="K156" s="12"/>
      <c r="L156" s="12"/>
      <c r="M156" s="12"/>
      <c r="N156" s="12"/>
      <c r="O156" s="3"/>
      <c r="P156" s="3"/>
      <c r="Q156" s="3"/>
    </row>
    <row r="157" spans="1:17" ht="15">
      <c r="A157" s="12"/>
      <c r="B157" s="12"/>
      <c r="C157" s="12"/>
      <c r="D157" s="12"/>
      <c r="E157" s="12"/>
      <c r="F157" s="12"/>
      <c r="G157" s="12"/>
      <c r="H157" s="12"/>
      <c r="I157" s="12"/>
      <c r="J157" s="12"/>
      <c r="K157" s="12"/>
      <c r="L157" s="12"/>
      <c r="M157" s="12"/>
      <c r="N157" s="12"/>
      <c r="O157" s="3"/>
      <c r="P157" s="3"/>
      <c r="Q157" s="3"/>
    </row>
    <row r="158" spans="1:17" ht="15">
      <c r="A158" s="12"/>
      <c r="B158" s="12"/>
      <c r="C158" s="12"/>
      <c r="D158" s="12"/>
      <c r="E158" s="12"/>
      <c r="F158" s="12"/>
      <c r="G158" s="12"/>
      <c r="H158" s="12"/>
      <c r="I158" s="12"/>
      <c r="J158" s="12"/>
      <c r="K158" s="12"/>
      <c r="L158" s="12"/>
      <c r="M158" s="12"/>
      <c r="N158" s="12"/>
      <c r="O158" s="3"/>
      <c r="P158" s="3"/>
      <c r="Q158" s="3"/>
    </row>
    <row r="159" spans="1:17" ht="15">
      <c r="A159" s="12"/>
      <c r="B159" s="12"/>
      <c r="C159" s="12"/>
      <c r="D159" s="12"/>
      <c r="E159" s="12"/>
      <c r="F159" s="12"/>
      <c r="G159" s="12"/>
      <c r="H159" s="12"/>
      <c r="I159" s="12"/>
      <c r="J159" s="12"/>
      <c r="K159" s="12"/>
      <c r="L159" s="12"/>
      <c r="M159" s="12"/>
      <c r="N159" s="12"/>
      <c r="O159" s="3"/>
      <c r="P159" s="3"/>
      <c r="Q159" s="3"/>
    </row>
    <row r="160" spans="1:17" ht="15">
      <c r="A160" s="12"/>
      <c r="B160" s="12"/>
      <c r="C160" s="12"/>
      <c r="D160" s="12"/>
      <c r="E160" s="12"/>
      <c r="F160" s="12"/>
      <c r="G160" s="12"/>
      <c r="H160" s="12"/>
      <c r="I160" s="12"/>
      <c r="J160" s="12"/>
      <c r="K160" s="12"/>
      <c r="L160" s="12"/>
      <c r="M160" s="12"/>
      <c r="N160" s="12"/>
      <c r="O160" s="3"/>
      <c r="P160" s="3"/>
      <c r="Q160" s="3"/>
    </row>
    <row r="161" spans="1:17" ht="15">
      <c r="A161" s="12"/>
      <c r="B161" s="12"/>
      <c r="C161" s="12"/>
      <c r="D161" s="12"/>
      <c r="E161" s="12"/>
      <c r="F161" s="12"/>
      <c r="G161" s="12"/>
      <c r="H161" s="12"/>
      <c r="I161" s="12"/>
      <c r="J161" s="12"/>
      <c r="K161" s="12"/>
      <c r="L161" s="12"/>
      <c r="M161" s="12"/>
      <c r="N161" s="12"/>
      <c r="O161" s="3"/>
      <c r="P161" s="3"/>
      <c r="Q161" s="3"/>
    </row>
    <row r="162" spans="1:17" ht="15">
      <c r="A162" s="12"/>
      <c r="B162" s="12"/>
      <c r="C162" s="12"/>
      <c r="D162" s="12"/>
      <c r="E162" s="12"/>
      <c r="F162" s="12"/>
      <c r="G162" s="12"/>
      <c r="H162" s="12"/>
      <c r="I162" s="12"/>
      <c r="J162" s="12"/>
      <c r="K162" s="12"/>
      <c r="L162" s="12"/>
      <c r="M162" s="12"/>
      <c r="N162" s="12"/>
      <c r="O162" s="3"/>
      <c r="P162" s="3"/>
      <c r="Q162" s="3"/>
    </row>
    <row r="163" spans="1:17" ht="15">
      <c r="A163" s="12"/>
      <c r="B163" s="12"/>
      <c r="C163" s="12"/>
      <c r="D163" s="12"/>
      <c r="E163" s="12"/>
      <c r="F163" s="12"/>
      <c r="G163" s="12"/>
      <c r="H163" s="12"/>
      <c r="I163" s="12"/>
      <c r="J163" s="12"/>
      <c r="K163" s="12"/>
      <c r="L163" s="12"/>
      <c r="M163" s="12"/>
      <c r="N163" s="12"/>
      <c r="O163" s="3"/>
      <c r="P163" s="3"/>
      <c r="Q163" s="3"/>
    </row>
    <row r="164" spans="1:17" ht="15">
      <c r="A164" s="12"/>
      <c r="B164" s="12"/>
      <c r="C164" s="12"/>
      <c r="D164" s="12"/>
      <c r="E164" s="12"/>
      <c r="F164" s="12"/>
      <c r="G164" s="12"/>
      <c r="H164" s="12"/>
      <c r="I164" s="12"/>
      <c r="J164" s="12"/>
      <c r="K164" s="12"/>
      <c r="L164" s="12"/>
      <c r="M164" s="12"/>
      <c r="N164" s="12"/>
      <c r="O164" s="3"/>
      <c r="P164" s="3"/>
      <c r="Q164" s="3"/>
    </row>
    <row r="165" spans="1:17" ht="15">
      <c r="A165" s="12"/>
      <c r="B165" s="12"/>
      <c r="C165" s="12"/>
      <c r="D165" s="12"/>
      <c r="E165" s="12"/>
      <c r="F165" s="12"/>
      <c r="G165" s="12"/>
      <c r="H165" s="12"/>
      <c r="I165" s="12"/>
      <c r="J165" s="12"/>
      <c r="K165" s="12"/>
      <c r="L165" s="12"/>
      <c r="M165" s="12"/>
      <c r="N165" s="12"/>
      <c r="O165" s="3"/>
      <c r="P165" s="3"/>
      <c r="Q165" s="3"/>
    </row>
    <row r="166" spans="1:17" ht="15">
      <c r="A166" s="12"/>
      <c r="B166" s="12"/>
      <c r="C166" s="12"/>
      <c r="D166" s="12"/>
      <c r="E166" s="12"/>
      <c r="F166" s="12"/>
      <c r="G166" s="12"/>
      <c r="H166" s="12"/>
      <c r="I166" s="12"/>
      <c r="J166" s="12"/>
      <c r="K166" s="12"/>
      <c r="L166" s="12"/>
      <c r="M166" s="12"/>
      <c r="N166" s="12"/>
      <c r="O166" s="3"/>
      <c r="P166" s="3"/>
      <c r="Q166" s="3"/>
    </row>
    <row r="167" spans="1:17" ht="15">
      <c r="A167" s="12"/>
      <c r="B167" s="12"/>
      <c r="C167" s="12"/>
      <c r="D167" s="12"/>
      <c r="E167" s="12"/>
      <c r="F167" s="12"/>
      <c r="G167" s="12"/>
      <c r="H167" s="12"/>
      <c r="I167" s="12"/>
      <c r="J167" s="12"/>
      <c r="K167" s="12"/>
      <c r="L167" s="12"/>
      <c r="M167" s="12"/>
      <c r="N167" s="12"/>
      <c r="O167" s="3"/>
      <c r="P167" s="3"/>
      <c r="Q167" s="3"/>
    </row>
    <row r="168" spans="1:17" ht="15">
      <c r="A168" s="12"/>
      <c r="B168" s="12"/>
      <c r="C168" s="12"/>
      <c r="D168" s="12"/>
      <c r="E168" s="12"/>
      <c r="F168" s="12"/>
      <c r="G168" s="12"/>
      <c r="H168" s="12"/>
      <c r="I168" s="12"/>
      <c r="J168" s="12"/>
      <c r="K168" s="12"/>
      <c r="L168" s="12"/>
      <c r="M168" s="12"/>
      <c r="N168" s="12"/>
      <c r="O168" s="3"/>
      <c r="P168" s="3"/>
      <c r="Q168" s="3"/>
    </row>
    <row r="169" spans="1:17" ht="15">
      <c r="A169" s="12"/>
      <c r="B169" s="12"/>
      <c r="C169" s="12"/>
      <c r="D169" s="12"/>
      <c r="E169" s="12"/>
      <c r="F169" s="12"/>
      <c r="G169" s="12"/>
      <c r="H169" s="12"/>
      <c r="I169" s="12"/>
      <c r="J169" s="12"/>
      <c r="K169" s="12"/>
      <c r="L169" s="12"/>
      <c r="M169" s="12"/>
      <c r="N169" s="12"/>
      <c r="O169" s="3"/>
      <c r="P169" s="3"/>
      <c r="Q169" s="3"/>
    </row>
    <row r="170" spans="1:17" ht="15">
      <c r="A170" s="12"/>
      <c r="B170" s="12"/>
      <c r="C170" s="12"/>
      <c r="D170" s="12"/>
      <c r="E170" s="12"/>
      <c r="F170" s="12"/>
      <c r="G170" s="12"/>
      <c r="H170" s="12"/>
      <c r="I170" s="12"/>
      <c r="J170" s="12"/>
      <c r="K170" s="12"/>
      <c r="L170" s="12"/>
      <c r="M170" s="12"/>
      <c r="N170" s="12"/>
      <c r="O170" s="3"/>
      <c r="P170" s="3"/>
      <c r="Q170" s="3"/>
    </row>
    <row r="171" spans="1:17" ht="15">
      <c r="A171" s="12"/>
      <c r="B171" s="12"/>
      <c r="C171" s="12"/>
      <c r="D171" s="12"/>
      <c r="E171" s="12"/>
      <c r="F171" s="12"/>
      <c r="G171" s="12"/>
      <c r="H171" s="12"/>
      <c r="I171" s="12"/>
      <c r="J171" s="12"/>
      <c r="K171" s="12"/>
      <c r="L171" s="12"/>
      <c r="M171" s="12"/>
      <c r="N171" s="12"/>
      <c r="O171" s="3"/>
      <c r="P171" s="3"/>
      <c r="Q171" s="3"/>
    </row>
    <row r="172" spans="1:17" ht="15">
      <c r="A172" s="12"/>
      <c r="B172" s="12"/>
      <c r="C172" s="12"/>
      <c r="D172" s="12"/>
      <c r="E172" s="12"/>
      <c r="F172" s="12"/>
      <c r="G172" s="12"/>
      <c r="H172" s="12"/>
      <c r="I172" s="12"/>
      <c r="J172" s="12"/>
      <c r="K172" s="12"/>
      <c r="L172" s="12"/>
      <c r="M172" s="12"/>
      <c r="N172" s="12"/>
      <c r="O172" s="3"/>
      <c r="P172" s="3"/>
      <c r="Q172" s="3"/>
    </row>
    <row r="173" spans="1:17" ht="15">
      <c r="A173" s="12"/>
      <c r="B173" s="12"/>
      <c r="C173" s="12"/>
      <c r="D173" s="12"/>
      <c r="E173" s="12"/>
      <c r="F173" s="12"/>
      <c r="G173" s="12"/>
      <c r="H173" s="12"/>
      <c r="I173" s="12"/>
      <c r="J173" s="12"/>
      <c r="K173" s="12"/>
      <c r="L173" s="12"/>
      <c r="M173" s="12"/>
      <c r="N173" s="12"/>
      <c r="O173" s="3"/>
      <c r="P173" s="3"/>
      <c r="Q173" s="3"/>
    </row>
    <row r="174" spans="1:17" ht="15">
      <c r="A174" s="12"/>
      <c r="B174" s="12"/>
      <c r="C174" s="12"/>
      <c r="D174" s="12"/>
      <c r="E174" s="12"/>
      <c r="F174" s="12"/>
      <c r="G174" s="12"/>
      <c r="H174" s="12"/>
      <c r="I174" s="12"/>
      <c r="J174" s="12"/>
      <c r="K174" s="12"/>
      <c r="L174" s="12"/>
      <c r="M174" s="12"/>
      <c r="N174" s="12"/>
      <c r="O174" s="3"/>
      <c r="P174" s="3"/>
      <c r="Q174" s="3"/>
    </row>
    <row r="175" spans="1:17" ht="15">
      <c r="A175" s="12"/>
      <c r="B175" s="12"/>
      <c r="C175" s="12"/>
      <c r="D175" s="12"/>
      <c r="E175" s="12"/>
      <c r="F175" s="12"/>
      <c r="G175" s="12"/>
      <c r="H175" s="12"/>
      <c r="I175" s="12"/>
      <c r="J175" s="12"/>
      <c r="K175" s="12"/>
      <c r="L175" s="12"/>
      <c r="M175" s="12"/>
      <c r="N175" s="12"/>
      <c r="O175" s="3"/>
      <c r="P175" s="3"/>
      <c r="Q175" s="3"/>
    </row>
    <row r="176" spans="1:17" ht="15">
      <c r="A176" s="12"/>
      <c r="B176" s="12"/>
      <c r="C176" s="12"/>
      <c r="D176" s="12"/>
      <c r="E176" s="12"/>
      <c r="F176" s="12"/>
      <c r="G176" s="12"/>
      <c r="H176" s="12"/>
      <c r="I176" s="12"/>
      <c r="J176" s="12"/>
      <c r="K176" s="12"/>
      <c r="L176" s="12"/>
      <c r="M176" s="12"/>
      <c r="N176" s="12"/>
      <c r="O176" s="3"/>
      <c r="P176" s="3"/>
      <c r="Q176" s="3"/>
    </row>
    <row r="177" spans="1:17" ht="15">
      <c r="A177" s="12"/>
      <c r="B177" s="12"/>
      <c r="C177" s="12"/>
      <c r="D177" s="12"/>
      <c r="E177" s="12"/>
      <c r="F177" s="12"/>
      <c r="G177" s="12"/>
      <c r="H177" s="12"/>
      <c r="I177" s="12"/>
      <c r="J177" s="12"/>
      <c r="K177" s="12"/>
      <c r="L177" s="12"/>
      <c r="M177" s="12"/>
      <c r="N177" s="12"/>
      <c r="O177" s="3"/>
      <c r="P177" s="3"/>
      <c r="Q177" s="3"/>
    </row>
    <row r="178" spans="1:17" ht="15">
      <c r="A178" s="12"/>
      <c r="B178" s="12"/>
      <c r="C178" s="12"/>
      <c r="D178" s="12"/>
      <c r="E178" s="12"/>
      <c r="F178" s="12"/>
      <c r="G178" s="12"/>
      <c r="H178" s="12"/>
      <c r="I178" s="12"/>
      <c r="J178" s="12"/>
      <c r="K178" s="12"/>
      <c r="L178" s="12"/>
      <c r="M178" s="12"/>
      <c r="N178" s="12"/>
      <c r="O178" s="3"/>
      <c r="P178" s="3"/>
      <c r="Q178" s="3"/>
    </row>
    <row r="179" spans="1:17" ht="15">
      <c r="A179" s="12"/>
      <c r="B179" s="12"/>
      <c r="C179" s="12"/>
      <c r="D179" s="12"/>
      <c r="E179" s="12"/>
      <c r="F179" s="12"/>
      <c r="G179" s="12"/>
      <c r="H179" s="12"/>
      <c r="I179" s="12"/>
      <c r="J179" s="12"/>
      <c r="K179" s="12"/>
      <c r="L179" s="12"/>
      <c r="M179" s="12"/>
      <c r="N179" s="12"/>
      <c r="O179" s="3"/>
      <c r="P179" s="3"/>
      <c r="Q179" s="3"/>
    </row>
    <row r="180" spans="1:17" ht="15">
      <c r="A180" s="12"/>
      <c r="B180" s="12"/>
      <c r="C180" s="12"/>
      <c r="D180" s="12"/>
      <c r="E180" s="12"/>
      <c r="F180" s="12"/>
      <c r="G180" s="12"/>
      <c r="H180" s="12"/>
      <c r="I180" s="12"/>
      <c r="J180" s="12"/>
      <c r="K180" s="12"/>
      <c r="L180" s="12"/>
      <c r="M180" s="12"/>
      <c r="N180" s="12"/>
      <c r="O180" s="3"/>
      <c r="P180" s="3"/>
      <c r="Q180" s="3"/>
    </row>
    <row r="181" spans="1:17" ht="15">
      <c r="A181" s="12"/>
      <c r="B181" s="12"/>
      <c r="C181" s="12"/>
      <c r="D181" s="12"/>
      <c r="E181" s="12"/>
      <c r="F181" s="12"/>
      <c r="G181" s="12"/>
      <c r="H181" s="12"/>
      <c r="I181" s="12"/>
      <c r="J181" s="12"/>
      <c r="K181" s="12"/>
      <c r="L181" s="12"/>
      <c r="M181" s="12"/>
      <c r="N181" s="12"/>
      <c r="O181" s="3"/>
      <c r="P181" s="3"/>
      <c r="Q181" s="3"/>
    </row>
    <row r="182" spans="1:17" ht="15">
      <c r="A182" s="12"/>
      <c r="B182" s="12"/>
      <c r="C182" s="12"/>
      <c r="D182" s="12"/>
      <c r="E182" s="12"/>
      <c r="F182" s="12"/>
      <c r="G182" s="12"/>
      <c r="H182" s="12"/>
      <c r="I182" s="12"/>
      <c r="J182" s="12"/>
      <c r="K182" s="12"/>
      <c r="L182" s="12"/>
      <c r="M182" s="12"/>
      <c r="N182" s="12"/>
      <c r="O182" s="3"/>
      <c r="P182" s="3"/>
      <c r="Q182" s="3"/>
    </row>
    <row r="183" spans="1:17" ht="15">
      <c r="A183" s="12"/>
      <c r="B183" s="12"/>
      <c r="C183" s="12"/>
      <c r="D183" s="12"/>
      <c r="E183" s="12"/>
      <c r="F183" s="12"/>
      <c r="G183" s="12"/>
      <c r="H183" s="12"/>
      <c r="I183" s="12"/>
      <c r="J183" s="12"/>
      <c r="K183" s="12"/>
      <c r="L183" s="12"/>
      <c r="M183" s="12"/>
      <c r="N183" s="12"/>
      <c r="O183" s="3"/>
      <c r="P183" s="3"/>
      <c r="Q183" s="3"/>
    </row>
    <row r="184" spans="1:17" ht="15">
      <c r="A184" s="12"/>
      <c r="B184" s="12"/>
      <c r="C184" s="12"/>
      <c r="D184" s="12"/>
      <c r="E184" s="12"/>
      <c r="F184" s="12"/>
      <c r="G184" s="12"/>
      <c r="H184" s="12"/>
      <c r="I184" s="12"/>
      <c r="J184" s="12"/>
      <c r="K184" s="12"/>
      <c r="L184" s="12"/>
      <c r="M184" s="12"/>
      <c r="N184" s="12"/>
      <c r="O184" s="3"/>
      <c r="P184" s="3"/>
      <c r="Q184" s="3"/>
    </row>
    <row r="185" spans="1:17" ht="15">
      <c r="A185" s="12"/>
      <c r="B185" s="12"/>
      <c r="C185" s="12"/>
      <c r="D185" s="12"/>
      <c r="E185" s="12"/>
      <c r="F185" s="12"/>
      <c r="G185" s="12"/>
      <c r="H185" s="12"/>
      <c r="I185" s="12"/>
      <c r="J185" s="12"/>
      <c r="K185" s="12"/>
      <c r="L185" s="12"/>
      <c r="M185" s="12"/>
      <c r="N185" s="12"/>
      <c r="O185" s="3"/>
      <c r="P185" s="3"/>
      <c r="Q185" s="3"/>
    </row>
    <row r="186" spans="1:17" ht="15">
      <c r="A186" s="12"/>
      <c r="B186" s="12"/>
      <c r="C186" s="12"/>
      <c r="D186" s="12"/>
      <c r="E186" s="12"/>
      <c r="F186" s="12"/>
      <c r="G186" s="12"/>
      <c r="H186" s="12"/>
      <c r="I186" s="12"/>
      <c r="J186" s="12"/>
      <c r="K186" s="12"/>
      <c r="L186" s="12"/>
      <c r="M186" s="12"/>
      <c r="N186" s="12"/>
      <c r="O186" s="3"/>
      <c r="P186" s="3"/>
      <c r="Q186" s="3"/>
    </row>
    <row r="187" spans="1:17" ht="15">
      <c r="A187" s="12"/>
      <c r="B187" s="12"/>
      <c r="C187" s="12"/>
      <c r="D187" s="12"/>
      <c r="E187" s="12"/>
      <c r="F187" s="12"/>
      <c r="G187" s="12"/>
      <c r="H187" s="12"/>
      <c r="I187" s="12"/>
      <c r="J187" s="12"/>
      <c r="K187" s="12"/>
      <c r="L187" s="12"/>
      <c r="M187" s="12"/>
      <c r="N187" s="12"/>
      <c r="O187" s="3"/>
      <c r="P187" s="3"/>
      <c r="Q187" s="3"/>
    </row>
    <row r="188" spans="1:17" ht="15">
      <c r="A188" s="12"/>
      <c r="B188" s="12"/>
      <c r="C188" s="12"/>
      <c r="D188" s="12"/>
      <c r="E188" s="12"/>
      <c r="F188" s="12"/>
      <c r="G188" s="12"/>
      <c r="H188" s="12"/>
      <c r="I188" s="12"/>
      <c r="J188" s="12"/>
      <c r="K188" s="12"/>
      <c r="L188" s="12"/>
      <c r="M188" s="12"/>
      <c r="N188" s="12"/>
      <c r="O188" s="3"/>
      <c r="P188" s="3"/>
      <c r="Q188" s="3"/>
    </row>
    <row r="189" spans="1:17" ht="15">
      <c r="A189" s="12"/>
      <c r="B189" s="12"/>
      <c r="C189" s="12"/>
      <c r="D189" s="12"/>
      <c r="E189" s="12"/>
      <c r="F189" s="12"/>
      <c r="G189" s="12"/>
      <c r="H189" s="12"/>
      <c r="I189" s="12"/>
      <c r="J189" s="12"/>
      <c r="K189" s="12"/>
      <c r="L189" s="12"/>
      <c r="M189" s="12"/>
      <c r="N189" s="12"/>
      <c r="O189" s="3"/>
      <c r="P189" s="3"/>
      <c r="Q189" s="3"/>
    </row>
    <row r="190" spans="1:17" ht="15">
      <c r="A190" s="12"/>
      <c r="B190" s="12"/>
      <c r="C190" s="12"/>
      <c r="D190" s="12"/>
      <c r="E190" s="12"/>
      <c r="F190" s="12"/>
      <c r="G190" s="12"/>
      <c r="H190" s="12"/>
      <c r="I190" s="12"/>
      <c r="J190" s="12"/>
      <c r="K190" s="12"/>
      <c r="L190" s="12"/>
      <c r="M190" s="12"/>
      <c r="N190" s="12"/>
      <c r="O190" s="3"/>
      <c r="P190" s="3"/>
      <c r="Q190" s="3"/>
    </row>
    <row r="191" spans="1:17" ht="15">
      <c r="A191" s="12"/>
      <c r="B191" s="12"/>
      <c r="C191" s="12"/>
      <c r="D191" s="12"/>
      <c r="E191" s="12"/>
      <c r="F191" s="12"/>
      <c r="G191" s="12"/>
      <c r="H191" s="12"/>
      <c r="I191" s="12"/>
      <c r="J191" s="12"/>
      <c r="K191" s="12"/>
      <c r="L191" s="12"/>
      <c r="M191" s="12"/>
      <c r="N191" s="12"/>
      <c r="O191" s="3"/>
      <c r="P191" s="3"/>
      <c r="Q191" s="3"/>
    </row>
    <row r="192" spans="1:17" ht="15">
      <c r="A192" s="12"/>
      <c r="B192" s="12"/>
      <c r="C192" s="12"/>
      <c r="D192" s="12"/>
      <c r="E192" s="12"/>
      <c r="F192" s="12"/>
      <c r="G192" s="12"/>
      <c r="H192" s="12"/>
      <c r="I192" s="12"/>
      <c r="J192" s="12"/>
      <c r="K192" s="12"/>
      <c r="L192" s="12"/>
      <c r="M192" s="12"/>
      <c r="N192" s="12"/>
      <c r="O192" s="3"/>
      <c r="P192" s="3"/>
      <c r="Q192" s="3"/>
    </row>
    <row r="193" spans="1:17" ht="15">
      <c r="A193" s="12"/>
      <c r="B193" s="12"/>
      <c r="C193" s="12"/>
      <c r="D193" s="12"/>
      <c r="E193" s="12"/>
      <c r="F193" s="12"/>
      <c r="G193" s="12"/>
      <c r="H193" s="12"/>
      <c r="I193" s="12"/>
      <c r="J193" s="12"/>
      <c r="K193" s="12"/>
      <c r="L193" s="12"/>
      <c r="M193" s="12"/>
      <c r="N193" s="12"/>
      <c r="O193" s="3"/>
      <c r="P193" s="3"/>
      <c r="Q193" s="3"/>
    </row>
    <row r="194" spans="1:17" ht="15">
      <c r="A194" s="12"/>
      <c r="B194" s="12"/>
      <c r="C194" s="12"/>
      <c r="D194" s="12"/>
      <c r="E194" s="12"/>
      <c r="F194" s="12"/>
      <c r="G194" s="12"/>
      <c r="H194" s="12"/>
      <c r="I194" s="12"/>
      <c r="J194" s="12"/>
      <c r="K194" s="12"/>
      <c r="L194" s="12"/>
      <c r="M194" s="12"/>
      <c r="N194" s="12"/>
      <c r="O194" s="3"/>
      <c r="P194" s="3"/>
      <c r="Q194" s="3"/>
    </row>
    <row r="195" spans="1:17" ht="15">
      <c r="A195" s="12"/>
      <c r="B195" s="12"/>
      <c r="C195" s="12"/>
      <c r="D195" s="12"/>
      <c r="E195" s="12"/>
      <c r="F195" s="12"/>
      <c r="G195" s="12"/>
      <c r="H195" s="12"/>
      <c r="I195" s="12"/>
      <c r="J195" s="12"/>
      <c r="K195" s="12"/>
      <c r="L195" s="12"/>
      <c r="M195" s="12"/>
      <c r="N195" s="12"/>
      <c r="O195" s="3"/>
      <c r="P195" s="3"/>
      <c r="Q195" s="3"/>
    </row>
    <row r="196" spans="1:17" ht="15">
      <c r="A196" s="12"/>
      <c r="B196" s="12"/>
      <c r="C196" s="12"/>
      <c r="D196" s="12"/>
      <c r="E196" s="12"/>
      <c r="F196" s="12"/>
      <c r="G196" s="12"/>
      <c r="H196" s="12"/>
      <c r="I196" s="12"/>
      <c r="J196" s="12"/>
      <c r="K196" s="12"/>
      <c r="L196" s="12"/>
      <c r="M196" s="12"/>
      <c r="N196" s="12"/>
      <c r="O196" s="3"/>
      <c r="P196" s="3"/>
      <c r="Q196" s="3"/>
    </row>
    <row r="197" spans="1:17" ht="15">
      <c r="A197" s="12"/>
      <c r="B197" s="12"/>
      <c r="C197" s="12"/>
      <c r="D197" s="12"/>
      <c r="E197" s="12"/>
      <c r="F197" s="12"/>
      <c r="G197" s="12"/>
      <c r="H197" s="12"/>
      <c r="I197" s="12"/>
      <c r="J197" s="12"/>
      <c r="K197" s="12"/>
      <c r="L197" s="12"/>
      <c r="M197" s="12"/>
      <c r="N197" s="12"/>
      <c r="O197" s="3"/>
      <c r="P197" s="3"/>
      <c r="Q197" s="3"/>
    </row>
    <row r="198" spans="1:17" ht="15">
      <c r="A198" s="12"/>
      <c r="B198" s="12"/>
      <c r="C198" s="12"/>
      <c r="D198" s="12"/>
      <c r="E198" s="12"/>
      <c r="F198" s="12"/>
      <c r="G198" s="12"/>
      <c r="H198" s="12"/>
      <c r="I198" s="12"/>
      <c r="J198" s="12"/>
      <c r="K198" s="12"/>
      <c r="L198" s="12"/>
      <c r="M198" s="12"/>
      <c r="N198" s="12"/>
      <c r="O198" s="3"/>
      <c r="P198" s="3"/>
      <c r="Q198" s="3"/>
    </row>
    <row r="199" spans="1:17" ht="15">
      <c r="A199" s="12"/>
      <c r="B199" s="12"/>
      <c r="C199" s="12"/>
      <c r="D199" s="12"/>
      <c r="E199" s="12"/>
      <c r="F199" s="12"/>
      <c r="G199" s="12"/>
      <c r="H199" s="12"/>
      <c r="I199" s="12"/>
      <c r="J199" s="12"/>
      <c r="K199" s="12"/>
      <c r="L199" s="12"/>
      <c r="M199" s="12"/>
      <c r="N199" s="12"/>
      <c r="O199" s="3"/>
      <c r="P199" s="3"/>
      <c r="Q199" s="3"/>
    </row>
    <row r="200" spans="1:17" ht="15">
      <c r="A200" s="12"/>
      <c r="B200" s="12"/>
      <c r="C200" s="12"/>
      <c r="D200" s="12"/>
      <c r="E200" s="12"/>
      <c r="F200" s="12"/>
      <c r="G200" s="12"/>
      <c r="H200" s="12"/>
      <c r="I200" s="12"/>
      <c r="J200" s="12"/>
      <c r="K200" s="12"/>
      <c r="L200" s="12"/>
      <c r="M200" s="12"/>
      <c r="N200" s="12"/>
      <c r="O200" s="3"/>
      <c r="P200" s="3"/>
      <c r="Q200" s="3"/>
    </row>
    <row r="201" spans="1:17" ht="15">
      <c r="A201" s="12"/>
      <c r="B201" s="12"/>
      <c r="C201" s="12"/>
      <c r="D201" s="12"/>
      <c r="E201" s="12"/>
      <c r="F201" s="12"/>
      <c r="G201" s="12"/>
      <c r="H201" s="12"/>
      <c r="I201" s="12"/>
      <c r="J201" s="12"/>
      <c r="K201" s="12"/>
      <c r="L201" s="12"/>
      <c r="M201" s="12"/>
      <c r="N201" s="12"/>
      <c r="O201" s="3"/>
      <c r="P201" s="3"/>
      <c r="Q201" s="3"/>
    </row>
    <row r="202" spans="1:17" ht="15">
      <c r="A202" s="12"/>
      <c r="B202" s="12"/>
      <c r="C202" s="12"/>
      <c r="D202" s="12"/>
      <c r="E202" s="12"/>
      <c r="F202" s="12"/>
      <c r="G202" s="12"/>
      <c r="H202" s="12"/>
      <c r="I202" s="12"/>
      <c r="J202" s="12"/>
      <c r="K202" s="12"/>
      <c r="L202" s="12"/>
      <c r="M202" s="12"/>
      <c r="N202" s="12"/>
      <c r="O202" s="3"/>
      <c r="P202" s="3"/>
      <c r="Q202" s="3"/>
    </row>
    <row r="203" spans="1:17" ht="15">
      <c r="A203" s="12"/>
      <c r="B203" s="12"/>
      <c r="C203" s="12"/>
      <c r="D203" s="12"/>
      <c r="E203" s="12"/>
      <c r="F203" s="12"/>
      <c r="G203" s="12"/>
      <c r="H203" s="12"/>
      <c r="I203" s="12"/>
      <c r="J203" s="12"/>
      <c r="K203" s="12"/>
      <c r="L203" s="12"/>
      <c r="M203" s="12"/>
      <c r="N203" s="12"/>
      <c r="O203" s="3"/>
      <c r="P203" s="3"/>
      <c r="Q203" s="3"/>
    </row>
    <row r="204" spans="1:17" ht="15">
      <c r="A204" s="12"/>
      <c r="B204" s="12"/>
      <c r="C204" s="12"/>
      <c r="D204" s="12"/>
      <c r="E204" s="12"/>
      <c r="F204" s="12"/>
      <c r="G204" s="12"/>
      <c r="H204" s="12"/>
      <c r="I204" s="12"/>
      <c r="J204" s="12"/>
      <c r="K204" s="12"/>
      <c r="L204" s="12"/>
      <c r="M204" s="12"/>
      <c r="N204" s="12"/>
      <c r="O204" s="3"/>
      <c r="P204" s="3"/>
      <c r="Q204" s="3"/>
    </row>
    <row r="205" spans="1:17" ht="15">
      <c r="A205" s="12"/>
      <c r="B205" s="12"/>
      <c r="C205" s="12"/>
      <c r="D205" s="12"/>
      <c r="E205" s="12"/>
      <c r="F205" s="12"/>
      <c r="G205" s="12"/>
      <c r="H205" s="12"/>
      <c r="I205" s="12"/>
      <c r="J205" s="12"/>
      <c r="K205" s="12"/>
      <c r="L205" s="12"/>
      <c r="M205" s="12"/>
      <c r="N205" s="12"/>
      <c r="O205" s="3"/>
      <c r="P205" s="3"/>
      <c r="Q205" s="3"/>
    </row>
    <row r="206" spans="1:17" ht="15">
      <c r="A206" s="12"/>
      <c r="B206" s="12"/>
      <c r="C206" s="12"/>
      <c r="D206" s="12"/>
      <c r="E206" s="12"/>
      <c r="F206" s="12"/>
      <c r="G206" s="12"/>
      <c r="H206" s="12"/>
      <c r="I206" s="12"/>
      <c r="J206" s="12"/>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0"/>
  <sheetViews>
    <sheetView workbookViewId="0"/>
  </sheetViews>
  <sheetFormatPr defaultRowHeight="14.25"/>
  <cols>
    <col min="1" max="1" width="14" customWidth="1"/>
    <col min="2" max="2" width="12" customWidth="1"/>
    <col min="3" max="3" width="28" customWidth="1"/>
    <col min="4" max="4" width="34" customWidth="1"/>
    <col min="5" max="5" width="18" customWidth="1"/>
    <col min="6" max="6" width="24" customWidth="1"/>
    <col min="7" max="7" width="12" customWidth="1"/>
    <col min="8" max="9" width="16" customWidth="1"/>
    <col min="10" max="11" width="18" customWidth="1"/>
    <col min="12" max="12" width="24" customWidth="1"/>
    <col min="13" max="13" width="14" customWidth="1"/>
    <col min="14" max="14" width="18" customWidth="1"/>
  </cols>
  <sheetData>
    <row r="1" spans="1:17" ht="24" customHeight="1">
      <c r="A1" s="200" t="s">
        <v>455</v>
      </c>
      <c r="B1" s="201"/>
      <c r="C1" s="201"/>
      <c r="D1" s="201"/>
      <c r="E1" s="201"/>
      <c r="F1" s="201"/>
      <c r="G1" s="201"/>
      <c r="H1" s="201"/>
      <c r="I1" s="201"/>
      <c r="J1" s="201"/>
      <c r="K1" s="201"/>
      <c r="L1" s="203"/>
      <c r="M1" s="203"/>
      <c r="N1" s="203"/>
      <c r="O1" s="3"/>
      <c r="P1" s="3"/>
      <c r="Q1" s="3"/>
    </row>
    <row r="2" spans="1:17" ht="33.950000000000003" customHeight="1">
      <c r="A2" s="202" t="s">
        <v>456</v>
      </c>
      <c r="B2" s="203"/>
      <c r="C2" s="203"/>
      <c r="D2" s="203"/>
      <c r="E2" s="203"/>
      <c r="F2" s="203"/>
      <c r="G2" s="203"/>
      <c r="H2" s="203"/>
      <c r="I2" s="203"/>
      <c r="J2" s="203"/>
      <c r="K2" s="203"/>
      <c r="L2" s="203"/>
      <c r="M2" s="203"/>
      <c r="N2" s="20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457</v>
      </c>
      <c r="B6" s="4" t="s">
        <v>328</v>
      </c>
      <c r="C6" s="4" t="s">
        <v>321</v>
      </c>
      <c r="D6" s="4" t="s">
        <v>458</v>
      </c>
      <c r="E6" s="4" t="s">
        <v>459</v>
      </c>
      <c r="F6" s="4" t="s">
        <v>460</v>
      </c>
      <c r="G6" s="4" t="s">
        <v>461</v>
      </c>
      <c r="H6" s="4" t="s">
        <v>462</v>
      </c>
      <c r="I6" s="4" t="s">
        <v>463</v>
      </c>
      <c r="J6" s="4" t="s">
        <v>464</v>
      </c>
      <c r="K6" s="4" t="s">
        <v>465</v>
      </c>
      <c r="L6" s="4" t="s">
        <v>466</v>
      </c>
      <c r="M6" s="4" t="s">
        <v>418</v>
      </c>
      <c r="N6" s="4" t="s">
        <v>429</v>
      </c>
      <c r="O6" s="3"/>
      <c r="P6" s="3"/>
      <c r="Q6" s="3"/>
    </row>
    <row r="7" spans="1:17" ht="15">
      <c r="A7" s="12"/>
      <c r="B7" s="12"/>
      <c r="C7" s="12"/>
      <c r="D7" s="12"/>
      <c r="E7" s="12"/>
      <c r="F7" s="12"/>
      <c r="G7" s="12"/>
      <c r="H7" s="13"/>
      <c r="I7" s="13"/>
      <c r="J7" s="14" t="str">
        <f t="shared" ref="J7:J38" si="0">IF(H7="","",MAX(H7-I7,0))</f>
        <v/>
      </c>
      <c r="K7" s="12"/>
      <c r="L7" s="12"/>
      <c r="M7" s="12"/>
      <c r="N7" s="12"/>
      <c r="O7" s="3"/>
      <c r="P7" s="3"/>
      <c r="Q7" s="3"/>
    </row>
    <row r="8" spans="1:17" ht="15">
      <c r="A8" s="12"/>
      <c r="B8" s="12"/>
      <c r="C8" s="12"/>
      <c r="D8" s="12"/>
      <c r="E8" s="12"/>
      <c r="F8" s="12"/>
      <c r="G8" s="12"/>
      <c r="H8" s="13"/>
      <c r="I8" s="13"/>
      <c r="J8" s="14" t="str">
        <f t="shared" si="0"/>
        <v/>
      </c>
      <c r="K8" s="12"/>
      <c r="L8" s="12"/>
      <c r="M8" s="12"/>
      <c r="N8" s="12"/>
      <c r="O8" s="3"/>
      <c r="P8" s="3"/>
      <c r="Q8" s="3"/>
    </row>
    <row r="9" spans="1:17" ht="15">
      <c r="A9" s="12"/>
      <c r="B9" s="12"/>
      <c r="C9" s="12"/>
      <c r="D9" s="12"/>
      <c r="E9" s="12"/>
      <c r="F9" s="12"/>
      <c r="G9" s="12"/>
      <c r="H9" s="13"/>
      <c r="I9" s="13"/>
      <c r="J9" s="14" t="str">
        <f t="shared" si="0"/>
        <v/>
      </c>
      <c r="K9" s="12"/>
      <c r="L9" s="12"/>
      <c r="M9" s="12"/>
      <c r="N9" s="12"/>
      <c r="O9" s="3"/>
      <c r="P9" s="3"/>
      <c r="Q9" s="3"/>
    </row>
    <row r="10" spans="1:17" ht="15">
      <c r="A10" s="12"/>
      <c r="B10" s="12"/>
      <c r="C10" s="12"/>
      <c r="D10" s="12"/>
      <c r="E10" s="12"/>
      <c r="F10" s="12"/>
      <c r="G10" s="12"/>
      <c r="H10" s="13"/>
      <c r="I10" s="13"/>
      <c r="J10" s="14" t="str">
        <f t="shared" si="0"/>
        <v/>
      </c>
      <c r="K10" s="12"/>
      <c r="L10" s="12"/>
      <c r="M10" s="12"/>
      <c r="N10" s="12"/>
      <c r="O10" s="3"/>
      <c r="P10" s="3"/>
      <c r="Q10" s="3"/>
    </row>
    <row r="11" spans="1:17" ht="15">
      <c r="A11" s="12"/>
      <c r="B11" s="12"/>
      <c r="C11" s="12"/>
      <c r="D11" s="12"/>
      <c r="E11" s="12"/>
      <c r="F11" s="12"/>
      <c r="G11" s="12"/>
      <c r="H11" s="13"/>
      <c r="I11" s="13"/>
      <c r="J11" s="14" t="str">
        <f t="shared" si="0"/>
        <v/>
      </c>
      <c r="K11" s="12"/>
      <c r="L11" s="12"/>
      <c r="M11" s="12"/>
      <c r="N11" s="12"/>
      <c r="O11" s="3"/>
      <c r="P11" s="3"/>
      <c r="Q11" s="3"/>
    </row>
    <row r="12" spans="1:17" ht="15">
      <c r="A12" s="12"/>
      <c r="B12" s="12"/>
      <c r="C12" s="12"/>
      <c r="D12" s="12"/>
      <c r="E12" s="12"/>
      <c r="F12" s="12"/>
      <c r="G12" s="12"/>
      <c r="H12" s="13"/>
      <c r="I12" s="13"/>
      <c r="J12" s="14" t="str">
        <f t="shared" si="0"/>
        <v/>
      </c>
      <c r="K12" s="12"/>
      <c r="L12" s="12"/>
      <c r="M12" s="12"/>
      <c r="N12" s="12"/>
      <c r="O12" s="3"/>
      <c r="P12" s="3"/>
      <c r="Q12" s="3"/>
    </row>
    <row r="13" spans="1:17" ht="15">
      <c r="A13" s="12"/>
      <c r="B13" s="12"/>
      <c r="C13" s="12"/>
      <c r="D13" s="12"/>
      <c r="E13" s="12"/>
      <c r="F13" s="12"/>
      <c r="G13" s="12"/>
      <c r="H13" s="13"/>
      <c r="I13" s="13"/>
      <c r="J13" s="14" t="str">
        <f t="shared" si="0"/>
        <v/>
      </c>
      <c r="K13" s="12"/>
      <c r="L13" s="12"/>
      <c r="M13" s="12"/>
      <c r="N13" s="12"/>
      <c r="O13" s="3"/>
      <c r="P13" s="3"/>
      <c r="Q13" s="3"/>
    </row>
    <row r="14" spans="1:17" ht="15">
      <c r="A14" s="12"/>
      <c r="B14" s="12"/>
      <c r="C14" s="12"/>
      <c r="D14" s="12"/>
      <c r="E14" s="12"/>
      <c r="F14" s="12"/>
      <c r="G14" s="12"/>
      <c r="H14" s="13"/>
      <c r="I14" s="13"/>
      <c r="J14" s="14" t="str">
        <f t="shared" si="0"/>
        <v/>
      </c>
      <c r="K14" s="12"/>
      <c r="L14" s="12"/>
      <c r="M14" s="12"/>
      <c r="N14" s="12"/>
      <c r="O14" s="3"/>
      <c r="P14" s="3"/>
      <c r="Q14" s="3"/>
    </row>
    <row r="15" spans="1:17" ht="15">
      <c r="A15" s="12"/>
      <c r="B15" s="12"/>
      <c r="C15" s="12"/>
      <c r="D15" s="12"/>
      <c r="E15" s="12"/>
      <c r="F15" s="12"/>
      <c r="G15" s="12"/>
      <c r="H15" s="13"/>
      <c r="I15" s="13"/>
      <c r="J15" s="14" t="str">
        <f t="shared" si="0"/>
        <v/>
      </c>
      <c r="K15" s="12"/>
      <c r="L15" s="12"/>
      <c r="M15" s="12"/>
      <c r="N15" s="12"/>
      <c r="O15" s="3"/>
      <c r="P15" s="3"/>
      <c r="Q15" s="3"/>
    </row>
    <row r="16" spans="1:17" ht="15">
      <c r="A16" s="12"/>
      <c r="B16" s="12"/>
      <c r="C16" s="12"/>
      <c r="D16" s="12"/>
      <c r="E16" s="12"/>
      <c r="F16" s="12"/>
      <c r="G16" s="12"/>
      <c r="H16" s="13"/>
      <c r="I16" s="13"/>
      <c r="J16" s="14" t="str">
        <f t="shared" si="0"/>
        <v/>
      </c>
      <c r="K16" s="12"/>
      <c r="L16" s="12"/>
      <c r="M16" s="12"/>
      <c r="N16" s="12"/>
      <c r="O16" s="3"/>
      <c r="P16" s="3"/>
      <c r="Q16" s="3"/>
    </row>
    <row r="17" spans="1:17" ht="15">
      <c r="A17" s="12"/>
      <c r="B17" s="12"/>
      <c r="C17" s="12"/>
      <c r="D17" s="12"/>
      <c r="E17" s="12"/>
      <c r="F17" s="12"/>
      <c r="G17" s="12"/>
      <c r="H17" s="13"/>
      <c r="I17" s="13"/>
      <c r="J17" s="14" t="str">
        <f t="shared" si="0"/>
        <v/>
      </c>
      <c r="K17" s="12"/>
      <c r="L17" s="12"/>
      <c r="M17" s="12"/>
      <c r="N17" s="12"/>
      <c r="O17" s="3"/>
      <c r="P17" s="3"/>
      <c r="Q17" s="3"/>
    </row>
    <row r="18" spans="1:17" ht="15">
      <c r="A18" s="12"/>
      <c r="B18" s="12"/>
      <c r="C18" s="12"/>
      <c r="D18" s="12"/>
      <c r="E18" s="12"/>
      <c r="F18" s="12"/>
      <c r="G18" s="12"/>
      <c r="H18" s="13"/>
      <c r="I18" s="13"/>
      <c r="J18" s="14" t="str">
        <f t="shared" si="0"/>
        <v/>
      </c>
      <c r="K18" s="12"/>
      <c r="L18" s="12"/>
      <c r="M18" s="12"/>
      <c r="N18" s="12"/>
      <c r="O18" s="3"/>
      <c r="P18" s="3"/>
      <c r="Q18" s="3"/>
    </row>
    <row r="19" spans="1:17" ht="15">
      <c r="A19" s="12"/>
      <c r="B19" s="12"/>
      <c r="C19" s="12"/>
      <c r="D19" s="12"/>
      <c r="E19" s="12"/>
      <c r="F19" s="12"/>
      <c r="G19" s="12"/>
      <c r="H19" s="13"/>
      <c r="I19" s="13"/>
      <c r="J19" s="14" t="str">
        <f t="shared" si="0"/>
        <v/>
      </c>
      <c r="K19" s="12"/>
      <c r="L19" s="12"/>
      <c r="M19" s="12"/>
      <c r="N19" s="12"/>
      <c r="O19" s="3"/>
      <c r="P19" s="3"/>
      <c r="Q19" s="3"/>
    </row>
    <row r="20" spans="1:17" ht="15">
      <c r="A20" s="12"/>
      <c r="B20" s="12"/>
      <c r="C20" s="12"/>
      <c r="D20" s="12"/>
      <c r="E20" s="12"/>
      <c r="F20" s="12"/>
      <c r="G20" s="12"/>
      <c r="H20" s="13"/>
      <c r="I20" s="13"/>
      <c r="J20" s="14" t="str">
        <f t="shared" si="0"/>
        <v/>
      </c>
      <c r="K20" s="12"/>
      <c r="L20" s="12"/>
      <c r="M20" s="12"/>
      <c r="N20" s="12"/>
      <c r="O20" s="3"/>
      <c r="P20" s="3"/>
      <c r="Q20" s="3"/>
    </row>
    <row r="21" spans="1:17" ht="15">
      <c r="A21" s="12"/>
      <c r="B21" s="12"/>
      <c r="C21" s="12"/>
      <c r="D21" s="12"/>
      <c r="E21" s="12"/>
      <c r="F21" s="12"/>
      <c r="G21" s="12"/>
      <c r="H21" s="13"/>
      <c r="I21" s="13"/>
      <c r="J21" s="14" t="str">
        <f t="shared" si="0"/>
        <v/>
      </c>
      <c r="K21" s="12"/>
      <c r="L21" s="12"/>
      <c r="M21" s="12"/>
      <c r="N21" s="12"/>
      <c r="O21" s="3"/>
      <c r="P21" s="3"/>
      <c r="Q21" s="3"/>
    </row>
    <row r="22" spans="1:17" ht="15">
      <c r="A22" s="12"/>
      <c r="B22" s="12"/>
      <c r="C22" s="12"/>
      <c r="D22" s="12"/>
      <c r="E22" s="12"/>
      <c r="F22" s="12"/>
      <c r="G22" s="12"/>
      <c r="H22" s="13"/>
      <c r="I22" s="13"/>
      <c r="J22" s="14" t="str">
        <f t="shared" si="0"/>
        <v/>
      </c>
      <c r="K22" s="12"/>
      <c r="L22" s="12"/>
      <c r="M22" s="12"/>
      <c r="N22" s="12"/>
      <c r="O22" s="3"/>
      <c r="P22" s="3"/>
      <c r="Q22" s="3"/>
    </row>
    <row r="23" spans="1:17" ht="15">
      <c r="A23" s="12"/>
      <c r="B23" s="12"/>
      <c r="C23" s="12"/>
      <c r="D23" s="12"/>
      <c r="E23" s="12"/>
      <c r="F23" s="12"/>
      <c r="G23" s="12"/>
      <c r="H23" s="13"/>
      <c r="I23" s="13"/>
      <c r="J23" s="14" t="str">
        <f t="shared" si="0"/>
        <v/>
      </c>
      <c r="K23" s="12"/>
      <c r="L23" s="12"/>
      <c r="M23" s="12"/>
      <c r="N23" s="12"/>
      <c r="O23" s="3"/>
      <c r="P23" s="3"/>
      <c r="Q23" s="3"/>
    </row>
    <row r="24" spans="1:17" ht="15">
      <c r="A24" s="12"/>
      <c r="B24" s="12"/>
      <c r="C24" s="12"/>
      <c r="D24" s="12"/>
      <c r="E24" s="12"/>
      <c r="F24" s="12"/>
      <c r="G24" s="12"/>
      <c r="H24" s="13"/>
      <c r="I24" s="13"/>
      <c r="J24" s="14" t="str">
        <f t="shared" si="0"/>
        <v/>
      </c>
      <c r="K24" s="12"/>
      <c r="L24" s="12"/>
      <c r="M24" s="12"/>
      <c r="N24" s="12"/>
      <c r="O24" s="3"/>
      <c r="P24" s="3"/>
      <c r="Q24" s="3"/>
    </row>
    <row r="25" spans="1:17" ht="15">
      <c r="A25" s="12"/>
      <c r="B25" s="12"/>
      <c r="C25" s="12"/>
      <c r="D25" s="12"/>
      <c r="E25" s="12"/>
      <c r="F25" s="12"/>
      <c r="G25" s="12"/>
      <c r="H25" s="13"/>
      <c r="I25" s="13"/>
      <c r="J25" s="14" t="str">
        <f t="shared" si="0"/>
        <v/>
      </c>
      <c r="K25" s="12"/>
      <c r="L25" s="12"/>
      <c r="M25" s="12"/>
      <c r="N25" s="12"/>
      <c r="O25" s="3"/>
      <c r="P25" s="3"/>
      <c r="Q25" s="3"/>
    </row>
    <row r="26" spans="1:17" ht="15">
      <c r="A26" s="12"/>
      <c r="B26" s="12"/>
      <c r="C26" s="12"/>
      <c r="D26" s="12"/>
      <c r="E26" s="12"/>
      <c r="F26" s="12"/>
      <c r="G26" s="12"/>
      <c r="H26" s="13"/>
      <c r="I26" s="13"/>
      <c r="J26" s="14" t="str">
        <f t="shared" si="0"/>
        <v/>
      </c>
      <c r="K26" s="12"/>
      <c r="L26" s="12"/>
      <c r="M26" s="12"/>
      <c r="N26" s="12"/>
      <c r="O26" s="3"/>
      <c r="P26" s="3"/>
      <c r="Q26" s="3"/>
    </row>
    <row r="27" spans="1:17" ht="15">
      <c r="A27" s="12"/>
      <c r="B27" s="12"/>
      <c r="C27" s="12"/>
      <c r="D27" s="12"/>
      <c r="E27" s="12"/>
      <c r="F27" s="12"/>
      <c r="G27" s="12"/>
      <c r="H27" s="13"/>
      <c r="I27" s="13"/>
      <c r="J27" s="14" t="str">
        <f t="shared" si="0"/>
        <v/>
      </c>
      <c r="K27" s="12"/>
      <c r="L27" s="12"/>
      <c r="M27" s="12"/>
      <c r="N27" s="12"/>
      <c r="O27" s="3"/>
      <c r="P27" s="3"/>
      <c r="Q27" s="3"/>
    </row>
    <row r="28" spans="1:17" ht="15">
      <c r="A28" s="12"/>
      <c r="B28" s="12"/>
      <c r="C28" s="12"/>
      <c r="D28" s="12"/>
      <c r="E28" s="12"/>
      <c r="F28" s="12"/>
      <c r="G28" s="12"/>
      <c r="H28" s="13"/>
      <c r="I28" s="13"/>
      <c r="J28" s="14" t="str">
        <f t="shared" si="0"/>
        <v/>
      </c>
      <c r="K28" s="12"/>
      <c r="L28" s="12"/>
      <c r="M28" s="12"/>
      <c r="N28" s="12"/>
      <c r="O28" s="3"/>
      <c r="P28" s="3"/>
      <c r="Q28" s="3"/>
    </row>
    <row r="29" spans="1:17" ht="15">
      <c r="A29" s="12"/>
      <c r="B29" s="12"/>
      <c r="C29" s="12"/>
      <c r="D29" s="12"/>
      <c r="E29" s="12"/>
      <c r="F29" s="12"/>
      <c r="G29" s="12"/>
      <c r="H29" s="13"/>
      <c r="I29" s="13"/>
      <c r="J29" s="14" t="str">
        <f t="shared" si="0"/>
        <v/>
      </c>
      <c r="K29" s="12"/>
      <c r="L29" s="12"/>
      <c r="M29" s="12"/>
      <c r="N29" s="12"/>
      <c r="O29" s="3"/>
      <c r="P29" s="3"/>
      <c r="Q29" s="3"/>
    </row>
    <row r="30" spans="1:17" ht="15">
      <c r="A30" s="12"/>
      <c r="B30" s="12"/>
      <c r="C30" s="12"/>
      <c r="D30" s="12"/>
      <c r="E30" s="12"/>
      <c r="F30" s="12"/>
      <c r="G30" s="12"/>
      <c r="H30" s="13"/>
      <c r="I30" s="13"/>
      <c r="J30" s="14" t="str">
        <f t="shared" si="0"/>
        <v/>
      </c>
      <c r="K30" s="12"/>
      <c r="L30" s="12"/>
      <c r="M30" s="12"/>
      <c r="N30" s="12"/>
      <c r="O30" s="3"/>
      <c r="P30" s="3"/>
      <c r="Q30" s="3"/>
    </row>
    <row r="31" spans="1:17" ht="15">
      <c r="A31" s="12"/>
      <c r="B31" s="12"/>
      <c r="C31" s="12"/>
      <c r="D31" s="12"/>
      <c r="E31" s="12"/>
      <c r="F31" s="12"/>
      <c r="G31" s="12"/>
      <c r="H31" s="13"/>
      <c r="I31" s="13"/>
      <c r="J31" s="14" t="str">
        <f t="shared" si="0"/>
        <v/>
      </c>
      <c r="K31" s="12"/>
      <c r="L31" s="12"/>
      <c r="M31" s="12"/>
      <c r="N31" s="12"/>
      <c r="O31" s="3"/>
      <c r="P31" s="3"/>
      <c r="Q31" s="3"/>
    </row>
    <row r="32" spans="1:17" ht="15">
      <c r="A32" s="12"/>
      <c r="B32" s="12"/>
      <c r="C32" s="12"/>
      <c r="D32" s="12"/>
      <c r="E32" s="12"/>
      <c r="F32" s="12"/>
      <c r="G32" s="12"/>
      <c r="H32" s="13"/>
      <c r="I32" s="13"/>
      <c r="J32" s="14" t="str">
        <f t="shared" si="0"/>
        <v/>
      </c>
      <c r="K32" s="12"/>
      <c r="L32" s="12"/>
      <c r="M32" s="12"/>
      <c r="N32" s="12"/>
      <c r="O32" s="3"/>
      <c r="P32" s="3"/>
      <c r="Q32" s="3"/>
    </row>
    <row r="33" spans="1:17" ht="15">
      <c r="A33" s="12"/>
      <c r="B33" s="12"/>
      <c r="C33" s="12"/>
      <c r="D33" s="12"/>
      <c r="E33" s="12"/>
      <c r="F33" s="12"/>
      <c r="G33" s="12"/>
      <c r="H33" s="13"/>
      <c r="I33" s="13"/>
      <c r="J33" s="14" t="str">
        <f t="shared" si="0"/>
        <v/>
      </c>
      <c r="K33" s="12"/>
      <c r="L33" s="12"/>
      <c r="M33" s="12"/>
      <c r="N33" s="12"/>
      <c r="O33" s="3"/>
      <c r="P33" s="3"/>
      <c r="Q33" s="3"/>
    </row>
    <row r="34" spans="1:17" ht="15">
      <c r="A34" s="12"/>
      <c r="B34" s="12"/>
      <c r="C34" s="12"/>
      <c r="D34" s="12"/>
      <c r="E34" s="12"/>
      <c r="F34" s="12"/>
      <c r="G34" s="12"/>
      <c r="H34" s="13"/>
      <c r="I34" s="13"/>
      <c r="J34" s="14" t="str">
        <f t="shared" si="0"/>
        <v/>
      </c>
      <c r="K34" s="12"/>
      <c r="L34" s="12"/>
      <c r="M34" s="12"/>
      <c r="N34" s="12"/>
      <c r="O34" s="3"/>
      <c r="P34" s="3"/>
      <c r="Q34" s="3"/>
    </row>
    <row r="35" spans="1:17" ht="15">
      <c r="A35" s="12"/>
      <c r="B35" s="12"/>
      <c r="C35" s="12"/>
      <c r="D35" s="12"/>
      <c r="E35" s="12"/>
      <c r="F35" s="12"/>
      <c r="G35" s="12"/>
      <c r="H35" s="13"/>
      <c r="I35" s="13"/>
      <c r="J35" s="14" t="str">
        <f t="shared" si="0"/>
        <v/>
      </c>
      <c r="K35" s="12"/>
      <c r="L35" s="12"/>
      <c r="M35" s="12"/>
      <c r="N35" s="12"/>
      <c r="O35" s="3"/>
      <c r="P35" s="3"/>
      <c r="Q35" s="3"/>
    </row>
    <row r="36" spans="1:17" ht="15">
      <c r="A36" s="12"/>
      <c r="B36" s="12"/>
      <c r="C36" s="12"/>
      <c r="D36" s="12"/>
      <c r="E36" s="12"/>
      <c r="F36" s="12"/>
      <c r="G36" s="12"/>
      <c r="H36" s="13"/>
      <c r="I36" s="13"/>
      <c r="J36" s="14" t="str">
        <f t="shared" si="0"/>
        <v/>
      </c>
      <c r="K36" s="12"/>
      <c r="L36" s="12"/>
      <c r="M36" s="12"/>
      <c r="N36" s="12"/>
      <c r="O36" s="3"/>
      <c r="P36" s="3"/>
      <c r="Q36" s="3"/>
    </row>
    <row r="37" spans="1:17" ht="15">
      <c r="A37" s="12"/>
      <c r="B37" s="12"/>
      <c r="C37" s="12"/>
      <c r="D37" s="12"/>
      <c r="E37" s="12"/>
      <c r="F37" s="12"/>
      <c r="G37" s="12"/>
      <c r="H37" s="13"/>
      <c r="I37" s="13"/>
      <c r="J37" s="14" t="str">
        <f t="shared" si="0"/>
        <v/>
      </c>
      <c r="K37" s="12"/>
      <c r="L37" s="12"/>
      <c r="M37" s="12"/>
      <c r="N37" s="12"/>
      <c r="O37" s="3"/>
      <c r="P37" s="3"/>
      <c r="Q37" s="3"/>
    </row>
    <row r="38" spans="1:17" ht="15">
      <c r="A38" s="12"/>
      <c r="B38" s="12"/>
      <c r="C38" s="12"/>
      <c r="D38" s="12"/>
      <c r="E38" s="12"/>
      <c r="F38" s="12"/>
      <c r="G38" s="12"/>
      <c r="H38" s="13"/>
      <c r="I38" s="13"/>
      <c r="J38" s="14" t="str">
        <f t="shared" si="0"/>
        <v/>
      </c>
      <c r="K38" s="12"/>
      <c r="L38" s="12"/>
      <c r="M38" s="12"/>
      <c r="N38" s="12"/>
      <c r="O38" s="3"/>
      <c r="P38" s="3"/>
      <c r="Q38" s="3"/>
    </row>
    <row r="39" spans="1:17" ht="15">
      <c r="A39" s="12"/>
      <c r="B39" s="12"/>
      <c r="C39" s="12"/>
      <c r="D39" s="12"/>
      <c r="E39" s="12"/>
      <c r="F39" s="12"/>
      <c r="G39" s="12"/>
      <c r="H39" s="13"/>
      <c r="I39" s="13"/>
      <c r="J39" s="14" t="str">
        <f t="shared" ref="J39:J70" si="1">IF(H39="","",MAX(H39-I39,0))</f>
        <v/>
      </c>
      <c r="K39" s="12"/>
      <c r="L39" s="12"/>
      <c r="M39" s="12"/>
      <c r="N39" s="12"/>
      <c r="O39" s="3"/>
      <c r="P39" s="3"/>
      <c r="Q39" s="3"/>
    </row>
    <row r="40" spans="1:17" ht="15">
      <c r="A40" s="12"/>
      <c r="B40" s="12"/>
      <c r="C40" s="12"/>
      <c r="D40" s="12"/>
      <c r="E40" s="12"/>
      <c r="F40" s="12"/>
      <c r="G40" s="12"/>
      <c r="H40" s="13"/>
      <c r="I40" s="13"/>
      <c r="J40" s="14" t="str">
        <f t="shared" si="1"/>
        <v/>
      </c>
      <c r="K40" s="12"/>
      <c r="L40" s="12"/>
      <c r="M40" s="12"/>
      <c r="N40" s="12"/>
      <c r="O40" s="3"/>
      <c r="P40" s="3"/>
      <c r="Q40" s="3"/>
    </row>
    <row r="41" spans="1:17" ht="15">
      <c r="A41" s="12"/>
      <c r="B41" s="12"/>
      <c r="C41" s="12"/>
      <c r="D41" s="12"/>
      <c r="E41" s="12"/>
      <c r="F41" s="12"/>
      <c r="G41" s="12"/>
      <c r="H41" s="13"/>
      <c r="I41" s="13"/>
      <c r="J41" s="14" t="str">
        <f t="shared" si="1"/>
        <v/>
      </c>
      <c r="K41" s="12"/>
      <c r="L41" s="12"/>
      <c r="M41" s="12"/>
      <c r="N41" s="12"/>
      <c r="O41" s="3"/>
      <c r="P41" s="3"/>
      <c r="Q41" s="3"/>
    </row>
    <row r="42" spans="1:17" ht="15">
      <c r="A42" s="12"/>
      <c r="B42" s="12"/>
      <c r="C42" s="12"/>
      <c r="D42" s="12"/>
      <c r="E42" s="12"/>
      <c r="F42" s="12"/>
      <c r="G42" s="12"/>
      <c r="H42" s="13"/>
      <c r="I42" s="13"/>
      <c r="J42" s="14" t="str">
        <f t="shared" si="1"/>
        <v/>
      </c>
      <c r="K42" s="12"/>
      <c r="L42" s="12"/>
      <c r="M42" s="12"/>
      <c r="N42" s="12"/>
      <c r="O42" s="3"/>
      <c r="P42" s="3"/>
      <c r="Q42" s="3"/>
    </row>
    <row r="43" spans="1:17" ht="15">
      <c r="A43" s="12"/>
      <c r="B43" s="12"/>
      <c r="C43" s="12"/>
      <c r="D43" s="12"/>
      <c r="E43" s="12"/>
      <c r="F43" s="12"/>
      <c r="G43" s="12"/>
      <c r="H43" s="13"/>
      <c r="I43" s="13"/>
      <c r="J43" s="14" t="str">
        <f t="shared" si="1"/>
        <v/>
      </c>
      <c r="K43" s="12"/>
      <c r="L43" s="12"/>
      <c r="M43" s="12"/>
      <c r="N43" s="12"/>
      <c r="O43" s="3"/>
      <c r="P43" s="3"/>
      <c r="Q43" s="3"/>
    </row>
    <row r="44" spans="1:17" ht="15">
      <c r="A44" s="12"/>
      <c r="B44" s="12"/>
      <c r="C44" s="12"/>
      <c r="D44" s="12"/>
      <c r="E44" s="12"/>
      <c r="F44" s="12"/>
      <c r="G44" s="12"/>
      <c r="H44" s="13"/>
      <c r="I44" s="13"/>
      <c r="J44" s="14" t="str">
        <f t="shared" si="1"/>
        <v/>
      </c>
      <c r="K44" s="12"/>
      <c r="L44" s="12"/>
      <c r="M44" s="12"/>
      <c r="N44" s="12"/>
      <c r="O44" s="3"/>
      <c r="P44" s="3"/>
      <c r="Q44" s="3"/>
    </row>
    <row r="45" spans="1:17" ht="15">
      <c r="A45" s="12"/>
      <c r="B45" s="12"/>
      <c r="C45" s="12"/>
      <c r="D45" s="12"/>
      <c r="E45" s="12"/>
      <c r="F45" s="12"/>
      <c r="G45" s="12"/>
      <c r="H45" s="13"/>
      <c r="I45" s="13"/>
      <c r="J45" s="14" t="str">
        <f t="shared" si="1"/>
        <v/>
      </c>
      <c r="K45" s="12"/>
      <c r="L45" s="12"/>
      <c r="M45" s="12"/>
      <c r="N45" s="12"/>
      <c r="O45" s="3"/>
      <c r="P45" s="3"/>
      <c r="Q45" s="3"/>
    </row>
    <row r="46" spans="1:17" ht="15">
      <c r="A46" s="12"/>
      <c r="B46" s="12"/>
      <c r="C46" s="12"/>
      <c r="D46" s="12"/>
      <c r="E46" s="12"/>
      <c r="F46" s="12"/>
      <c r="G46" s="12"/>
      <c r="H46" s="13"/>
      <c r="I46" s="13"/>
      <c r="J46" s="14" t="str">
        <f t="shared" si="1"/>
        <v/>
      </c>
      <c r="K46" s="12"/>
      <c r="L46" s="12"/>
      <c r="M46" s="12"/>
      <c r="N46" s="12"/>
      <c r="O46" s="3"/>
      <c r="P46" s="3"/>
      <c r="Q46" s="3"/>
    </row>
    <row r="47" spans="1:17" ht="15">
      <c r="A47" s="12"/>
      <c r="B47" s="12"/>
      <c r="C47" s="12"/>
      <c r="D47" s="12"/>
      <c r="E47" s="12"/>
      <c r="F47" s="12"/>
      <c r="G47" s="12"/>
      <c r="H47" s="13"/>
      <c r="I47" s="13"/>
      <c r="J47" s="14" t="str">
        <f t="shared" si="1"/>
        <v/>
      </c>
      <c r="K47" s="12"/>
      <c r="L47" s="12"/>
      <c r="M47" s="12"/>
      <c r="N47" s="12"/>
      <c r="O47" s="3"/>
      <c r="P47" s="3"/>
      <c r="Q47" s="3"/>
    </row>
    <row r="48" spans="1:17" ht="15">
      <c r="A48" s="12"/>
      <c r="B48" s="12"/>
      <c r="C48" s="12"/>
      <c r="D48" s="12"/>
      <c r="E48" s="12"/>
      <c r="F48" s="12"/>
      <c r="G48" s="12"/>
      <c r="H48" s="13"/>
      <c r="I48" s="13"/>
      <c r="J48" s="14" t="str">
        <f t="shared" si="1"/>
        <v/>
      </c>
      <c r="K48" s="12"/>
      <c r="L48" s="12"/>
      <c r="M48" s="12"/>
      <c r="N48" s="12"/>
      <c r="O48" s="3"/>
      <c r="P48" s="3"/>
      <c r="Q48" s="3"/>
    </row>
    <row r="49" spans="1:17" ht="15">
      <c r="A49" s="12"/>
      <c r="B49" s="12"/>
      <c r="C49" s="12"/>
      <c r="D49" s="12"/>
      <c r="E49" s="12"/>
      <c r="F49" s="12"/>
      <c r="G49" s="12"/>
      <c r="H49" s="13"/>
      <c r="I49" s="13"/>
      <c r="J49" s="14" t="str">
        <f t="shared" si="1"/>
        <v/>
      </c>
      <c r="K49" s="12"/>
      <c r="L49" s="12"/>
      <c r="M49" s="12"/>
      <c r="N49" s="12"/>
      <c r="O49" s="3"/>
      <c r="P49" s="3"/>
      <c r="Q49" s="3"/>
    </row>
    <row r="50" spans="1:17" ht="15">
      <c r="A50" s="12"/>
      <c r="B50" s="12"/>
      <c r="C50" s="12"/>
      <c r="D50" s="12"/>
      <c r="E50" s="12"/>
      <c r="F50" s="12"/>
      <c r="G50" s="12"/>
      <c r="H50" s="13"/>
      <c r="I50" s="13"/>
      <c r="J50" s="14" t="str">
        <f t="shared" si="1"/>
        <v/>
      </c>
      <c r="K50" s="12"/>
      <c r="L50" s="12"/>
      <c r="M50" s="12"/>
      <c r="N50" s="12"/>
      <c r="O50" s="3"/>
      <c r="P50" s="3"/>
      <c r="Q50" s="3"/>
    </row>
    <row r="51" spans="1:17" ht="15">
      <c r="A51" s="12"/>
      <c r="B51" s="12"/>
      <c r="C51" s="12"/>
      <c r="D51" s="12"/>
      <c r="E51" s="12"/>
      <c r="F51" s="12"/>
      <c r="G51" s="12"/>
      <c r="H51" s="13"/>
      <c r="I51" s="13"/>
      <c r="J51" s="14" t="str">
        <f t="shared" si="1"/>
        <v/>
      </c>
      <c r="K51" s="12"/>
      <c r="L51" s="12"/>
      <c r="M51" s="12"/>
      <c r="N51" s="12"/>
      <c r="O51" s="3"/>
      <c r="P51" s="3"/>
      <c r="Q51" s="3"/>
    </row>
    <row r="52" spans="1:17" ht="15">
      <c r="A52" s="12"/>
      <c r="B52" s="12"/>
      <c r="C52" s="12"/>
      <c r="D52" s="12"/>
      <c r="E52" s="12"/>
      <c r="F52" s="12"/>
      <c r="G52" s="12"/>
      <c r="H52" s="13"/>
      <c r="I52" s="13"/>
      <c r="J52" s="14" t="str">
        <f t="shared" si="1"/>
        <v/>
      </c>
      <c r="K52" s="12"/>
      <c r="L52" s="12"/>
      <c r="M52" s="12"/>
      <c r="N52" s="12"/>
      <c r="O52" s="3"/>
      <c r="P52" s="3"/>
      <c r="Q52" s="3"/>
    </row>
    <row r="53" spans="1:17" ht="15">
      <c r="A53" s="12"/>
      <c r="B53" s="12"/>
      <c r="C53" s="12"/>
      <c r="D53" s="12"/>
      <c r="E53" s="12"/>
      <c r="F53" s="12"/>
      <c r="G53" s="12"/>
      <c r="H53" s="13"/>
      <c r="I53" s="13"/>
      <c r="J53" s="14" t="str">
        <f t="shared" si="1"/>
        <v/>
      </c>
      <c r="K53" s="12"/>
      <c r="L53" s="12"/>
      <c r="M53" s="12"/>
      <c r="N53" s="12"/>
      <c r="O53" s="3"/>
      <c r="P53" s="3"/>
      <c r="Q53" s="3"/>
    </row>
    <row r="54" spans="1:17" ht="15">
      <c r="A54" s="12"/>
      <c r="B54" s="12"/>
      <c r="C54" s="12"/>
      <c r="D54" s="12"/>
      <c r="E54" s="12"/>
      <c r="F54" s="12"/>
      <c r="G54" s="12"/>
      <c r="H54" s="13"/>
      <c r="I54" s="13"/>
      <c r="J54" s="14" t="str">
        <f t="shared" si="1"/>
        <v/>
      </c>
      <c r="K54" s="12"/>
      <c r="L54" s="12"/>
      <c r="M54" s="12"/>
      <c r="N54" s="12"/>
      <c r="O54" s="3"/>
      <c r="P54" s="3"/>
      <c r="Q54" s="3"/>
    </row>
    <row r="55" spans="1:17" ht="15">
      <c r="A55" s="12"/>
      <c r="B55" s="12"/>
      <c r="C55" s="12"/>
      <c r="D55" s="12"/>
      <c r="E55" s="12"/>
      <c r="F55" s="12"/>
      <c r="G55" s="12"/>
      <c r="H55" s="13"/>
      <c r="I55" s="13"/>
      <c r="J55" s="14" t="str">
        <f t="shared" si="1"/>
        <v/>
      </c>
      <c r="K55" s="12"/>
      <c r="L55" s="12"/>
      <c r="M55" s="12"/>
      <c r="N55" s="12"/>
      <c r="O55" s="3"/>
      <c r="P55" s="3"/>
      <c r="Q55" s="3"/>
    </row>
    <row r="56" spans="1:17" ht="15">
      <c r="A56" s="12"/>
      <c r="B56" s="12"/>
      <c r="C56" s="12"/>
      <c r="D56" s="12"/>
      <c r="E56" s="12"/>
      <c r="F56" s="12"/>
      <c r="G56" s="12"/>
      <c r="H56" s="13"/>
      <c r="I56" s="13"/>
      <c r="J56" s="14" t="str">
        <f t="shared" si="1"/>
        <v/>
      </c>
      <c r="K56" s="12"/>
      <c r="L56" s="12"/>
      <c r="M56" s="12"/>
      <c r="N56" s="12"/>
      <c r="O56" s="3"/>
      <c r="P56" s="3"/>
      <c r="Q56" s="3"/>
    </row>
    <row r="57" spans="1:17" ht="15">
      <c r="A57" s="12"/>
      <c r="B57" s="12"/>
      <c r="C57" s="12"/>
      <c r="D57" s="12"/>
      <c r="E57" s="12"/>
      <c r="F57" s="12"/>
      <c r="G57" s="12"/>
      <c r="H57" s="13"/>
      <c r="I57" s="13"/>
      <c r="J57" s="14" t="str">
        <f t="shared" si="1"/>
        <v/>
      </c>
      <c r="K57" s="12"/>
      <c r="L57" s="12"/>
      <c r="M57" s="12"/>
      <c r="N57" s="12"/>
      <c r="O57" s="3"/>
      <c r="P57" s="3"/>
      <c r="Q57" s="3"/>
    </row>
    <row r="58" spans="1:17" ht="15">
      <c r="A58" s="12"/>
      <c r="B58" s="12"/>
      <c r="C58" s="12"/>
      <c r="D58" s="12"/>
      <c r="E58" s="12"/>
      <c r="F58" s="12"/>
      <c r="G58" s="12"/>
      <c r="H58" s="13"/>
      <c r="I58" s="13"/>
      <c r="J58" s="14" t="str">
        <f t="shared" si="1"/>
        <v/>
      </c>
      <c r="K58" s="12"/>
      <c r="L58" s="12"/>
      <c r="M58" s="12"/>
      <c r="N58" s="12"/>
      <c r="O58" s="3"/>
      <c r="P58" s="3"/>
      <c r="Q58" s="3"/>
    </row>
    <row r="59" spans="1:17" ht="15">
      <c r="A59" s="12"/>
      <c r="B59" s="12"/>
      <c r="C59" s="12"/>
      <c r="D59" s="12"/>
      <c r="E59" s="12"/>
      <c r="F59" s="12"/>
      <c r="G59" s="12"/>
      <c r="H59" s="13"/>
      <c r="I59" s="13"/>
      <c r="J59" s="14" t="str">
        <f t="shared" si="1"/>
        <v/>
      </c>
      <c r="K59" s="12"/>
      <c r="L59" s="12"/>
      <c r="M59" s="12"/>
      <c r="N59" s="12"/>
      <c r="O59" s="3"/>
      <c r="P59" s="3"/>
      <c r="Q59" s="3"/>
    </row>
    <row r="60" spans="1:17" ht="15">
      <c r="A60" s="12"/>
      <c r="B60" s="12"/>
      <c r="C60" s="12"/>
      <c r="D60" s="12"/>
      <c r="E60" s="12"/>
      <c r="F60" s="12"/>
      <c r="G60" s="12"/>
      <c r="H60" s="13"/>
      <c r="I60" s="13"/>
      <c r="J60" s="14" t="str">
        <f t="shared" si="1"/>
        <v/>
      </c>
      <c r="K60" s="12"/>
      <c r="L60" s="12"/>
      <c r="M60" s="12"/>
      <c r="N60" s="12"/>
      <c r="O60" s="3"/>
      <c r="P60" s="3"/>
      <c r="Q60" s="3"/>
    </row>
    <row r="61" spans="1:17" ht="15">
      <c r="A61" s="12"/>
      <c r="B61" s="12"/>
      <c r="C61" s="12"/>
      <c r="D61" s="12"/>
      <c r="E61" s="12"/>
      <c r="F61" s="12"/>
      <c r="G61" s="12"/>
      <c r="H61" s="13"/>
      <c r="I61" s="13"/>
      <c r="J61" s="14" t="str">
        <f t="shared" si="1"/>
        <v/>
      </c>
      <c r="K61" s="12"/>
      <c r="L61" s="12"/>
      <c r="M61" s="12"/>
      <c r="N61" s="12"/>
      <c r="O61" s="3"/>
      <c r="P61" s="3"/>
      <c r="Q61" s="3"/>
    </row>
    <row r="62" spans="1:17" ht="15">
      <c r="A62" s="12"/>
      <c r="B62" s="12"/>
      <c r="C62" s="12"/>
      <c r="D62" s="12"/>
      <c r="E62" s="12"/>
      <c r="F62" s="12"/>
      <c r="G62" s="12"/>
      <c r="H62" s="13"/>
      <c r="I62" s="13"/>
      <c r="J62" s="14" t="str">
        <f t="shared" si="1"/>
        <v/>
      </c>
      <c r="K62" s="12"/>
      <c r="L62" s="12"/>
      <c r="M62" s="12"/>
      <c r="N62" s="12"/>
      <c r="O62" s="3"/>
      <c r="P62" s="3"/>
      <c r="Q62" s="3"/>
    </row>
    <row r="63" spans="1:17" ht="15">
      <c r="A63" s="12"/>
      <c r="B63" s="12"/>
      <c r="C63" s="12"/>
      <c r="D63" s="12"/>
      <c r="E63" s="12"/>
      <c r="F63" s="12"/>
      <c r="G63" s="12"/>
      <c r="H63" s="13"/>
      <c r="I63" s="13"/>
      <c r="J63" s="14" t="str">
        <f t="shared" si="1"/>
        <v/>
      </c>
      <c r="K63" s="12"/>
      <c r="L63" s="12"/>
      <c r="M63" s="12"/>
      <c r="N63" s="12"/>
      <c r="O63" s="3"/>
      <c r="P63" s="3"/>
      <c r="Q63" s="3"/>
    </row>
    <row r="64" spans="1:17" ht="15">
      <c r="A64" s="12"/>
      <c r="B64" s="12"/>
      <c r="C64" s="12"/>
      <c r="D64" s="12"/>
      <c r="E64" s="12"/>
      <c r="F64" s="12"/>
      <c r="G64" s="12"/>
      <c r="H64" s="13"/>
      <c r="I64" s="13"/>
      <c r="J64" s="14" t="str">
        <f t="shared" si="1"/>
        <v/>
      </c>
      <c r="K64" s="12"/>
      <c r="L64" s="12"/>
      <c r="M64" s="12"/>
      <c r="N64" s="12"/>
      <c r="O64" s="3"/>
      <c r="P64" s="3"/>
      <c r="Q64" s="3"/>
    </row>
    <row r="65" spans="1:17" ht="15">
      <c r="A65" s="12"/>
      <c r="B65" s="12"/>
      <c r="C65" s="12"/>
      <c r="D65" s="12"/>
      <c r="E65" s="12"/>
      <c r="F65" s="12"/>
      <c r="G65" s="12"/>
      <c r="H65" s="13"/>
      <c r="I65" s="13"/>
      <c r="J65" s="14" t="str">
        <f t="shared" si="1"/>
        <v/>
      </c>
      <c r="K65" s="12"/>
      <c r="L65" s="12"/>
      <c r="M65" s="12"/>
      <c r="N65" s="12"/>
      <c r="O65" s="3"/>
      <c r="P65" s="3"/>
      <c r="Q65" s="3"/>
    </row>
    <row r="66" spans="1:17" ht="15">
      <c r="A66" s="12"/>
      <c r="B66" s="12"/>
      <c r="C66" s="12"/>
      <c r="D66" s="12"/>
      <c r="E66" s="12"/>
      <c r="F66" s="12"/>
      <c r="G66" s="12"/>
      <c r="H66" s="13"/>
      <c r="I66" s="13"/>
      <c r="J66" s="14" t="str">
        <f t="shared" si="1"/>
        <v/>
      </c>
      <c r="K66" s="12"/>
      <c r="L66" s="12"/>
      <c r="M66" s="12"/>
      <c r="N66" s="12"/>
      <c r="O66" s="3"/>
      <c r="P66" s="3"/>
      <c r="Q66" s="3"/>
    </row>
    <row r="67" spans="1:17" ht="15">
      <c r="A67" s="12"/>
      <c r="B67" s="12"/>
      <c r="C67" s="12"/>
      <c r="D67" s="12"/>
      <c r="E67" s="12"/>
      <c r="F67" s="12"/>
      <c r="G67" s="12"/>
      <c r="H67" s="13"/>
      <c r="I67" s="13"/>
      <c r="J67" s="14" t="str">
        <f t="shared" si="1"/>
        <v/>
      </c>
      <c r="K67" s="12"/>
      <c r="L67" s="12"/>
      <c r="M67" s="12"/>
      <c r="N67" s="12"/>
      <c r="O67" s="3"/>
      <c r="P67" s="3"/>
      <c r="Q67" s="3"/>
    </row>
    <row r="68" spans="1:17" ht="15">
      <c r="A68" s="12"/>
      <c r="B68" s="12"/>
      <c r="C68" s="12"/>
      <c r="D68" s="12"/>
      <c r="E68" s="12"/>
      <c r="F68" s="12"/>
      <c r="G68" s="12"/>
      <c r="H68" s="13"/>
      <c r="I68" s="13"/>
      <c r="J68" s="14" t="str">
        <f t="shared" si="1"/>
        <v/>
      </c>
      <c r="K68" s="12"/>
      <c r="L68" s="12"/>
      <c r="M68" s="12"/>
      <c r="N68" s="12"/>
      <c r="O68" s="3"/>
      <c r="P68" s="3"/>
      <c r="Q68" s="3"/>
    </row>
    <row r="69" spans="1:17" ht="15">
      <c r="A69" s="12"/>
      <c r="B69" s="12"/>
      <c r="C69" s="12"/>
      <c r="D69" s="12"/>
      <c r="E69" s="12"/>
      <c r="F69" s="12"/>
      <c r="G69" s="12"/>
      <c r="H69" s="13"/>
      <c r="I69" s="13"/>
      <c r="J69" s="14" t="str">
        <f t="shared" si="1"/>
        <v/>
      </c>
      <c r="K69" s="12"/>
      <c r="L69" s="12"/>
      <c r="M69" s="12"/>
      <c r="N69" s="12"/>
      <c r="O69" s="3"/>
      <c r="P69" s="3"/>
      <c r="Q69" s="3"/>
    </row>
    <row r="70" spans="1:17" ht="15">
      <c r="A70" s="12"/>
      <c r="B70" s="12"/>
      <c r="C70" s="12"/>
      <c r="D70" s="12"/>
      <c r="E70" s="12"/>
      <c r="F70" s="12"/>
      <c r="G70" s="12"/>
      <c r="H70" s="13"/>
      <c r="I70" s="13"/>
      <c r="J70" s="14" t="str">
        <f t="shared" si="1"/>
        <v/>
      </c>
      <c r="K70" s="12"/>
      <c r="L70" s="12"/>
      <c r="M70" s="12"/>
      <c r="N70" s="12"/>
      <c r="O70" s="3"/>
      <c r="P70" s="3"/>
      <c r="Q70" s="3"/>
    </row>
    <row r="71" spans="1:17" ht="15">
      <c r="A71" s="12"/>
      <c r="B71" s="12"/>
      <c r="C71" s="12"/>
      <c r="D71" s="12"/>
      <c r="E71" s="12"/>
      <c r="F71" s="12"/>
      <c r="G71" s="12"/>
      <c r="H71" s="13"/>
      <c r="I71" s="13"/>
      <c r="J71" s="14" t="str">
        <f t="shared" ref="J71:J102" si="2">IF(H71="","",MAX(H71-I71,0))</f>
        <v/>
      </c>
      <c r="K71" s="12"/>
      <c r="L71" s="12"/>
      <c r="M71" s="12"/>
      <c r="N71" s="12"/>
      <c r="O71" s="3"/>
      <c r="P71" s="3"/>
      <c r="Q71" s="3"/>
    </row>
    <row r="72" spans="1:17" ht="15">
      <c r="A72" s="12"/>
      <c r="B72" s="12"/>
      <c r="C72" s="12"/>
      <c r="D72" s="12"/>
      <c r="E72" s="12"/>
      <c r="F72" s="12"/>
      <c r="G72" s="12"/>
      <c r="H72" s="13"/>
      <c r="I72" s="13"/>
      <c r="J72" s="14" t="str">
        <f t="shared" si="2"/>
        <v/>
      </c>
      <c r="K72" s="12"/>
      <c r="L72" s="12"/>
      <c r="M72" s="12"/>
      <c r="N72" s="12"/>
      <c r="O72" s="3"/>
      <c r="P72" s="3"/>
      <c r="Q72" s="3"/>
    </row>
    <row r="73" spans="1:17" ht="15">
      <c r="A73" s="12"/>
      <c r="B73" s="12"/>
      <c r="C73" s="12"/>
      <c r="D73" s="12"/>
      <c r="E73" s="12"/>
      <c r="F73" s="12"/>
      <c r="G73" s="12"/>
      <c r="H73" s="13"/>
      <c r="I73" s="13"/>
      <c r="J73" s="14" t="str">
        <f t="shared" si="2"/>
        <v/>
      </c>
      <c r="K73" s="12"/>
      <c r="L73" s="12"/>
      <c r="M73" s="12"/>
      <c r="N73" s="12"/>
      <c r="O73" s="3"/>
      <c r="P73" s="3"/>
      <c r="Q73" s="3"/>
    </row>
    <row r="74" spans="1:17" ht="15">
      <c r="A74" s="12"/>
      <c r="B74" s="12"/>
      <c r="C74" s="12"/>
      <c r="D74" s="12"/>
      <c r="E74" s="12"/>
      <c r="F74" s="12"/>
      <c r="G74" s="12"/>
      <c r="H74" s="13"/>
      <c r="I74" s="13"/>
      <c r="J74" s="14" t="str">
        <f t="shared" si="2"/>
        <v/>
      </c>
      <c r="K74" s="12"/>
      <c r="L74" s="12"/>
      <c r="M74" s="12"/>
      <c r="N74" s="12"/>
      <c r="O74" s="3"/>
      <c r="P74" s="3"/>
      <c r="Q74" s="3"/>
    </row>
    <row r="75" spans="1:17" ht="15">
      <c r="A75" s="12"/>
      <c r="B75" s="12"/>
      <c r="C75" s="12"/>
      <c r="D75" s="12"/>
      <c r="E75" s="12"/>
      <c r="F75" s="12"/>
      <c r="G75" s="12"/>
      <c r="H75" s="13"/>
      <c r="I75" s="13"/>
      <c r="J75" s="14" t="str">
        <f t="shared" si="2"/>
        <v/>
      </c>
      <c r="K75" s="12"/>
      <c r="L75" s="12"/>
      <c r="M75" s="12"/>
      <c r="N75" s="12"/>
      <c r="O75" s="3"/>
      <c r="P75" s="3"/>
      <c r="Q75" s="3"/>
    </row>
    <row r="76" spans="1:17" ht="15">
      <c r="A76" s="12"/>
      <c r="B76" s="12"/>
      <c r="C76" s="12"/>
      <c r="D76" s="12"/>
      <c r="E76" s="12"/>
      <c r="F76" s="12"/>
      <c r="G76" s="12"/>
      <c r="H76" s="13"/>
      <c r="I76" s="13"/>
      <c r="J76" s="14" t="str">
        <f t="shared" si="2"/>
        <v/>
      </c>
      <c r="K76" s="12"/>
      <c r="L76" s="12"/>
      <c r="M76" s="12"/>
      <c r="N76" s="12"/>
      <c r="O76" s="3"/>
      <c r="P76" s="3"/>
      <c r="Q76" s="3"/>
    </row>
    <row r="77" spans="1:17" ht="15">
      <c r="A77" s="12"/>
      <c r="B77" s="12"/>
      <c r="C77" s="12"/>
      <c r="D77" s="12"/>
      <c r="E77" s="12"/>
      <c r="F77" s="12"/>
      <c r="G77" s="12"/>
      <c r="H77" s="13"/>
      <c r="I77" s="13"/>
      <c r="J77" s="14" t="str">
        <f t="shared" si="2"/>
        <v/>
      </c>
      <c r="K77" s="12"/>
      <c r="L77" s="12"/>
      <c r="M77" s="12"/>
      <c r="N77" s="12"/>
      <c r="O77" s="3"/>
      <c r="P77" s="3"/>
      <c r="Q77" s="3"/>
    </row>
    <row r="78" spans="1:17" ht="15">
      <c r="A78" s="12"/>
      <c r="B78" s="12"/>
      <c r="C78" s="12"/>
      <c r="D78" s="12"/>
      <c r="E78" s="12"/>
      <c r="F78" s="12"/>
      <c r="G78" s="12"/>
      <c r="H78" s="13"/>
      <c r="I78" s="13"/>
      <c r="J78" s="14" t="str">
        <f t="shared" si="2"/>
        <v/>
      </c>
      <c r="K78" s="12"/>
      <c r="L78" s="12"/>
      <c r="M78" s="12"/>
      <c r="N78" s="12"/>
      <c r="O78" s="3"/>
      <c r="P78" s="3"/>
      <c r="Q78" s="3"/>
    </row>
    <row r="79" spans="1:17" ht="15">
      <c r="A79" s="12"/>
      <c r="B79" s="12"/>
      <c r="C79" s="12"/>
      <c r="D79" s="12"/>
      <c r="E79" s="12"/>
      <c r="F79" s="12"/>
      <c r="G79" s="12"/>
      <c r="H79" s="13"/>
      <c r="I79" s="13"/>
      <c r="J79" s="14" t="str">
        <f t="shared" si="2"/>
        <v/>
      </c>
      <c r="K79" s="12"/>
      <c r="L79" s="12"/>
      <c r="M79" s="12"/>
      <c r="N79" s="12"/>
      <c r="O79" s="3"/>
      <c r="P79" s="3"/>
      <c r="Q79" s="3"/>
    </row>
    <row r="80" spans="1:17" ht="15">
      <c r="A80" s="12"/>
      <c r="B80" s="12"/>
      <c r="C80" s="12"/>
      <c r="D80" s="12"/>
      <c r="E80" s="12"/>
      <c r="F80" s="12"/>
      <c r="G80" s="12"/>
      <c r="H80" s="13"/>
      <c r="I80" s="13"/>
      <c r="J80" s="14" t="str">
        <f t="shared" si="2"/>
        <v/>
      </c>
      <c r="K80" s="12"/>
      <c r="L80" s="12"/>
      <c r="M80" s="12"/>
      <c r="N80" s="12"/>
      <c r="O80" s="3"/>
      <c r="P80" s="3"/>
      <c r="Q80" s="3"/>
    </row>
    <row r="81" spans="1:17" ht="15">
      <c r="A81" s="12"/>
      <c r="B81" s="12"/>
      <c r="C81" s="12"/>
      <c r="D81" s="12"/>
      <c r="E81" s="12"/>
      <c r="F81" s="12"/>
      <c r="G81" s="12"/>
      <c r="H81" s="13"/>
      <c r="I81" s="13"/>
      <c r="J81" s="14" t="str">
        <f t="shared" si="2"/>
        <v/>
      </c>
      <c r="K81" s="12"/>
      <c r="L81" s="12"/>
      <c r="M81" s="12"/>
      <c r="N81" s="12"/>
      <c r="O81" s="3"/>
      <c r="P81" s="3"/>
      <c r="Q81" s="3"/>
    </row>
    <row r="82" spans="1:17" ht="15">
      <c r="A82" s="12"/>
      <c r="B82" s="12"/>
      <c r="C82" s="12"/>
      <c r="D82" s="12"/>
      <c r="E82" s="12"/>
      <c r="F82" s="12"/>
      <c r="G82" s="12"/>
      <c r="H82" s="13"/>
      <c r="I82" s="13"/>
      <c r="J82" s="14" t="str">
        <f t="shared" si="2"/>
        <v/>
      </c>
      <c r="K82" s="12"/>
      <c r="L82" s="12"/>
      <c r="M82" s="12"/>
      <c r="N82" s="12"/>
      <c r="O82" s="3"/>
      <c r="P82" s="3"/>
      <c r="Q82" s="3"/>
    </row>
    <row r="83" spans="1:17" ht="15">
      <c r="A83" s="12"/>
      <c r="B83" s="12"/>
      <c r="C83" s="12"/>
      <c r="D83" s="12"/>
      <c r="E83" s="12"/>
      <c r="F83" s="12"/>
      <c r="G83" s="12"/>
      <c r="H83" s="13"/>
      <c r="I83" s="13"/>
      <c r="J83" s="14" t="str">
        <f t="shared" si="2"/>
        <v/>
      </c>
      <c r="K83" s="12"/>
      <c r="L83" s="12"/>
      <c r="M83" s="12"/>
      <c r="N83" s="12"/>
      <c r="O83" s="3"/>
      <c r="P83" s="3"/>
      <c r="Q83" s="3"/>
    </row>
    <row r="84" spans="1:17" ht="15">
      <c r="A84" s="12"/>
      <c r="B84" s="12"/>
      <c r="C84" s="12"/>
      <c r="D84" s="12"/>
      <c r="E84" s="12"/>
      <c r="F84" s="12"/>
      <c r="G84" s="12"/>
      <c r="H84" s="13"/>
      <c r="I84" s="13"/>
      <c r="J84" s="14" t="str">
        <f t="shared" si="2"/>
        <v/>
      </c>
      <c r="K84" s="12"/>
      <c r="L84" s="12"/>
      <c r="M84" s="12"/>
      <c r="N84" s="12"/>
      <c r="O84" s="3"/>
      <c r="P84" s="3"/>
      <c r="Q84" s="3"/>
    </row>
    <row r="85" spans="1:17" ht="15">
      <c r="A85" s="12"/>
      <c r="B85" s="12"/>
      <c r="C85" s="12"/>
      <c r="D85" s="12"/>
      <c r="E85" s="12"/>
      <c r="F85" s="12"/>
      <c r="G85" s="12"/>
      <c r="H85" s="13"/>
      <c r="I85" s="13"/>
      <c r="J85" s="14" t="str">
        <f t="shared" si="2"/>
        <v/>
      </c>
      <c r="K85" s="12"/>
      <c r="L85" s="12"/>
      <c r="M85" s="12"/>
      <c r="N85" s="12"/>
      <c r="O85" s="3"/>
      <c r="P85" s="3"/>
      <c r="Q85" s="3"/>
    </row>
    <row r="86" spans="1:17" ht="15">
      <c r="A86" s="12"/>
      <c r="B86" s="12"/>
      <c r="C86" s="12"/>
      <c r="D86" s="12"/>
      <c r="E86" s="12"/>
      <c r="F86" s="12"/>
      <c r="G86" s="12"/>
      <c r="H86" s="13"/>
      <c r="I86" s="13"/>
      <c r="J86" s="14" t="str">
        <f t="shared" si="2"/>
        <v/>
      </c>
      <c r="K86" s="12"/>
      <c r="L86" s="12"/>
      <c r="M86" s="12"/>
      <c r="N86" s="12"/>
      <c r="O86" s="3"/>
      <c r="P86" s="3"/>
      <c r="Q86" s="3"/>
    </row>
    <row r="87" spans="1:17" ht="15">
      <c r="A87" s="12"/>
      <c r="B87" s="12"/>
      <c r="C87" s="12"/>
      <c r="D87" s="12"/>
      <c r="E87" s="12"/>
      <c r="F87" s="12"/>
      <c r="G87" s="12"/>
      <c r="H87" s="13"/>
      <c r="I87" s="13"/>
      <c r="J87" s="14" t="str">
        <f t="shared" si="2"/>
        <v/>
      </c>
      <c r="K87" s="12"/>
      <c r="L87" s="12"/>
      <c r="M87" s="12"/>
      <c r="N87" s="12"/>
      <c r="O87" s="3"/>
      <c r="P87" s="3"/>
      <c r="Q87" s="3"/>
    </row>
    <row r="88" spans="1:17" ht="15">
      <c r="A88" s="12"/>
      <c r="B88" s="12"/>
      <c r="C88" s="12"/>
      <c r="D88" s="12"/>
      <c r="E88" s="12"/>
      <c r="F88" s="12"/>
      <c r="G88" s="12"/>
      <c r="H88" s="13"/>
      <c r="I88" s="13"/>
      <c r="J88" s="14" t="str">
        <f t="shared" si="2"/>
        <v/>
      </c>
      <c r="K88" s="12"/>
      <c r="L88" s="12"/>
      <c r="M88" s="12"/>
      <c r="N88" s="12"/>
      <c r="O88" s="3"/>
      <c r="P88" s="3"/>
      <c r="Q88" s="3"/>
    </row>
    <row r="89" spans="1:17" ht="15">
      <c r="A89" s="12"/>
      <c r="B89" s="12"/>
      <c r="C89" s="12"/>
      <c r="D89" s="12"/>
      <c r="E89" s="12"/>
      <c r="F89" s="12"/>
      <c r="G89" s="12"/>
      <c r="H89" s="13"/>
      <c r="I89" s="13"/>
      <c r="J89" s="14" t="str">
        <f t="shared" si="2"/>
        <v/>
      </c>
      <c r="K89" s="12"/>
      <c r="L89" s="12"/>
      <c r="M89" s="12"/>
      <c r="N89" s="12"/>
      <c r="O89" s="3"/>
      <c r="P89" s="3"/>
      <c r="Q89" s="3"/>
    </row>
    <row r="90" spans="1:17" ht="15">
      <c r="A90" s="12"/>
      <c r="B90" s="12"/>
      <c r="C90" s="12"/>
      <c r="D90" s="12"/>
      <c r="E90" s="12"/>
      <c r="F90" s="12"/>
      <c r="G90" s="12"/>
      <c r="H90" s="13"/>
      <c r="I90" s="13"/>
      <c r="J90" s="14" t="str">
        <f t="shared" si="2"/>
        <v/>
      </c>
      <c r="K90" s="12"/>
      <c r="L90" s="12"/>
      <c r="M90" s="12"/>
      <c r="N90" s="12"/>
      <c r="O90" s="3"/>
      <c r="P90" s="3"/>
      <c r="Q90" s="3"/>
    </row>
    <row r="91" spans="1:17" ht="15">
      <c r="A91" s="12"/>
      <c r="B91" s="12"/>
      <c r="C91" s="12"/>
      <c r="D91" s="12"/>
      <c r="E91" s="12"/>
      <c r="F91" s="12"/>
      <c r="G91" s="12"/>
      <c r="H91" s="13"/>
      <c r="I91" s="13"/>
      <c r="J91" s="14" t="str">
        <f t="shared" si="2"/>
        <v/>
      </c>
      <c r="K91" s="12"/>
      <c r="L91" s="12"/>
      <c r="M91" s="12"/>
      <c r="N91" s="12"/>
      <c r="O91" s="3"/>
      <c r="P91" s="3"/>
      <c r="Q91" s="3"/>
    </row>
    <row r="92" spans="1:17" ht="15">
      <c r="A92" s="12"/>
      <c r="B92" s="12"/>
      <c r="C92" s="12"/>
      <c r="D92" s="12"/>
      <c r="E92" s="12"/>
      <c r="F92" s="12"/>
      <c r="G92" s="12"/>
      <c r="H92" s="13"/>
      <c r="I92" s="13"/>
      <c r="J92" s="14" t="str">
        <f t="shared" si="2"/>
        <v/>
      </c>
      <c r="K92" s="12"/>
      <c r="L92" s="12"/>
      <c r="M92" s="12"/>
      <c r="N92" s="12"/>
      <c r="O92" s="3"/>
      <c r="P92" s="3"/>
      <c r="Q92" s="3"/>
    </row>
    <row r="93" spans="1:17" ht="15">
      <c r="A93" s="12"/>
      <c r="B93" s="12"/>
      <c r="C93" s="12"/>
      <c r="D93" s="12"/>
      <c r="E93" s="12"/>
      <c r="F93" s="12"/>
      <c r="G93" s="12"/>
      <c r="H93" s="13"/>
      <c r="I93" s="13"/>
      <c r="J93" s="14" t="str">
        <f t="shared" si="2"/>
        <v/>
      </c>
      <c r="K93" s="12"/>
      <c r="L93" s="12"/>
      <c r="M93" s="12"/>
      <c r="N93" s="12"/>
      <c r="O93" s="3"/>
      <c r="P93" s="3"/>
      <c r="Q93" s="3"/>
    </row>
    <row r="94" spans="1:17" ht="15">
      <c r="A94" s="12"/>
      <c r="B94" s="12"/>
      <c r="C94" s="12"/>
      <c r="D94" s="12"/>
      <c r="E94" s="12"/>
      <c r="F94" s="12"/>
      <c r="G94" s="12"/>
      <c r="H94" s="13"/>
      <c r="I94" s="13"/>
      <c r="J94" s="14" t="str">
        <f t="shared" si="2"/>
        <v/>
      </c>
      <c r="K94" s="12"/>
      <c r="L94" s="12"/>
      <c r="M94" s="12"/>
      <c r="N94" s="12"/>
      <c r="O94" s="3"/>
      <c r="P94" s="3"/>
      <c r="Q94" s="3"/>
    </row>
    <row r="95" spans="1:17" ht="15">
      <c r="A95" s="12"/>
      <c r="B95" s="12"/>
      <c r="C95" s="12"/>
      <c r="D95" s="12"/>
      <c r="E95" s="12"/>
      <c r="F95" s="12"/>
      <c r="G95" s="12"/>
      <c r="H95" s="13"/>
      <c r="I95" s="13"/>
      <c r="J95" s="14" t="str">
        <f t="shared" si="2"/>
        <v/>
      </c>
      <c r="K95" s="12"/>
      <c r="L95" s="12"/>
      <c r="M95" s="12"/>
      <c r="N95" s="12"/>
      <c r="O95" s="3"/>
      <c r="P95" s="3"/>
      <c r="Q95" s="3"/>
    </row>
    <row r="96" spans="1:17" ht="15">
      <c r="A96" s="12"/>
      <c r="B96" s="12"/>
      <c r="C96" s="12"/>
      <c r="D96" s="12"/>
      <c r="E96" s="12"/>
      <c r="F96" s="12"/>
      <c r="G96" s="12"/>
      <c r="H96" s="13"/>
      <c r="I96" s="13"/>
      <c r="J96" s="14" t="str">
        <f t="shared" si="2"/>
        <v/>
      </c>
      <c r="K96" s="12"/>
      <c r="L96" s="12"/>
      <c r="M96" s="12"/>
      <c r="N96" s="12"/>
      <c r="O96" s="3"/>
      <c r="P96" s="3"/>
      <c r="Q96" s="3"/>
    </row>
    <row r="97" spans="1:17" ht="15">
      <c r="A97" s="12"/>
      <c r="B97" s="12"/>
      <c r="C97" s="12"/>
      <c r="D97" s="12"/>
      <c r="E97" s="12"/>
      <c r="F97" s="12"/>
      <c r="G97" s="12"/>
      <c r="H97" s="13"/>
      <c r="I97" s="13"/>
      <c r="J97" s="14" t="str">
        <f t="shared" si="2"/>
        <v/>
      </c>
      <c r="K97" s="12"/>
      <c r="L97" s="12"/>
      <c r="M97" s="12"/>
      <c r="N97" s="12"/>
      <c r="O97" s="3"/>
      <c r="P97" s="3"/>
      <c r="Q97" s="3"/>
    </row>
    <row r="98" spans="1:17" ht="15">
      <c r="A98" s="12"/>
      <c r="B98" s="12"/>
      <c r="C98" s="12"/>
      <c r="D98" s="12"/>
      <c r="E98" s="12"/>
      <c r="F98" s="12"/>
      <c r="G98" s="12"/>
      <c r="H98" s="13"/>
      <c r="I98" s="13"/>
      <c r="J98" s="14" t="str">
        <f t="shared" si="2"/>
        <v/>
      </c>
      <c r="K98" s="12"/>
      <c r="L98" s="12"/>
      <c r="M98" s="12"/>
      <c r="N98" s="12"/>
      <c r="O98" s="3"/>
      <c r="P98" s="3"/>
      <c r="Q98" s="3"/>
    </row>
    <row r="99" spans="1:17" ht="15">
      <c r="A99" s="12"/>
      <c r="B99" s="12"/>
      <c r="C99" s="12"/>
      <c r="D99" s="12"/>
      <c r="E99" s="12"/>
      <c r="F99" s="12"/>
      <c r="G99" s="12"/>
      <c r="H99" s="13"/>
      <c r="I99" s="13"/>
      <c r="J99" s="14" t="str">
        <f t="shared" si="2"/>
        <v/>
      </c>
      <c r="K99" s="12"/>
      <c r="L99" s="12"/>
      <c r="M99" s="12"/>
      <c r="N99" s="12"/>
      <c r="O99" s="3"/>
      <c r="P99" s="3"/>
      <c r="Q99" s="3"/>
    </row>
    <row r="100" spans="1:17" ht="15">
      <c r="A100" s="12"/>
      <c r="B100" s="12"/>
      <c r="C100" s="12"/>
      <c r="D100" s="12"/>
      <c r="E100" s="12"/>
      <c r="F100" s="12"/>
      <c r="G100" s="12"/>
      <c r="H100" s="13"/>
      <c r="I100" s="13"/>
      <c r="J100" s="14" t="str">
        <f t="shared" si="2"/>
        <v/>
      </c>
      <c r="K100" s="12"/>
      <c r="L100" s="12"/>
      <c r="M100" s="12"/>
      <c r="N100" s="12"/>
      <c r="O100" s="3"/>
      <c r="P100" s="3"/>
      <c r="Q100" s="3"/>
    </row>
    <row r="101" spans="1:17" ht="15">
      <c r="A101" s="12"/>
      <c r="B101" s="12"/>
      <c r="C101" s="12"/>
      <c r="D101" s="12"/>
      <c r="E101" s="12"/>
      <c r="F101" s="12"/>
      <c r="G101" s="12"/>
      <c r="H101" s="13"/>
      <c r="I101" s="13"/>
      <c r="J101" s="14" t="str">
        <f t="shared" si="2"/>
        <v/>
      </c>
      <c r="K101" s="12"/>
      <c r="L101" s="12"/>
      <c r="M101" s="12"/>
      <c r="N101" s="12"/>
      <c r="O101" s="3"/>
      <c r="P101" s="3"/>
      <c r="Q101" s="3"/>
    </row>
    <row r="102" spans="1:17" ht="15">
      <c r="A102" s="12"/>
      <c r="B102" s="12"/>
      <c r="C102" s="12"/>
      <c r="D102" s="12"/>
      <c r="E102" s="12"/>
      <c r="F102" s="12"/>
      <c r="G102" s="12"/>
      <c r="H102" s="13"/>
      <c r="I102" s="13"/>
      <c r="J102" s="14" t="str">
        <f t="shared" si="2"/>
        <v/>
      </c>
      <c r="K102" s="12"/>
      <c r="L102" s="12"/>
      <c r="M102" s="12"/>
      <c r="N102" s="12"/>
      <c r="O102" s="3"/>
      <c r="P102" s="3"/>
      <c r="Q102" s="3"/>
    </row>
    <row r="103" spans="1:17" ht="15">
      <c r="A103" s="12"/>
      <c r="B103" s="12"/>
      <c r="C103" s="12"/>
      <c r="D103" s="12"/>
      <c r="E103" s="12"/>
      <c r="F103" s="12"/>
      <c r="G103" s="12"/>
      <c r="H103" s="13"/>
      <c r="I103" s="13"/>
      <c r="J103" s="14" t="str">
        <f t="shared" ref="J103:J134" si="3">IF(H103="","",MAX(H103-I103,0))</f>
        <v/>
      </c>
      <c r="K103" s="12"/>
      <c r="L103" s="12"/>
      <c r="M103" s="12"/>
      <c r="N103" s="12"/>
      <c r="O103" s="3"/>
      <c r="P103" s="3"/>
      <c r="Q103" s="3"/>
    </row>
    <row r="104" spans="1:17" ht="15">
      <c r="A104" s="12"/>
      <c r="B104" s="12"/>
      <c r="C104" s="12"/>
      <c r="D104" s="12"/>
      <c r="E104" s="12"/>
      <c r="F104" s="12"/>
      <c r="G104" s="12"/>
      <c r="H104" s="13"/>
      <c r="I104" s="13"/>
      <c r="J104" s="14" t="str">
        <f t="shared" si="3"/>
        <v/>
      </c>
      <c r="K104" s="12"/>
      <c r="L104" s="12"/>
      <c r="M104" s="12"/>
      <c r="N104" s="12"/>
      <c r="O104" s="3"/>
      <c r="P104" s="3"/>
      <c r="Q104" s="3"/>
    </row>
    <row r="105" spans="1:17" ht="15">
      <c r="A105" s="12"/>
      <c r="B105" s="12"/>
      <c r="C105" s="12"/>
      <c r="D105" s="12"/>
      <c r="E105" s="12"/>
      <c r="F105" s="12"/>
      <c r="G105" s="12"/>
      <c r="H105" s="13"/>
      <c r="I105" s="13"/>
      <c r="J105" s="14" t="str">
        <f t="shared" si="3"/>
        <v/>
      </c>
      <c r="K105" s="12"/>
      <c r="L105" s="12"/>
      <c r="M105" s="12"/>
      <c r="N105" s="12"/>
      <c r="O105" s="3"/>
      <c r="P105" s="3"/>
      <c r="Q105" s="3"/>
    </row>
    <row r="106" spans="1:17" ht="15">
      <c r="A106" s="12"/>
      <c r="B106" s="12"/>
      <c r="C106" s="12"/>
      <c r="D106" s="12"/>
      <c r="E106" s="12"/>
      <c r="F106" s="12"/>
      <c r="G106" s="12"/>
      <c r="H106" s="13"/>
      <c r="I106" s="13"/>
      <c r="J106" s="14" t="str">
        <f t="shared" si="3"/>
        <v/>
      </c>
      <c r="K106" s="12"/>
      <c r="L106" s="12"/>
      <c r="M106" s="12"/>
      <c r="N106" s="12"/>
      <c r="O106" s="3"/>
      <c r="P106" s="3"/>
      <c r="Q106" s="3"/>
    </row>
    <row r="107" spans="1:17" ht="15">
      <c r="A107" s="12"/>
      <c r="B107" s="12"/>
      <c r="C107" s="12"/>
      <c r="D107" s="12"/>
      <c r="E107" s="12"/>
      <c r="F107" s="12"/>
      <c r="G107" s="12"/>
      <c r="H107" s="13"/>
      <c r="I107" s="13"/>
      <c r="J107" s="14" t="str">
        <f t="shared" si="3"/>
        <v/>
      </c>
      <c r="K107" s="12"/>
      <c r="L107" s="12"/>
      <c r="M107" s="12"/>
      <c r="N107" s="12"/>
      <c r="O107" s="3"/>
      <c r="P107" s="3"/>
      <c r="Q107" s="3"/>
    </row>
    <row r="108" spans="1:17" ht="15">
      <c r="A108" s="12"/>
      <c r="B108" s="12"/>
      <c r="C108" s="12"/>
      <c r="D108" s="12"/>
      <c r="E108" s="12"/>
      <c r="F108" s="12"/>
      <c r="G108" s="12"/>
      <c r="H108" s="13"/>
      <c r="I108" s="13"/>
      <c r="J108" s="14" t="str">
        <f t="shared" si="3"/>
        <v/>
      </c>
      <c r="K108" s="12"/>
      <c r="L108" s="12"/>
      <c r="M108" s="12"/>
      <c r="N108" s="12"/>
      <c r="O108" s="3"/>
      <c r="P108" s="3"/>
      <c r="Q108" s="3"/>
    </row>
    <row r="109" spans="1:17" ht="15">
      <c r="A109" s="12"/>
      <c r="B109" s="12"/>
      <c r="C109" s="12"/>
      <c r="D109" s="12"/>
      <c r="E109" s="12"/>
      <c r="F109" s="12"/>
      <c r="G109" s="12"/>
      <c r="H109" s="13"/>
      <c r="I109" s="13"/>
      <c r="J109" s="14" t="str">
        <f t="shared" si="3"/>
        <v/>
      </c>
      <c r="K109" s="12"/>
      <c r="L109" s="12"/>
      <c r="M109" s="12"/>
      <c r="N109" s="12"/>
      <c r="O109" s="3"/>
      <c r="P109" s="3"/>
      <c r="Q109" s="3"/>
    </row>
    <row r="110" spans="1:17" ht="15">
      <c r="A110" s="12"/>
      <c r="B110" s="12"/>
      <c r="C110" s="12"/>
      <c r="D110" s="12"/>
      <c r="E110" s="12"/>
      <c r="F110" s="12"/>
      <c r="G110" s="12"/>
      <c r="H110" s="13"/>
      <c r="I110" s="13"/>
      <c r="J110" s="14" t="str">
        <f t="shared" si="3"/>
        <v/>
      </c>
      <c r="K110" s="12"/>
      <c r="L110" s="12"/>
      <c r="M110" s="12"/>
      <c r="N110" s="12"/>
      <c r="O110" s="3"/>
      <c r="P110" s="3"/>
      <c r="Q110" s="3"/>
    </row>
    <row r="111" spans="1:17" ht="15">
      <c r="A111" s="12"/>
      <c r="B111" s="12"/>
      <c r="C111" s="12"/>
      <c r="D111" s="12"/>
      <c r="E111" s="12"/>
      <c r="F111" s="12"/>
      <c r="G111" s="12"/>
      <c r="H111" s="13"/>
      <c r="I111" s="13"/>
      <c r="J111" s="14" t="str">
        <f t="shared" si="3"/>
        <v/>
      </c>
      <c r="K111" s="12"/>
      <c r="L111" s="12"/>
      <c r="M111" s="12"/>
      <c r="N111" s="12"/>
      <c r="O111" s="3"/>
      <c r="P111" s="3"/>
      <c r="Q111" s="3"/>
    </row>
    <row r="112" spans="1:17" ht="15">
      <c r="A112" s="12"/>
      <c r="B112" s="12"/>
      <c r="C112" s="12"/>
      <c r="D112" s="12"/>
      <c r="E112" s="12"/>
      <c r="F112" s="12"/>
      <c r="G112" s="12"/>
      <c r="H112" s="13"/>
      <c r="I112" s="13"/>
      <c r="J112" s="14" t="str">
        <f t="shared" si="3"/>
        <v/>
      </c>
      <c r="K112" s="12"/>
      <c r="L112" s="12"/>
      <c r="M112" s="12"/>
      <c r="N112" s="12"/>
      <c r="O112" s="3"/>
      <c r="P112" s="3"/>
      <c r="Q112" s="3"/>
    </row>
    <row r="113" spans="1:17" ht="15">
      <c r="A113" s="12"/>
      <c r="B113" s="12"/>
      <c r="C113" s="12"/>
      <c r="D113" s="12"/>
      <c r="E113" s="12"/>
      <c r="F113" s="12"/>
      <c r="G113" s="12"/>
      <c r="H113" s="13"/>
      <c r="I113" s="13"/>
      <c r="J113" s="14" t="str">
        <f t="shared" si="3"/>
        <v/>
      </c>
      <c r="K113" s="12"/>
      <c r="L113" s="12"/>
      <c r="M113" s="12"/>
      <c r="N113" s="12"/>
      <c r="O113" s="3"/>
      <c r="P113" s="3"/>
      <c r="Q113" s="3"/>
    </row>
    <row r="114" spans="1:17" ht="15">
      <c r="A114" s="12"/>
      <c r="B114" s="12"/>
      <c r="C114" s="12"/>
      <c r="D114" s="12"/>
      <c r="E114" s="12"/>
      <c r="F114" s="12"/>
      <c r="G114" s="12"/>
      <c r="H114" s="13"/>
      <c r="I114" s="13"/>
      <c r="J114" s="14" t="str">
        <f t="shared" si="3"/>
        <v/>
      </c>
      <c r="K114" s="12"/>
      <c r="L114" s="12"/>
      <c r="M114" s="12"/>
      <c r="N114" s="12"/>
      <c r="O114" s="3"/>
      <c r="P114" s="3"/>
      <c r="Q114" s="3"/>
    </row>
    <row r="115" spans="1:17" ht="15">
      <c r="A115" s="12"/>
      <c r="B115" s="12"/>
      <c r="C115" s="12"/>
      <c r="D115" s="12"/>
      <c r="E115" s="12"/>
      <c r="F115" s="12"/>
      <c r="G115" s="12"/>
      <c r="H115" s="13"/>
      <c r="I115" s="13"/>
      <c r="J115" s="14" t="str">
        <f t="shared" si="3"/>
        <v/>
      </c>
      <c r="K115" s="12"/>
      <c r="L115" s="12"/>
      <c r="M115" s="12"/>
      <c r="N115" s="12"/>
      <c r="O115" s="3"/>
      <c r="P115" s="3"/>
      <c r="Q115" s="3"/>
    </row>
    <row r="116" spans="1:17" ht="15">
      <c r="A116" s="12"/>
      <c r="B116" s="12"/>
      <c r="C116" s="12"/>
      <c r="D116" s="12"/>
      <c r="E116" s="12"/>
      <c r="F116" s="12"/>
      <c r="G116" s="12"/>
      <c r="H116" s="13"/>
      <c r="I116" s="13"/>
      <c r="J116" s="14" t="str">
        <f t="shared" si="3"/>
        <v/>
      </c>
      <c r="K116" s="12"/>
      <c r="L116" s="12"/>
      <c r="M116" s="12"/>
      <c r="N116" s="12"/>
      <c r="O116" s="3"/>
      <c r="P116" s="3"/>
      <c r="Q116" s="3"/>
    </row>
    <row r="117" spans="1:17" ht="15">
      <c r="A117" s="12"/>
      <c r="B117" s="12"/>
      <c r="C117" s="12"/>
      <c r="D117" s="12"/>
      <c r="E117" s="12"/>
      <c r="F117" s="12"/>
      <c r="G117" s="12"/>
      <c r="H117" s="13"/>
      <c r="I117" s="13"/>
      <c r="J117" s="14" t="str">
        <f t="shared" si="3"/>
        <v/>
      </c>
      <c r="K117" s="12"/>
      <c r="L117" s="12"/>
      <c r="M117" s="12"/>
      <c r="N117" s="12"/>
      <c r="O117" s="3"/>
      <c r="P117" s="3"/>
      <c r="Q117" s="3"/>
    </row>
    <row r="118" spans="1:17" ht="15">
      <c r="A118" s="12"/>
      <c r="B118" s="12"/>
      <c r="C118" s="12"/>
      <c r="D118" s="12"/>
      <c r="E118" s="12"/>
      <c r="F118" s="12"/>
      <c r="G118" s="12"/>
      <c r="H118" s="13"/>
      <c r="I118" s="13"/>
      <c r="J118" s="14" t="str">
        <f t="shared" si="3"/>
        <v/>
      </c>
      <c r="K118" s="12"/>
      <c r="L118" s="12"/>
      <c r="M118" s="12"/>
      <c r="N118" s="12"/>
      <c r="O118" s="3"/>
      <c r="P118" s="3"/>
      <c r="Q118" s="3"/>
    </row>
    <row r="119" spans="1:17" ht="15">
      <c r="A119" s="12"/>
      <c r="B119" s="12"/>
      <c r="C119" s="12"/>
      <c r="D119" s="12"/>
      <c r="E119" s="12"/>
      <c r="F119" s="12"/>
      <c r="G119" s="12"/>
      <c r="H119" s="13"/>
      <c r="I119" s="13"/>
      <c r="J119" s="14" t="str">
        <f t="shared" si="3"/>
        <v/>
      </c>
      <c r="K119" s="12"/>
      <c r="L119" s="12"/>
      <c r="M119" s="12"/>
      <c r="N119" s="12"/>
      <c r="O119" s="3"/>
      <c r="P119" s="3"/>
      <c r="Q119" s="3"/>
    </row>
    <row r="120" spans="1:17" ht="15">
      <c r="A120" s="12"/>
      <c r="B120" s="12"/>
      <c r="C120" s="12"/>
      <c r="D120" s="12"/>
      <c r="E120" s="12"/>
      <c r="F120" s="12"/>
      <c r="G120" s="12"/>
      <c r="H120" s="13"/>
      <c r="I120" s="13"/>
      <c r="J120" s="14" t="str">
        <f t="shared" si="3"/>
        <v/>
      </c>
      <c r="K120" s="12"/>
      <c r="L120" s="12"/>
      <c r="M120" s="12"/>
      <c r="N120" s="12"/>
      <c r="O120" s="3"/>
      <c r="P120" s="3"/>
      <c r="Q120" s="3"/>
    </row>
    <row r="121" spans="1:17" ht="15">
      <c r="A121" s="12"/>
      <c r="B121" s="12"/>
      <c r="C121" s="12"/>
      <c r="D121" s="12"/>
      <c r="E121" s="12"/>
      <c r="F121" s="12"/>
      <c r="G121" s="12"/>
      <c r="H121" s="13"/>
      <c r="I121" s="13"/>
      <c r="J121" s="14" t="str">
        <f t="shared" si="3"/>
        <v/>
      </c>
      <c r="K121" s="12"/>
      <c r="L121" s="12"/>
      <c r="M121" s="12"/>
      <c r="N121" s="12"/>
      <c r="O121" s="3"/>
      <c r="P121" s="3"/>
      <c r="Q121" s="3"/>
    </row>
    <row r="122" spans="1:17" ht="15">
      <c r="A122" s="12"/>
      <c r="B122" s="12"/>
      <c r="C122" s="12"/>
      <c r="D122" s="12"/>
      <c r="E122" s="12"/>
      <c r="F122" s="12"/>
      <c r="G122" s="12"/>
      <c r="H122" s="13"/>
      <c r="I122" s="13"/>
      <c r="J122" s="14" t="str">
        <f t="shared" si="3"/>
        <v/>
      </c>
      <c r="K122" s="12"/>
      <c r="L122" s="12"/>
      <c r="M122" s="12"/>
      <c r="N122" s="12"/>
      <c r="O122" s="3"/>
      <c r="P122" s="3"/>
      <c r="Q122" s="3"/>
    </row>
    <row r="123" spans="1:17" ht="15">
      <c r="A123" s="12"/>
      <c r="B123" s="12"/>
      <c r="C123" s="12"/>
      <c r="D123" s="12"/>
      <c r="E123" s="12"/>
      <c r="F123" s="12"/>
      <c r="G123" s="12"/>
      <c r="H123" s="13"/>
      <c r="I123" s="13"/>
      <c r="J123" s="14" t="str">
        <f t="shared" si="3"/>
        <v/>
      </c>
      <c r="K123" s="12"/>
      <c r="L123" s="12"/>
      <c r="M123" s="12"/>
      <c r="N123" s="12"/>
      <c r="O123" s="3"/>
      <c r="P123" s="3"/>
      <c r="Q123" s="3"/>
    </row>
    <row r="124" spans="1:17" ht="15">
      <c r="A124" s="12"/>
      <c r="B124" s="12"/>
      <c r="C124" s="12"/>
      <c r="D124" s="12"/>
      <c r="E124" s="12"/>
      <c r="F124" s="12"/>
      <c r="G124" s="12"/>
      <c r="H124" s="13"/>
      <c r="I124" s="13"/>
      <c r="J124" s="14" t="str">
        <f t="shared" si="3"/>
        <v/>
      </c>
      <c r="K124" s="12"/>
      <c r="L124" s="12"/>
      <c r="M124" s="12"/>
      <c r="N124" s="12"/>
      <c r="O124" s="3"/>
      <c r="P124" s="3"/>
      <c r="Q124" s="3"/>
    </row>
    <row r="125" spans="1:17" ht="15">
      <c r="A125" s="12"/>
      <c r="B125" s="12"/>
      <c r="C125" s="12"/>
      <c r="D125" s="12"/>
      <c r="E125" s="12"/>
      <c r="F125" s="12"/>
      <c r="G125" s="12"/>
      <c r="H125" s="13"/>
      <c r="I125" s="13"/>
      <c r="J125" s="14" t="str">
        <f t="shared" si="3"/>
        <v/>
      </c>
      <c r="K125" s="12"/>
      <c r="L125" s="12"/>
      <c r="M125" s="12"/>
      <c r="N125" s="12"/>
      <c r="O125" s="3"/>
      <c r="P125" s="3"/>
      <c r="Q125" s="3"/>
    </row>
    <row r="126" spans="1:17" ht="15">
      <c r="A126" s="12"/>
      <c r="B126" s="12"/>
      <c r="C126" s="12"/>
      <c r="D126" s="12"/>
      <c r="E126" s="12"/>
      <c r="F126" s="12"/>
      <c r="G126" s="12"/>
      <c r="H126" s="13"/>
      <c r="I126" s="13"/>
      <c r="J126" s="14" t="str">
        <f t="shared" si="3"/>
        <v/>
      </c>
      <c r="K126" s="12"/>
      <c r="L126" s="12"/>
      <c r="M126" s="12"/>
      <c r="N126" s="12"/>
      <c r="O126" s="3"/>
      <c r="P126" s="3"/>
      <c r="Q126" s="3"/>
    </row>
    <row r="127" spans="1:17" ht="15">
      <c r="A127" s="12"/>
      <c r="B127" s="12"/>
      <c r="C127" s="12"/>
      <c r="D127" s="12"/>
      <c r="E127" s="12"/>
      <c r="F127" s="12"/>
      <c r="G127" s="12"/>
      <c r="H127" s="13"/>
      <c r="I127" s="13"/>
      <c r="J127" s="14" t="str">
        <f t="shared" si="3"/>
        <v/>
      </c>
      <c r="K127" s="12"/>
      <c r="L127" s="12"/>
      <c r="M127" s="12"/>
      <c r="N127" s="12"/>
      <c r="O127" s="3"/>
      <c r="P127" s="3"/>
      <c r="Q127" s="3"/>
    </row>
    <row r="128" spans="1:17" ht="15">
      <c r="A128" s="12"/>
      <c r="B128" s="12"/>
      <c r="C128" s="12"/>
      <c r="D128" s="12"/>
      <c r="E128" s="12"/>
      <c r="F128" s="12"/>
      <c r="G128" s="12"/>
      <c r="H128" s="13"/>
      <c r="I128" s="13"/>
      <c r="J128" s="14" t="str">
        <f t="shared" si="3"/>
        <v/>
      </c>
      <c r="K128" s="12"/>
      <c r="L128" s="12"/>
      <c r="M128" s="12"/>
      <c r="N128" s="12"/>
      <c r="O128" s="3"/>
      <c r="P128" s="3"/>
      <c r="Q128" s="3"/>
    </row>
    <row r="129" spans="1:17" ht="15">
      <c r="A129" s="12"/>
      <c r="B129" s="12"/>
      <c r="C129" s="12"/>
      <c r="D129" s="12"/>
      <c r="E129" s="12"/>
      <c r="F129" s="12"/>
      <c r="G129" s="12"/>
      <c r="H129" s="13"/>
      <c r="I129" s="13"/>
      <c r="J129" s="14" t="str">
        <f t="shared" si="3"/>
        <v/>
      </c>
      <c r="K129" s="12"/>
      <c r="L129" s="12"/>
      <c r="M129" s="12"/>
      <c r="N129" s="12"/>
      <c r="O129" s="3"/>
      <c r="P129" s="3"/>
      <c r="Q129" s="3"/>
    </row>
    <row r="130" spans="1:17" ht="15">
      <c r="A130" s="12"/>
      <c r="B130" s="12"/>
      <c r="C130" s="12"/>
      <c r="D130" s="12"/>
      <c r="E130" s="12"/>
      <c r="F130" s="12"/>
      <c r="G130" s="12"/>
      <c r="H130" s="13"/>
      <c r="I130" s="13"/>
      <c r="J130" s="14" t="str">
        <f t="shared" si="3"/>
        <v/>
      </c>
      <c r="K130" s="12"/>
      <c r="L130" s="12"/>
      <c r="M130" s="12"/>
      <c r="N130" s="12"/>
      <c r="O130" s="3"/>
      <c r="P130" s="3"/>
      <c r="Q130" s="3"/>
    </row>
    <row r="131" spans="1:17" ht="15">
      <c r="A131" s="12"/>
      <c r="B131" s="12"/>
      <c r="C131" s="12"/>
      <c r="D131" s="12"/>
      <c r="E131" s="12"/>
      <c r="F131" s="12"/>
      <c r="G131" s="12"/>
      <c r="H131" s="13"/>
      <c r="I131" s="13"/>
      <c r="J131" s="14" t="str">
        <f t="shared" si="3"/>
        <v/>
      </c>
      <c r="K131" s="12"/>
      <c r="L131" s="12"/>
      <c r="M131" s="12"/>
      <c r="N131" s="12"/>
      <c r="O131" s="3"/>
      <c r="P131" s="3"/>
      <c r="Q131" s="3"/>
    </row>
    <row r="132" spans="1:17" ht="15">
      <c r="A132" s="12"/>
      <c r="B132" s="12"/>
      <c r="C132" s="12"/>
      <c r="D132" s="12"/>
      <c r="E132" s="12"/>
      <c r="F132" s="12"/>
      <c r="G132" s="12"/>
      <c r="H132" s="13"/>
      <c r="I132" s="13"/>
      <c r="J132" s="14" t="str">
        <f t="shared" si="3"/>
        <v/>
      </c>
      <c r="K132" s="12"/>
      <c r="L132" s="12"/>
      <c r="M132" s="12"/>
      <c r="N132" s="12"/>
      <c r="O132" s="3"/>
      <c r="P132" s="3"/>
      <c r="Q132" s="3"/>
    </row>
    <row r="133" spans="1:17" ht="15">
      <c r="A133" s="12"/>
      <c r="B133" s="12"/>
      <c r="C133" s="12"/>
      <c r="D133" s="12"/>
      <c r="E133" s="12"/>
      <c r="F133" s="12"/>
      <c r="G133" s="12"/>
      <c r="H133" s="13"/>
      <c r="I133" s="13"/>
      <c r="J133" s="14" t="str">
        <f t="shared" si="3"/>
        <v/>
      </c>
      <c r="K133" s="12"/>
      <c r="L133" s="12"/>
      <c r="M133" s="12"/>
      <c r="N133" s="12"/>
      <c r="O133" s="3"/>
      <c r="P133" s="3"/>
      <c r="Q133" s="3"/>
    </row>
    <row r="134" spans="1:17" ht="15">
      <c r="A134" s="12"/>
      <c r="B134" s="12"/>
      <c r="C134" s="12"/>
      <c r="D134" s="12"/>
      <c r="E134" s="12"/>
      <c r="F134" s="12"/>
      <c r="G134" s="12"/>
      <c r="H134" s="13"/>
      <c r="I134" s="13"/>
      <c r="J134" s="14" t="str">
        <f t="shared" si="3"/>
        <v/>
      </c>
      <c r="K134" s="12"/>
      <c r="L134" s="12"/>
      <c r="M134" s="12"/>
      <c r="N134" s="12"/>
      <c r="O134" s="3"/>
      <c r="P134" s="3"/>
      <c r="Q134" s="3"/>
    </row>
    <row r="135" spans="1:17" ht="15">
      <c r="A135" s="12"/>
      <c r="B135" s="12"/>
      <c r="C135" s="12"/>
      <c r="D135" s="12"/>
      <c r="E135" s="12"/>
      <c r="F135" s="12"/>
      <c r="G135" s="12"/>
      <c r="H135" s="13"/>
      <c r="I135" s="13"/>
      <c r="J135" s="14" t="str">
        <f t="shared" ref="J135:J166" si="4">IF(H135="","",MAX(H135-I135,0))</f>
        <v/>
      </c>
      <c r="K135" s="12"/>
      <c r="L135" s="12"/>
      <c r="M135" s="12"/>
      <c r="N135" s="12"/>
      <c r="O135" s="3"/>
      <c r="P135" s="3"/>
      <c r="Q135" s="3"/>
    </row>
    <row r="136" spans="1:17" ht="15">
      <c r="A136" s="12"/>
      <c r="B136" s="12"/>
      <c r="C136" s="12"/>
      <c r="D136" s="12"/>
      <c r="E136" s="12"/>
      <c r="F136" s="12"/>
      <c r="G136" s="12"/>
      <c r="H136" s="13"/>
      <c r="I136" s="13"/>
      <c r="J136" s="14" t="str">
        <f t="shared" si="4"/>
        <v/>
      </c>
      <c r="K136" s="12"/>
      <c r="L136" s="12"/>
      <c r="M136" s="12"/>
      <c r="N136" s="12"/>
      <c r="O136" s="3"/>
      <c r="P136" s="3"/>
      <c r="Q136" s="3"/>
    </row>
    <row r="137" spans="1:17" ht="15">
      <c r="A137" s="12"/>
      <c r="B137" s="12"/>
      <c r="C137" s="12"/>
      <c r="D137" s="12"/>
      <c r="E137" s="12"/>
      <c r="F137" s="12"/>
      <c r="G137" s="12"/>
      <c r="H137" s="13"/>
      <c r="I137" s="13"/>
      <c r="J137" s="14" t="str">
        <f t="shared" si="4"/>
        <v/>
      </c>
      <c r="K137" s="12"/>
      <c r="L137" s="12"/>
      <c r="M137" s="12"/>
      <c r="N137" s="12"/>
      <c r="O137" s="3"/>
      <c r="P137" s="3"/>
      <c r="Q137" s="3"/>
    </row>
    <row r="138" spans="1:17" ht="15">
      <c r="A138" s="12"/>
      <c r="B138" s="12"/>
      <c r="C138" s="12"/>
      <c r="D138" s="12"/>
      <c r="E138" s="12"/>
      <c r="F138" s="12"/>
      <c r="G138" s="12"/>
      <c r="H138" s="13"/>
      <c r="I138" s="13"/>
      <c r="J138" s="14" t="str">
        <f t="shared" si="4"/>
        <v/>
      </c>
      <c r="K138" s="12"/>
      <c r="L138" s="12"/>
      <c r="M138" s="12"/>
      <c r="N138" s="12"/>
      <c r="O138" s="3"/>
      <c r="P138" s="3"/>
      <c r="Q138" s="3"/>
    </row>
    <row r="139" spans="1:17" ht="15">
      <c r="A139" s="12"/>
      <c r="B139" s="12"/>
      <c r="C139" s="12"/>
      <c r="D139" s="12"/>
      <c r="E139" s="12"/>
      <c r="F139" s="12"/>
      <c r="G139" s="12"/>
      <c r="H139" s="13"/>
      <c r="I139" s="13"/>
      <c r="J139" s="14" t="str">
        <f t="shared" si="4"/>
        <v/>
      </c>
      <c r="K139" s="12"/>
      <c r="L139" s="12"/>
      <c r="M139" s="12"/>
      <c r="N139" s="12"/>
      <c r="O139" s="3"/>
      <c r="P139" s="3"/>
      <c r="Q139" s="3"/>
    </row>
    <row r="140" spans="1:17" ht="15">
      <c r="A140" s="12"/>
      <c r="B140" s="12"/>
      <c r="C140" s="12"/>
      <c r="D140" s="12"/>
      <c r="E140" s="12"/>
      <c r="F140" s="12"/>
      <c r="G140" s="12"/>
      <c r="H140" s="13"/>
      <c r="I140" s="13"/>
      <c r="J140" s="14" t="str">
        <f t="shared" si="4"/>
        <v/>
      </c>
      <c r="K140" s="12"/>
      <c r="L140" s="12"/>
      <c r="M140" s="12"/>
      <c r="N140" s="12"/>
      <c r="O140" s="3"/>
      <c r="P140" s="3"/>
      <c r="Q140" s="3"/>
    </row>
    <row r="141" spans="1:17" ht="15">
      <c r="A141" s="12"/>
      <c r="B141" s="12"/>
      <c r="C141" s="12"/>
      <c r="D141" s="12"/>
      <c r="E141" s="12"/>
      <c r="F141" s="12"/>
      <c r="G141" s="12"/>
      <c r="H141" s="13"/>
      <c r="I141" s="13"/>
      <c r="J141" s="14" t="str">
        <f t="shared" si="4"/>
        <v/>
      </c>
      <c r="K141" s="12"/>
      <c r="L141" s="12"/>
      <c r="M141" s="12"/>
      <c r="N141" s="12"/>
      <c r="O141" s="3"/>
      <c r="P141" s="3"/>
      <c r="Q141" s="3"/>
    </row>
    <row r="142" spans="1:17" ht="15">
      <c r="A142" s="12"/>
      <c r="B142" s="12"/>
      <c r="C142" s="12"/>
      <c r="D142" s="12"/>
      <c r="E142" s="12"/>
      <c r="F142" s="12"/>
      <c r="G142" s="12"/>
      <c r="H142" s="13"/>
      <c r="I142" s="13"/>
      <c r="J142" s="14" t="str">
        <f t="shared" si="4"/>
        <v/>
      </c>
      <c r="K142" s="12"/>
      <c r="L142" s="12"/>
      <c r="M142" s="12"/>
      <c r="N142" s="12"/>
      <c r="O142" s="3"/>
      <c r="P142" s="3"/>
      <c r="Q142" s="3"/>
    </row>
    <row r="143" spans="1:17" ht="15">
      <c r="A143" s="12"/>
      <c r="B143" s="12"/>
      <c r="C143" s="12"/>
      <c r="D143" s="12"/>
      <c r="E143" s="12"/>
      <c r="F143" s="12"/>
      <c r="G143" s="12"/>
      <c r="H143" s="13"/>
      <c r="I143" s="13"/>
      <c r="J143" s="14" t="str">
        <f t="shared" si="4"/>
        <v/>
      </c>
      <c r="K143" s="12"/>
      <c r="L143" s="12"/>
      <c r="M143" s="12"/>
      <c r="N143" s="12"/>
      <c r="O143" s="3"/>
      <c r="P143" s="3"/>
      <c r="Q143" s="3"/>
    </row>
    <row r="144" spans="1:17" ht="15">
      <c r="A144" s="12"/>
      <c r="B144" s="12"/>
      <c r="C144" s="12"/>
      <c r="D144" s="12"/>
      <c r="E144" s="12"/>
      <c r="F144" s="12"/>
      <c r="G144" s="12"/>
      <c r="H144" s="13"/>
      <c r="I144" s="13"/>
      <c r="J144" s="14" t="str">
        <f t="shared" si="4"/>
        <v/>
      </c>
      <c r="K144" s="12"/>
      <c r="L144" s="12"/>
      <c r="M144" s="12"/>
      <c r="N144" s="12"/>
      <c r="O144" s="3"/>
      <c r="P144" s="3"/>
      <c r="Q144" s="3"/>
    </row>
    <row r="145" spans="1:17" ht="15">
      <c r="A145" s="12"/>
      <c r="B145" s="12"/>
      <c r="C145" s="12"/>
      <c r="D145" s="12"/>
      <c r="E145" s="12"/>
      <c r="F145" s="12"/>
      <c r="G145" s="12"/>
      <c r="H145" s="13"/>
      <c r="I145" s="13"/>
      <c r="J145" s="14" t="str">
        <f t="shared" si="4"/>
        <v/>
      </c>
      <c r="K145" s="12"/>
      <c r="L145" s="12"/>
      <c r="M145" s="12"/>
      <c r="N145" s="12"/>
      <c r="O145" s="3"/>
      <c r="P145" s="3"/>
      <c r="Q145" s="3"/>
    </row>
    <row r="146" spans="1:17" ht="15">
      <c r="A146" s="12"/>
      <c r="B146" s="12"/>
      <c r="C146" s="12"/>
      <c r="D146" s="12"/>
      <c r="E146" s="12"/>
      <c r="F146" s="12"/>
      <c r="G146" s="12"/>
      <c r="H146" s="13"/>
      <c r="I146" s="13"/>
      <c r="J146" s="14" t="str">
        <f t="shared" si="4"/>
        <v/>
      </c>
      <c r="K146" s="12"/>
      <c r="L146" s="12"/>
      <c r="M146" s="12"/>
      <c r="N146" s="12"/>
      <c r="O146" s="3"/>
      <c r="P146" s="3"/>
      <c r="Q146" s="3"/>
    </row>
    <row r="147" spans="1:17" ht="15">
      <c r="A147" s="12"/>
      <c r="B147" s="12"/>
      <c r="C147" s="12"/>
      <c r="D147" s="12"/>
      <c r="E147" s="12"/>
      <c r="F147" s="12"/>
      <c r="G147" s="12"/>
      <c r="H147" s="13"/>
      <c r="I147" s="13"/>
      <c r="J147" s="14" t="str">
        <f t="shared" si="4"/>
        <v/>
      </c>
      <c r="K147" s="12"/>
      <c r="L147" s="12"/>
      <c r="M147" s="12"/>
      <c r="N147" s="12"/>
      <c r="O147" s="3"/>
      <c r="P147" s="3"/>
      <c r="Q147" s="3"/>
    </row>
    <row r="148" spans="1:17" ht="15">
      <c r="A148" s="12"/>
      <c r="B148" s="12"/>
      <c r="C148" s="12"/>
      <c r="D148" s="12"/>
      <c r="E148" s="12"/>
      <c r="F148" s="12"/>
      <c r="G148" s="12"/>
      <c r="H148" s="13"/>
      <c r="I148" s="13"/>
      <c r="J148" s="14" t="str">
        <f t="shared" si="4"/>
        <v/>
      </c>
      <c r="K148" s="12"/>
      <c r="L148" s="12"/>
      <c r="M148" s="12"/>
      <c r="N148" s="12"/>
      <c r="O148" s="3"/>
      <c r="P148" s="3"/>
      <c r="Q148" s="3"/>
    </row>
    <row r="149" spans="1:17" ht="15">
      <c r="A149" s="12"/>
      <c r="B149" s="12"/>
      <c r="C149" s="12"/>
      <c r="D149" s="12"/>
      <c r="E149" s="12"/>
      <c r="F149" s="12"/>
      <c r="G149" s="12"/>
      <c r="H149" s="13"/>
      <c r="I149" s="13"/>
      <c r="J149" s="14" t="str">
        <f t="shared" si="4"/>
        <v/>
      </c>
      <c r="K149" s="12"/>
      <c r="L149" s="12"/>
      <c r="M149" s="12"/>
      <c r="N149" s="12"/>
      <c r="O149" s="3"/>
      <c r="P149" s="3"/>
      <c r="Q149" s="3"/>
    </row>
    <row r="150" spans="1:17" ht="15">
      <c r="A150" s="12"/>
      <c r="B150" s="12"/>
      <c r="C150" s="12"/>
      <c r="D150" s="12"/>
      <c r="E150" s="12"/>
      <c r="F150" s="12"/>
      <c r="G150" s="12"/>
      <c r="H150" s="13"/>
      <c r="I150" s="13"/>
      <c r="J150" s="14" t="str">
        <f t="shared" si="4"/>
        <v/>
      </c>
      <c r="K150" s="12"/>
      <c r="L150" s="12"/>
      <c r="M150" s="12"/>
      <c r="N150" s="12"/>
      <c r="O150" s="3"/>
      <c r="P150" s="3"/>
      <c r="Q150" s="3"/>
    </row>
    <row r="151" spans="1:17" ht="15">
      <c r="A151" s="12"/>
      <c r="B151" s="12"/>
      <c r="C151" s="12"/>
      <c r="D151" s="12"/>
      <c r="E151" s="12"/>
      <c r="F151" s="12"/>
      <c r="G151" s="12"/>
      <c r="H151" s="13"/>
      <c r="I151" s="13"/>
      <c r="J151" s="14" t="str">
        <f t="shared" si="4"/>
        <v/>
      </c>
      <c r="K151" s="12"/>
      <c r="L151" s="12"/>
      <c r="M151" s="12"/>
      <c r="N151" s="12"/>
      <c r="O151" s="3"/>
      <c r="P151" s="3"/>
      <c r="Q151" s="3"/>
    </row>
    <row r="152" spans="1:17" ht="15">
      <c r="A152" s="12"/>
      <c r="B152" s="12"/>
      <c r="C152" s="12"/>
      <c r="D152" s="12"/>
      <c r="E152" s="12"/>
      <c r="F152" s="12"/>
      <c r="G152" s="12"/>
      <c r="H152" s="13"/>
      <c r="I152" s="13"/>
      <c r="J152" s="14" t="str">
        <f t="shared" si="4"/>
        <v/>
      </c>
      <c r="K152" s="12"/>
      <c r="L152" s="12"/>
      <c r="M152" s="12"/>
      <c r="N152" s="12"/>
      <c r="O152" s="3"/>
      <c r="P152" s="3"/>
      <c r="Q152" s="3"/>
    </row>
    <row r="153" spans="1:17" ht="15">
      <c r="A153" s="12"/>
      <c r="B153" s="12"/>
      <c r="C153" s="12"/>
      <c r="D153" s="12"/>
      <c r="E153" s="12"/>
      <c r="F153" s="12"/>
      <c r="G153" s="12"/>
      <c r="H153" s="13"/>
      <c r="I153" s="13"/>
      <c r="J153" s="14" t="str">
        <f t="shared" si="4"/>
        <v/>
      </c>
      <c r="K153" s="12"/>
      <c r="L153" s="12"/>
      <c r="M153" s="12"/>
      <c r="N153" s="12"/>
      <c r="O153" s="3"/>
      <c r="P153" s="3"/>
      <c r="Q153" s="3"/>
    </row>
    <row r="154" spans="1:17" ht="15">
      <c r="A154" s="12"/>
      <c r="B154" s="12"/>
      <c r="C154" s="12"/>
      <c r="D154" s="12"/>
      <c r="E154" s="12"/>
      <c r="F154" s="12"/>
      <c r="G154" s="12"/>
      <c r="H154" s="13"/>
      <c r="I154" s="13"/>
      <c r="J154" s="14" t="str">
        <f t="shared" si="4"/>
        <v/>
      </c>
      <c r="K154" s="12"/>
      <c r="L154" s="12"/>
      <c r="M154" s="12"/>
      <c r="N154" s="12"/>
      <c r="O154" s="3"/>
      <c r="P154" s="3"/>
      <c r="Q154" s="3"/>
    </row>
    <row r="155" spans="1:17" ht="15">
      <c r="A155" s="12"/>
      <c r="B155" s="12"/>
      <c r="C155" s="12"/>
      <c r="D155" s="12"/>
      <c r="E155" s="12"/>
      <c r="F155" s="12"/>
      <c r="G155" s="12"/>
      <c r="H155" s="13"/>
      <c r="I155" s="13"/>
      <c r="J155" s="14" t="str">
        <f t="shared" si="4"/>
        <v/>
      </c>
      <c r="K155" s="12"/>
      <c r="L155" s="12"/>
      <c r="M155" s="12"/>
      <c r="N155" s="12"/>
      <c r="O155" s="3"/>
      <c r="P155" s="3"/>
      <c r="Q155" s="3"/>
    </row>
    <row r="156" spans="1:17" ht="15">
      <c r="A156" s="12"/>
      <c r="B156" s="12"/>
      <c r="C156" s="12"/>
      <c r="D156" s="12"/>
      <c r="E156" s="12"/>
      <c r="F156" s="12"/>
      <c r="G156" s="12"/>
      <c r="H156" s="13"/>
      <c r="I156" s="13"/>
      <c r="J156" s="14" t="str">
        <f t="shared" si="4"/>
        <v/>
      </c>
      <c r="K156" s="12"/>
      <c r="L156" s="12"/>
      <c r="M156" s="12"/>
      <c r="N156" s="12"/>
      <c r="O156" s="3"/>
      <c r="P156" s="3"/>
      <c r="Q156" s="3"/>
    </row>
    <row r="157" spans="1:17" ht="15">
      <c r="A157" s="12"/>
      <c r="B157" s="12"/>
      <c r="C157" s="12"/>
      <c r="D157" s="12"/>
      <c r="E157" s="12"/>
      <c r="F157" s="12"/>
      <c r="G157" s="12"/>
      <c r="H157" s="13"/>
      <c r="I157" s="13"/>
      <c r="J157" s="14" t="str">
        <f t="shared" si="4"/>
        <v/>
      </c>
      <c r="K157" s="12"/>
      <c r="L157" s="12"/>
      <c r="M157" s="12"/>
      <c r="N157" s="12"/>
      <c r="O157" s="3"/>
      <c r="P157" s="3"/>
      <c r="Q157" s="3"/>
    </row>
    <row r="158" spans="1:17" ht="15">
      <c r="A158" s="12"/>
      <c r="B158" s="12"/>
      <c r="C158" s="12"/>
      <c r="D158" s="12"/>
      <c r="E158" s="12"/>
      <c r="F158" s="12"/>
      <c r="G158" s="12"/>
      <c r="H158" s="13"/>
      <c r="I158" s="13"/>
      <c r="J158" s="14" t="str">
        <f t="shared" si="4"/>
        <v/>
      </c>
      <c r="K158" s="12"/>
      <c r="L158" s="12"/>
      <c r="M158" s="12"/>
      <c r="N158" s="12"/>
      <c r="O158" s="3"/>
      <c r="P158" s="3"/>
      <c r="Q158" s="3"/>
    </row>
    <row r="159" spans="1:17" ht="15">
      <c r="A159" s="12"/>
      <c r="B159" s="12"/>
      <c r="C159" s="12"/>
      <c r="D159" s="12"/>
      <c r="E159" s="12"/>
      <c r="F159" s="12"/>
      <c r="G159" s="12"/>
      <c r="H159" s="13"/>
      <c r="I159" s="13"/>
      <c r="J159" s="14" t="str">
        <f t="shared" si="4"/>
        <v/>
      </c>
      <c r="K159" s="12"/>
      <c r="L159" s="12"/>
      <c r="M159" s="12"/>
      <c r="N159" s="12"/>
      <c r="O159" s="3"/>
      <c r="P159" s="3"/>
      <c r="Q159" s="3"/>
    </row>
    <row r="160" spans="1:17" ht="15">
      <c r="A160" s="12"/>
      <c r="B160" s="12"/>
      <c r="C160" s="12"/>
      <c r="D160" s="12"/>
      <c r="E160" s="12"/>
      <c r="F160" s="12"/>
      <c r="G160" s="12"/>
      <c r="H160" s="13"/>
      <c r="I160" s="13"/>
      <c r="J160" s="14" t="str">
        <f t="shared" si="4"/>
        <v/>
      </c>
      <c r="K160" s="12"/>
      <c r="L160" s="12"/>
      <c r="M160" s="12"/>
      <c r="N160" s="12"/>
      <c r="O160" s="3"/>
      <c r="P160" s="3"/>
      <c r="Q160" s="3"/>
    </row>
    <row r="161" spans="1:17" ht="15">
      <c r="A161" s="12"/>
      <c r="B161" s="12"/>
      <c r="C161" s="12"/>
      <c r="D161" s="12"/>
      <c r="E161" s="12"/>
      <c r="F161" s="12"/>
      <c r="G161" s="12"/>
      <c r="H161" s="13"/>
      <c r="I161" s="13"/>
      <c r="J161" s="14" t="str">
        <f t="shared" si="4"/>
        <v/>
      </c>
      <c r="K161" s="12"/>
      <c r="L161" s="12"/>
      <c r="M161" s="12"/>
      <c r="N161" s="12"/>
      <c r="O161" s="3"/>
      <c r="P161" s="3"/>
      <c r="Q161" s="3"/>
    </row>
    <row r="162" spans="1:17" ht="15">
      <c r="A162" s="12"/>
      <c r="B162" s="12"/>
      <c r="C162" s="12"/>
      <c r="D162" s="12"/>
      <c r="E162" s="12"/>
      <c r="F162" s="12"/>
      <c r="G162" s="12"/>
      <c r="H162" s="13"/>
      <c r="I162" s="13"/>
      <c r="J162" s="14" t="str">
        <f t="shared" si="4"/>
        <v/>
      </c>
      <c r="K162" s="12"/>
      <c r="L162" s="12"/>
      <c r="M162" s="12"/>
      <c r="N162" s="12"/>
      <c r="O162" s="3"/>
      <c r="P162" s="3"/>
      <c r="Q162" s="3"/>
    </row>
    <row r="163" spans="1:17" ht="15">
      <c r="A163" s="12"/>
      <c r="B163" s="12"/>
      <c r="C163" s="12"/>
      <c r="D163" s="12"/>
      <c r="E163" s="12"/>
      <c r="F163" s="12"/>
      <c r="G163" s="12"/>
      <c r="H163" s="13"/>
      <c r="I163" s="13"/>
      <c r="J163" s="14" t="str">
        <f t="shared" si="4"/>
        <v/>
      </c>
      <c r="K163" s="12"/>
      <c r="L163" s="12"/>
      <c r="M163" s="12"/>
      <c r="N163" s="12"/>
      <c r="O163" s="3"/>
      <c r="P163" s="3"/>
      <c r="Q163" s="3"/>
    </row>
    <row r="164" spans="1:17" ht="15">
      <c r="A164" s="12"/>
      <c r="B164" s="12"/>
      <c r="C164" s="12"/>
      <c r="D164" s="12"/>
      <c r="E164" s="12"/>
      <c r="F164" s="12"/>
      <c r="G164" s="12"/>
      <c r="H164" s="13"/>
      <c r="I164" s="13"/>
      <c r="J164" s="14" t="str">
        <f t="shared" si="4"/>
        <v/>
      </c>
      <c r="K164" s="12"/>
      <c r="L164" s="12"/>
      <c r="M164" s="12"/>
      <c r="N164" s="12"/>
      <c r="O164" s="3"/>
      <c r="P164" s="3"/>
      <c r="Q164" s="3"/>
    </row>
    <row r="165" spans="1:17" ht="15">
      <c r="A165" s="12"/>
      <c r="B165" s="12"/>
      <c r="C165" s="12"/>
      <c r="D165" s="12"/>
      <c r="E165" s="12"/>
      <c r="F165" s="12"/>
      <c r="G165" s="12"/>
      <c r="H165" s="13"/>
      <c r="I165" s="13"/>
      <c r="J165" s="14" t="str">
        <f t="shared" si="4"/>
        <v/>
      </c>
      <c r="K165" s="12"/>
      <c r="L165" s="12"/>
      <c r="M165" s="12"/>
      <c r="N165" s="12"/>
      <c r="O165" s="3"/>
      <c r="P165" s="3"/>
      <c r="Q165" s="3"/>
    </row>
    <row r="166" spans="1:17" ht="15">
      <c r="A166" s="12"/>
      <c r="B166" s="12"/>
      <c r="C166" s="12"/>
      <c r="D166" s="12"/>
      <c r="E166" s="12"/>
      <c r="F166" s="12"/>
      <c r="G166" s="12"/>
      <c r="H166" s="13"/>
      <c r="I166" s="13"/>
      <c r="J166" s="14" t="str">
        <f t="shared" si="4"/>
        <v/>
      </c>
      <c r="K166" s="12"/>
      <c r="L166" s="12"/>
      <c r="M166" s="12"/>
      <c r="N166" s="12"/>
      <c r="O166" s="3"/>
      <c r="P166" s="3"/>
      <c r="Q166" s="3"/>
    </row>
    <row r="167" spans="1:17" ht="15">
      <c r="A167" s="12"/>
      <c r="B167" s="12"/>
      <c r="C167" s="12"/>
      <c r="D167" s="12"/>
      <c r="E167" s="12"/>
      <c r="F167" s="12"/>
      <c r="G167" s="12"/>
      <c r="H167" s="13"/>
      <c r="I167" s="13"/>
      <c r="J167" s="14" t="str">
        <f t="shared" ref="J167:J198" si="5">IF(H167="","",MAX(H167-I167,0))</f>
        <v/>
      </c>
      <c r="K167" s="12"/>
      <c r="L167" s="12"/>
      <c r="M167" s="12"/>
      <c r="N167" s="12"/>
      <c r="O167" s="3"/>
      <c r="P167" s="3"/>
      <c r="Q167" s="3"/>
    </row>
    <row r="168" spans="1:17" ht="15">
      <c r="A168" s="12"/>
      <c r="B168" s="12"/>
      <c r="C168" s="12"/>
      <c r="D168" s="12"/>
      <c r="E168" s="12"/>
      <c r="F168" s="12"/>
      <c r="G168" s="12"/>
      <c r="H168" s="13"/>
      <c r="I168" s="13"/>
      <c r="J168" s="14" t="str">
        <f t="shared" si="5"/>
        <v/>
      </c>
      <c r="K168" s="12"/>
      <c r="L168" s="12"/>
      <c r="M168" s="12"/>
      <c r="N168" s="12"/>
      <c r="O168" s="3"/>
      <c r="P168" s="3"/>
      <c r="Q168" s="3"/>
    </row>
    <row r="169" spans="1:17" ht="15">
      <c r="A169" s="12"/>
      <c r="B169" s="12"/>
      <c r="C169" s="12"/>
      <c r="D169" s="12"/>
      <c r="E169" s="12"/>
      <c r="F169" s="12"/>
      <c r="G169" s="12"/>
      <c r="H169" s="13"/>
      <c r="I169" s="13"/>
      <c r="J169" s="14" t="str">
        <f t="shared" si="5"/>
        <v/>
      </c>
      <c r="K169" s="12"/>
      <c r="L169" s="12"/>
      <c r="M169" s="12"/>
      <c r="N169" s="12"/>
      <c r="O169" s="3"/>
      <c r="P169" s="3"/>
      <c r="Q169" s="3"/>
    </row>
    <row r="170" spans="1:17" ht="15">
      <c r="A170" s="12"/>
      <c r="B170" s="12"/>
      <c r="C170" s="12"/>
      <c r="D170" s="12"/>
      <c r="E170" s="12"/>
      <c r="F170" s="12"/>
      <c r="G170" s="12"/>
      <c r="H170" s="13"/>
      <c r="I170" s="13"/>
      <c r="J170" s="14" t="str">
        <f t="shared" si="5"/>
        <v/>
      </c>
      <c r="K170" s="12"/>
      <c r="L170" s="12"/>
      <c r="M170" s="12"/>
      <c r="N170" s="12"/>
      <c r="O170" s="3"/>
      <c r="P170" s="3"/>
      <c r="Q170" s="3"/>
    </row>
    <row r="171" spans="1:17" ht="15">
      <c r="A171" s="12"/>
      <c r="B171" s="12"/>
      <c r="C171" s="12"/>
      <c r="D171" s="12"/>
      <c r="E171" s="12"/>
      <c r="F171" s="12"/>
      <c r="G171" s="12"/>
      <c r="H171" s="13"/>
      <c r="I171" s="13"/>
      <c r="J171" s="14" t="str">
        <f t="shared" si="5"/>
        <v/>
      </c>
      <c r="K171" s="12"/>
      <c r="L171" s="12"/>
      <c r="M171" s="12"/>
      <c r="N171" s="12"/>
      <c r="O171" s="3"/>
      <c r="P171" s="3"/>
      <c r="Q171" s="3"/>
    </row>
    <row r="172" spans="1:17" ht="15">
      <c r="A172" s="12"/>
      <c r="B172" s="12"/>
      <c r="C172" s="12"/>
      <c r="D172" s="12"/>
      <c r="E172" s="12"/>
      <c r="F172" s="12"/>
      <c r="G172" s="12"/>
      <c r="H172" s="13"/>
      <c r="I172" s="13"/>
      <c r="J172" s="14" t="str">
        <f t="shared" si="5"/>
        <v/>
      </c>
      <c r="K172" s="12"/>
      <c r="L172" s="12"/>
      <c r="M172" s="12"/>
      <c r="N172" s="12"/>
      <c r="O172" s="3"/>
      <c r="P172" s="3"/>
      <c r="Q172" s="3"/>
    </row>
    <row r="173" spans="1:17" ht="15">
      <c r="A173" s="12"/>
      <c r="B173" s="12"/>
      <c r="C173" s="12"/>
      <c r="D173" s="12"/>
      <c r="E173" s="12"/>
      <c r="F173" s="12"/>
      <c r="G173" s="12"/>
      <c r="H173" s="13"/>
      <c r="I173" s="13"/>
      <c r="J173" s="14" t="str">
        <f t="shared" si="5"/>
        <v/>
      </c>
      <c r="K173" s="12"/>
      <c r="L173" s="12"/>
      <c r="M173" s="12"/>
      <c r="N173" s="12"/>
      <c r="O173" s="3"/>
      <c r="P173" s="3"/>
      <c r="Q173" s="3"/>
    </row>
    <row r="174" spans="1:17" ht="15">
      <c r="A174" s="12"/>
      <c r="B174" s="12"/>
      <c r="C174" s="12"/>
      <c r="D174" s="12"/>
      <c r="E174" s="12"/>
      <c r="F174" s="12"/>
      <c r="G174" s="12"/>
      <c r="H174" s="13"/>
      <c r="I174" s="13"/>
      <c r="J174" s="14" t="str">
        <f t="shared" si="5"/>
        <v/>
      </c>
      <c r="K174" s="12"/>
      <c r="L174" s="12"/>
      <c r="M174" s="12"/>
      <c r="N174" s="12"/>
      <c r="O174" s="3"/>
      <c r="P174" s="3"/>
      <c r="Q174" s="3"/>
    </row>
    <row r="175" spans="1:17" ht="15">
      <c r="A175" s="12"/>
      <c r="B175" s="12"/>
      <c r="C175" s="12"/>
      <c r="D175" s="12"/>
      <c r="E175" s="12"/>
      <c r="F175" s="12"/>
      <c r="G175" s="12"/>
      <c r="H175" s="13"/>
      <c r="I175" s="13"/>
      <c r="J175" s="14" t="str">
        <f t="shared" si="5"/>
        <v/>
      </c>
      <c r="K175" s="12"/>
      <c r="L175" s="12"/>
      <c r="M175" s="12"/>
      <c r="N175" s="12"/>
      <c r="O175" s="3"/>
      <c r="P175" s="3"/>
      <c r="Q175" s="3"/>
    </row>
    <row r="176" spans="1:17" ht="15">
      <c r="A176" s="12"/>
      <c r="B176" s="12"/>
      <c r="C176" s="12"/>
      <c r="D176" s="12"/>
      <c r="E176" s="12"/>
      <c r="F176" s="12"/>
      <c r="G176" s="12"/>
      <c r="H176" s="13"/>
      <c r="I176" s="13"/>
      <c r="J176" s="14" t="str">
        <f t="shared" si="5"/>
        <v/>
      </c>
      <c r="K176" s="12"/>
      <c r="L176" s="12"/>
      <c r="M176" s="12"/>
      <c r="N176" s="12"/>
      <c r="O176" s="3"/>
      <c r="P176" s="3"/>
      <c r="Q176" s="3"/>
    </row>
    <row r="177" spans="1:17" ht="15">
      <c r="A177" s="12"/>
      <c r="B177" s="12"/>
      <c r="C177" s="12"/>
      <c r="D177" s="12"/>
      <c r="E177" s="12"/>
      <c r="F177" s="12"/>
      <c r="G177" s="12"/>
      <c r="H177" s="13"/>
      <c r="I177" s="13"/>
      <c r="J177" s="14" t="str">
        <f t="shared" si="5"/>
        <v/>
      </c>
      <c r="K177" s="12"/>
      <c r="L177" s="12"/>
      <c r="M177" s="12"/>
      <c r="N177" s="12"/>
      <c r="O177" s="3"/>
      <c r="P177" s="3"/>
      <c r="Q177" s="3"/>
    </row>
    <row r="178" spans="1:17" ht="15">
      <c r="A178" s="12"/>
      <c r="B178" s="12"/>
      <c r="C178" s="12"/>
      <c r="D178" s="12"/>
      <c r="E178" s="12"/>
      <c r="F178" s="12"/>
      <c r="G178" s="12"/>
      <c r="H178" s="13"/>
      <c r="I178" s="13"/>
      <c r="J178" s="14" t="str">
        <f t="shared" si="5"/>
        <v/>
      </c>
      <c r="K178" s="12"/>
      <c r="L178" s="12"/>
      <c r="M178" s="12"/>
      <c r="N178" s="12"/>
      <c r="O178" s="3"/>
      <c r="P178" s="3"/>
      <c r="Q178" s="3"/>
    </row>
    <row r="179" spans="1:17" ht="15">
      <c r="A179" s="12"/>
      <c r="B179" s="12"/>
      <c r="C179" s="12"/>
      <c r="D179" s="12"/>
      <c r="E179" s="12"/>
      <c r="F179" s="12"/>
      <c r="G179" s="12"/>
      <c r="H179" s="13"/>
      <c r="I179" s="13"/>
      <c r="J179" s="14" t="str">
        <f t="shared" si="5"/>
        <v/>
      </c>
      <c r="K179" s="12"/>
      <c r="L179" s="12"/>
      <c r="M179" s="12"/>
      <c r="N179" s="12"/>
      <c r="O179" s="3"/>
      <c r="P179" s="3"/>
      <c r="Q179" s="3"/>
    </row>
    <row r="180" spans="1:17" ht="15">
      <c r="A180" s="12"/>
      <c r="B180" s="12"/>
      <c r="C180" s="12"/>
      <c r="D180" s="12"/>
      <c r="E180" s="12"/>
      <c r="F180" s="12"/>
      <c r="G180" s="12"/>
      <c r="H180" s="13"/>
      <c r="I180" s="13"/>
      <c r="J180" s="14" t="str">
        <f t="shared" si="5"/>
        <v/>
      </c>
      <c r="K180" s="12"/>
      <c r="L180" s="12"/>
      <c r="M180" s="12"/>
      <c r="N180" s="12"/>
      <c r="O180" s="3"/>
      <c r="P180" s="3"/>
      <c r="Q180" s="3"/>
    </row>
    <row r="181" spans="1:17" ht="15">
      <c r="A181" s="12"/>
      <c r="B181" s="12"/>
      <c r="C181" s="12"/>
      <c r="D181" s="12"/>
      <c r="E181" s="12"/>
      <c r="F181" s="12"/>
      <c r="G181" s="12"/>
      <c r="H181" s="13"/>
      <c r="I181" s="13"/>
      <c r="J181" s="14" t="str">
        <f t="shared" si="5"/>
        <v/>
      </c>
      <c r="K181" s="12"/>
      <c r="L181" s="12"/>
      <c r="M181" s="12"/>
      <c r="N181" s="12"/>
      <c r="O181" s="3"/>
      <c r="P181" s="3"/>
      <c r="Q181" s="3"/>
    </row>
    <row r="182" spans="1:17" ht="15">
      <c r="A182" s="12"/>
      <c r="B182" s="12"/>
      <c r="C182" s="12"/>
      <c r="D182" s="12"/>
      <c r="E182" s="12"/>
      <c r="F182" s="12"/>
      <c r="G182" s="12"/>
      <c r="H182" s="13"/>
      <c r="I182" s="13"/>
      <c r="J182" s="14" t="str">
        <f t="shared" si="5"/>
        <v/>
      </c>
      <c r="K182" s="12"/>
      <c r="L182" s="12"/>
      <c r="M182" s="12"/>
      <c r="N182" s="12"/>
      <c r="O182" s="3"/>
      <c r="P182" s="3"/>
      <c r="Q182" s="3"/>
    </row>
    <row r="183" spans="1:17" ht="15">
      <c r="A183" s="12"/>
      <c r="B183" s="12"/>
      <c r="C183" s="12"/>
      <c r="D183" s="12"/>
      <c r="E183" s="12"/>
      <c r="F183" s="12"/>
      <c r="G183" s="12"/>
      <c r="H183" s="13"/>
      <c r="I183" s="13"/>
      <c r="J183" s="14" t="str">
        <f t="shared" si="5"/>
        <v/>
      </c>
      <c r="K183" s="12"/>
      <c r="L183" s="12"/>
      <c r="M183" s="12"/>
      <c r="N183" s="12"/>
      <c r="O183" s="3"/>
      <c r="P183" s="3"/>
      <c r="Q183" s="3"/>
    </row>
    <row r="184" spans="1:17" ht="15">
      <c r="A184" s="12"/>
      <c r="B184" s="12"/>
      <c r="C184" s="12"/>
      <c r="D184" s="12"/>
      <c r="E184" s="12"/>
      <c r="F184" s="12"/>
      <c r="G184" s="12"/>
      <c r="H184" s="13"/>
      <c r="I184" s="13"/>
      <c r="J184" s="14" t="str">
        <f t="shared" si="5"/>
        <v/>
      </c>
      <c r="K184" s="12"/>
      <c r="L184" s="12"/>
      <c r="M184" s="12"/>
      <c r="N184" s="12"/>
      <c r="O184" s="3"/>
      <c r="P184" s="3"/>
      <c r="Q184" s="3"/>
    </row>
    <row r="185" spans="1:17" ht="15">
      <c r="A185" s="12"/>
      <c r="B185" s="12"/>
      <c r="C185" s="12"/>
      <c r="D185" s="12"/>
      <c r="E185" s="12"/>
      <c r="F185" s="12"/>
      <c r="G185" s="12"/>
      <c r="H185" s="13"/>
      <c r="I185" s="13"/>
      <c r="J185" s="14" t="str">
        <f t="shared" si="5"/>
        <v/>
      </c>
      <c r="K185" s="12"/>
      <c r="L185" s="12"/>
      <c r="M185" s="12"/>
      <c r="N185" s="12"/>
      <c r="O185" s="3"/>
      <c r="P185" s="3"/>
      <c r="Q185" s="3"/>
    </row>
    <row r="186" spans="1:17" ht="15">
      <c r="A186" s="12"/>
      <c r="B186" s="12"/>
      <c r="C186" s="12"/>
      <c r="D186" s="12"/>
      <c r="E186" s="12"/>
      <c r="F186" s="12"/>
      <c r="G186" s="12"/>
      <c r="H186" s="13"/>
      <c r="I186" s="13"/>
      <c r="J186" s="14" t="str">
        <f t="shared" si="5"/>
        <v/>
      </c>
      <c r="K186" s="12"/>
      <c r="L186" s="12"/>
      <c r="M186" s="12"/>
      <c r="N186" s="12"/>
      <c r="O186" s="3"/>
      <c r="P186" s="3"/>
      <c r="Q186" s="3"/>
    </row>
    <row r="187" spans="1:17" ht="15">
      <c r="A187" s="12"/>
      <c r="B187" s="12"/>
      <c r="C187" s="12"/>
      <c r="D187" s="12"/>
      <c r="E187" s="12"/>
      <c r="F187" s="12"/>
      <c r="G187" s="12"/>
      <c r="H187" s="13"/>
      <c r="I187" s="13"/>
      <c r="J187" s="14" t="str">
        <f t="shared" si="5"/>
        <v/>
      </c>
      <c r="K187" s="12"/>
      <c r="L187" s="12"/>
      <c r="M187" s="12"/>
      <c r="N187" s="12"/>
      <c r="O187" s="3"/>
      <c r="P187" s="3"/>
      <c r="Q187" s="3"/>
    </row>
    <row r="188" spans="1:17" ht="15">
      <c r="A188" s="12"/>
      <c r="B188" s="12"/>
      <c r="C188" s="12"/>
      <c r="D188" s="12"/>
      <c r="E188" s="12"/>
      <c r="F188" s="12"/>
      <c r="G188" s="12"/>
      <c r="H188" s="13"/>
      <c r="I188" s="13"/>
      <c r="J188" s="14" t="str">
        <f t="shared" si="5"/>
        <v/>
      </c>
      <c r="K188" s="12"/>
      <c r="L188" s="12"/>
      <c r="M188" s="12"/>
      <c r="N188" s="12"/>
      <c r="O188" s="3"/>
      <c r="P188" s="3"/>
      <c r="Q188" s="3"/>
    </row>
    <row r="189" spans="1:17" ht="15">
      <c r="A189" s="12"/>
      <c r="B189" s="12"/>
      <c r="C189" s="12"/>
      <c r="D189" s="12"/>
      <c r="E189" s="12"/>
      <c r="F189" s="12"/>
      <c r="G189" s="12"/>
      <c r="H189" s="13"/>
      <c r="I189" s="13"/>
      <c r="J189" s="14" t="str">
        <f t="shared" si="5"/>
        <v/>
      </c>
      <c r="K189" s="12"/>
      <c r="L189" s="12"/>
      <c r="M189" s="12"/>
      <c r="N189" s="12"/>
      <c r="O189" s="3"/>
      <c r="P189" s="3"/>
      <c r="Q189" s="3"/>
    </row>
    <row r="190" spans="1:17" ht="15">
      <c r="A190" s="12"/>
      <c r="B190" s="12"/>
      <c r="C190" s="12"/>
      <c r="D190" s="12"/>
      <c r="E190" s="12"/>
      <c r="F190" s="12"/>
      <c r="G190" s="12"/>
      <c r="H190" s="13"/>
      <c r="I190" s="13"/>
      <c r="J190" s="14" t="str">
        <f t="shared" si="5"/>
        <v/>
      </c>
      <c r="K190" s="12"/>
      <c r="L190" s="12"/>
      <c r="M190" s="12"/>
      <c r="N190" s="12"/>
      <c r="O190" s="3"/>
      <c r="P190" s="3"/>
      <c r="Q190" s="3"/>
    </row>
    <row r="191" spans="1:17" ht="15">
      <c r="A191" s="12"/>
      <c r="B191" s="12"/>
      <c r="C191" s="12"/>
      <c r="D191" s="12"/>
      <c r="E191" s="12"/>
      <c r="F191" s="12"/>
      <c r="G191" s="12"/>
      <c r="H191" s="13"/>
      <c r="I191" s="13"/>
      <c r="J191" s="14" t="str">
        <f t="shared" si="5"/>
        <v/>
      </c>
      <c r="K191" s="12"/>
      <c r="L191" s="12"/>
      <c r="M191" s="12"/>
      <c r="N191" s="12"/>
      <c r="O191" s="3"/>
      <c r="P191" s="3"/>
      <c r="Q191" s="3"/>
    </row>
    <row r="192" spans="1:17" ht="15">
      <c r="A192" s="12"/>
      <c r="B192" s="12"/>
      <c r="C192" s="12"/>
      <c r="D192" s="12"/>
      <c r="E192" s="12"/>
      <c r="F192" s="12"/>
      <c r="G192" s="12"/>
      <c r="H192" s="13"/>
      <c r="I192" s="13"/>
      <c r="J192" s="14" t="str">
        <f t="shared" si="5"/>
        <v/>
      </c>
      <c r="K192" s="12"/>
      <c r="L192" s="12"/>
      <c r="M192" s="12"/>
      <c r="N192" s="12"/>
      <c r="O192" s="3"/>
      <c r="P192" s="3"/>
      <c r="Q192" s="3"/>
    </row>
    <row r="193" spans="1:17" ht="15">
      <c r="A193" s="12"/>
      <c r="B193" s="12"/>
      <c r="C193" s="12"/>
      <c r="D193" s="12"/>
      <c r="E193" s="12"/>
      <c r="F193" s="12"/>
      <c r="G193" s="12"/>
      <c r="H193" s="13"/>
      <c r="I193" s="13"/>
      <c r="J193" s="14" t="str">
        <f t="shared" si="5"/>
        <v/>
      </c>
      <c r="K193" s="12"/>
      <c r="L193" s="12"/>
      <c r="M193" s="12"/>
      <c r="N193" s="12"/>
      <c r="O193" s="3"/>
      <c r="P193" s="3"/>
      <c r="Q193" s="3"/>
    </row>
    <row r="194" spans="1:17" ht="15">
      <c r="A194" s="12"/>
      <c r="B194" s="12"/>
      <c r="C194" s="12"/>
      <c r="D194" s="12"/>
      <c r="E194" s="12"/>
      <c r="F194" s="12"/>
      <c r="G194" s="12"/>
      <c r="H194" s="13"/>
      <c r="I194" s="13"/>
      <c r="J194" s="14" t="str">
        <f t="shared" si="5"/>
        <v/>
      </c>
      <c r="K194" s="12"/>
      <c r="L194" s="12"/>
      <c r="M194" s="12"/>
      <c r="N194" s="12"/>
      <c r="O194" s="3"/>
      <c r="P194" s="3"/>
      <c r="Q194" s="3"/>
    </row>
    <row r="195" spans="1:17" ht="15">
      <c r="A195" s="12"/>
      <c r="B195" s="12"/>
      <c r="C195" s="12"/>
      <c r="D195" s="12"/>
      <c r="E195" s="12"/>
      <c r="F195" s="12"/>
      <c r="G195" s="12"/>
      <c r="H195" s="13"/>
      <c r="I195" s="13"/>
      <c r="J195" s="14" t="str">
        <f t="shared" si="5"/>
        <v/>
      </c>
      <c r="K195" s="12"/>
      <c r="L195" s="12"/>
      <c r="M195" s="12"/>
      <c r="N195" s="12"/>
      <c r="O195" s="3"/>
      <c r="P195" s="3"/>
      <c r="Q195" s="3"/>
    </row>
    <row r="196" spans="1:17" ht="15">
      <c r="A196" s="12"/>
      <c r="B196" s="12"/>
      <c r="C196" s="12"/>
      <c r="D196" s="12"/>
      <c r="E196" s="12"/>
      <c r="F196" s="12"/>
      <c r="G196" s="12"/>
      <c r="H196" s="13"/>
      <c r="I196" s="13"/>
      <c r="J196" s="14" t="str">
        <f t="shared" si="5"/>
        <v/>
      </c>
      <c r="K196" s="12"/>
      <c r="L196" s="12"/>
      <c r="M196" s="12"/>
      <c r="N196" s="12"/>
      <c r="O196" s="3"/>
      <c r="P196" s="3"/>
      <c r="Q196" s="3"/>
    </row>
    <row r="197" spans="1:17" ht="15">
      <c r="A197" s="12"/>
      <c r="B197" s="12"/>
      <c r="C197" s="12"/>
      <c r="D197" s="12"/>
      <c r="E197" s="12"/>
      <c r="F197" s="12"/>
      <c r="G197" s="12"/>
      <c r="H197" s="13"/>
      <c r="I197" s="13"/>
      <c r="J197" s="14" t="str">
        <f t="shared" si="5"/>
        <v/>
      </c>
      <c r="K197" s="12"/>
      <c r="L197" s="12"/>
      <c r="M197" s="12"/>
      <c r="N197" s="12"/>
      <c r="O197" s="3"/>
      <c r="P197" s="3"/>
      <c r="Q197" s="3"/>
    </row>
    <row r="198" spans="1:17" ht="15">
      <c r="A198" s="12"/>
      <c r="B198" s="12"/>
      <c r="C198" s="12"/>
      <c r="D198" s="12"/>
      <c r="E198" s="12"/>
      <c r="F198" s="12"/>
      <c r="G198" s="12"/>
      <c r="H198" s="13"/>
      <c r="I198" s="13"/>
      <c r="J198" s="14" t="str">
        <f t="shared" si="5"/>
        <v/>
      </c>
      <c r="K198" s="12"/>
      <c r="L198" s="12"/>
      <c r="M198" s="12"/>
      <c r="N198" s="12"/>
      <c r="O198" s="3"/>
      <c r="P198" s="3"/>
      <c r="Q198" s="3"/>
    </row>
    <row r="199" spans="1:17" ht="15">
      <c r="A199" s="12"/>
      <c r="B199" s="12"/>
      <c r="C199" s="12"/>
      <c r="D199" s="12"/>
      <c r="E199" s="12"/>
      <c r="F199" s="12"/>
      <c r="G199" s="12"/>
      <c r="H199" s="13"/>
      <c r="I199" s="13"/>
      <c r="J199" s="14" t="str">
        <f t="shared" ref="J199:J206" si="6">IF(H199="","",MAX(H199-I199,0))</f>
        <v/>
      </c>
      <c r="K199" s="12"/>
      <c r="L199" s="12"/>
      <c r="M199" s="12"/>
      <c r="N199" s="12"/>
      <c r="O199" s="3"/>
      <c r="P199" s="3"/>
      <c r="Q199" s="3"/>
    </row>
    <row r="200" spans="1:17" ht="15">
      <c r="A200" s="12"/>
      <c r="B200" s="12"/>
      <c r="C200" s="12"/>
      <c r="D200" s="12"/>
      <c r="E200" s="12"/>
      <c r="F200" s="12"/>
      <c r="G200" s="12"/>
      <c r="H200" s="13"/>
      <c r="I200" s="13"/>
      <c r="J200" s="14" t="str">
        <f t="shared" si="6"/>
        <v/>
      </c>
      <c r="K200" s="12"/>
      <c r="L200" s="12"/>
      <c r="M200" s="12"/>
      <c r="N200" s="12"/>
      <c r="O200" s="3"/>
      <c r="P200" s="3"/>
      <c r="Q200" s="3"/>
    </row>
    <row r="201" spans="1:17" ht="15">
      <c r="A201" s="12"/>
      <c r="B201" s="12"/>
      <c r="C201" s="12"/>
      <c r="D201" s="12"/>
      <c r="E201" s="12"/>
      <c r="F201" s="12"/>
      <c r="G201" s="12"/>
      <c r="H201" s="13"/>
      <c r="I201" s="13"/>
      <c r="J201" s="14" t="str">
        <f t="shared" si="6"/>
        <v/>
      </c>
      <c r="K201" s="12"/>
      <c r="L201" s="12"/>
      <c r="M201" s="12"/>
      <c r="N201" s="12"/>
      <c r="O201" s="3"/>
      <c r="P201" s="3"/>
      <c r="Q201" s="3"/>
    </row>
    <row r="202" spans="1:17" ht="15">
      <c r="A202" s="12"/>
      <c r="B202" s="12"/>
      <c r="C202" s="12"/>
      <c r="D202" s="12"/>
      <c r="E202" s="12"/>
      <c r="F202" s="12"/>
      <c r="G202" s="12"/>
      <c r="H202" s="13"/>
      <c r="I202" s="13"/>
      <c r="J202" s="14" t="str">
        <f t="shared" si="6"/>
        <v/>
      </c>
      <c r="K202" s="12"/>
      <c r="L202" s="12"/>
      <c r="M202" s="12"/>
      <c r="N202" s="12"/>
      <c r="O202" s="3"/>
      <c r="P202" s="3"/>
      <c r="Q202" s="3"/>
    </row>
    <row r="203" spans="1:17" ht="15">
      <c r="A203" s="12"/>
      <c r="B203" s="12"/>
      <c r="C203" s="12"/>
      <c r="D203" s="12"/>
      <c r="E203" s="12"/>
      <c r="F203" s="12"/>
      <c r="G203" s="12"/>
      <c r="H203" s="13"/>
      <c r="I203" s="13"/>
      <c r="J203" s="14" t="str">
        <f t="shared" si="6"/>
        <v/>
      </c>
      <c r="K203" s="12"/>
      <c r="L203" s="12"/>
      <c r="M203" s="12"/>
      <c r="N203" s="12"/>
      <c r="O203" s="3"/>
      <c r="P203" s="3"/>
      <c r="Q203" s="3"/>
    </row>
    <row r="204" spans="1:17" ht="15">
      <c r="A204" s="12"/>
      <c r="B204" s="12"/>
      <c r="C204" s="12"/>
      <c r="D204" s="12"/>
      <c r="E204" s="12"/>
      <c r="F204" s="12"/>
      <c r="G204" s="12"/>
      <c r="H204" s="13"/>
      <c r="I204" s="13"/>
      <c r="J204" s="14" t="str">
        <f t="shared" si="6"/>
        <v/>
      </c>
      <c r="K204" s="12"/>
      <c r="L204" s="12"/>
      <c r="M204" s="12"/>
      <c r="N204" s="12"/>
      <c r="O204" s="3"/>
      <c r="P204" s="3"/>
      <c r="Q204" s="3"/>
    </row>
    <row r="205" spans="1:17" ht="15">
      <c r="A205" s="12"/>
      <c r="B205" s="12"/>
      <c r="C205" s="12"/>
      <c r="D205" s="12"/>
      <c r="E205" s="12"/>
      <c r="F205" s="12"/>
      <c r="G205" s="12"/>
      <c r="H205" s="13"/>
      <c r="I205" s="13"/>
      <c r="J205" s="14" t="str">
        <f t="shared" si="6"/>
        <v/>
      </c>
      <c r="K205" s="12"/>
      <c r="L205" s="12"/>
      <c r="M205" s="12"/>
      <c r="N205" s="12"/>
      <c r="O205" s="3"/>
      <c r="P205" s="3"/>
      <c r="Q205" s="3"/>
    </row>
    <row r="206" spans="1:17" ht="15">
      <c r="A206" s="12"/>
      <c r="B206" s="12"/>
      <c r="C206" s="12"/>
      <c r="D206" s="12"/>
      <c r="E206" s="12"/>
      <c r="F206" s="12"/>
      <c r="G206" s="12"/>
      <c r="H206" s="13"/>
      <c r="I206" s="13"/>
      <c r="J206" s="14" t="str">
        <f t="shared" si="6"/>
        <v/>
      </c>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50"/>
  <sheetViews>
    <sheetView workbookViewId="0"/>
  </sheetViews>
  <sheetFormatPr defaultRowHeight="14.25"/>
  <cols>
    <col min="1" max="1" width="14" customWidth="1"/>
    <col min="2" max="2" width="22" customWidth="1"/>
    <col min="3" max="3" width="14" customWidth="1"/>
    <col min="4" max="5" width="50" customWidth="1"/>
    <col min="6" max="6" width="12" customWidth="1"/>
    <col min="7" max="8" width="18" customWidth="1"/>
    <col min="9" max="9" width="14" customWidth="1"/>
    <col min="10" max="10" width="48" customWidth="1"/>
  </cols>
  <sheetData>
    <row r="1" spans="1:17" ht="24" customHeight="1">
      <c r="A1" s="205" t="s">
        <v>467</v>
      </c>
      <c r="B1" s="205"/>
      <c r="C1" s="205"/>
      <c r="D1" s="205"/>
      <c r="E1" s="205"/>
      <c r="F1" s="205"/>
      <c r="G1" s="205"/>
      <c r="H1" s="205"/>
      <c r="I1" s="205"/>
      <c r="J1" s="205"/>
      <c r="K1" s="15"/>
      <c r="L1" s="3"/>
      <c r="M1" s="3"/>
      <c r="N1" s="3"/>
      <c r="O1" s="3"/>
      <c r="P1" s="3"/>
      <c r="Q1" s="3"/>
    </row>
    <row r="2" spans="1:17" ht="33.950000000000003" customHeight="1">
      <c r="A2" s="202" t="s">
        <v>468</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469</v>
      </c>
      <c r="B6" s="42" t="s">
        <v>470</v>
      </c>
      <c r="C6" s="42" t="s">
        <v>328</v>
      </c>
      <c r="D6" s="42" t="s">
        <v>471</v>
      </c>
      <c r="E6" s="42" t="s">
        <v>472</v>
      </c>
      <c r="F6" s="42" t="s">
        <v>473</v>
      </c>
      <c r="G6" s="42" t="s">
        <v>474</v>
      </c>
      <c r="H6" s="42" t="s">
        <v>308</v>
      </c>
      <c r="I6" s="42" t="s">
        <v>94</v>
      </c>
      <c r="J6" s="43" t="s">
        <v>475</v>
      </c>
      <c r="K6" s="3"/>
      <c r="L6" s="3"/>
      <c r="M6" s="3"/>
      <c r="N6" s="3"/>
      <c r="O6" s="3"/>
      <c r="P6" s="3"/>
      <c r="Q6" s="3"/>
    </row>
    <row r="7" spans="1:17" ht="15">
      <c r="A7" s="62"/>
      <c r="B7" s="61"/>
      <c r="C7" s="61"/>
      <c r="D7" s="61"/>
      <c r="E7" s="61"/>
      <c r="F7" s="61"/>
      <c r="G7" s="61"/>
      <c r="H7" s="61"/>
      <c r="I7" s="61"/>
      <c r="J7" s="63"/>
      <c r="K7" s="3"/>
      <c r="L7" s="3"/>
      <c r="M7" s="3"/>
      <c r="N7" s="3"/>
      <c r="O7" s="3"/>
      <c r="P7" s="3"/>
      <c r="Q7" s="3"/>
    </row>
    <row r="8" spans="1:17" ht="15">
      <c r="A8" s="62"/>
      <c r="B8" s="61"/>
      <c r="C8" s="61"/>
      <c r="D8" s="61"/>
      <c r="E8" s="61"/>
      <c r="F8" s="61"/>
      <c r="G8" s="61"/>
      <c r="H8" s="61"/>
      <c r="I8" s="61"/>
      <c r="J8" s="63"/>
      <c r="K8" s="3"/>
      <c r="L8" s="3"/>
      <c r="M8" s="3"/>
      <c r="N8" s="3"/>
      <c r="O8" s="3"/>
      <c r="P8" s="3"/>
      <c r="Q8" s="3"/>
    </row>
    <row r="9" spans="1:17" ht="15">
      <c r="A9" s="62"/>
      <c r="B9" s="61"/>
      <c r="C9" s="61"/>
      <c r="D9" s="61"/>
      <c r="E9" s="61"/>
      <c r="F9" s="61"/>
      <c r="G9" s="61"/>
      <c r="H9" s="61"/>
      <c r="I9" s="61"/>
      <c r="J9" s="63"/>
      <c r="K9" s="3"/>
      <c r="L9" s="3"/>
      <c r="M9" s="3"/>
      <c r="N9" s="3"/>
      <c r="O9" s="3"/>
      <c r="P9" s="3"/>
      <c r="Q9" s="3"/>
    </row>
    <row r="10" spans="1:17" ht="15">
      <c r="A10" s="62"/>
      <c r="B10" s="61"/>
      <c r="C10" s="61"/>
      <c r="D10" s="61"/>
      <c r="E10" s="61"/>
      <c r="F10" s="61"/>
      <c r="G10" s="61"/>
      <c r="H10" s="61"/>
      <c r="I10" s="61"/>
      <c r="J10" s="63"/>
      <c r="K10" s="3"/>
      <c r="L10" s="3"/>
      <c r="M10" s="3"/>
      <c r="N10" s="3"/>
      <c r="O10" s="3"/>
      <c r="P10" s="3"/>
      <c r="Q10" s="3"/>
    </row>
    <row r="11" spans="1:17" ht="15">
      <c r="A11" s="62"/>
      <c r="B11" s="61"/>
      <c r="C11" s="61"/>
      <c r="D11" s="61"/>
      <c r="E11" s="61"/>
      <c r="F11" s="61"/>
      <c r="G11" s="61"/>
      <c r="H11" s="61"/>
      <c r="I11" s="61"/>
      <c r="J11" s="63"/>
      <c r="K11" s="3"/>
      <c r="L11" s="3"/>
      <c r="M11" s="3"/>
      <c r="N11" s="3"/>
      <c r="O11" s="3"/>
      <c r="P11" s="3"/>
      <c r="Q11" s="3"/>
    </row>
    <row r="12" spans="1:17" ht="15">
      <c r="A12" s="62"/>
      <c r="B12" s="61"/>
      <c r="C12" s="61"/>
      <c r="D12" s="61"/>
      <c r="E12" s="61"/>
      <c r="F12" s="61"/>
      <c r="G12" s="61"/>
      <c r="H12" s="61"/>
      <c r="I12" s="61"/>
      <c r="J12" s="63"/>
      <c r="K12" s="3"/>
      <c r="L12" s="3"/>
      <c r="M12" s="3"/>
      <c r="N12" s="3"/>
      <c r="O12" s="3"/>
      <c r="P12" s="3"/>
      <c r="Q12" s="3"/>
    </row>
    <row r="13" spans="1:17" ht="15">
      <c r="A13" s="62"/>
      <c r="B13" s="61"/>
      <c r="C13" s="61"/>
      <c r="D13" s="61"/>
      <c r="E13" s="61"/>
      <c r="F13" s="61"/>
      <c r="G13" s="61"/>
      <c r="H13" s="61"/>
      <c r="I13" s="61"/>
      <c r="J13" s="63"/>
      <c r="K13" s="3"/>
      <c r="L13" s="3"/>
      <c r="M13" s="3"/>
      <c r="N13" s="3"/>
      <c r="O13" s="3"/>
      <c r="P13" s="3"/>
      <c r="Q13" s="3"/>
    </row>
    <row r="14" spans="1:17" ht="15">
      <c r="A14" s="62"/>
      <c r="B14" s="61"/>
      <c r="C14" s="61"/>
      <c r="D14" s="61"/>
      <c r="E14" s="61"/>
      <c r="F14" s="61"/>
      <c r="G14" s="61"/>
      <c r="H14" s="61"/>
      <c r="I14" s="61"/>
      <c r="J14" s="63"/>
      <c r="K14" s="3"/>
      <c r="L14" s="3"/>
      <c r="M14" s="3"/>
      <c r="N14" s="3"/>
      <c r="O14" s="3"/>
      <c r="P14" s="3"/>
      <c r="Q14" s="3"/>
    </row>
    <row r="15" spans="1:17" ht="15">
      <c r="A15" s="62"/>
      <c r="B15" s="61"/>
      <c r="C15" s="61"/>
      <c r="D15" s="61"/>
      <c r="E15" s="61"/>
      <c r="F15" s="61"/>
      <c r="G15" s="61"/>
      <c r="H15" s="61"/>
      <c r="I15" s="61"/>
      <c r="J15" s="63"/>
      <c r="K15" s="3"/>
      <c r="L15" s="3"/>
      <c r="M15" s="3"/>
      <c r="N15" s="3"/>
      <c r="O15" s="3"/>
      <c r="P15" s="3"/>
      <c r="Q15" s="3"/>
    </row>
    <row r="16" spans="1:17" ht="15">
      <c r="A16" s="62"/>
      <c r="B16" s="61"/>
      <c r="C16" s="61"/>
      <c r="D16" s="61"/>
      <c r="E16" s="61"/>
      <c r="F16" s="61"/>
      <c r="G16" s="61"/>
      <c r="H16" s="61"/>
      <c r="I16" s="61"/>
      <c r="J16" s="63"/>
      <c r="K16" s="3"/>
      <c r="L16" s="3"/>
      <c r="M16" s="3"/>
      <c r="N16" s="3"/>
      <c r="O16" s="3"/>
      <c r="P16" s="3"/>
      <c r="Q16" s="3"/>
    </row>
    <row r="17" spans="1:17" ht="15">
      <c r="A17" s="62"/>
      <c r="B17" s="61"/>
      <c r="C17" s="61"/>
      <c r="D17" s="61"/>
      <c r="E17" s="61"/>
      <c r="F17" s="61"/>
      <c r="G17" s="61"/>
      <c r="H17" s="61"/>
      <c r="I17" s="61"/>
      <c r="J17" s="63"/>
      <c r="K17" s="3"/>
      <c r="L17" s="3"/>
      <c r="M17" s="3"/>
      <c r="N17" s="3"/>
      <c r="O17" s="3"/>
      <c r="P17" s="3"/>
      <c r="Q17" s="3"/>
    </row>
    <row r="18" spans="1:17" ht="15">
      <c r="A18" s="62"/>
      <c r="B18" s="61"/>
      <c r="C18" s="61"/>
      <c r="D18" s="61"/>
      <c r="E18" s="61"/>
      <c r="F18" s="61"/>
      <c r="G18" s="61"/>
      <c r="H18" s="61"/>
      <c r="I18" s="61"/>
      <c r="J18" s="63"/>
      <c r="K18" s="3"/>
      <c r="L18" s="3"/>
      <c r="M18" s="3"/>
      <c r="N18" s="3"/>
      <c r="O18" s="3"/>
      <c r="P18" s="3"/>
      <c r="Q18" s="3"/>
    </row>
    <row r="19" spans="1:17" ht="15">
      <c r="A19" s="62"/>
      <c r="B19" s="61"/>
      <c r="C19" s="61"/>
      <c r="D19" s="61"/>
      <c r="E19" s="61"/>
      <c r="F19" s="61"/>
      <c r="G19" s="61"/>
      <c r="H19" s="61"/>
      <c r="I19" s="61"/>
      <c r="J19" s="63"/>
      <c r="K19" s="3"/>
      <c r="L19" s="3"/>
      <c r="M19" s="3"/>
      <c r="N19" s="3"/>
      <c r="O19" s="3"/>
      <c r="P19" s="3"/>
      <c r="Q19" s="3"/>
    </row>
    <row r="20" spans="1:17" ht="15">
      <c r="A20" s="62"/>
      <c r="B20" s="61"/>
      <c r="C20" s="61"/>
      <c r="D20" s="61"/>
      <c r="E20" s="61"/>
      <c r="F20" s="61"/>
      <c r="G20" s="61"/>
      <c r="H20" s="61"/>
      <c r="I20" s="61"/>
      <c r="J20" s="63"/>
      <c r="K20" s="3"/>
      <c r="L20" s="3"/>
      <c r="M20" s="3"/>
      <c r="N20" s="3"/>
      <c r="O20" s="3"/>
      <c r="P20" s="3"/>
      <c r="Q20" s="3"/>
    </row>
    <row r="21" spans="1:17" ht="15">
      <c r="A21" s="62"/>
      <c r="B21" s="61"/>
      <c r="C21" s="61"/>
      <c r="D21" s="61"/>
      <c r="E21" s="61"/>
      <c r="F21" s="61"/>
      <c r="G21" s="61"/>
      <c r="H21" s="61"/>
      <c r="I21" s="61"/>
      <c r="J21" s="63"/>
      <c r="K21" s="3"/>
      <c r="L21" s="3"/>
      <c r="M21" s="3"/>
      <c r="N21" s="3"/>
      <c r="O21" s="3"/>
      <c r="P21" s="3"/>
      <c r="Q21" s="3"/>
    </row>
    <row r="22" spans="1:17" ht="15">
      <c r="A22" s="62"/>
      <c r="B22" s="61"/>
      <c r="C22" s="61"/>
      <c r="D22" s="61"/>
      <c r="E22" s="61"/>
      <c r="F22" s="61"/>
      <c r="G22" s="61"/>
      <c r="H22" s="61"/>
      <c r="I22" s="61"/>
      <c r="J22" s="63"/>
      <c r="K22" s="3"/>
      <c r="L22" s="3"/>
      <c r="M22" s="3"/>
      <c r="N22" s="3"/>
      <c r="O22" s="3"/>
      <c r="P22" s="3"/>
      <c r="Q22" s="3"/>
    </row>
    <row r="23" spans="1:17" ht="15">
      <c r="A23" s="62"/>
      <c r="B23" s="61"/>
      <c r="C23" s="61"/>
      <c r="D23" s="61"/>
      <c r="E23" s="61"/>
      <c r="F23" s="61"/>
      <c r="G23" s="61"/>
      <c r="H23" s="61"/>
      <c r="I23" s="61"/>
      <c r="J23" s="63"/>
      <c r="K23" s="3"/>
      <c r="L23" s="3"/>
      <c r="M23" s="3"/>
      <c r="N23" s="3"/>
      <c r="O23" s="3"/>
      <c r="P23" s="3"/>
      <c r="Q23" s="3"/>
    </row>
    <row r="24" spans="1:17" ht="15">
      <c r="A24" s="62"/>
      <c r="B24" s="61"/>
      <c r="C24" s="61"/>
      <c r="D24" s="61"/>
      <c r="E24" s="61"/>
      <c r="F24" s="61"/>
      <c r="G24" s="61"/>
      <c r="H24" s="61"/>
      <c r="I24" s="61"/>
      <c r="J24" s="63"/>
      <c r="K24" s="3"/>
      <c r="L24" s="3"/>
      <c r="M24" s="3"/>
      <c r="N24" s="3"/>
      <c r="O24" s="3"/>
      <c r="P24" s="3"/>
      <c r="Q24" s="3"/>
    </row>
    <row r="25" spans="1:17" ht="15">
      <c r="A25" s="62"/>
      <c r="B25" s="61"/>
      <c r="C25" s="61"/>
      <c r="D25" s="61"/>
      <c r="E25" s="61"/>
      <c r="F25" s="61"/>
      <c r="G25" s="61"/>
      <c r="H25" s="61"/>
      <c r="I25" s="61"/>
      <c r="J25" s="63"/>
      <c r="K25" s="3"/>
      <c r="L25" s="3"/>
      <c r="M25" s="3"/>
      <c r="N25" s="3"/>
      <c r="O25" s="3"/>
      <c r="P25" s="3"/>
      <c r="Q25" s="3"/>
    </row>
    <row r="26" spans="1:17" ht="15">
      <c r="A26" s="62"/>
      <c r="B26" s="61"/>
      <c r="C26" s="61"/>
      <c r="D26" s="61"/>
      <c r="E26" s="61"/>
      <c r="F26" s="61"/>
      <c r="G26" s="61"/>
      <c r="H26" s="61"/>
      <c r="I26" s="61"/>
      <c r="J26" s="63"/>
      <c r="K26" s="3"/>
      <c r="L26" s="3"/>
      <c r="M26" s="3"/>
      <c r="N26" s="3"/>
      <c r="O26" s="3"/>
      <c r="P26" s="3"/>
      <c r="Q26" s="3"/>
    </row>
    <row r="27" spans="1:17" ht="15">
      <c r="A27" s="62"/>
      <c r="B27" s="61"/>
      <c r="C27" s="61"/>
      <c r="D27" s="61"/>
      <c r="E27" s="61"/>
      <c r="F27" s="61"/>
      <c r="G27" s="61"/>
      <c r="H27" s="61"/>
      <c r="I27" s="61"/>
      <c r="J27" s="63"/>
      <c r="K27" s="3"/>
      <c r="L27" s="3"/>
      <c r="M27" s="3"/>
      <c r="N27" s="3"/>
      <c r="O27" s="3"/>
      <c r="P27" s="3"/>
      <c r="Q27" s="3"/>
    </row>
    <row r="28" spans="1:17" ht="15">
      <c r="A28" s="62"/>
      <c r="B28" s="61"/>
      <c r="C28" s="61"/>
      <c r="D28" s="61"/>
      <c r="E28" s="61"/>
      <c r="F28" s="61"/>
      <c r="G28" s="61"/>
      <c r="H28" s="61"/>
      <c r="I28" s="61"/>
      <c r="J28" s="63"/>
      <c r="K28" s="3"/>
      <c r="L28" s="3"/>
      <c r="M28" s="3"/>
      <c r="N28" s="3"/>
      <c r="O28" s="3"/>
      <c r="P28" s="3"/>
      <c r="Q28" s="3"/>
    </row>
    <row r="29" spans="1:17" ht="15">
      <c r="A29" s="62"/>
      <c r="B29" s="61"/>
      <c r="C29" s="61"/>
      <c r="D29" s="61"/>
      <c r="E29" s="61"/>
      <c r="F29" s="61"/>
      <c r="G29" s="61"/>
      <c r="H29" s="61"/>
      <c r="I29" s="61"/>
      <c r="J29" s="63"/>
      <c r="K29" s="3"/>
      <c r="L29" s="3"/>
      <c r="M29" s="3"/>
      <c r="N29" s="3"/>
      <c r="O29" s="3"/>
      <c r="P29" s="3"/>
      <c r="Q29" s="3"/>
    </row>
    <row r="30" spans="1:17" ht="15">
      <c r="A30" s="62"/>
      <c r="B30" s="61"/>
      <c r="C30" s="61"/>
      <c r="D30" s="61"/>
      <c r="E30" s="61"/>
      <c r="F30" s="61"/>
      <c r="G30" s="61"/>
      <c r="H30" s="61"/>
      <c r="I30" s="61"/>
      <c r="J30" s="63"/>
      <c r="K30" s="3"/>
      <c r="L30" s="3"/>
      <c r="M30" s="3"/>
      <c r="N30" s="3"/>
      <c r="O30" s="3"/>
      <c r="P30" s="3"/>
      <c r="Q30" s="3"/>
    </row>
    <row r="31" spans="1:17" ht="15">
      <c r="A31" s="62"/>
      <c r="B31" s="61"/>
      <c r="C31" s="61"/>
      <c r="D31" s="61"/>
      <c r="E31" s="61"/>
      <c r="F31" s="61"/>
      <c r="G31" s="61"/>
      <c r="H31" s="61"/>
      <c r="I31" s="61"/>
      <c r="J31" s="63"/>
      <c r="K31" s="3"/>
      <c r="L31" s="3"/>
      <c r="M31" s="3"/>
      <c r="N31" s="3"/>
      <c r="O31" s="3"/>
      <c r="P31" s="3"/>
      <c r="Q31" s="3"/>
    </row>
    <row r="32" spans="1:17" ht="15">
      <c r="A32" s="62"/>
      <c r="B32" s="61"/>
      <c r="C32" s="61"/>
      <c r="D32" s="61"/>
      <c r="E32" s="61"/>
      <c r="F32" s="61"/>
      <c r="G32" s="61"/>
      <c r="H32" s="61"/>
      <c r="I32" s="61"/>
      <c r="J32" s="63"/>
      <c r="K32" s="3"/>
      <c r="L32" s="3"/>
      <c r="M32" s="3"/>
      <c r="N32" s="3"/>
      <c r="O32" s="3"/>
      <c r="P32" s="3"/>
      <c r="Q32" s="3"/>
    </row>
    <row r="33" spans="1:17" ht="15">
      <c r="A33" s="62"/>
      <c r="B33" s="61"/>
      <c r="C33" s="61"/>
      <c r="D33" s="61"/>
      <c r="E33" s="61"/>
      <c r="F33" s="61"/>
      <c r="G33" s="61"/>
      <c r="H33" s="61"/>
      <c r="I33" s="61"/>
      <c r="J33" s="63"/>
      <c r="K33" s="3"/>
      <c r="L33" s="3"/>
      <c r="M33" s="3"/>
      <c r="N33" s="3"/>
      <c r="O33" s="3"/>
      <c r="P33" s="3"/>
      <c r="Q33" s="3"/>
    </row>
    <row r="34" spans="1:17" ht="15">
      <c r="A34" s="62"/>
      <c r="B34" s="61"/>
      <c r="C34" s="61"/>
      <c r="D34" s="61"/>
      <c r="E34" s="61"/>
      <c r="F34" s="61"/>
      <c r="G34" s="61"/>
      <c r="H34" s="61"/>
      <c r="I34" s="61"/>
      <c r="J34" s="63"/>
      <c r="K34" s="3"/>
      <c r="L34" s="3"/>
      <c r="M34" s="3"/>
      <c r="N34" s="3"/>
      <c r="O34" s="3"/>
      <c r="P34" s="3"/>
      <c r="Q34" s="3"/>
    </row>
    <row r="35" spans="1:17" ht="15">
      <c r="A35" s="62"/>
      <c r="B35" s="61"/>
      <c r="C35" s="61"/>
      <c r="D35" s="61"/>
      <c r="E35" s="61"/>
      <c r="F35" s="61"/>
      <c r="G35" s="61"/>
      <c r="H35" s="61"/>
      <c r="I35" s="61"/>
      <c r="J35" s="63"/>
      <c r="K35" s="3"/>
      <c r="L35" s="3"/>
      <c r="M35" s="3"/>
      <c r="N35" s="3"/>
      <c r="O35" s="3"/>
      <c r="P35" s="3"/>
      <c r="Q35" s="3"/>
    </row>
    <row r="36" spans="1:17" ht="15">
      <c r="A36" s="62"/>
      <c r="B36" s="61"/>
      <c r="C36" s="61"/>
      <c r="D36" s="61"/>
      <c r="E36" s="61"/>
      <c r="F36" s="61"/>
      <c r="G36" s="61"/>
      <c r="H36" s="61"/>
      <c r="I36" s="61"/>
      <c r="J36" s="63"/>
      <c r="K36" s="3"/>
      <c r="L36" s="3"/>
      <c r="M36" s="3"/>
      <c r="N36" s="3"/>
      <c r="O36" s="3"/>
      <c r="P36" s="3"/>
      <c r="Q36" s="3"/>
    </row>
    <row r="37" spans="1:17" ht="15">
      <c r="A37" s="62"/>
      <c r="B37" s="61"/>
      <c r="C37" s="61"/>
      <c r="D37" s="61"/>
      <c r="E37" s="61"/>
      <c r="F37" s="61"/>
      <c r="G37" s="61"/>
      <c r="H37" s="61"/>
      <c r="I37" s="61"/>
      <c r="J37" s="63"/>
      <c r="K37" s="3"/>
      <c r="L37" s="3"/>
      <c r="M37" s="3"/>
      <c r="N37" s="3"/>
      <c r="O37" s="3"/>
      <c r="P37" s="3"/>
      <c r="Q37" s="3"/>
    </row>
    <row r="38" spans="1:17" ht="15">
      <c r="A38" s="62"/>
      <c r="B38" s="61"/>
      <c r="C38" s="61"/>
      <c r="D38" s="61"/>
      <c r="E38" s="61"/>
      <c r="F38" s="61"/>
      <c r="G38" s="61"/>
      <c r="H38" s="61"/>
      <c r="I38" s="61"/>
      <c r="J38" s="63"/>
      <c r="K38" s="3"/>
      <c r="L38" s="3"/>
      <c r="M38" s="3"/>
      <c r="N38" s="3"/>
      <c r="O38" s="3"/>
      <c r="P38" s="3"/>
      <c r="Q38" s="3"/>
    </row>
    <row r="39" spans="1:17" ht="15">
      <c r="A39" s="62"/>
      <c r="B39" s="61"/>
      <c r="C39" s="61"/>
      <c r="D39" s="61"/>
      <c r="E39" s="61"/>
      <c r="F39" s="61"/>
      <c r="G39" s="61"/>
      <c r="H39" s="61"/>
      <c r="I39" s="61"/>
      <c r="J39" s="63"/>
      <c r="K39" s="3"/>
      <c r="L39" s="3"/>
      <c r="M39" s="3"/>
      <c r="N39" s="3"/>
      <c r="O39" s="3"/>
      <c r="P39" s="3"/>
      <c r="Q39" s="3"/>
    </row>
    <row r="40" spans="1:17" ht="15">
      <c r="A40" s="62"/>
      <c r="B40" s="61"/>
      <c r="C40" s="61"/>
      <c r="D40" s="61"/>
      <c r="E40" s="61"/>
      <c r="F40" s="61"/>
      <c r="G40" s="61"/>
      <c r="H40" s="61"/>
      <c r="I40" s="61"/>
      <c r="J40" s="63"/>
      <c r="K40" s="3"/>
      <c r="L40" s="3"/>
      <c r="M40" s="3"/>
      <c r="N40" s="3"/>
      <c r="O40" s="3"/>
      <c r="P40" s="3"/>
      <c r="Q40" s="3"/>
    </row>
    <row r="41" spans="1:17" ht="15">
      <c r="A41" s="62"/>
      <c r="B41" s="61"/>
      <c r="C41" s="61"/>
      <c r="D41" s="61"/>
      <c r="E41" s="61"/>
      <c r="F41" s="61"/>
      <c r="G41" s="61"/>
      <c r="H41" s="61"/>
      <c r="I41" s="61"/>
      <c r="J41" s="63"/>
      <c r="K41" s="3"/>
      <c r="L41" s="3"/>
      <c r="M41" s="3"/>
      <c r="N41" s="3"/>
      <c r="O41" s="3"/>
      <c r="P41" s="3"/>
      <c r="Q41" s="3"/>
    </row>
    <row r="42" spans="1:17" ht="15">
      <c r="A42" s="62"/>
      <c r="B42" s="61"/>
      <c r="C42" s="61"/>
      <c r="D42" s="61"/>
      <c r="E42" s="61"/>
      <c r="F42" s="61"/>
      <c r="G42" s="61"/>
      <c r="H42" s="61"/>
      <c r="I42" s="61"/>
      <c r="J42" s="63"/>
      <c r="K42" s="3"/>
      <c r="L42" s="3"/>
      <c r="M42" s="3"/>
      <c r="N42" s="3"/>
      <c r="O42" s="3"/>
      <c r="P42" s="3"/>
      <c r="Q42" s="3"/>
    </row>
    <row r="43" spans="1:17" ht="15">
      <c r="A43" s="62"/>
      <c r="B43" s="61"/>
      <c r="C43" s="61"/>
      <c r="D43" s="61"/>
      <c r="E43" s="61"/>
      <c r="F43" s="61"/>
      <c r="G43" s="61"/>
      <c r="H43" s="61"/>
      <c r="I43" s="61"/>
      <c r="J43" s="63"/>
      <c r="K43" s="3"/>
      <c r="L43" s="3"/>
      <c r="M43" s="3"/>
      <c r="N43" s="3"/>
      <c r="O43" s="3"/>
      <c r="P43" s="3"/>
      <c r="Q43" s="3"/>
    </row>
    <row r="44" spans="1:17" ht="15">
      <c r="A44" s="62"/>
      <c r="B44" s="61"/>
      <c r="C44" s="61"/>
      <c r="D44" s="61"/>
      <c r="E44" s="61"/>
      <c r="F44" s="61"/>
      <c r="G44" s="61"/>
      <c r="H44" s="61"/>
      <c r="I44" s="61"/>
      <c r="J44" s="63"/>
      <c r="K44" s="3"/>
      <c r="L44" s="3"/>
      <c r="M44" s="3"/>
      <c r="N44" s="3"/>
      <c r="O44" s="3"/>
      <c r="P44" s="3"/>
      <c r="Q44" s="3"/>
    </row>
    <row r="45" spans="1:17" ht="15">
      <c r="A45" s="62"/>
      <c r="B45" s="61"/>
      <c r="C45" s="61"/>
      <c r="D45" s="61"/>
      <c r="E45" s="61"/>
      <c r="F45" s="61"/>
      <c r="G45" s="61"/>
      <c r="H45" s="61"/>
      <c r="I45" s="61"/>
      <c r="J45" s="63"/>
      <c r="K45" s="3"/>
      <c r="L45" s="3"/>
      <c r="M45" s="3"/>
      <c r="N45" s="3"/>
      <c r="O45" s="3"/>
      <c r="P45" s="3"/>
      <c r="Q45" s="3"/>
    </row>
    <row r="46" spans="1:17" ht="15">
      <c r="A46" s="62"/>
      <c r="B46" s="61"/>
      <c r="C46" s="61"/>
      <c r="D46" s="61"/>
      <c r="E46" s="61"/>
      <c r="F46" s="61"/>
      <c r="G46" s="61"/>
      <c r="H46" s="61"/>
      <c r="I46" s="61"/>
      <c r="J46" s="63"/>
      <c r="K46" s="3"/>
      <c r="L46" s="3"/>
      <c r="M46" s="3"/>
      <c r="N46" s="3"/>
      <c r="O46" s="3"/>
      <c r="P46" s="3"/>
      <c r="Q46" s="3"/>
    </row>
    <row r="47" spans="1:17" ht="15">
      <c r="A47" s="62"/>
      <c r="B47" s="61"/>
      <c r="C47" s="61"/>
      <c r="D47" s="61"/>
      <c r="E47" s="61"/>
      <c r="F47" s="61"/>
      <c r="G47" s="61"/>
      <c r="H47" s="61"/>
      <c r="I47" s="61"/>
      <c r="J47" s="63"/>
      <c r="K47" s="3"/>
      <c r="L47" s="3"/>
      <c r="M47" s="3"/>
      <c r="N47" s="3"/>
      <c r="O47" s="3"/>
      <c r="P47" s="3"/>
      <c r="Q47" s="3"/>
    </row>
    <row r="48" spans="1:17" ht="15">
      <c r="A48" s="62"/>
      <c r="B48" s="61"/>
      <c r="C48" s="61"/>
      <c r="D48" s="61"/>
      <c r="E48" s="61"/>
      <c r="F48" s="61"/>
      <c r="G48" s="61"/>
      <c r="H48" s="61"/>
      <c r="I48" s="61"/>
      <c r="J48" s="63"/>
      <c r="K48" s="3"/>
      <c r="L48" s="3"/>
      <c r="M48" s="3"/>
      <c r="N48" s="3"/>
      <c r="O48" s="3"/>
      <c r="P48" s="3"/>
      <c r="Q48" s="3"/>
    </row>
    <row r="49" spans="1:17" ht="15">
      <c r="A49" s="62"/>
      <c r="B49" s="61"/>
      <c r="C49" s="61"/>
      <c r="D49" s="61"/>
      <c r="E49" s="61"/>
      <c r="F49" s="61"/>
      <c r="G49" s="61"/>
      <c r="H49" s="61"/>
      <c r="I49" s="61"/>
      <c r="J49" s="63"/>
      <c r="K49" s="3"/>
      <c r="L49" s="3"/>
      <c r="M49" s="3"/>
      <c r="N49" s="3"/>
      <c r="O49" s="3"/>
      <c r="P49" s="3"/>
      <c r="Q49" s="3"/>
    </row>
    <row r="50" spans="1:17" ht="15">
      <c r="A50" s="62"/>
      <c r="B50" s="61"/>
      <c r="C50" s="61"/>
      <c r="D50" s="61"/>
      <c r="E50" s="61"/>
      <c r="F50" s="61"/>
      <c r="G50" s="61"/>
      <c r="H50" s="61"/>
      <c r="I50" s="61"/>
      <c r="J50" s="63"/>
      <c r="K50" s="3"/>
      <c r="L50" s="3"/>
      <c r="M50" s="3"/>
      <c r="N50" s="3"/>
      <c r="O50" s="3"/>
      <c r="P50" s="3"/>
      <c r="Q50" s="3"/>
    </row>
    <row r="51" spans="1:17" ht="15">
      <c r="A51" s="62"/>
      <c r="B51" s="61"/>
      <c r="C51" s="61"/>
      <c r="D51" s="61"/>
      <c r="E51" s="61"/>
      <c r="F51" s="61"/>
      <c r="G51" s="61"/>
      <c r="H51" s="61"/>
      <c r="I51" s="61"/>
      <c r="J51" s="63"/>
      <c r="K51" s="3"/>
      <c r="L51" s="3"/>
      <c r="M51" s="3"/>
      <c r="N51" s="3"/>
      <c r="O51" s="3"/>
      <c r="P51" s="3"/>
      <c r="Q51" s="3"/>
    </row>
    <row r="52" spans="1:17" ht="15">
      <c r="A52" s="62"/>
      <c r="B52" s="61"/>
      <c r="C52" s="61"/>
      <c r="D52" s="61"/>
      <c r="E52" s="61"/>
      <c r="F52" s="61"/>
      <c r="G52" s="61"/>
      <c r="H52" s="61"/>
      <c r="I52" s="61"/>
      <c r="J52" s="63"/>
      <c r="K52" s="3"/>
      <c r="L52" s="3"/>
      <c r="M52" s="3"/>
      <c r="N52" s="3"/>
      <c r="O52" s="3"/>
      <c r="P52" s="3"/>
      <c r="Q52" s="3"/>
    </row>
    <row r="53" spans="1:17" ht="15">
      <c r="A53" s="62"/>
      <c r="B53" s="61"/>
      <c r="C53" s="61"/>
      <c r="D53" s="61"/>
      <c r="E53" s="61"/>
      <c r="F53" s="61"/>
      <c r="G53" s="61"/>
      <c r="H53" s="61"/>
      <c r="I53" s="61"/>
      <c r="J53" s="63"/>
      <c r="K53" s="3"/>
      <c r="L53" s="3"/>
      <c r="M53" s="3"/>
      <c r="N53" s="3"/>
      <c r="O53" s="3"/>
      <c r="P53" s="3"/>
      <c r="Q53" s="3"/>
    </row>
    <row r="54" spans="1:17" ht="15">
      <c r="A54" s="62"/>
      <c r="B54" s="61"/>
      <c r="C54" s="61"/>
      <c r="D54" s="61"/>
      <c r="E54" s="61"/>
      <c r="F54" s="61"/>
      <c r="G54" s="61"/>
      <c r="H54" s="61"/>
      <c r="I54" s="61"/>
      <c r="J54" s="63"/>
      <c r="K54" s="3"/>
      <c r="L54" s="3"/>
      <c r="M54" s="3"/>
      <c r="N54" s="3"/>
      <c r="O54" s="3"/>
      <c r="P54" s="3"/>
      <c r="Q54" s="3"/>
    </row>
    <row r="55" spans="1:17" ht="15">
      <c r="A55" s="62"/>
      <c r="B55" s="61"/>
      <c r="C55" s="61"/>
      <c r="D55" s="61"/>
      <c r="E55" s="61"/>
      <c r="F55" s="61"/>
      <c r="G55" s="61"/>
      <c r="H55" s="61"/>
      <c r="I55" s="61"/>
      <c r="J55" s="63"/>
      <c r="K55" s="3"/>
      <c r="L55" s="3"/>
      <c r="M55" s="3"/>
      <c r="N55" s="3"/>
      <c r="O55" s="3"/>
      <c r="P55" s="3"/>
      <c r="Q55" s="3"/>
    </row>
    <row r="56" spans="1:17" ht="15">
      <c r="A56" s="62"/>
      <c r="B56" s="61"/>
      <c r="C56" s="61"/>
      <c r="D56" s="61"/>
      <c r="E56" s="61"/>
      <c r="F56" s="61"/>
      <c r="G56" s="61"/>
      <c r="H56" s="61"/>
      <c r="I56" s="61"/>
      <c r="J56" s="63"/>
      <c r="K56" s="3"/>
      <c r="L56" s="3"/>
      <c r="M56" s="3"/>
      <c r="N56" s="3"/>
      <c r="O56" s="3"/>
      <c r="P56" s="3"/>
      <c r="Q56" s="3"/>
    </row>
    <row r="57" spans="1:17" ht="15">
      <c r="A57" s="62"/>
      <c r="B57" s="61"/>
      <c r="C57" s="61"/>
      <c r="D57" s="61"/>
      <c r="E57" s="61"/>
      <c r="F57" s="61"/>
      <c r="G57" s="61"/>
      <c r="H57" s="61"/>
      <c r="I57" s="61"/>
      <c r="J57" s="63"/>
      <c r="K57" s="3"/>
      <c r="L57" s="3"/>
      <c r="M57" s="3"/>
      <c r="N57" s="3"/>
      <c r="O57" s="3"/>
      <c r="P57" s="3"/>
      <c r="Q57" s="3"/>
    </row>
    <row r="58" spans="1:17" ht="15">
      <c r="A58" s="62"/>
      <c r="B58" s="61"/>
      <c r="C58" s="61"/>
      <c r="D58" s="61"/>
      <c r="E58" s="61"/>
      <c r="F58" s="61"/>
      <c r="G58" s="61"/>
      <c r="H58" s="61"/>
      <c r="I58" s="61"/>
      <c r="J58" s="63"/>
      <c r="K58" s="3"/>
      <c r="L58" s="3"/>
      <c r="M58" s="3"/>
      <c r="N58" s="3"/>
      <c r="O58" s="3"/>
      <c r="P58" s="3"/>
      <c r="Q58" s="3"/>
    </row>
    <row r="59" spans="1:17" ht="15">
      <c r="A59" s="62"/>
      <c r="B59" s="61"/>
      <c r="C59" s="61"/>
      <c r="D59" s="61"/>
      <c r="E59" s="61"/>
      <c r="F59" s="61"/>
      <c r="G59" s="61"/>
      <c r="H59" s="61"/>
      <c r="I59" s="61"/>
      <c r="J59" s="63"/>
      <c r="K59" s="3"/>
      <c r="L59" s="3"/>
      <c r="M59" s="3"/>
      <c r="N59" s="3"/>
      <c r="O59" s="3"/>
      <c r="P59" s="3"/>
      <c r="Q59" s="3"/>
    </row>
    <row r="60" spans="1:17" ht="15">
      <c r="A60" s="62"/>
      <c r="B60" s="61"/>
      <c r="C60" s="61"/>
      <c r="D60" s="61"/>
      <c r="E60" s="61"/>
      <c r="F60" s="61"/>
      <c r="G60" s="61"/>
      <c r="H60" s="61"/>
      <c r="I60" s="61"/>
      <c r="J60" s="63"/>
      <c r="K60" s="3"/>
      <c r="L60" s="3"/>
      <c r="M60" s="3"/>
      <c r="N60" s="3"/>
      <c r="O60" s="3"/>
      <c r="P60" s="3"/>
      <c r="Q60" s="3"/>
    </row>
    <row r="61" spans="1:17" ht="15">
      <c r="A61" s="62"/>
      <c r="B61" s="61"/>
      <c r="C61" s="61"/>
      <c r="D61" s="61"/>
      <c r="E61" s="61"/>
      <c r="F61" s="61"/>
      <c r="G61" s="61"/>
      <c r="H61" s="61"/>
      <c r="I61" s="61"/>
      <c r="J61" s="63"/>
      <c r="K61" s="3"/>
      <c r="L61" s="3"/>
      <c r="M61" s="3"/>
      <c r="N61" s="3"/>
      <c r="O61" s="3"/>
      <c r="P61" s="3"/>
      <c r="Q61" s="3"/>
    </row>
    <row r="62" spans="1:17" ht="15">
      <c r="A62" s="62"/>
      <c r="B62" s="61"/>
      <c r="C62" s="61"/>
      <c r="D62" s="61"/>
      <c r="E62" s="61"/>
      <c r="F62" s="61"/>
      <c r="G62" s="61"/>
      <c r="H62" s="61"/>
      <c r="I62" s="61"/>
      <c r="J62" s="63"/>
      <c r="K62" s="3"/>
      <c r="L62" s="3"/>
      <c r="M62" s="3"/>
      <c r="N62" s="3"/>
      <c r="O62" s="3"/>
      <c r="P62" s="3"/>
      <c r="Q62" s="3"/>
    </row>
    <row r="63" spans="1:17" ht="15">
      <c r="A63" s="62"/>
      <c r="B63" s="61"/>
      <c r="C63" s="61"/>
      <c r="D63" s="61"/>
      <c r="E63" s="61"/>
      <c r="F63" s="61"/>
      <c r="G63" s="61"/>
      <c r="H63" s="61"/>
      <c r="I63" s="61"/>
      <c r="J63" s="63"/>
      <c r="K63" s="3"/>
      <c r="L63" s="3"/>
      <c r="M63" s="3"/>
      <c r="N63" s="3"/>
      <c r="O63" s="3"/>
      <c r="P63" s="3"/>
      <c r="Q63" s="3"/>
    </row>
    <row r="64" spans="1:17" ht="15">
      <c r="A64" s="62"/>
      <c r="B64" s="61"/>
      <c r="C64" s="61"/>
      <c r="D64" s="61"/>
      <c r="E64" s="61"/>
      <c r="F64" s="61"/>
      <c r="G64" s="61"/>
      <c r="H64" s="61"/>
      <c r="I64" s="61"/>
      <c r="J64" s="63"/>
      <c r="K64" s="3"/>
      <c r="L64" s="3"/>
      <c r="M64" s="3"/>
      <c r="N64" s="3"/>
      <c r="O64" s="3"/>
      <c r="P64" s="3"/>
      <c r="Q64" s="3"/>
    </row>
    <row r="65" spans="1:17" ht="15">
      <c r="A65" s="62"/>
      <c r="B65" s="61"/>
      <c r="C65" s="61"/>
      <c r="D65" s="61"/>
      <c r="E65" s="61"/>
      <c r="F65" s="61"/>
      <c r="G65" s="61"/>
      <c r="H65" s="61"/>
      <c r="I65" s="61"/>
      <c r="J65" s="63"/>
      <c r="K65" s="3"/>
      <c r="L65" s="3"/>
      <c r="M65" s="3"/>
      <c r="N65" s="3"/>
      <c r="O65" s="3"/>
      <c r="P65" s="3"/>
      <c r="Q65" s="3"/>
    </row>
    <row r="66" spans="1:17" ht="15">
      <c r="A66" s="62"/>
      <c r="B66" s="61"/>
      <c r="C66" s="61"/>
      <c r="D66" s="61"/>
      <c r="E66" s="61"/>
      <c r="F66" s="61"/>
      <c r="G66" s="61"/>
      <c r="H66" s="61"/>
      <c r="I66" s="61"/>
      <c r="J66" s="63"/>
      <c r="K66" s="3"/>
      <c r="L66" s="3"/>
      <c r="M66" s="3"/>
      <c r="N66" s="3"/>
      <c r="O66" s="3"/>
      <c r="P66" s="3"/>
      <c r="Q66" s="3"/>
    </row>
    <row r="67" spans="1:17" ht="15">
      <c r="A67" s="62"/>
      <c r="B67" s="61"/>
      <c r="C67" s="61"/>
      <c r="D67" s="61"/>
      <c r="E67" s="61"/>
      <c r="F67" s="61"/>
      <c r="G67" s="61"/>
      <c r="H67" s="61"/>
      <c r="I67" s="61"/>
      <c r="J67" s="63"/>
      <c r="K67" s="3"/>
      <c r="L67" s="3"/>
      <c r="M67" s="3"/>
      <c r="N67" s="3"/>
      <c r="O67" s="3"/>
      <c r="P67" s="3"/>
      <c r="Q67" s="3"/>
    </row>
    <row r="68" spans="1:17" ht="15">
      <c r="A68" s="62"/>
      <c r="B68" s="61"/>
      <c r="C68" s="61"/>
      <c r="D68" s="61"/>
      <c r="E68" s="61"/>
      <c r="F68" s="61"/>
      <c r="G68" s="61"/>
      <c r="H68" s="61"/>
      <c r="I68" s="61"/>
      <c r="J68" s="63"/>
      <c r="K68" s="3"/>
      <c r="L68" s="3"/>
      <c r="M68" s="3"/>
      <c r="N68" s="3"/>
      <c r="O68" s="3"/>
      <c r="P68" s="3"/>
      <c r="Q68" s="3"/>
    </row>
    <row r="69" spans="1:17" ht="15">
      <c r="A69" s="62"/>
      <c r="B69" s="61"/>
      <c r="C69" s="61"/>
      <c r="D69" s="61"/>
      <c r="E69" s="61"/>
      <c r="F69" s="61"/>
      <c r="G69" s="61"/>
      <c r="H69" s="61"/>
      <c r="I69" s="61"/>
      <c r="J69" s="63"/>
      <c r="K69" s="3"/>
      <c r="L69" s="3"/>
      <c r="M69" s="3"/>
      <c r="N69" s="3"/>
      <c r="O69" s="3"/>
      <c r="P69" s="3"/>
      <c r="Q69" s="3"/>
    </row>
    <row r="70" spans="1:17" ht="15">
      <c r="A70" s="62"/>
      <c r="B70" s="61"/>
      <c r="C70" s="61"/>
      <c r="D70" s="61"/>
      <c r="E70" s="61"/>
      <c r="F70" s="61"/>
      <c r="G70" s="61"/>
      <c r="H70" s="61"/>
      <c r="I70" s="61"/>
      <c r="J70" s="63"/>
      <c r="K70" s="3"/>
      <c r="L70" s="3"/>
      <c r="M70" s="3"/>
      <c r="N70" s="3"/>
      <c r="O70" s="3"/>
      <c r="P70" s="3"/>
      <c r="Q70" s="3"/>
    </row>
    <row r="71" spans="1:17" ht="15">
      <c r="A71" s="62"/>
      <c r="B71" s="61"/>
      <c r="C71" s="61"/>
      <c r="D71" s="61"/>
      <c r="E71" s="61"/>
      <c r="F71" s="61"/>
      <c r="G71" s="61"/>
      <c r="H71" s="61"/>
      <c r="I71" s="61"/>
      <c r="J71" s="63"/>
      <c r="K71" s="3"/>
      <c r="L71" s="3"/>
      <c r="M71" s="3"/>
      <c r="N71" s="3"/>
      <c r="O71" s="3"/>
      <c r="P71" s="3"/>
      <c r="Q71" s="3"/>
    </row>
    <row r="72" spans="1:17" ht="15">
      <c r="A72" s="62"/>
      <c r="B72" s="61"/>
      <c r="C72" s="61"/>
      <c r="D72" s="61"/>
      <c r="E72" s="61"/>
      <c r="F72" s="61"/>
      <c r="G72" s="61"/>
      <c r="H72" s="61"/>
      <c r="I72" s="61"/>
      <c r="J72" s="63"/>
      <c r="K72" s="3"/>
      <c r="L72" s="3"/>
      <c r="M72" s="3"/>
      <c r="N72" s="3"/>
      <c r="O72" s="3"/>
      <c r="P72" s="3"/>
      <c r="Q72" s="3"/>
    </row>
    <row r="73" spans="1:17" ht="15">
      <c r="A73" s="62"/>
      <c r="B73" s="61"/>
      <c r="C73" s="61"/>
      <c r="D73" s="61"/>
      <c r="E73" s="61"/>
      <c r="F73" s="61"/>
      <c r="G73" s="61"/>
      <c r="H73" s="61"/>
      <c r="I73" s="61"/>
      <c r="J73" s="63"/>
      <c r="K73" s="3"/>
      <c r="L73" s="3"/>
      <c r="M73" s="3"/>
      <c r="N73" s="3"/>
      <c r="O73" s="3"/>
      <c r="P73" s="3"/>
      <c r="Q73" s="3"/>
    </row>
    <row r="74" spans="1:17" ht="15">
      <c r="A74" s="62"/>
      <c r="B74" s="61"/>
      <c r="C74" s="61"/>
      <c r="D74" s="61"/>
      <c r="E74" s="61"/>
      <c r="F74" s="61"/>
      <c r="G74" s="61"/>
      <c r="H74" s="61"/>
      <c r="I74" s="61"/>
      <c r="J74" s="63"/>
      <c r="K74" s="3"/>
      <c r="L74" s="3"/>
      <c r="M74" s="3"/>
      <c r="N74" s="3"/>
      <c r="O74" s="3"/>
      <c r="P74" s="3"/>
      <c r="Q74" s="3"/>
    </row>
    <row r="75" spans="1:17" ht="15">
      <c r="A75" s="62"/>
      <c r="B75" s="61"/>
      <c r="C75" s="61"/>
      <c r="D75" s="61"/>
      <c r="E75" s="61"/>
      <c r="F75" s="61"/>
      <c r="G75" s="61"/>
      <c r="H75" s="61"/>
      <c r="I75" s="61"/>
      <c r="J75" s="63"/>
      <c r="K75" s="3"/>
      <c r="L75" s="3"/>
      <c r="M75" s="3"/>
      <c r="N75" s="3"/>
      <c r="O75" s="3"/>
      <c r="P75" s="3"/>
      <c r="Q75" s="3"/>
    </row>
    <row r="76" spans="1:17" ht="15">
      <c r="A76" s="62"/>
      <c r="B76" s="61"/>
      <c r="C76" s="61"/>
      <c r="D76" s="61"/>
      <c r="E76" s="61"/>
      <c r="F76" s="61"/>
      <c r="G76" s="61"/>
      <c r="H76" s="61"/>
      <c r="I76" s="61"/>
      <c r="J76" s="63"/>
      <c r="K76" s="3"/>
      <c r="L76" s="3"/>
      <c r="M76" s="3"/>
      <c r="N76" s="3"/>
      <c r="O76" s="3"/>
      <c r="P76" s="3"/>
      <c r="Q76" s="3"/>
    </row>
    <row r="77" spans="1:17" ht="15">
      <c r="A77" s="62"/>
      <c r="B77" s="61"/>
      <c r="C77" s="61"/>
      <c r="D77" s="61"/>
      <c r="E77" s="61"/>
      <c r="F77" s="61"/>
      <c r="G77" s="61"/>
      <c r="H77" s="61"/>
      <c r="I77" s="61"/>
      <c r="J77" s="63"/>
      <c r="K77" s="3"/>
      <c r="L77" s="3"/>
      <c r="M77" s="3"/>
      <c r="N77" s="3"/>
      <c r="O77" s="3"/>
      <c r="P77" s="3"/>
      <c r="Q77" s="3"/>
    </row>
    <row r="78" spans="1:17" ht="15">
      <c r="A78" s="62"/>
      <c r="B78" s="61"/>
      <c r="C78" s="61"/>
      <c r="D78" s="61"/>
      <c r="E78" s="61"/>
      <c r="F78" s="61"/>
      <c r="G78" s="61"/>
      <c r="H78" s="61"/>
      <c r="I78" s="61"/>
      <c r="J78" s="63"/>
      <c r="K78" s="3"/>
      <c r="L78" s="3"/>
      <c r="M78" s="3"/>
      <c r="N78" s="3"/>
      <c r="O78" s="3"/>
      <c r="P78" s="3"/>
      <c r="Q78" s="3"/>
    </row>
    <row r="79" spans="1:17" ht="15">
      <c r="A79" s="62"/>
      <c r="B79" s="61"/>
      <c r="C79" s="61"/>
      <c r="D79" s="61"/>
      <c r="E79" s="61"/>
      <c r="F79" s="61"/>
      <c r="G79" s="61"/>
      <c r="H79" s="61"/>
      <c r="I79" s="61"/>
      <c r="J79" s="63"/>
      <c r="K79" s="3"/>
      <c r="L79" s="3"/>
      <c r="M79" s="3"/>
      <c r="N79" s="3"/>
      <c r="O79" s="3"/>
      <c r="P79" s="3"/>
      <c r="Q79" s="3"/>
    </row>
    <row r="80" spans="1:17" ht="15">
      <c r="A80" s="62"/>
      <c r="B80" s="61"/>
      <c r="C80" s="61"/>
      <c r="D80" s="61"/>
      <c r="E80" s="61"/>
      <c r="F80" s="61"/>
      <c r="G80" s="61"/>
      <c r="H80" s="61"/>
      <c r="I80" s="61"/>
      <c r="J80" s="63"/>
      <c r="K80" s="3"/>
      <c r="L80" s="3"/>
      <c r="M80" s="3"/>
      <c r="N80" s="3"/>
      <c r="O80" s="3"/>
      <c r="P80" s="3"/>
      <c r="Q80" s="3"/>
    </row>
    <row r="81" spans="1:17" ht="15">
      <c r="A81" s="62"/>
      <c r="B81" s="61"/>
      <c r="C81" s="61"/>
      <c r="D81" s="61"/>
      <c r="E81" s="61"/>
      <c r="F81" s="61"/>
      <c r="G81" s="61"/>
      <c r="H81" s="61"/>
      <c r="I81" s="61"/>
      <c r="J81" s="63"/>
      <c r="K81" s="3"/>
      <c r="L81" s="3"/>
      <c r="M81" s="3"/>
      <c r="N81" s="3"/>
      <c r="O81" s="3"/>
      <c r="P81" s="3"/>
      <c r="Q81" s="3"/>
    </row>
    <row r="82" spans="1:17" ht="15">
      <c r="A82" s="62"/>
      <c r="B82" s="61"/>
      <c r="C82" s="61"/>
      <c r="D82" s="61"/>
      <c r="E82" s="61"/>
      <c r="F82" s="61"/>
      <c r="G82" s="61"/>
      <c r="H82" s="61"/>
      <c r="I82" s="61"/>
      <c r="J82" s="63"/>
      <c r="K82" s="3"/>
      <c r="L82" s="3"/>
      <c r="M82" s="3"/>
      <c r="N82" s="3"/>
      <c r="O82" s="3"/>
      <c r="P82" s="3"/>
      <c r="Q82" s="3"/>
    </row>
    <row r="83" spans="1:17" ht="15">
      <c r="A83" s="62"/>
      <c r="B83" s="61"/>
      <c r="C83" s="61"/>
      <c r="D83" s="61"/>
      <c r="E83" s="61"/>
      <c r="F83" s="61"/>
      <c r="G83" s="61"/>
      <c r="H83" s="61"/>
      <c r="I83" s="61"/>
      <c r="J83" s="63"/>
      <c r="K83" s="3"/>
      <c r="L83" s="3"/>
      <c r="M83" s="3"/>
      <c r="N83" s="3"/>
      <c r="O83" s="3"/>
      <c r="P83" s="3"/>
      <c r="Q83" s="3"/>
    </row>
    <row r="84" spans="1:17" ht="15">
      <c r="A84" s="62"/>
      <c r="B84" s="61"/>
      <c r="C84" s="61"/>
      <c r="D84" s="61"/>
      <c r="E84" s="61"/>
      <c r="F84" s="61"/>
      <c r="G84" s="61"/>
      <c r="H84" s="61"/>
      <c r="I84" s="61"/>
      <c r="J84" s="63"/>
      <c r="K84" s="3"/>
      <c r="L84" s="3"/>
      <c r="M84" s="3"/>
      <c r="N84" s="3"/>
      <c r="O84" s="3"/>
      <c r="P84" s="3"/>
      <c r="Q84" s="3"/>
    </row>
    <row r="85" spans="1:17" ht="15">
      <c r="A85" s="62"/>
      <c r="B85" s="61"/>
      <c r="C85" s="61"/>
      <c r="D85" s="61"/>
      <c r="E85" s="61"/>
      <c r="F85" s="61"/>
      <c r="G85" s="61"/>
      <c r="H85" s="61"/>
      <c r="I85" s="61"/>
      <c r="J85" s="63"/>
      <c r="K85" s="3"/>
      <c r="L85" s="3"/>
      <c r="M85" s="3"/>
      <c r="N85" s="3"/>
      <c r="O85" s="3"/>
      <c r="P85" s="3"/>
      <c r="Q85" s="3"/>
    </row>
    <row r="86" spans="1:17" ht="15">
      <c r="A86" s="62"/>
      <c r="B86" s="61"/>
      <c r="C86" s="61"/>
      <c r="D86" s="61"/>
      <c r="E86" s="61"/>
      <c r="F86" s="61"/>
      <c r="G86" s="61"/>
      <c r="H86" s="61"/>
      <c r="I86" s="61"/>
      <c r="J86" s="63"/>
      <c r="K86" s="3"/>
      <c r="L86" s="3"/>
      <c r="M86" s="3"/>
      <c r="N86" s="3"/>
      <c r="O86" s="3"/>
      <c r="P86" s="3"/>
      <c r="Q86" s="3"/>
    </row>
    <row r="87" spans="1:17" ht="15">
      <c r="A87" s="62"/>
      <c r="B87" s="61"/>
      <c r="C87" s="61"/>
      <c r="D87" s="61"/>
      <c r="E87" s="61"/>
      <c r="F87" s="61"/>
      <c r="G87" s="61"/>
      <c r="H87" s="61"/>
      <c r="I87" s="61"/>
      <c r="J87" s="63"/>
      <c r="K87" s="3"/>
      <c r="L87" s="3"/>
      <c r="M87" s="3"/>
      <c r="N87" s="3"/>
      <c r="O87" s="3"/>
      <c r="P87" s="3"/>
      <c r="Q87" s="3"/>
    </row>
    <row r="88" spans="1:17" ht="15">
      <c r="A88" s="62"/>
      <c r="B88" s="61"/>
      <c r="C88" s="61"/>
      <c r="D88" s="61"/>
      <c r="E88" s="61"/>
      <c r="F88" s="61"/>
      <c r="G88" s="61"/>
      <c r="H88" s="61"/>
      <c r="I88" s="61"/>
      <c r="J88" s="63"/>
      <c r="K88" s="3"/>
      <c r="L88" s="3"/>
      <c r="M88" s="3"/>
      <c r="N88" s="3"/>
      <c r="O88" s="3"/>
      <c r="P88" s="3"/>
      <c r="Q88" s="3"/>
    </row>
    <row r="89" spans="1:17" ht="15">
      <c r="A89" s="62"/>
      <c r="B89" s="61"/>
      <c r="C89" s="61"/>
      <c r="D89" s="61"/>
      <c r="E89" s="61"/>
      <c r="F89" s="61"/>
      <c r="G89" s="61"/>
      <c r="H89" s="61"/>
      <c r="I89" s="61"/>
      <c r="J89" s="63"/>
      <c r="K89" s="3"/>
      <c r="L89" s="3"/>
      <c r="M89" s="3"/>
      <c r="N89" s="3"/>
      <c r="O89" s="3"/>
      <c r="P89" s="3"/>
      <c r="Q89" s="3"/>
    </row>
    <row r="90" spans="1:17" ht="15">
      <c r="A90" s="62"/>
      <c r="B90" s="61"/>
      <c r="C90" s="61"/>
      <c r="D90" s="61"/>
      <c r="E90" s="61"/>
      <c r="F90" s="61"/>
      <c r="G90" s="61"/>
      <c r="H90" s="61"/>
      <c r="I90" s="61"/>
      <c r="J90" s="63"/>
      <c r="K90" s="3"/>
      <c r="L90" s="3"/>
      <c r="M90" s="3"/>
      <c r="N90" s="3"/>
      <c r="O90" s="3"/>
      <c r="P90" s="3"/>
      <c r="Q90" s="3"/>
    </row>
    <row r="91" spans="1:17" ht="15">
      <c r="A91" s="62"/>
      <c r="B91" s="61"/>
      <c r="C91" s="61"/>
      <c r="D91" s="61"/>
      <c r="E91" s="61"/>
      <c r="F91" s="61"/>
      <c r="G91" s="61"/>
      <c r="H91" s="61"/>
      <c r="I91" s="61"/>
      <c r="J91" s="63"/>
      <c r="K91" s="3"/>
      <c r="L91" s="3"/>
      <c r="M91" s="3"/>
      <c r="N91" s="3"/>
      <c r="O91" s="3"/>
      <c r="P91" s="3"/>
      <c r="Q91" s="3"/>
    </row>
    <row r="92" spans="1:17" ht="15">
      <c r="A92" s="62"/>
      <c r="B92" s="61"/>
      <c r="C92" s="61"/>
      <c r="D92" s="61"/>
      <c r="E92" s="61"/>
      <c r="F92" s="61"/>
      <c r="G92" s="61"/>
      <c r="H92" s="61"/>
      <c r="I92" s="61"/>
      <c r="J92" s="63"/>
      <c r="K92" s="3"/>
      <c r="L92" s="3"/>
      <c r="M92" s="3"/>
      <c r="N92" s="3"/>
      <c r="O92" s="3"/>
      <c r="P92" s="3"/>
      <c r="Q92" s="3"/>
    </row>
    <row r="93" spans="1:17" ht="15">
      <c r="A93" s="62"/>
      <c r="B93" s="61"/>
      <c r="C93" s="61"/>
      <c r="D93" s="61"/>
      <c r="E93" s="61"/>
      <c r="F93" s="61"/>
      <c r="G93" s="61"/>
      <c r="H93" s="61"/>
      <c r="I93" s="61"/>
      <c r="J93" s="63"/>
      <c r="K93" s="3"/>
      <c r="L93" s="3"/>
      <c r="M93" s="3"/>
      <c r="N93" s="3"/>
      <c r="O93" s="3"/>
      <c r="P93" s="3"/>
      <c r="Q93" s="3"/>
    </row>
    <row r="94" spans="1:17" ht="15">
      <c r="A94" s="62"/>
      <c r="B94" s="61"/>
      <c r="C94" s="61"/>
      <c r="D94" s="61"/>
      <c r="E94" s="61"/>
      <c r="F94" s="61"/>
      <c r="G94" s="61"/>
      <c r="H94" s="61"/>
      <c r="I94" s="61"/>
      <c r="J94" s="63"/>
      <c r="K94" s="3"/>
      <c r="L94" s="3"/>
      <c r="M94" s="3"/>
      <c r="N94" s="3"/>
      <c r="O94" s="3"/>
      <c r="P94" s="3"/>
      <c r="Q94" s="3"/>
    </row>
    <row r="95" spans="1:17" ht="15">
      <c r="A95" s="62"/>
      <c r="B95" s="61"/>
      <c r="C95" s="61"/>
      <c r="D95" s="61"/>
      <c r="E95" s="61"/>
      <c r="F95" s="61"/>
      <c r="G95" s="61"/>
      <c r="H95" s="61"/>
      <c r="I95" s="61"/>
      <c r="J95" s="63"/>
      <c r="K95" s="3"/>
      <c r="L95" s="3"/>
      <c r="M95" s="3"/>
      <c r="N95" s="3"/>
      <c r="O95" s="3"/>
      <c r="P95" s="3"/>
      <c r="Q95" s="3"/>
    </row>
    <row r="96" spans="1:17" ht="15">
      <c r="A96" s="62"/>
      <c r="B96" s="61"/>
      <c r="C96" s="61"/>
      <c r="D96" s="61"/>
      <c r="E96" s="61"/>
      <c r="F96" s="61"/>
      <c r="G96" s="61"/>
      <c r="H96" s="61"/>
      <c r="I96" s="61"/>
      <c r="J96" s="63"/>
      <c r="K96" s="3"/>
      <c r="L96" s="3"/>
      <c r="M96" s="3"/>
      <c r="N96" s="3"/>
      <c r="O96" s="3"/>
      <c r="P96" s="3"/>
      <c r="Q96" s="3"/>
    </row>
    <row r="97" spans="1:17" ht="15">
      <c r="A97" s="62"/>
      <c r="B97" s="61"/>
      <c r="C97" s="61"/>
      <c r="D97" s="61"/>
      <c r="E97" s="61"/>
      <c r="F97" s="61"/>
      <c r="G97" s="61"/>
      <c r="H97" s="61"/>
      <c r="I97" s="61"/>
      <c r="J97" s="63"/>
      <c r="K97" s="3"/>
      <c r="L97" s="3"/>
      <c r="M97" s="3"/>
      <c r="N97" s="3"/>
      <c r="O97" s="3"/>
      <c r="P97" s="3"/>
      <c r="Q97" s="3"/>
    </row>
    <row r="98" spans="1:17" ht="15">
      <c r="A98" s="62"/>
      <c r="B98" s="61"/>
      <c r="C98" s="61"/>
      <c r="D98" s="61"/>
      <c r="E98" s="61"/>
      <c r="F98" s="61"/>
      <c r="G98" s="61"/>
      <c r="H98" s="61"/>
      <c r="I98" s="61"/>
      <c r="J98" s="63"/>
      <c r="K98" s="3"/>
      <c r="L98" s="3"/>
      <c r="M98" s="3"/>
      <c r="N98" s="3"/>
      <c r="O98" s="3"/>
      <c r="P98" s="3"/>
      <c r="Q98" s="3"/>
    </row>
    <row r="99" spans="1:17" ht="15">
      <c r="A99" s="62"/>
      <c r="B99" s="61"/>
      <c r="C99" s="61"/>
      <c r="D99" s="61"/>
      <c r="E99" s="61"/>
      <c r="F99" s="61"/>
      <c r="G99" s="61"/>
      <c r="H99" s="61"/>
      <c r="I99" s="61"/>
      <c r="J99" s="63"/>
      <c r="K99" s="3"/>
      <c r="L99" s="3"/>
      <c r="M99" s="3"/>
      <c r="N99" s="3"/>
      <c r="O99" s="3"/>
      <c r="P99" s="3"/>
      <c r="Q99" s="3"/>
    </row>
    <row r="100" spans="1:17" ht="15">
      <c r="A100" s="62"/>
      <c r="B100" s="61"/>
      <c r="C100" s="61"/>
      <c r="D100" s="61"/>
      <c r="E100" s="61"/>
      <c r="F100" s="61"/>
      <c r="G100" s="61"/>
      <c r="H100" s="61"/>
      <c r="I100" s="61"/>
      <c r="J100" s="63"/>
      <c r="K100" s="3"/>
      <c r="L100" s="3"/>
      <c r="M100" s="3"/>
      <c r="N100" s="3"/>
      <c r="O100" s="3"/>
      <c r="P100" s="3"/>
      <c r="Q100" s="3"/>
    </row>
    <row r="101" spans="1:17" ht="15">
      <c r="A101" s="62"/>
      <c r="B101" s="61"/>
      <c r="C101" s="61"/>
      <c r="D101" s="61"/>
      <c r="E101" s="61"/>
      <c r="F101" s="61"/>
      <c r="G101" s="61"/>
      <c r="H101" s="61"/>
      <c r="I101" s="61"/>
      <c r="J101" s="63"/>
      <c r="K101" s="3"/>
      <c r="L101" s="3"/>
      <c r="M101" s="3"/>
      <c r="N101" s="3"/>
      <c r="O101" s="3"/>
      <c r="P101" s="3"/>
      <c r="Q101" s="3"/>
    </row>
    <row r="102" spans="1:17" ht="15">
      <c r="A102" s="62"/>
      <c r="B102" s="61"/>
      <c r="C102" s="61"/>
      <c r="D102" s="61"/>
      <c r="E102" s="61"/>
      <c r="F102" s="61"/>
      <c r="G102" s="61"/>
      <c r="H102" s="61"/>
      <c r="I102" s="61"/>
      <c r="J102" s="63"/>
      <c r="K102" s="3"/>
      <c r="L102" s="3"/>
      <c r="M102" s="3"/>
      <c r="N102" s="3"/>
      <c r="O102" s="3"/>
      <c r="P102" s="3"/>
      <c r="Q102" s="3"/>
    </row>
    <row r="103" spans="1:17" ht="15">
      <c r="A103" s="62"/>
      <c r="B103" s="61"/>
      <c r="C103" s="61"/>
      <c r="D103" s="61"/>
      <c r="E103" s="61"/>
      <c r="F103" s="61"/>
      <c r="G103" s="61"/>
      <c r="H103" s="61"/>
      <c r="I103" s="61"/>
      <c r="J103" s="63"/>
      <c r="K103" s="3"/>
      <c r="L103" s="3"/>
      <c r="M103" s="3"/>
      <c r="N103" s="3"/>
      <c r="O103" s="3"/>
      <c r="P103" s="3"/>
      <c r="Q103" s="3"/>
    </row>
    <row r="104" spans="1:17" ht="15">
      <c r="A104" s="62"/>
      <c r="B104" s="61"/>
      <c r="C104" s="61"/>
      <c r="D104" s="61"/>
      <c r="E104" s="61"/>
      <c r="F104" s="61"/>
      <c r="G104" s="61"/>
      <c r="H104" s="61"/>
      <c r="I104" s="61"/>
      <c r="J104" s="63"/>
      <c r="K104" s="3"/>
      <c r="L104" s="3"/>
      <c r="M104" s="3"/>
      <c r="N104" s="3"/>
      <c r="O104" s="3"/>
      <c r="P104" s="3"/>
      <c r="Q104" s="3"/>
    </row>
    <row r="105" spans="1:17" ht="15">
      <c r="A105" s="62"/>
      <c r="B105" s="61"/>
      <c r="C105" s="61"/>
      <c r="D105" s="61"/>
      <c r="E105" s="61"/>
      <c r="F105" s="61"/>
      <c r="G105" s="61"/>
      <c r="H105" s="61"/>
      <c r="I105" s="61"/>
      <c r="J105" s="63"/>
      <c r="K105" s="3"/>
      <c r="L105" s="3"/>
      <c r="M105" s="3"/>
      <c r="N105" s="3"/>
      <c r="O105" s="3"/>
      <c r="P105" s="3"/>
      <c r="Q105" s="3"/>
    </row>
    <row r="106" spans="1:17" ht="15">
      <c r="A106" s="62"/>
      <c r="B106" s="61"/>
      <c r="C106" s="61"/>
      <c r="D106" s="61"/>
      <c r="E106" s="61"/>
      <c r="F106" s="61"/>
      <c r="G106" s="61"/>
      <c r="H106" s="61"/>
      <c r="I106" s="61"/>
      <c r="J106" s="63"/>
      <c r="K106" s="3"/>
      <c r="L106" s="3"/>
      <c r="M106" s="3"/>
      <c r="N106" s="3"/>
      <c r="O106" s="3"/>
      <c r="P106" s="3"/>
      <c r="Q106" s="3"/>
    </row>
    <row r="107" spans="1:17" ht="15">
      <c r="A107" s="62"/>
      <c r="B107" s="61"/>
      <c r="C107" s="61"/>
      <c r="D107" s="61"/>
      <c r="E107" s="61"/>
      <c r="F107" s="61"/>
      <c r="G107" s="61"/>
      <c r="H107" s="61"/>
      <c r="I107" s="61"/>
      <c r="J107" s="63"/>
      <c r="K107" s="3"/>
      <c r="L107" s="3"/>
      <c r="M107" s="3"/>
      <c r="N107" s="3"/>
      <c r="O107" s="3"/>
      <c r="P107" s="3"/>
      <c r="Q107" s="3"/>
    </row>
    <row r="108" spans="1:17" ht="15">
      <c r="A108" s="62"/>
      <c r="B108" s="61"/>
      <c r="C108" s="61"/>
      <c r="D108" s="61"/>
      <c r="E108" s="61"/>
      <c r="F108" s="61"/>
      <c r="G108" s="61"/>
      <c r="H108" s="61"/>
      <c r="I108" s="61"/>
      <c r="J108" s="63"/>
      <c r="K108" s="3"/>
      <c r="L108" s="3"/>
      <c r="M108" s="3"/>
      <c r="N108" s="3"/>
      <c r="O108" s="3"/>
      <c r="P108" s="3"/>
      <c r="Q108" s="3"/>
    </row>
    <row r="109" spans="1:17" ht="15">
      <c r="A109" s="62"/>
      <c r="B109" s="61"/>
      <c r="C109" s="61"/>
      <c r="D109" s="61"/>
      <c r="E109" s="61"/>
      <c r="F109" s="61"/>
      <c r="G109" s="61"/>
      <c r="H109" s="61"/>
      <c r="I109" s="61"/>
      <c r="J109" s="63"/>
      <c r="K109" s="3"/>
      <c r="L109" s="3"/>
      <c r="M109" s="3"/>
      <c r="N109" s="3"/>
      <c r="O109" s="3"/>
      <c r="P109" s="3"/>
      <c r="Q109" s="3"/>
    </row>
    <row r="110" spans="1:17" ht="15">
      <c r="A110" s="62"/>
      <c r="B110" s="61"/>
      <c r="C110" s="61"/>
      <c r="D110" s="61"/>
      <c r="E110" s="61"/>
      <c r="F110" s="61"/>
      <c r="G110" s="61"/>
      <c r="H110" s="61"/>
      <c r="I110" s="61"/>
      <c r="J110" s="63"/>
      <c r="K110" s="3"/>
      <c r="L110" s="3"/>
      <c r="M110" s="3"/>
      <c r="N110" s="3"/>
      <c r="O110" s="3"/>
      <c r="P110" s="3"/>
      <c r="Q110" s="3"/>
    </row>
    <row r="111" spans="1:17" ht="15">
      <c r="A111" s="62"/>
      <c r="B111" s="61"/>
      <c r="C111" s="61"/>
      <c r="D111" s="61"/>
      <c r="E111" s="61"/>
      <c r="F111" s="61"/>
      <c r="G111" s="61"/>
      <c r="H111" s="61"/>
      <c r="I111" s="61"/>
      <c r="J111" s="63"/>
      <c r="K111" s="3"/>
      <c r="L111" s="3"/>
      <c r="M111" s="3"/>
      <c r="N111" s="3"/>
      <c r="O111" s="3"/>
      <c r="P111" s="3"/>
      <c r="Q111" s="3"/>
    </row>
    <row r="112" spans="1:17" ht="15">
      <c r="A112" s="62"/>
      <c r="B112" s="61"/>
      <c r="C112" s="61"/>
      <c r="D112" s="61"/>
      <c r="E112" s="61"/>
      <c r="F112" s="61"/>
      <c r="G112" s="61"/>
      <c r="H112" s="61"/>
      <c r="I112" s="61"/>
      <c r="J112" s="63"/>
      <c r="K112" s="3"/>
      <c r="L112" s="3"/>
      <c r="M112" s="3"/>
      <c r="N112" s="3"/>
      <c r="O112" s="3"/>
      <c r="P112" s="3"/>
      <c r="Q112" s="3"/>
    </row>
    <row r="113" spans="1:17" ht="15">
      <c r="A113" s="62"/>
      <c r="B113" s="61"/>
      <c r="C113" s="61"/>
      <c r="D113" s="61"/>
      <c r="E113" s="61"/>
      <c r="F113" s="61"/>
      <c r="G113" s="61"/>
      <c r="H113" s="61"/>
      <c r="I113" s="61"/>
      <c r="J113" s="63"/>
      <c r="K113" s="3"/>
      <c r="L113" s="3"/>
      <c r="M113" s="3"/>
      <c r="N113" s="3"/>
      <c r="O113" s="3"/>
      <c r="P113" s="3"/>
      <c r="Q113" s="3"/>
    </row>
    <row r="114" spans="1:17" ht="15">
      <c r="A114" s="62"/>
      <c r="B114" s="61"/>
      <c r="C114" s="61"/>
      <c r="D114" s="61"/>
      <c r="E114" s="61"/>
      <c r="F114" s="61"/>
      <c r="G114" s="61"/>
      <c r="H114" s="61"/>
      <c r="I114" s="61"/>
      <c r="J114" s="63"/>
      <c r="K114" s="3"/>
      <c r="L114" s="3"/>
      <c r="M114" s="3"/>
      <c r="N114" s="3"/>
      <c r="O114" s="3"/>
      <c r="P114" s="3"/>
      <c r="Q114" s="3"/>
    </row>
    <row r="115" spans="1:17" ht="15">
      <c r="A115" s="62"/>
      <c r="B115" s="61"/>
      <c r="C115" s="61"/>
      <c r="D115" s="61"/>
      <c r="E115" s="61"/>
      <c r="F115" s="61"/>
      <c r="G115" s="61"/>
      <c r="H115" s="61"/>
      <c r="I115" s="61"/>
      <c r="J115" s="63"/>
      <c r="K115" s="3"/>
      <c r="L115" s="3"/>
      <c r="M115" s="3"/>
      <c r="N115" s="3"/>
      <c r="O115" s="3"/>
      <c r="P115" s="3"/>
      <c r="Q115" s="3"/>
    </row>
    <row r="116" spans="1:17" ht="15">
      <c r="A116" s="62"/>
      <c r="B116" s="61"/>
      <c r="C116" s="61"/>
      <c r="D116" s="61"/>
      <c r="E116" s="61"/>
      <c r="F116" s="61"/>
      <c r="G116" s="61"/>
      <c r="H116" s="61"/>
      <c r="I116" s="61"/>
      <c r="J116" s="63"/>
      <c r="K116" s="3"/>
      <c r="L116" s="3"/>
      <c r="M116" s="3"/>
      <c r="N116" s="3"/>
      <c r="O116" s="3"/>
      <c r="P116" s="3"/>
      <c r="Q116" s="3"/>
    </row>
    <row r="117" spans="1:17" ht="15">
      <c r="A117" s="62"/>
      <c r="B117" s="61"/>
      <c r="C117" s="61"/>
      <c r="D117" s="61"/>
      <c r="E117" s="61"/>
      <c r="F117" s="61"/>
      <c r="G117" s="61"/>
      <c r="H117" s="61"/>
      <c r="I117" s="61"/>
      <c r="J117" s="63"/>
      <c r="K117" s="3"/>
      <c r="L117" s="3"/>
      <c r="M117" s="3"/>
      <c r="N117" s="3"/>
      <c r="O117" s="3"/>
      <c r="P117" s="3"/>
      <c r="Q117" s="3"/>
    </row>
    <row r="118" spans="1:17" ht="15">
      <c r="A118" s="62"/>
      <c r="B118" s="61"/>
      <c r="C118" s="61"/>
      <c r="D118" s="61"/>
      <c r="E118" s="61"/>
      <c r="F118" s="61"/>
      <c r="G118" s="61"/>
      <c r="H118" s="61"/>
      <c r="I118" s="61"/>
      <c r="J118" s="63"/>
      <c r="K118" s="3"/>
      <c r="L118" s="3"/>
      <c r="M118" s="3"/>
      <c r="N118" s="3"/>
      <c r="O118" s="3"/>
      <c r="P118" s="3"/>
      <c r="Q118" s="3"/>
    </row>
    <row r="119" spans="1:17" ht="15">
      <c r="A119" s="62"/>
      <c r="B119" s="61"/>
      <c r="C119" s="61"/>
      <c r="D119" s="61"/>
      <c r="E119" s="61"/>
      <c r="F119" s="61"/>
      <c r="G119" s="61"/>
      <c r="H119" s="61"/>
      <c r="I119" s="61"/>
      <c r="J119" s="63"/>
      <c r="K119" s="3"/>
      <c r="L119" s="3"/>
      <c r="M119" s="3"/>
      <c r="N119" s="3"/>
      <c r="O119" s="3"/>
      <c r="P119" s="3"/>
      <c r="Q119" s="3"/>
    </row>
    <row r="120" spans="1:17" ht="15">
      <c r="A120" s="62"/>
      <c r="B120" s="61"/>
      <c r="C120" s="61"/>
      <c r="D120" s="61"/>
      <c r="E120" s="61"/>
      <c r="F120" s="61"/>
      <c r="G120" s="61"/>
      <c r="H120" s="61"/>
      <c r="I120" s="61"/>
      <c r="J120" s="63"/>
      <c r="K120" s="3"/>
      <c r="L120" s="3"/>
      <c r="M120" s="3"/>
      <c r="N120" s="3"/>
      <c r="O120" s="3"/>
      <c r="P120" s="3"/>
      <c r="Q120" s="3"/>
    </row>
    <row r="121" spans="1:17" ht="15">
      <c r="A121" s="62"/>
      <c r="B121" s="61"/>
      <c r="C121" s="61"/>
      <c r="D121" s="61"/>
      <c r="E121" s="61"/>
      <c r="F121" s="61"/>
      <c r="G121" s="61"/>
      <c r="H121" s="61"/>
      <c r="I121" s="61"/>
      <c r="J121" s="63"/>
      <c r="K121" s="3"/>
      <c r="L121" s="3"/>
      <c r="M121" s="3"/>
      <c r="N121" s="3"/>
      <c r="O121" s="3"/>
      <c r="P121" s="3"/>
      <c r="Q121" s="3"/>
    </row>
    <row r="122" spans="1:17" ht="15">
      <c r="A122" s="62"/>
      <c r="B122" s="61"/>
      <c r="C122" s="61"/>
      <c r="D122" s="61"/>
      <c r="E122" s="61"/>
      <c r="F122" s="61"/>
      <c r="G122" s="61"/>
      <c r="H122" s="61"/>
      <c r="I122" s="61"/>
      <c r="J122" s="63"/>
      <c r="K122" s="3"/>
      <c r="L122" s="3"/>
      <c r="M122" s="3"/>
      <c r="N122" s="3"/>
      <c r="O122" s="3"/>
      <c r="P122" s="3"/>
      <c r="Q122" s="3"/>
    </row>
    <row r="123" spans="1:17" ht="15">
      <c r="A123" s="62"/>
      <c r="B123" s="61"/>
      <c r="C123" s="61"/>
      <c r="D123" s="61"/>
      <c r="E123" s="61"/>
      <c r="F123" s="61"/>
      <c r="G123" s="61"/>
      <c r="H123" s="61"/>
      <c r="I123" s="61"/>
      <c r="J123" s="63"/>
      <c r="K123" s="3"/>
      <c r="L123" s="3"/>
      <c r="M123" s="3"/>
      <c r="N123" s="3"/>
      <c r="O123" s="3"/>
      <c r="P123" s="3"/>
      <c r="Q123" s="3"/>
    </row>
    <row r="124" spans="1:17" ht="15">
      <c r="A124" s="62"/>
      <c r="B124" s="61"/>
      <c r="C124" s="61"/>
      <c r="D124" s="61"/>
      <c r="E124" s="61"/>
      <c r="F124" s="61"/>
      <c r="G124" s="61"/>
      <c r="H124" s="61"/>
      <c r="I124" s="61"/>
      <c r="J124" s="63"/>
      <c r="K124" s="3"/>
      <c r="L124" s="3"/>
      <c r="M124" s="3"/>
      <c r="N124" s="3"/>
      <c r="O124" s="3"/>
      <c r="P124" s="3"/>
      <c r="Q124" s="3"/>
    </row>
    <row r="125" spans="1:17" ht="15">
      <c r="A125" s="62"/>
      <c r="B125" s="61"/>
      <c r="C125" s="61"/>
      <c r="D125" s="61"/>
      <c r="E125" s="61"/>
      <c r="F125" s="61"/>
      <c r="G125" s="61"/>
      <c r="H125" s="61"/>
      <c r="I125" s="61"/>
      <c r="J125" s="63"/>
      <c r="K125" s="3"/>
      <c r="L125" s="3"/>
      <c r="M125" s="3"/>
      <c r="N125" s="3"/>
      <c r="O125" s="3"/>
      <c r="P125" s="3"/>
      <c r="Q125" s="3"/>
    </row>
    <row r="126" spans="1:17" ht="15">
      <c r="A126" s="62"/>
      <c r="B126" s="61"/>
      <c r="C126" s="61"/>
      <c r="D126" s="61"/>
      <c r="E126" s="61"/>
      <c r="F126" s="61"/>
      <c r="G126" s="61"/>
      <c r="H126" s="61"/>
      <c r="I126" s="61"/>
      <c r="J126" s="63"/>
      <c r="K126" s="3"/>
      <c r="L126" s="3"/>
      <c r="M126" s="3"/>
      <c r="N126" s="3"/>
      <c r="O126" s="3"/>
      <c r="P126" s="3"/>
      <c r="Q126" s="3"/>
    </row>
    <row r="127" spans="1:17" ht="15">
      <c r="A127" s="62"/>
      <c r="B127" s="61"/>
      <c r="C127" s="61"/>
      <c r="D127" s="61"/>
      <c r="E127" s="61"/>
      <c r="F127" s="61"/>
      <c r="G127" s="61"/>
      <c r="H127" s="61"/>
      <c r="I127" s="61"/>
      <c r="J127" s="63"/>
      <c r="K127" s="3"/>
      <c r="L127" s="3"/>
      <c r="M127" s="3"/>
      <c r="N127" s="3"/>
      <c r="O127" s="3"/>
      <c r="P127" s="3"/>
      <c r="Q127" s="3"/>
    </row>
    <row r="128" spans="1:17" ht="15">
      <c r="A128" s="62"/>
      <c r="B128" s="61"/>
      <c r="C128" s="61"/>
      <c r="D128" s="61"/>
      <c r="E128" s="61"/>
      <c r="F128" s="61"/>
      <c r="G128" s="61"/>
      <c r="H128" s="61"/>
      <c r="I128" s="61"/>
      <c r="J128" s="63"/>
      <c r="K128" s="3"/>
      <c r="L128" s="3"/>
      <c r="M128" s="3"/>
      <c r="N128" s="3"/>
      <c r="O128" s="3"/>
      <c r="P128" s="3"/>
      <c r="Q128" s="3"/>
    </row>
    <row r="129" spans="1:17" ht="15">
      <c r="A129" s="62"/>
      <c r="B129" s="61"/>
      <c r="C129" s="61"/>
      <c r="D129" s="61"/>
      <c r="E129" s="61"/>
      <c r="F129" s="61"/>
      <c r="G129" s="61"/>
      <c r="H129" s="61"/>
      <c r="I129" s="61"/>
      <c r="J129" s="63"/>
      <c r="K129" s="3"/>
      <c r="L129" s="3"/>
      <c r="M129" s="3"/>
      <c r="N129" s="3"/>
      <c r="O129" s="3"/>
      <c r="P129" s="3"/>
      <c r="Q129" s="3"/>
    </row>
    <row r="130" spans="1:17" ht="15">
      <c r="A130" s="62"/>
      <c r="B130" s="61"/>
      <c r="C130" s="61"/>
      <c r="D130" s="61"/>
      <c r="E130" s="61"/>
      <c r="F130" s="61"/>
      <c r="G130" s="61"/>
      <c r="H130" s="61"/>
      <c r="I130" s="61"/>
      <c r="J130" s="63"/>
      <c r="K130" s="3"/>
      <c r="L130" s="3"/>
      <c r="M130" s="3"/>
      <c r="N130" s="3"/>
      <c r="O130" s="3"/>
      <c r="P130" s="3"/>
      <c r="Q130" s="3"/>
    </row>
    <row r="131" spans="1:17" ht="15">
      <c r="A131" s="62"/>
      <c r="B131" s="61"/>
      <c r="C131" s="61"/>
      <c r="D131" s="61"/>
      <c r="E131" s="61"/>
      <c r="F131" s="61"/>
      <c r="G131" s="61"/>
      <c r="H131" s="61"/>
      <c r="I131" s="61"/>
      <c r="J131" s="63"/>
      <c r="K131" s="3"/>
      <c r="L131" s="3"/>
      <c r="M131" s="3"/>
      <c r="N131" s="3"/>
      <c r="O131" s="3"/>
      <c r="P131" s="3"/>
      <c r="Q131" s="3"/>
    </row>
    <row r="132" spans="1:17" ht="15">
      <c r="A132" s="62"/>
      <c r="B132" s="61"/>
      <c r="C132" s="61"/>
      <c r="D132" s="61"/>
      <c r="E132" s="61"/>
      <c r="F132" s="61"/>
      <c r="G132" s="61"/>
      <c r="H132" s="61"/>
      <c r="I132" s="61"/>
      <c r="J132" s="63"/>
      <c r="K132" s="3"/>
      <c r="L132" s="3"/>
      <c r="M132" s="3"/>
      <c r="N132" s="3"/>
      <c r="O132" s="3"/>
      <c r="P132" s="3"/>
      <c r="Q132" s="3"/>
    </row>
    <row r="133" spans="1:17" ht="15">
      <c r="A133" s="62"/>
      <c r="B133" s="61"/>
      <c r="C133" s="61"/>
      <c r="D133" s="61"/>
      <c r="E133" s="61"/>
      <c r="F133" s="61"/>
      <c r="G133" s="61"/>
      <c r="H133" s="61"/>
      <c r="I133" s="61"/>
      <c r="J133" s="63"/>
      <c r="K133" s="3"/>
      <c r="L133" s="3"/>
      <c r="M133" s="3"/>
      <c r="N133" s="3"/>
      <c r="O133" s="3"/>
      <c r="P133" s="3"/>
      <c r="Q133" s="3"/>
    </row>
    <row r="134" spans="1:17" ht="15">
      <c r="A134" s="62"/>
      <c r="B134" s="61"/>
      <c r="C134" s="61"/>
      <c r="D134" s="61"/>
      <c r="E134" s="61"/>
      <c r="F134" s="61"/>
      <c r="G134" s="61"/>
      <c r="H134" s="61"/>
      <c r="I134" s="61"/>
      <c r="J134" s="63"/>
      <c r="K134" s="3"/>
      <c r="L134" s="3"/>
      <c r="M134" s="3"/>
      <c r="N134" s="3"/>
      <c r="O134" s="3"/>
      <c r="P134" s="3"/>
      <c r="Q134" s="3"/>
    </row>
    <row r="135" spans="1:17" ht="15">
      <c r="A135" s="62"/>
      <c r="B135" s="61"/>
      <c r="C135" s="61"/>
      <c r="D135" s="61"/>
      <c r="E135" s="61"/>
      <c r="F135" s="61"/>
      <c r="G135" s="61"/>
      <c r="H135" s="61"/>
      <c r="I135" s="61"/>
      <c r="J135" s="63"/>
      <c r="K135" s="3"/>
      <c r="L135" s="3"/>
      <c r="M135" s="3"/>
      <c r="N135" s="3"/>
      <c r="O135" s="3"/>
      <c r="P135" s="3"/>
      <c r="Q135" s="3"/>
    </row>
    <row r="136" spans="1:17" ht="15">
      <c r="A136" s="62"/>
      <c r="B136" s="61"/>
      <c r="C136" s="61"/>
      <c r="D136" s="61"/>
      <c r="E136" s="61"/>
      <c r="F136" s="61"/>
      <c r="G136" s="61"/>
      <c r="H136" s="61"/>
      <c r="I136" s="61"/>
      <c r="J136" s="63"/>
      <c r="K136" s="3"/>
      <c r="L136" s="3"/>
      <c r="M136" s="3"/>
      <c r="N136" s="3"/>
      <c r="O136" s="3"/>
      <c r="P136" s="3"/>
      <c r="Q136" s="3"/>
    </row>
    <row r="137" spans="1:17" ht="15">
      <c r="A137" s="62"/>
      <c r="B137" s="61"/>
      <c r="C137" s="61"/>
      <c r="D137" s="61"/>
      <c r="E137" s="61"/>
      <c r="F137" s="61"/>
      <c r="G137" s="61"/>
      <c r="H137" s="61"/>
      <c r="I137" s="61"/>
      <c r="J137" s="63"/>
      <c r="K137" s="3"/>
      <c r="L137" s="3"/>
      <c r="M137" s="3"/>
      <c r="N137" s="3"/>
      <c r="O137" s="3"/>
      <c r="P137" s="3"/>
      <c r="Q137" s="3"/>
    </row>
    <row r="138" spans="1:17" ht="15">
      <c r="A138" s="62"/>
      <c r="B138" s="61"/>
      <c r="C138" s="61"/>
      <c r="D138" s="61"/>
      <c r="E138" s="61"/>
      <c r="F138" s="61"/>
      <c r="G138" s="61"/>
      <c r="H138" s="61"/>
      <c r="I138" s="61"/>
      <c r="J138" s="63"/>
      <c r="K138" s="3"/>
      <c r="L138" s="3"/>
      <c r="M138" s="3"/>
      <c r="N138" s="3"/>
      <c r="O138" s="3"/>
      <c r="P138" s="3"/>
      <c r="Q138" s="3"/>
    </row>
    <row r="139" spans="1:17" ht="15">
      <c r="A139" s="62"/>
      <c r="B139" s="61"/>
      <c r="C139" s="61"/>
      <c r="D139" s="61"/>
      <c r="E139" s="61"/>
      <c r="F139" s="61"/>
      <c r="G139" s="61"/>
      <c r="H139" s="61"/>
      <c r="I139" s="61"/>
      <c r="J139" s="63"/>
      <c r="K139" s="3"/>
      <c r="L139" s="3"/>
      <c r="M139" s="3"/>
      <c r="N139" s="3"/>
      <c r="O139" s="3"/>
      <c r="P139" s="3"/>
      <c r="Q139" s="3"/>
    </row>
    <row r="140" spans="1:17" ht="15">
      <c r="A140" s="62"/>
      <c r="B140" s="61"/>
      <c r="C140" s="61"/>
      <c r="D140" s="61"/>
      <c r="E140" s="61"/>
      <c r="F140" s="61"/>
      <c r="G140" s="61"/>
      <c r="H140" s="61"/>
      <c r="I140" s="61"/>
      <c r="J140" s="63"/>
      <c r="K140" s="3"/>
      <c r="L140" s="3"/>
      <c r="M140" s="3"/>
      <c r="N140" s="3"/>
      <c r="O140" s="3"/>
      <c r="P140" s="3"/>
      <c r="Q140" s="3"/>
    </row>
    <row r="141" spans="1:17" ht="15">
      <c r="A141" s="62"/>
      <c r="B141" s="61"/>
      <c r="C141" s="61"/>
      <c r="D141" s="61"/>
      <c r="E141" s="61"/>
      <c r="F141" s="61"/>
      <c r="G141" s="61"/>
      <c r="H141" s="61"/>
      <c r="I141" s="61"/>
      <c r="J141" s="63"/>
      <c r="K141" s="3"/>
      <c r="L141" s="3"/>
      <c r="M141" s="3"/>
      <c r="N141" s="3"/>
      <c r="O141" s="3"/>
      <c r="P141" s="3"/>
      <c r="Q141" s="3"/>
    </row>
    <row r="142" spans="1:17" ht="15">
      <c r="A142" s="62"/>
      <c r="B142" s="61"/>
      <c r="C142" s="61"/>
      <c r="D142" s="61"/>
      <c r="E142" s="61"/>
      <c r="F142" s="61"/>
      <c r="G142" s="61"/>
      <c r="H142" s="61"/>
      <c r="I142" s="61"/>
      <c r="J142" s="63"/>
      <c r="K142" s="3"/>
      <c r="L142" s="3"/>
      <c r="M142" s="3"/>
      <c r="N142" s="3"/>
      <c r="O142" s="3"/>
      <c r="P142" s="3"/>
      <c r="Q142" s="3"/>
    </row>
    <row r="143" spans="1:17" ht="15">
      <c r="A143" s="62"/>
      <c r="B143" s="61"/>
      <c r="C143" s="61"/>
      <c r="D143" s="61"/>
      <c r="E143" s="61"/>
      <c r="F143" s="61"/>
      <c r="G143" s="61"/>
      <c r="H143" s="61"/>
      <c r="I143" s="61"/>
      <c r="J143" s="63"/>
      <c r="K143" s="3"/>
      <c r="L143" s="3"/>
      <c r="M143" s="3"/>
      <c r="N143" s="3"/>
      <c r="O143" s="3"/>
      <c r="P143" s="3"/>
      <c r="Q143" s="3"/>
    </row>
    <row r="144" spans="1:17" ht="15">
      <c r="A144" s="62"/>
      <c r="B144" s="61"/>
      <c r="C144" s="61"/>
      <c r="D144" s="61"/>
      <c r="E144" s="61"/>
      <c r="F144" s="61"/>
      <c r="G144" s="61"/>
      <c r="H144" s="61"/>
      <c r="I144" s="61"/>
      <c r="J144" s="63"/>
      <c r="K144" s="3"/>
      <c r="L144" s="3"/>
      <c r="M144" s="3"/>
      <c r="N144" s="3"/>
      <c r="O144" s="3"/>
      <c r="P144" s="3"/>
      <c r="Q144" s="3"/>
    </row>
    <row r="145" spans="1:17" ht="15">
      <c r="A145" s="62"/>
      <c r="B145" s="61"/>
      <c r="C145" s="61"/>
      <c r="D145" s="61"/>
      <c r="E145" s="61"/>
      <c r="F145" s="61"/>
      <c r="G145" s="61"/>
      <c r="H145" s="61"/>
      <c r="I145" s="61"/>
      <c r="J145" s="63"/>
      <c r="K145" s="3"/>
      <c r="L145" s="3"/>
      <c r="M145" s="3"/>
      <c r="N145" s="3"/>
      <c r="O145" s="3"/>
      <c r="P145" s="3"/>
      <c r="Q145" s="3"/>
    </row>
    <row r="146" spans="1:17" ht="15">
      <c r="A146" s="62"/>
      <c r="B146" s="61"/>
      <c r="C146" s="61"/>
      <c r="D146" s="61"/>
      <c r="E146" s="61"/>
      <c r="F146" s="61"/>
      <c r="G146" s="61"/>
      <c r="H146" s="61"/>
      <c r="I146" s="61"/>
      <c r="J146" s="63"/>
      <c r="K146" s="3"/>
      <c r="L146" s="3"/>
      <c r="M146" s="3"/>
      <c r="N146" s="3"/>
      <c r="O146" s="3"/>
      <c r="P146" s="3"/>
      <c r="Q146" s="3"/>
    </row>
    <row r="147" spans="1:17" ht="15">
      <c r="A147" s="62"/>
      <c r="B147" s="61"/>
      <c r="C147" s="61"/>
      <c r="D147" s="61"/>
      <c r="E147" s="61"/>
      <c r="F147" s="61"/>
      <c r="G147" s="61"/>
      <c r="H147" s="61"/>
      <c r="I147" s="61"/>
      <c r="J147" s="63"/>
      <c r="K147" s="3"/>
      <c r="L147" s="3"/>
      <c r="M147" s="3"/>
      <c r="N147" s="3"/>
      <c r="O147" s="3"/>
      <c r="P147" s="3"/>
      <c r="Q147" s="3"/>
    </row>
    <row r="148" spans="1:17" ht="15">
      <c r="A148" s="62"/>
      <c r="B148" s="61"/>
      <c r="C148" s="61"/>
      <c r="D148" s="61"/>
      <c r="E148" s="61"/>
      <c r="F148" s="61"/>
      <c r="G148" s="61"/>
      <c r="H148" s="61"/>
      <c r="I148" s="61"/>
      <c r="J148" s="63"/>
      <c r="K148" s="3"/>
      <c r="L148" s="3"/>
      <c r="M148" s="3"/>
      <c r="N148" s="3"/>
      <c r="O148" s="3"/>
      <c r="P148" s="3"/>
      <c r="Q148" s="3"/>
    </row>
    <row r="149" spans="1:17" ht="15">
      <c r="A149" s="62"/>
      <c r="B149" s="61"/>
      <c r="C149" s="61"/>
      <c r="D149" s="61"/>
      <c r="E149" s="61"/>
      <c r="F149" s="61"/>
      <c r="G149" s="61"/>
      <c r="H149" s="61"/>
      <c r="I149" s="61"/>
      <c r="J149" s="63"/>
      <c r="K149" s="3"/>
      <c r="L149" s="3"/>
      <c r="M149" s="3"/>
      <c r="N149" s="3"/>
      <c r="O149" s="3"/>
      <c r="P149" s="3"/>
      <c r="Q149" s="3"/>
    </row>
    <row r="150" spans="1:17" ht="15">
      <c r="A150" s="62"/>
      <c r="B150" s="61"/>
      <c r="C150" s="61"/>
      <c r="D150" s="61"/>
      <c r="E150" s="61"/>
      <c r="F150" s="61"/>
      <c r="G150" s="61"/>
      <c r="H150" s="61"/>
      <c r="I150" s="61"/>
      <c r="J150" s="63"/>
      <c r="K150" s="3"/>
      <c r="L150" s="3"/>
      <c r="M150" s="3"/>
      <c r="N150" s="3"/>
      <c r="O150" s="3"/>
      <c r="P150" s="3"/>
      <c r="Q150" s="3"/>
    </row>
    <row r="151" spans="1:17" ht="15">
      <c r="A151" s="62"/>
      <c r="B151" s="61"/>
      <c r="C151" s="61"/>
      <c r="D151" s="61"/>
      <c r="E151" s="61"/>
      <c r="F151" s="61"/>
      <c r="G151" s="61"/>
      <c r="H151" s="61"/>
      <c r="I151" s="61"/>
      <c r="J151" s="63"/>
      <c r="K151" s="3"/>
      <c r="L151" s="3"/>
      <c r="M151" s="3"/>
      <c r="N151" s="3"/>
      <c r="O151" s="3"/>
      <c r="P151" s="3"/>
      <c r="Q151" s="3"/>
    </row>
    <row r="152" spans="1:17" ht="15">
      <c r="A152" s="62"/>
      <c r="B152" s="61"/>
      <c r="C152" s="61"/>
      <c r="D152" s="61"/>
      <c r="E152" s="61"/>
      <c r="F152" s="61"/>
      <c r="G152" s="61"/>
      <c r="H152" s="61"/>
      <c r="I152" s="61"/>
      <c r="J152" s="63"/>
      <c r="K152" s="3"/>
      <c r="L152" s="3"/>
      <c r="M152" s="3"/>
      <c r="N152" s="3"/>
      <c r="O152" s="3"/>
      <c r="P152" s="3"/>
      <c r="Q152" s="3"/>
    </row>
    <row r="153" spans="1:17" ht="15">
      <c r="A153" s="62"/>
      <c r="B153" s="61"/>
      <c r="C153" s="61"/>
      <c r="D153" s="61"/>
      <c r="E153" s="61"/>
      <c r="F153" s="61"/>
      <c r="G153" s="61"/>
      <c r="H153" s="61"/>
      <c r="I153" s="61"/>
      <c r="J153" s="63"/>
      <c r="K153" s="3"/>
      <c r="L153" s="3"/>
      <c r="M153" s="3"/>
      <c r="N153" s="3"/>
      <c r="O153" s="3"/>
      <c r="P153" s="3"/>
      <c r="Q153" s="3"/>
    </row>
    <row r="154" spans="1:17" ht="15">
      <c r="A154" s="62"/>
      <c r="B154" s="61"/>
      <c r="C154" s="61"/>
      <c r="D154" s="61"/>
      <c r="E154" s="61"/>
      <c r="F154" s="61"/>
      <c r="G154" s="61"/>
      <c r="H154" s="61"/>
      <c r="I154" s="61"/>
      <c r="J154" s="63"/>
      <c r="K154" s="3"/>
      <c r="L154" s="3"/>
      <c r="M154" s="3"/>
      <c r="N154" s="3"/>
      <c r="O154" s="3"/>
      <c r="P154" s="3"/>
      <c r="Q154" s="3"/>
    </row>
    <row r="155" spans="1:17" ht="15">
      <c r="A155" s="62"/>
      <c r="B155" s="61"/>
      <c r="C155" s="61"/>
      <c r="D155" s="61"/>
      <c r="E155" s="61"/>
      <c r="F155" s="61"/>
      <c r="G155" s="61"/>
      <c r="H155" s="61"/>
      <c r="I155" s="61"/>
      <c r="J155" s="63"/>
      <c r="K155" s="3"/>
      <c r="L155" s="3"/>
      <c r="M155" s="3"/>
      <c r="N155" s="3"/>
      <c r="O155" s="3"/>
      <c r="P155" s="3"/>
      <c r="Q155" s="3"/>
    </row>
    <row r="156" spans="1:17" ht="15">
      <c r="A156" s="62"/>
      <c r="B156" s="61"/>
      <c r="C156" s="61"/>
      <c r="D156" s="61"/>
      <c r="E156" s="61"/>
      <c r="F156" s="61"/>
      <c r="G156" s="61"/>
      <c r="H156" s="61"/>
      <c r="I156" s="61"/>
      <c r="J156" s="63"/>
      <c r="K156" s="3"/>
      <c r="L156" s="3"/>
      <c r="M156" s="3"/>
      <c r="N156" s="3"/>
      <c r="O156" s="3"/>
      <c r="P156" s="3"/>
      <c r="Q156" s="3"/>
    </row>
    <row r="157" spans="1:17" ht="15">
      <c r="A157" s="62"/>
      <c r="B157" s="61"/>
      <c r="C157" s="61"/>
      <c r="D157" s="61"/>
      <c r="E157" s="61"/>
      <c r="F157" s="61"/>
      <c r="G157" s="61"/>
      <c r="H157" s="61"/>
      <c r="I157" s="61"/>
      <c r="J157" s="63"/>
      <c r="K157" s="3"/>
      <c r="L157" s="3"/>
      <c r="M157" s="3"/>
      <c r="N157" s="3"/>
      <c r="O157" s="3"/>
      <c r="P157" s="3"/>
      <c r="Q157" s="3"/>
    </row>
    <row r="158" spans="1:17" ht="15">
      <c r="A158" s="62"/>
      <c r="B158" s="61"/>
      <c r="C158" s="61"/>
      <c r="D158" s="61"/>
      <c r="E158" s="61"/>
      <c r="F158" s="61"/>
      <c r="G158" s="61"/>
      <c r="H158" s="61"/>
      <c r="I158" s="61"/>
      <c r="J158" s="63"/>
      <c r="K158" s="3"/>
      <c r="L158" s="3"/>
      <c r="M158" s="3"/>
      <c r="N158" s="3"/>
      <c r="O158" s="3"/>
      <c r="P158" s="3"/>
      <c r="Q158" s="3"/>
    </row>
    <row r="159" spans="1:17" ht="15">
      <c r="A159" s="62"/>
      <c r="B159" s="61"/>
      <c r="C159" s="61"/>
      <c r="D159" s="61"/>
      <c r="E159" s="61"/>
      <c r="F159" s="61"/>
      <c r="G159" s="61"/>
      <c r="H159" s="61"/>
      <c r="I159" s="61"/>
      <c r="J159" s="63"/>
      <c r="K159" s="3"/>
      <c r="L159" s="3"/>
      <c r="M159" s="3"/>
      <c r="N159" s="3"/>
      <c r="O159" s="3"/>
      <c r="P159" s="3"/>
      <c r="Q159" s="3"/>
    </row>
    <row r="160" spans="1:17" ht="15">
      <c r="A160" s="62"/>
      <c r="B160" s="61"/>
      <c r="C160" s="61"/>
      <c r="D160" s="61"/>
      <c r="E160" s="61"/>
      <c r="F160" s="61"/>
      <c r="G160" s="61"/>
      <c r="H160" s="61"/>
      <c r="I160" s="61"/>
      <c r="J160" s="63"/>
      <c r="K160" s="3"/>
      <c r="L160" s="3"/>
      <c r="M160" s="3"/>
      <c r="N160" s="3"/>
      <c r="O160" s="3"/>
      <c r="P160" s="3"/>
      <c r="Q160" s="3"/>
    </row>
    <row r="161" spans="1:17" ht="15">
      <c r="A161" s="62"/>
      <c r="B161" s="61"/>
      <c r="C161" s="61"/>
      <c r="D161" s="61"/>
      <c r="E161" s="61"/>
      <c r="F161" s="61"/>
      <c r="G161" s="61"/>
      <c r="H161" s="61"/>
      <c r="I161" s="61"/>
      <c r="J161" s="63"/>
      <c r="K161" s="3"/>
      <c r="L161" s="3"/>
      <c r="M161" s="3"/>
      <c r="N161" s="3"/>
      <c r="O161" s="3"/>
      <c r="P161" s="3"/>
      <c r="Q161" s="3"/>
    </row>
    <row r="162" spans="1:17" ht="15">
      <c r="A162" s="62"/>
      <c r="B162" s="61"/>
      <c r="C162" s="61"/>
      <c r="D162" s="61"/>
      <c r="E162" s="61"/>
      <c r="F162" s="61"/>
      <c r="G162" s="61"/>
      <c r="H162" s="61"/>
      <c r="I162" s="61"/>
      <c r="J162" s="63"/>
      <c r="K162" s="3"/>
      <c r="L162" s="3"/>
      <c r="M162" s="3"/>
      <c r="N162" s="3"/>
      <c r="O162" s="3"/>
      <c r="P162" s="3"/>
      <c r="Q162" s="3"/>
    </row>
    <row r="163" spans="1:17" ht="15">
      <c r="A163" s="62"/>
      <c r="B163" s="61"/>
      <c r="C163" s="61"/>
      <c r="D163" s="61"/>
      <c r="E163" s="61"/>
      <c r="F163" s="61"/>
      <c r="G163" s="61"/>
      <c r="H163" s="61"/>
      <c r="I163" s="61"/>
      <c r="J163" s="63"/>
      <c r="K163" s="3"/>
      <c r="L163" s="3"/>
      <c r="M163" s="3"/>
      <c r="N163" s="3"/>
      <c r="O163" s="3"/>
      <c r="P163" s="3"/>
      <c r="Q163" s="3"/>
    </row>
    <row r="164" spans="1:17" ht="15">
      <c r="A164" s="62"/>
      <c r="B164" s="61"/>
      <c r="C164" s="61"/>
      <c r="D164" s="61"/>
      <c r="E164" s="61"/>
      <c r="F164" s="61"/>
      <c r="G164" s="61"/>
      <c r="H164" s="61"/>
      <c r="I164" s="61"/>
      <c r="J164" s="63"/>
      <c r="K164" s="3"/>
      <c r="L164" s="3"/>
      <c r="M164" s="3"/>
      <c r="N164" s="3"/>
      <c r="O164" s="3"/>
      <c r="P164" s="3"/>
      <c r="Q164" s="3"/>
    </row>
    <row r="165" spans="1:17" ht="15">
      <c r="A165" s="62"/>
      <c r="B165" s="61"/>
      <c r="C165" s="61"/>
      <c r="D165" s="61"/>
      <c r="E165" s="61"/>
      <c r="F165" s="61"/>
      <c r="G165" s="61"/>
      <c r="H165" s="61"/>
      <c r="I165" s="61"/>
      <c r="J165" s="63"/>
      <c r="K165" s="3"/>
      <c r="L165" s="3"/>
      <c r="M165" s="3"/>
      <c r="N165" s="3"/>
      <c r="O165" s="3"/>
      <c r="P165" s="3"/>
      <c r="Q165" s="3"/>
    </row>
    <row r="166" spans="1:17" ht="15">
      <c r="A166" s="62"/>
      <c r="B166" s="61"/>
      <c r="C166" s="61"/>
      <c r="D166" s="61"/>
      <c r="E166" s="61"/>
      <c r="F166" s="61"/>
      <c r="G166" s="61"/>
      <c r="H166" s="61"/>
      <c r="I166" s="61"/>
      <c r="J166" s="63"/>
      <c r="K166" s="3"/>
      <c r="L166" s="3"/>
      <c r="M166" s="3"/>
      <c r="N166" s="3"/>
      <c r="O166" s="3"/>
      <c r="P166" s="3"/>
      <c r="Q166" s="3"/>
    </row>
    <row r="167" spans="1:17" ht="15">
      <c r="A167" s="62"/>
      <c r="B167" s="61"/>
      <c r="C167" s="61"/>
      <c r="D167" s="61"/>
      <c r="E167" s="61"/>
      <c r="F167" s="61"/>
      <c r="G167" s="61"/>
      <c r="H167" s="61"/>
      <c r="I167" s="61"/>
      <c r="J167" s="63"/>
      <c r="K167" s="3"/>
      <c r="L167" s="3"/>
      <c r="M167" s="3"/>
      <c r="N167" s="3"/>
      <c r="O167" s="3"/>
      <c r="P167" s="3"/>
      <c r="Q167" s="3"/>
    </row>
    <row r="168" spans="1:17" ht="15">
      <c r="A168" s="62"/>
      <c r="B168" s="61"/>
      <c r="C168" s="61"/>
      <c r="D168" s="61"/>
      <c r="E168" s="61"/>
      <c r="F168" s="61"/>
      <c r="G168" s="61"/>
      <c r="H168" s="61"/>
      <c r="I168" s="61"/>
      <c r="J168" s="63"/>
      <c r="K168" s="3"/>
      <c r="L168" s="3"/>
      <c r="M168" s="3"/>
      <c r="N168" s="3"/>
      <c r="O168" s="3"/>
      <c r="P168" s="3"/>
      <c r="Q168" s="3"/>
    </row>
    <row r="169" spans="1:17" ht="15">
      <c r="A169" s="62"/>
      <c r="B169" s="61"/>
      <c r="C169" s="61"/>
      <c r="D169" s="61"/>
      <c r="E169" s="61"/>
      <c r="F169" s="61"/>
      <c r="G169" s="61"/>
      <c r="H169" s="61"/>
      <c r="I169" s="61"/>
      <c r="J169" s="63"/>
      <c r="K169" s="3"/>
      <c r="L169" s="3"/>
      <c r="M169" s="3"/>
      <c r="N169" s="3"/>
      <c r="O169" s="3"/>
      <c r="P169" s="3"/>
      <c r="Q169" s="3"/>
    </row>
    <row r="170" spans="1:17" ht="15">
      <c r="A170" s="62"/>
      <c r="B170" s="61"/>
      <c r="C170" s="61"/>
      <c r="D170" s="61"/>
      <c r="E170" s="61"/>
      <c r="F170" s="61"/>
      <c r="G170" s="61"/>
      <c r="H170" s="61"/>
      <c r="I170" s="61"/>
      <c r="J170" s="63"/>
      <c r="K170" s="3"/>
      <c r="L170" s="3"/>
      <c r="M170" s="3"/>
      <c r="N170" s="3"/>
      <c r="O170" s="3"/>
      <c r="P170" s="3"/>
      <c r="Q170" s="3"/>
    </row>
    <row r="171" spans="1:17" ht="15">
      <c r="A171" s="62"/>
      <c r="B171" s="61"/>
      <c r="C171" s="61"/>
      <c r="D171" s="61"/>
      <c r="E171" s="61"/>
      <c r="F171" s="61"/>
      <c r="G171" s="61"/>
      <c r="H171" s="61"/>
      <c r="I171" s="61"/>
      <c r="J171" s="63"/>
      <c r="K171" s="3"/>
      <c r="L171" s="3"/>
      <c r="M171" s="3"/>
      <c r="N171" s="3"/>
      <c r="O171" s="3"/>
      <c r="P171" s="3"/>
      <c r="Q171" s="3"/>
    </row>
    <row r="172" spans="1:17" ht="15">
      <c r="A172" s="62"/>
      <c r="B172" s="61"/>
      <c r="C172" s="61"/>
      <c r="D172" s="61"/>
      <c r="E172" s="61"/>
      <c r="F172" s="61"/>
      <c r="G172" s="61"/>
      <c r="H172" s="61"/>
      <c r="I172" s="61"/>
      <c r="J172" s="63"/>
      <c r="K172" s="3"/>
      <c r="L172" s="3"/>
      <c r="M172" s="3"/>
      <c r="N172" s="3"/>
      <c r="O172" s="3"/>
      <c r="P172" s="3"/>
      <c r="Q172" s="3"/>
    </row>
    <row r="173" spans="1:17" ht="15">
      <c r="A173" s="62"/>
      <c r="B173" s="61"/>
      <c r="C173" s="61"/>
      <c r="D173" s="61"/>
      <c r="E173" s="61"/>
      <c r="F173" s="61"/>
      <c r="G173" s="61"/>
      <c r="H173" s="61"/>
      <c r="I173" s="61"/>
      <c r="J173" s="63"/>
      <c r="K173" s="3"/>
      <c r="L173" s="3"/>
      <c r="M173" s="3"/>
      <c r="N173" s="3"/>
      <c r="O173" s="3"/>
      <c r="P173" s="3"/>
      <c r="Q173" s="3"/>
    </row>
    <row r="174" spans="1:17" ht="15">
      <c r="A174" s="62"/>
      <c r="B174" s="61"/>
      <c r="C174" s="61"/>
      <c r="D174" s="61"/>
      <c r="E174" s="61"/>
      <c r="F174" s="61"/>
      <c r="G174" s="61"/>
      <c r="H174" s="61"/>
      <c r="I174" s="61"/>
      <c r="J174" s="63"/>
      <c r="K174" s="3"/>
      <c r="L174" s="3"/>
      <c r="M174" s="3"/>
      <c r="N174" s="3"/>
      <c r="O174" s="3"/>
      <c r="P174" s="3"/>
      <c r="Q174" s="3"/>
    </row>
    <row r="175" spans="1:17" ht="15">
      <c r="A175" s="62"/>
      <c r="B175" s="61"/>
      <c r="C175" s="61"/>
      <c r="D175" s="61"/>
      <c r="E175" s="61"/>
      <c r="F175" s="61"/>
      <c r="G175" s="61"/>
      <c r="H175" s="61"/>
      <c r="I175" s="61"/>
      <c r="J175" s="63"/>
      <c r="K175" s="3"/>
      <c r="L175" s="3"/>
      <c r="M175" s="3"/>
      <c r="N175" s="3"/>
      <c r="O175" s="3"/>
      <c r="P175" s="3"/>
      <c r="Q175" s="3"/>
    </row>
    <row r="176" spans="1:17" ht="15">
      <c r="A176" s="62"/>
      <c r="B176" s="61"/>
      <c r="C176" s="61"/>
      <c r="D176" s="61"/>
      <c r="E176" s="61"/>
      <c r="F176" s="61"/>
      <c r="G176" s="61"/>
      <c r="H176" s="61"/>
      <c r="I176" s="61"/>
      <c r="J176" s="63"/>
      <c r="K176" s="3"/>
      <c r="L176" s="3"/>
      <c r="M176" s="3"/>
      <c r="N176" s="3"/>
      <c r="O176" s="3"/>
      <c r="P176" s="3"/>
      <c r="Q176" s="3"/>
    </row>
    <row r="177" spans="1:17" ht="15">
      <c r="A177" s="62"/>
      <c r="B177" s="61"/>
      <c r="C177" s="61"/>
      <c r="D177" s="61"/>
      <c r="E177" s="61"/>
      <c r="F177" s="61"/>
      <c r="G177" s="61"/>
      <c r="H177" s="61"/>
      <c r="I177" s="61"/>
      <c r="J177" s="63"/>
      <c r="K177" s="3"/>
      <c r="L177" s="3"/>
      <c r="M177" s="3"/>
      <c r="N177" s="3"/>
      <c r="O177" s="3"/>
      <c r="P177" s="3"/>
      <c r="Q177" s="3"/>
    </row>
    <row r="178" spans="1:17" ht="15">
      <c r="A178" s="62"/>
      <c r="B178" s="61"/>
      <c r="C178" s="61"/>
      <c r="D178" s="61"/>
      <c r="E178" s="61"/>
      <c r="F178" s="61"/>
      <c r="G178" s="61"/>
      <c r="H178" s="61"/>
      <c r="I178" s="61"/>
      <c r="J178" s="63"/>
      <c r="K178" s="3"/>
      <c r="L178" s="3"/>
      <c r="M178" s="3"/>
      <c r="N178" s="3"/>
      <c r="O178" s="3"/>
      <c r="P178" s="3"/>
      <c r="Q178" s="3"/>
    </row>
    <row r="179" spans="1:17" ht="15">
      <c r="A179" s="62"/>
      <c r="B179" s="61"/>
      <c r="C179" s="61"/>
      <c r="D179" s="61"/>
      <c r="E179" s="61"/>
      <c r="F179" s="61"/>
      <c r="G179" s="61"/>
      <c r="H179" s="61"/>
      <c r="I179" s="61"/>
      <c r="J179" s="63"/>
      <c r="K179" s="3"/>
      <c r="L179" s="3"/>
      <c r="M179" s="3"/>
      <c r="N179" s="3"/>
      <c r="O179" s="3"/>
      <c r="P179" s="3"/>
      <c r="Q179" s="3"/>
    </row>
    <row r="180" spans="1:17" ht="15">
      <c r="A180" s="62"/>
      <c r="B180" s="61"/>
      <c r="C180" s="61"/>
      <c r="D180" s="61"/>
      <c r="E180" s="61"/>
      <c r="F180" s="61"/>
      <c r="G180" s="61"/>
      <c r="H180" s="61"/>
      <c r="I180" s="61"/>
      <c r="J180" s="63"/>
      <c r="K180" s="3"/>
      <c r="L180" s="3"/>
      <c r="M180" s="3"/>
      <c r="N180" s="3"/>
      <c r="O180" s="3"/>
      <c r="P180" s="3"/>
      <c r="Q180" s="3"/>
    </row>
    <row r="181" spans="1:17" ht="15">
      <c r="A181" s="62"/>
      <c r="B181" s="61"/>
      <c r="C181" s="61"/>
      <c r="D181" s="61"/>
      <c r="E181" s="61"/>
      <c r="F181" s="61"/>
      <c r="G181" s="61"/>
      <c r="H181" s="61"/>
      <c r="I181" s="61"/>
      <c r="J181" s="63"/>
      <c r="K181" s="3"/>
      <c r="L181" s="3"/>
      <c r="M181" s="3"/>
      <c r="N181" s="3"/>
      <c r="O181" s="3"/>
      <c r="P181" s="3"/>
      <c r="Q181" s="3"/>
    </row>
    <row r="182" spans="1:17" ht="15">
      <c r="A182" s="62"/>
      <c r="B182" s="61"/>
      <c r="C182" s="61"/>
      <c r="D182" s="61"/>
      <c r="E182" s="61"/>
      <c r="F182" s="61"/>
      <c r="G182" s="61"/>
      <c r="H182" s="61"/>
      <c r="I182" s="61"/>
      <c r="J182" s="63"/>
      <c r="K182" s="3"/>
      <c r="L182" s="3"/>
      <c r="M182" s="3"/>
      <c r="N182" s="3"/>
      <c r="O182" s="3"/>
      <c r="P182" s="3"/>
      <c r="Q182" s="3"/>
    </row>
    <row r="183" spans="1:17" ht="15">
      <c r="A183" s="62"/>
      <c r="B183" s="61"/>
      <c r="C183" s="61"/>
      <c r="D183" s="61"/>
      <c r="E183" s="61"/>
      <c r="F183" s="61"/>
      <c r="G183" s="61"/>
      <c r="H183" s="61"/>
      <c r="I183" s="61"/>
      <c r="J183" s="63"/>
      <c r="K183" s="3"/>
      <c r="L183" s="3"/>
      <c r="M183" s="3"/>
      <c r="N183" s="3"/>
      <c r="O183" s="3"/>
      <c r="P183" s="3"/>
      <c r="Q183" s="3"/>
    </row>
    <row r="184" spans="1:17" ht="15">
      <c r="A184" s="62"/>
      <c r="B184" s="61"/>
      <c r="C184" s="61"/>
      <c r="D184" s="61"/>
      <c r="E184" s="61"/>
      <c r="F184" s="61"/>
      <c r="G184" s="61"/>
      <c r="H184" s="61"/>
      <c r="I184" s="61"/>
      <c r="J184" s="63"/>
      <c r="K184" s="3"/>
      <c r="L184" s="3"/>
      <c r="M184" s="3"/>
      <c r="N184" s="3"/>
      <c r="O184" s="3"/>
      <c r="P184" s="3"/>
      <c r="Q184" s="3"/>
    </row>
    <row r="185" spans="1:17" ht="15">
      <c r="A185" s="62"/>
      <c r="B185" s="61"/>
      <c r="C185" s="61"/>
      <c r="D185" s="61"/>
      <c r="E185" s="61"/>
      <c r="F185" s="61"/>
      <c r="G185" s="61"/>
      <c r="H185" s="61"/>
      <c r="I185" s="61"/>
      <c r="J185" s="63"/>
      <c r="K185" s="3"/>
      <c r="L185" s="3"/>
      <c r="M185" s="3"/>
      <c r="N185" s="3"/>
      <c r="O185" s="3"/>
      <c r="P185" s="3"/>
      <c r="Q185" s="3"/>
    </row>
    <row r="186" spans="1:17" ht="15">
      <c r="A186" s="62"/>
      <c r="B186" s="61"/>
      <c r="C186" s="61"/>
      <c r="D186" s="61"/>
      <c r="E186" s="61"/>
      <c r="F186" s="61"/>
      <c r="G186" s="61"/>
      <c r="H186" s="61"/>
      <c r="I186" s="61"/>
      <c r="J186" s="63"/>
      <c r="K186" s="3"/>
      <c r="L186" s="3"/>
      <c r="M186" s="3"/>
      <c r="N186" s="3"/>
      <c r="O186" s="3"/>
      <c r="P186" s="3"/>
      <c r="Q186" s="3"/>
    </row>
    <row r="187" spans="1:17" ht="15">
      <c r="A187" s="62"/>
      <c r="B187" s="61"/>
      <c r="C187" s="61"/>
      <c r="D187" s="61"/>
      <c r="E187" s="61"/>
      <c r="F187" s="61"/>
      <c r="G187" s="61"/>
      <c r="H187" s="61"/>
      <c r="I187" s="61"/>
      <c r="J187" s="63"/>
      <c r="K187" s="3"/>
      <c r="L187" s="3"/>
      <c r="M187" s="3"/>
      <c r="N187" s="3"/>
      <c r="O187" s="3"/>
      <c r="P187" s="3"/>
      <c r="Q187" s="3"/>
    </row>
    <row r="188" spans="1:17" ht="15">
      <c r="A188" s="62"/>
      <c r="B188" s="61"/>
      <c r="C188" s="61"/>
      <c r="D188" s="61"/>
      <c r="E188" s="61"/>
      <c r="F188" s="61"/>
      <c r="G188" s="61"/>
      <c r="H188" s="61"/>
      <c r="I188" s="61"/>
      <c r="J188" s="63"/>
      <c r="K188" s="3"/>
      <c r="L188" s="3"/>
      <c r="M188" s="3"/>
      <c r="N188" s="3"/>
      <c r="O188" s="3"/>
      <c r="P188" s="3"/>
      <c r="Q188" s="3"/>
    </row>
    <row r="189" spans="1:17" ht="15">
      <c r="A189" s="62"/>
      <c r="B189" s="61"/>
      <c r="C189" s="61"/>
      <c r="D189" s="61"/>
      <c r="E189" s="61"/>
      <c r="F189" s="61"/>
      <c r="G189" s="61"/>
      <c r="H189" s="61"/>
      <c r="I189" s="61"/>
      <c r="J189" s="63"/>
      <c r="K189" s="3"/>
      <c r="L189" s="3"/>
      <c r="M189" s="3"/>
      <c r="N189" s="3"/>
      <c r="O189" s="3"/>
      <c r="P189" s="3"/>
      <c r="Q189" s="3"/>
    </row>
    <row r="190" spans="1:17" ht="15">
      <c r="A190" s="62"/>
      <c r="B190" s="61"/>
      <c r="C190" s="61"/>
      <c r="D190" s="61"/>
      <c r="E190" s="61"/>
      <c r="F190" s="61"/>
      <c r="G190" s="61"/>
      <c r="H190" s="61"/>
      <c r="I190" s="61"/>
      <c r="J190" s="63"/>
      <c r="K190" s="3"/>
      <c r="L190" s="3"/>
      <c r="M190" s="3"/>
      <c r="N190" s="3"/>
      <c r="O190" s="3"/>
      <c r="P190" s="3"/>
      <c r="Q190" s="3"/>
    </row>
    <row r="191" spans="1:17" ht="15">
      <c r="A191" s="62"/>
      <c r="B191" s="61"/>
      <c r="C191" s="61"/>
      <c r="D191" s="61"/>
      <c r="E191" s="61"/>
      <c r="F191" s="61"/>
      <c r="G191" s="61"/>
      <c r="H191" s="61"/>
      <c r="I191" s="61"/>
      <c r="J191" s="63"/>
      <c r="K191" s="3"/>
      <c r="L191" s="3"/>
      <c r="M191" s="3"/>
      <c r="N191" s="3"/>
      <c r="O191" s="3"/>
      <c r="P191" s="3"/>
      <c r="Q191" s="3"/>
    </row>
    <row r="192" spans="1:17" ht="15">
      <c r="A192" s="62"/>
      <c r="B192" s="61"/>
      <c r="C192" s="61"/>
      <c r="D192" s="61"/>
      <c r="E192" s="61"/>
      <c r="F192" s="61"/>
      <c r="G192" s="61"/>
      <c r="H192" s="61"/>
      <c r="I192" s="61"/>
      <c r="J192" s="63"/>
      <c r="K192" s="3"/>
      <c r="L192" s="3"/>
      <c r="M192" s="3"/>
      <c r="N192" s="3"/>
      <c r="O192" s="3"/>
      <c r="P192" s="3"/>
      <c r="Q192" s="3"/>
    </row>
    <row r="193" spans="1:17" ht="15">
      <c r="A193" s="62"/>
      <c r="B193" s="61"/>
      <c r="C193" s="61"/>
      <c r="D193" s="61"/>
      <c r="E193" s="61"/>
      <c r="F193" s="61"/>
      <c r="G193" s="61"/>
      <c r="H193" s="61"/>
      <c r="I193" s="61"/>
      <c r="J193" s="63"/>
      <c r="K193" s="3"/>
      <c r="L193" s="3"/>
      <c r="M193" s="3"/>
      <c r="N193" s="3"/>
      <c r="O193" s="3"/>
      <c r="P193" s="3"/>
      <c r="Q193" s="3"/>
    </row>
    <row r="194" spans="1:17" ht="15">
      <c r="A194" s="62"/>
      <c r="B194" s="61"/>
      <c r="C194" s="61"/>
      <c r="D194" s="61"/>
      <c r="E194" s="61"/>
      <c r="F194" s="61"/>
      <c r="G194" s="61"/>
      <c r="H194" s="61"/>
      <c r="I194" s="61"/>
      <c r="J194" s="63"/>
      <c r="K194" s="3"/>
      <c r="L194" s="3"/>
      <c r="M194" s="3"/>
      <c r="N194" s="3"/>
      <c r="O194" s="3"/>
      <c r="P194" s="3"/>
      <c r="Q194" s="3"/>
    </row>
    <row r="195" spans="1:17" ht="15">
      <c r="A195" s="62"/>
      <c r="B195" s="61"/>
      <c r="C195" s="61"/>
      <c r="D195" s="61"/>
      <c r="E195" s="61"/>
      <c r="F195" s="61"/>
      <c r="G195" s="61"/>
      <c r="H195" s="61"/>
      <c r="I195" s="61"/>
      <c r="J195" s="63"/>
      <c r="K195" s="3"/>
      <c r="L195" s="3"/>
      <c r="M195" s="3"/>
      <c r="N195" s="3"/>
      <c r="O195" s="3"/>
      <c r="P195" s="3"/>
      <c r="Q195" s="3"/>
    </row>
    <row r="196" spans="1:17" ht="15">
      <c r="A196" s="62"/>
      <c r="B196" s="61"/>
      <c r="C196" s="61"/>
      <c r="D196" s="61"/>
      <c r="E196" s="61"/>
      <c r="F196" s="61"/>
      <c r="G196" s="61"/>
      <c r="H196" s="61"/>
      <c r="I196" s="61"/>
      <c r="J196" s="63"/>
      <c r="K196" s="3"/>
      <c r="L196" s="3"/>
      <c r="M196" s="3"/>
      <c r="N196" s="3"/>
      <c r="O196" s="3"/>
      <c r="P196" s="3"/>
      <c r="Q196" s="3"/>
    </row>
    <row r="197" spans="1:17" ht="15">
      <c r="A197" s="62"/>
      <c r="B197" s="61"/>
      <c r="C197" s="61"/>
      <c r="D197" s="61"/>
      <c r="E197" s="61"/>
      <c r="F197" s="61"/>
      <c r="G197" s="61"/>
      <c r="H197" s="61"/>
      <c r="I197" s="61"/>
      <c r="J197" s="63"/>
      <c r="K197" s="3"/>
      <c r="L197" s="3"/>
      <c r="M197" s="3"/>
      <c r="N197" s="3"/>
      <c r="O197" s="3"/>
      <c r="P197" s="3"/>
      <c r="Q197" s="3"/>
    </row>
    <row r="198" spans="1:17" ht="15">
      <c r="A198" s="62"/>
      <c r="B198" s="61"/>
      <c r="C198" s="61"/>
      <c r="D198" s="61"/>
      <c r="E198" s="61"/>
      <c r="F198" s="61"/>
      <c r="G198" s="61"/>
      <c r="H198" s="61"/>
      <c r="I198" s="61"/>
      <c r="J198" s="63"/>
      <c r="K198" s="3"/>
      <c r="L198" s="3"/>
      <c r="M198" s="3"/>
      <c r="N198" s="3"/>
      <c r="O198" s="3"/>
      <c r="P198" s="3"/>
      <c r="Q198" s="3"/>
    </row>
    <row r="199" spans="1:17" ht="15">
      <c r="A199" s="62"/>
      <c r="B199" s="61"/>
      <c r="C199" s="61"/>
      <c r="D199" s="61"/>
      <c r="E199" s="61"/>
      <c r="F199" s="61"/>
      <c r="G199" s="61"/>
      <c r="H199" s="61"/>
      <c r="I199" s="61"/>
      <c r="J199" s="63"/>
      <c r="K199" s="3"/>
      <c r="L199" s="3"/>
      <c r="M199" s="3"/>
      <c r="N199" s="3"/>
      <c r="O199" s="3"/>
      <c r="P199" s="3"/>
      <c r="Q199" s="3"/>
    </row>
    <row r="200" spans="1:17" ht="15">
      <c r="A200" s="62"/>
      <c r="B200" s="61"/>
      <c r="C200" s="61"/>
      <c r="D200" s="61"/>
      <c r="E200" s="61"/>
      <c r="F200" s="61"/>
      <c r="G200" s="61"/>
      <c r="H200" s="61"/>
      <c r="I200" s="61"/>
      <c r="J200" s="63"/>
      <c r="K200" s="3"/>
      <c r="L200" s="3"/>
      <c r="M200" s="3"/>
      <c r="N200" s="3"/>
      <c r="O200" s="3"/>
      <c r="P200" s="3"/>
      <c r="Q200" s="3"/>
    </row>
    <row r="201" spans="1:17" ht="15">
      <c r="A201" s="62"/>
      <c r="B201" s="61"/>
      <c r="C201" s="61"/>
      <c r="D201" s="61"/>
      <c r="E201" s="61"/>
      <c r="F201" s="61"/>
      <c r="G201" s="61"/>
      <c r="H201" s="61"/>
      <c r="I201" s="61"/>
      <c r="J201" s="63"/>
      <c r="K201" s="3"/>
      <c r="L201" s="3"/>
      <c r="M201" s="3"/>
      <c r="N201" s="3"/>
      <c r="O201" s="3"/>
      <c r="P201" s="3"/>
      <c r="Q201" s="3"/>
    </row>
    <row r="202" spans="1:17" ht="15">
      <c r="A202" s="62"/>
      <c r="B202" s="61"/>
      <c r="C202" s="61"/>
      <c r="D202" s="61"/>
      <c r="E202" s="61"/>
      <c r="F202" s="61"/>
      <c r="G202" s="61"/>
      <c r="H202" s="61"/>
      <c r="I202" s="61"/>
      <c r="J202" s="63"/>
      <c r="K202" s="3"/>
      <c r="L202" s="3"/>
      <c r="M202" s="3"/>
      <c r="N202" s="3"/>
      <c r="O202" s="3"/>
      <c r="P202" s="3"/>
      <c r="Q202" s="3"/>
    </row>
    <row r="203" spans="1:17" ht="15">
      <c r="A203" s="62"/>
      <c r="B203" s="61"/>
      <c r="C203" s="61"/>
      <c r="D203" s="61"/>
      <c r="E203" s="61"/>
      <c r="F203" s="61"/>
      <c r="G203" s="61"/>
      <c r="H203" s="61"/>
      <c r="I203" s="61"/>
      <c r="J203" s="63"/>
      <c r="K203" s="3"/>
      <c r="L203" s="3"/>
      <c r="M203" s="3"/>
      <c r="N203" s="3"/>
      <c r="O203" s="3"/>
      <c r="P203" s="3"/>
      <c r="Q203" s="3"/>
    </row>
    <row r="204" spans="1:17" ht="15">
      <c r="A204" s="62"/>
      <c r="B204" s="61"/>
      <c r="C204" s="61"/>
      <c r="D204" s="61"/>
      <c r="E204" s="61"/>
      <c r="F204" s="61"/>
      <c r="G204" s="61"/>
      <c r="H204" s="61"/>
      <c r="I204" s="61"/>
      <c r="J204" s="63"/>
      <c r="K204" s="3"/>
      <c r="L204" s="3"/>
      <c r="M204" s="3"/>
      <c r="N204" s="3"/>
      <c r="O204" s="3"/>
      <c r="P204" s="3"/>
      <c r="Q204" s="3"/>
    </row>
    <row r="205" spans="1:17" ht="15">
      <c r="A205" s="62"/>
      <c r="B205" s="61"/>
      <c r="C205" s="61"/>
      <c r="D205" s="61"/>
      <c r="E205" s="61"/>
      <c r="F205" s="61"/>
      <c r="G205" s="61"/>
      <c r="H205" s="61"/>
      <c r="I205" s="61"/>
      <c r="J205" s="63"/>
      <c r="K205" s="3"/>
      <c r="L205" s="3"/>
      <c r="M205" s="3"/>
      <c r="N205" s="3"/>
      <c r="O205" s="3"/>
      <c r="P205" s="3"/>
      <c r="Q205" s="3"/>
    </row>
    <row r="206" spans="1:17" ht="15">
      <c r="A206" s="64"/>
      <c r="B206" s="65"/>
      <c r="C206" s="65"/>
      <c r="D206" s="65"/>
      <c r="E206" s="65"/>
      <c r="F206" s="65"/>
      <c r="G206" s="65"/>
      <c r="H206" s="65"/>
      <c r="I206" s="65"/>
      <c r="J206" s="66"/>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50"/>
  <sheetViews>
    <sheetView workbookViewId="0"/>
  </sheetViews>
  <sheetFormatPr defaultRowHeight="14.25"/>
  <cols>
    <col min="1" max="1" width="14" customWidth="1"/>
    <col min="2" max="2" width="31" customWidth="1"/>
    <col min="3" max="3" width="24" customWidth="1"/>
    <col min="4" max="5" width="18" customWidth="1"/>
    <col min="6" max="6" width="14" customWidth="1"/>
    <col min="7" max="7" width="18" customWidth="1"/>
    <col min="8" max="8" width="48" customWidth="1"/>
  </cols>
  <sheetData>
    <row r="1" spans="1:17" ht="24" customHeight="1">
      <c r="A1" s="205" t="s">
        <v>476</v>
      </c>
      <c r="B1" s="205"/>
      <c r="C1" s="205"/>
      <c r="D1" s="205"/>
      <c r="E1" s="205"/>
      <c r="F1" s="205"/>
      <c r="G1" s="205"/>
      <c r="H1" s="205"/>
      <c r="I1" s="15"/>
      <c r="J1" s="15"/>
      <c r="K1" s="15"/>
      <c r="L1" s="3"/>
      <c r="M1" s="3"/>
      <c r="N1" s="3"/>
      <c r="O1" s="3"/>
      <c r="P1" s="3"/>
      <c r="Q1" s="3"/>
    </row>
    <row r="2" spans="1:17" ht="33.950000000000003" customHeight="1">
      <c r="A2" s="202" t="s">
        <v>477</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93" t="s">
        <v>950</v>
      </c>
      <c r="B6" s="94" t="s">
        <v>951</v>
      </c>
      <c r="C6" s="94" t="s">
        <v>952</v>
      </c>
      <c r="D6" s="94" t="s">
        <v>953</v>
      </c>
      <c r="E6" s="94" t="s">
        <v>954</v>
      </c>
      <c r="F6" s="94" t="s">
        <v>955</v>
      </c>
      <c r="G6" s="94" t="s">
        <v>482</v>
      </c>
      <c r="H6" s="95" t="s">
        <v>309</v>
      </c>
      <c r="I6" s="3"/>
      <c r="J6" s="3"/>
      <c r="K6" s="3"/>
      <c r="L6" s="3"/>
      <c r="M6" s="3"/>
      <c r="N6" s="3"/>
      <c r="O6" s="3"/>
      <c r="P6" s="3"/>
      <c r="Q6" s="3"/>
    </row>
    <row r="7" spans="1:17" ht="15">
      <c r="A7" s="96" t="s">
        <v>956</v>
      </c>
      <c r="B7" s="7" t="s">
        <v>957</v>
      </c>
      <c r="C7" s="7" t="s">
        <v>958</v>
      </c>
      <c r="D7" s="103">
        <f>COUNTA(DATA_PROPERTY_MASTER!A7:A206)</f>
        <v>0</v>
      </c>
      <c r="E7" s="103">
        <f>COUNTA(DATA_PROPERTY_MASTER!A7:A206)</f>
        <v>0</v>
      </c>
      <c r="F7" s="8" t="s">
        <v>324</v>
      </c>
      <c r="G7" s="8" t="s">
        <v>506</v>
      </c>
      <c r="H7" s="97" t="s">
        <v>959</v>
      </c>
      <c r="I7" s="3"/>
      <c r="J7" s="3"/>
      <c r="K7" s="3"/>
      <c r="L7" s="3"/>
      <c r="M7" s="3"/>
      <c r="N7" s="3"/>
      <c r="O7" s="3"/>
      <c r="P7" s="3"/>
      <c r="Q7" s="3"/>
    </row>
    <row r="8" spans="1:17" ht="15">
      <c r="A8" s="96" t="s">
        <v>960</v>
      </c>
      <c r="B8" s="7" t="s">
        <v>961</v>
      </c>
      <c r="C8" s="7" t="s">
        <v>958</v>
      </c>
      <c r="D8" s="103">
        <f>COUNTIF(DATA_PROPERTY_MASTER!E7:E206,"Yes")</f>
        <v>0</v>
      </c>
      <c r="E8" s="103">
        <f>COUNTIF(DATA_PROPERTY_MASTER!E7:E206,"Yes")</f>
        <v>0</v>
      </c>
      <c r="F8" s="8" t="s">
        <v>324</v>
      </c>
      <c r="G8" s="8" t="s">
        <v>506</v>
      </c>
      <c r="H8" s="97" t="s">
        <v>962</v>
      </c>
      <c r="I8" s="3"/>
      <c r="J8" s="3"/>
      <c r="K8" s="3"/>
      <c r="L8" s="3"/>
      <c r="M8" s="3"/>
      <c r="N8" s="3"/>
      <c r="O8" s="3"/>
      <c r="P8" s="3"/>
      <c r="Q8" s="3"/>
    </row>
    <row r="9" spans="1:17" ht="15">
      <c r="A9" s="96" t="s">
        <v>963</v>
      </c>
      <c r="B9" s="7" t="s">
        <v>964</v>
      </c>
      <c r="C9" s="7" t="s">
        <v>958</v>
      </c>
      <c r="D9" s="103">
        <f>COUNTIF(DATA_PROPERTY_MASTER!D7:D206,"Active")</f>
        <v>0</v>
      </c>
      <c r="E9" s="103">
        <f>COUNTIF(DATA_PROPERTY_MASTER!D7:D206,"Active")</f>
        <v>0</v>
      </c>
      <c r="F9" s="8" t="s">
        <v>324</v>
      </c>
      <c r="G9" s="8" t="s">
        <v>506</v>
      </c>
      <c r="H9" s="97" t="s">
        <v>965</v>
      </c>
      <c r="I9" s="3"/>
      <c r="J9" s="3"/>
      <c r="K9" s="3"/>
      <c r="L9" s="3"/>
      <c r="M9" s="3"/>
      <c r="N9" s="3"/>
      <c r="O9" s="3"/>
      <c r="P9" s="3"/>
      <c r="Q9" s="3"/>
    </row>
    <row r="10" spans="1:17" ht="15">
      <c r="A10" s="96" t="s">
        <v>966</v>
      </c>
      <c r="B10" s="7" t="s">
        <v>967</v>
      </c>
      <c r="C10" s="7" t="s">
        <v>958</v>
      </c>
      <c r="D10" s="103">
        <f>COUNTIFS(DATA_PROPERTY_MASTER!D7:D206,"Active",DATA_PROPERTY_MASTER!E7:E206,"Yes")</f>
        <v>0</v>
      </c>
      <c r="E10" s="103">
        <f>COUNTIFS(DATA_PROPERTY_MASTER!D7:D206,"Active",DATA_PROPERTY_MASTER!E7:E206,"Yes")</f>
        <v>0</v>
      </c>
      <c r="F10" s="8" t="s">
        <v>324</v>
      </c>
      <c r="G10" s="8" t="s">
        <v>506</v>
      </c>
      <c r="H10" s="97" t="s">
        <v>968</v>
      </c>
      <c r="I10" s="3"/>
      <c r="J10" s="3"/>
      <c r="K10" s="3"/>
      <c r="L10" s="3"/>
      <c r="M10" s="3"/>
      <c r="N10" s="3"/>
      <c r="O10" s="3"/>
      <c r="P10" s="3"/>
      <c r="Q10" s="3"/>
    </row>
    <row r="11" spans="1:17" ht="15">
      <c r="A11" s="96" t="s">
        <v>969</v>
      </c>
      <c r="B11" s="7" t="s">
        <v>970</v>
      </c>
      <c r="C11" s="7" t="s">
        <v>958</v>
      </c>
      <c r="D11" s="103">
        <f>COUNTIFS(DATA_PROPERTY_MASTER!D7:D206,"New Dev",DATA_PROPERTY_MASTER!E7:E206,"Yes")</f>
        <v>0</v>
      </c>
      <c r="E11" s="103">
        <f>COUNTIFS(DATA_PROPERTY_MASTER!D7:D206,"New Dev",DATA_PROPERTY_MASTER!E7:E206,"Yes")</f>
        <v>0</v>
      </c>
      <c r="F11" s="8" t="s">
        <v>324</v>
      </c>
      <c r="G11" s="8" t="s">
        <v>506</v>
      </c>
      <c r="H11" s="97" t="s">
        <v>971</v>
      </c>
      <c r="I11" s="3"/>
      <c r="J11" s="3"/>
      <c r="K11" s="3"/>
      <c r="L11" s="3"/>
      <c r="M11" s="3"/>
      <c r="N11" s="3"/>
      <c r="O11" s="3"/>
      <c r="P11" s="3"/>
      <c r="Q11" s="3"/>
    </row>
    <row r="12" spans="1:17" ht="15">
      <c r="A12" s="96" t="s">
        <v>972</v>
      </c>
      <c r="B12" s="7" t="s">
        <v>973</v>
      </c>
      <c r="C12" s="7" t="s">
        <v>958</v>
      </c>
      <c r="D12" s="103">
        <f>SUMIFS(DATA_PROPERTY_MASTER!I7:I206,DATA_PROPERTY_MASTER!E7:E206,"Yes")</f>
        <v>0</v>
      </c>
      <c r="E12" s="103">
        <f>SUMIFS(DATA_PROPERTY_MASTER!I7:I206,DATA_PROPERTY_MASTER!E7:E206,"Yes")</f>
        <v>0</v>
      </c>
      <c r="F12" s="8" t="s">
        <v>340</v>
      </c>
      <c r="G12" s="8" t="s">
        <v>974</v>
      </c>
      <c r="H12" s="97" t="s">
        <v>975</v>
      </c>
      <c r="I12" s="3"/>
      <c r="J12" s="3"/>
      <c r="K12" s="3"/>
      <c r="L12" s="3"/>
      <c r="M12" s="3"/>
      <c r="N12" s="3"/>
      <c r="O12" s="3"/>
      <c r="P12" s="3"/>
      <c r="Q12" s="3"/>
    </row>
    <row r="13" spans="1:17" ht="15">
      <c r="A13" s="96" t="s">
        <v>976</v>
      </c>
      <c r="B13" s="7" t="s">
        <v>977</v>
      </c>
      <c r="C13" s="7" t="s">
        <v>958</v>
      </c>
      <c r="D13" s="103">
        <f>SUM(DATA_PROPERTY_MASTER!I7:I206)</f>
        <v>0</v>
      </c>
      <c r="E13" s="103">
        <f>SUM(DATA_PROPERTY_MASTER!I7:I206)</f>
        <v>0</v>
      </c>
      <c r="F13" s="8" t="s">
        <v>340</v>
      </c>
      <c r="G13" s="8" t="s">
        <v>506</v>
      </c>
      <c r="H13" s="97" t="s">
        <v>978</v>
      </c>
      <c r="I13" s="3"/>
      <c r="J13" s="3"/>
      <c r="K13" s="3"/>
      <c r="L13" s="3"/>
      <c r="M13" s="3"/>
      <c r="N13" s="3"/>
      <c r="O13" s="3"/>
      <c r="P13" s="3"/>
      <c r="Q13" s="3"/>
    </row>
    <row r="14" spans="1:17" ht="15">
      <c r="A14" s="96" t="s">
        <v>979</v>
      </c>
      <c r="B14" s="7" t="s">
        <v>980</v>
      </c>
      <c r="C14" s="7" t="s">
        <v>981</v>
      </c>
      <c r="D14" s="103">
        <f>COUNTIF(DATA_PROPERTY_MASTER!K7:K206,"Yes")</f>
        <v>0</v>
      </c>
      <c r="E14" s="103">
        <f>COUNTIF(DATA_PROPERTY_MASTER!K7:K206,"Yes")</f>
        <v>0</v>
      </c>
      <c r="F14" s="8" t="s">
        <v>340</v>
      </c>
      <c r="G14" s="8" t="s">
        <v>506</v>
      </c>
      <c r="H14" s="97" t="s">
        <v>982</v>
      </c>
      <c r="I14" s="3"/>
      <c r="J14" s="3"/>
      <c r="K14" s="3"/>
      <c r="L14" s="3"/>
      <c r="M14" s="3"/>
      <c r="N14" s="3"/>
      <c r="O14" s="3"/>
      <c r="P14" s="3"/>
      <c r="Q14" s="3"/>
    </row>
    <row r="15" spans="1:17" ht="15">
      <c r="A15" s="96" t="s">
        <v>983</v>
      </c>
      <c r="B15" s="7" t="s">
        <v>984</v>
      </c>
      <c r="C15" s="7" t="s">
        <v>981</v>
      </c>
      <c r="D15" s="103">
        <f>COUNTA(STG_SOURCE_INTAKE!A5:A206)</f>
        <v>0</v>
      </c>
      <c r="E15" s="104">
        <f>COUNTA(STG_SOURCE_INTAKE!A5:A206)</f>
        <v>0</v>
      </c>
      <c r="F15" s="8" t="s">
        <v>324</v>
      </c>
      <c r="G15" s="8" t="s">
        <v>506</v>
      </c>
      <c r="H15" s="97" t="s">
        <v>985</v>
      </c>
      <c r="I15" s="3"/>
      <c r="J15" s="3"/>
      <c r="K15" s="3"/>
      <c r="L15" s="3"/>
      <c r="M15" s="3"/>
      <c r="N15" s="3"/>
      <c r="O15" s="3"/>
      <c r="P15" s="3"/>
      <c r="Q15" s="3"/>
    </row>
    <row r="16" spans="1:17" ht="15">
      <c r="A16" s="96" t="s">
        <v>986</v>
      </c>
      <c r="B16" s="7" t="s">
        <v>987</v>
      </c>
      <c r="C16" s="7" t="s">
        <v>981</v>
      </c>
      <c r="D16" s="103">
        <f>COUNTIF(ASSUMPTIONS_FLAGS!I7:I206,"Open")</f>
        <v>0</v>
      </c>
      <c r="E16" s="104">
        <f>COUNTIF(ASSUMPTIONS_FLAGS!I7:I206,"Open")</f>
        <v>0</v>
      </c>
      <c r="F16" s="8" t="s">
        <v>340</v>
      </c>
      <c r="G16" s="8" t="s">
        <v>506</v>
      </c>
      <c r="H16" s="97" t="s">
        <v>988</v>
      </c>
      <c r="I16" s="3"/>
      <c r="J16" s="3"/>
      <c r="K16" s="3"/>
      <c r="L16" s="3"/>
      <c r="M16" s="3"/>
      <c r="N16" s="3"/>
      <c r="O16" s="3"/>
      <c r="P16" s="3"/>
      <c r="Q16" s="3"/>
    </row>
    <row r="17" spans="1:17" ht="15">
      <c r="A17" s="96" t="s">
        <v>989</v>
      </c>
      <c r="B17" s="7" t="s">
        <v>990</v>
      </c>
      <c r="C17" s="7" t="s">
        <v>991</v>
      </c>
      <c r="D17" s="107">
        <f>SUMIFS(DATA_OPERATING_ACTUALS!J7:J306,DATA_OPERATING_ACTUALS!D7:D306,MVP_CONTROL!B5,DATA_OPERATING_ACTUALS!I7:I306,"Revenue")</f>
        <v>0</v>
      </c>
      <c r="E17" s="107">
        <f>SUMIFS(DATA_OPERATING_ACTUALS!J7:J306,DATA_OPERATING_ACTUALS!D7:D306,MVP_CONTROL!B5,DATA_OPERATING_ACTUALS!I7:I306,"Revenue")</f>
        <v>0</v>
      </c>
      <c r="F17" s="8" t="s">
        <v>324</v>
      </c>
      <c r="G17" s="8" t="s">
        <v>509</v>
      </c>
      <c r="H17" s="97" t="s">
        <v>992</v>
      </c>
      <c r="I17" s="3"/>
      <c r="J17" s="3"/>
      <c r="K17" s="3"/>
      <c r="L17" s="3"/>
      <c r="M17" s="3"/>
      <c r="N17" s="3"/>
      <c r="O17" s="3"/>
      <c r="P17" s="3"/>
      <c r="Q17" s="3"/>
    </row>
    <row r="18" spans="1:17" ht="15">
      <c r="A18" s="96" t="s">
        <v>993</v>
      </c>
      <c r="B18" s="7" t="s">
        <v>994</v>
      </c>
      <c r="C18" s="7" t="s">
        <v>991</v>
      </c>
      <c r="D18" s="107">
        <f>SUMIFS(DATA_OPERATING_ACTUALS!J7:J306,DATA_OPERATING_ACTUALS!D7:D306,MVP_CONTROL!B5,DATA_OPERATING_ACTUALS!H7:H306,"Society operating expenses")</f>
        <v>0</v>
      </c>
      <c r="E18" s="107">
        <f>SUMIFS(DATA_OPERATING_ACTUALS!J7:J306,DATA_OPERATING_ACTUALS!D7:D306,MVP_CONTROL!B5,DATA_OPERATING_ACTUALS!H7:H306,"Society operating expenses")</f>
        <v>0</v>
      </c>
      <c r="F18" s="8" t="s">
        <v>324</v>
      </c>
      <c r="G18" s="8" t="s">
        <v>509</v>
      </c>
      <c r="H18" s="97" t="s">
        <v>992</v>
      </c>
      <c r="I18" s="3"/>
      <c r="J18" s="3"/>
      <c r="K18" s="3"/>
      <c r="L18" s="3"/>
      <c r="M18" s="3"/>
      <c r="N18" s="3"/>
      <c r="O18" s="3"/>
      <c r="P18" s="3"/>
      <c r="Q18" s="3"/>
    </row>
    <row r="19" spans="1:17" ht="15">
      <c r="A19" s="96" t="s">
        <v>995</v>
      </c>
      <c r="B19" s="7" t="s">
        <v>996</v>
      </c>
      <c r="C19" s="7" t="s">
        <v>991</v>
      </c>
      <c r="D19" s="107">
        <f>SUMIFS(DATA_OPERATING_ACTUALS!J7:J306,DATA_OPERATING_ACTUALS!D7:D306,MVP_CONTROL!B5,DATA_OPERATING_ACTUALS!H7:H306,"Building operating expenses")</f>
        <v>0</v>
      </c>
      <c r="E19" s="107">
        <f>SUMIFS(DATA_OPERATING_ACTUALS!J7:J306,DATA_OPERATING_ACTUALS!D7:D306,MVP_CONTROL!B5,DATA_OPERATING_ACTUALS!H7:H306,"Building operating expenses")</f>
        <v>0</v>
      </c>
      <c r="F19" s="8" t="s">
        <v>324</v>
      </c>
      <c r="G19" s="8" t="s">
        <v>509</v>
      </c>
      <c r="H19" s="97" t="s">
        <v>992</v>
      </c>
      <c r="I19" s="3"/>
      <c r="J19" s="3"/>
      <c r="K19" s="3"/>
      <c r="L19" s="3"/>
      <c r="M19" s="3"/>
      <c r="N19" s="3"/>
      <c r="O19" s="3"/>
      <c r="P19" s="3"/>
      <c r="Q19" s="3"/>
    </row>
    <row r="20" spans="1:17" ht="15">
      <c r="A20" s="96" t="s">
        <v>997</v>
      </c>
      <c r="B20" s="7" t="s">
        <v>998</v>
      </c>
      <c r="C20" s="7" t="s">
        <v>991</v>
      </c>
      <c r="D20" s="107">
        <f>SUMIFS(DATA_OPERATING_ACTUALS!J7:J306,DATA_OPERATING_ACTUALS!D7:D306,MVP_CONTROL!B5,DATA_OPERATING_ACTUALS!I7:I306,"Operating Expense")</f>
        <v>0</v>
      </c>
      <c r="E20" s="107">
        <f>SUMIFS(DATA_OPERATING_ACTUALS!J7:J306,DATA_OPERATING_ACTUALS!D7:D306,MVP_CONTROL!B5,DATA_OPERATING_ACTUALS!I7:I306,"Operating Expense")</f>
        <v>0</v>
      </c>
      <c r="F20" s="8" t="s">
        <v>324</v>
      </c>
      <c r="G20" s="8" t="s">
        <v>506</v>
      </c>
      <c r="H20" s="97" t="s">
        <v>999</v>
      </c>
      <c r="I20" s="3"/>
      <c r="J20" s="3"/>
      <c r="K20" s="3"/>
      <c r="L20" s="3"/>
      <c r="M20" s="3"/>
      <c r="N20" s="3"/>
      <c r="O20" s="3"/>
      <c r="P20" s="3"/>
      <c r="Q20" s="3"/>
    </row>
    <row r="21" spans="1:17" ht="15">
      <c r="A21" s="96" t="s">
        <v>1000</v>
      </c>
      <c r="B21" s="7" t="s">
        <v>1001</v>
      </c>
      <c r="C21" s="7" t="s">
        <v>991</v>
      </c>
      <c r="D21" s="107">
        <f>E17-E20</f>
        <v>0</v>
      </c>
      <c r="E21" s="107">
        <f>E17-E20</f>
        <v>0</v>
      </c>
      <c r="F21" s="8" t="s">
        <v>324</v>
      </c>
      <c r="G21" s="8" t="s">
        <v>506</v>
      </c>
      <c r="H21" s="97" t="s">
        <v>1002</v>
      </c>
      <c r="I21" s="3"/>
      <c r="J21" s="3"/>
      <c r="K21" s="3"/>
      <c r="L21" s="3"/>
      <c r="M21" s="3"/>
      <c r="N21" s="3"/>
      <c r="O21" s="3"/>
      <c r="P21" s="3"/>
      <c r="Q21" s="3"/>
    </row>
    <row r="22" spans="1:17" ht="15">
      <c r="A22" s="96" t="s">
        <v>1003</v>
      </c>
      <c r="B22" s="7" t="s">
        <v>1004</v>
      </c>
      <c r="C22" s="7" t="s">
        <v>991</v>
      </c>
      <c r="D22" s="107">
        <f>SUMIFS(DATA_DEBT_SCHEDULE!E5:E206,DATA_DEBT_SCHEDULE!B5:B206,MVP_CONTROL!B5)</f>
        <v>0</v>
      </c>
      <c r="E22" s="107">
        <f>SUMIFS(DATA_DEBT_SCHEDULE!E5:E206,DATA_DEBT_SCHEDULE!B5:B206,MVP_CONTROL!B5)</f>
        <v>0</v>
      </c>
      <c r="F22" s="8" t="s">
        <v>324</v>
      </c>
      <c r="G22" s="8" t="s">
        <v>509</v>
      </c>
      <c r="H22" s="97" t="s">
        <v>1005</v>
      </c>
      <c r="I22" s="3"/>
      <c r="J22" s="3"/>
      <c r="K22" s="3"/>
      <c r="L22" s="3"/>
      <c r="M22" s="3"/>
      <c r="N22" s="3"/>
      <c r="O22" s="3"/>
      <c r="P22" s="3"/>
      <c r="Q22" s="3"/>
    </row>
    <row r="23" spans="1:17" ht="15">
      <c r="A23" s="96" t="s">
        <v>1006</v>
      </c>
      <c r="B23" s="7" t="s">
        <v>1007</v>
      </c>
      <c r="C23" s="7" t="s">
        <v>991</v>
      </c>
      <c r="D23" s="107">
        <f>E21-E22</f>
        <v>0</v>
      </c>
      <c r="E23" s="107">
        <f>E21-E22</f>
        <v>0</v>
      </c>
      <c r="F23" s="8" t="s">
        <v>340</v>
      </c>
      <c r="G23" s="8" t="s">
        <v>506</v>
      </c>
      <c r="H23" s="97" t="s">
        <v>1008</v>
      </c>
      <c r="I23" s="3"/>
      <c r="J23" s="3"/>
      <c r="K23" s="3"/>
      <c r="L23" s="3"/>
      <c r="M23" s="3"/>
      <c r="N23" s="3"/>
      <c r="O23" s="3"/>
      <c r="P23" s="3"/>
      <c r="Q23" s="3"/>
    </row>
    <row r="24" spans="1:17" ht="15">
      <c r="A24" s="96" t="s">
        <v>1009</v>
      </c>
      <c r="B24" s="7" t="s">
        <v>1010</v>
      </c>
      <c r="C24" s="7" t="s">
        <v>991</v>
      </c>
      <c r="D24" s="109" t="str">
        <f>IFERROR(E21/E22,"")</f>
        <v/>
      </c>
      <c r="E24" s="109" t="str">
        <f>IFERROR(E21/E22,"")</f>
        <v/>
      </c>
      <c r="F24" s="8" t="s">
        <v>340</v>
      </c>
      <c r="G24" s="8" t="s">
        <v>506</v>
      </c>
      <c r="H24" s="97" t="s">
        <v>1011</v>
      </c>
      <c r="I24" s="3"/>
      <c r="J24" s="3"/>
      <c r="K24" s="3"/>
      <c r="L24" s="3"/>
      <c r="M24" s="3"/>
      <c r="N24" s="3"/>
      <c r="O24" s="3"/>
      <c r="P24" s="3"/>
      <c r="Q24" s="3"/>
    </row>
    <row r="25" spans="1:17" ht="15">
      <c r="A25" s="98" t="s">
        <v>1012</v>
      </c>
      <c r="B25" s="11" t="s">
        <v>1013</v>
      </c>
      <c r="C25" s="11" t="s">
        <v>991</v>
      </c>
      <c r="D25" s="108">
        <f>SUMIFS(DATA_OPERATING_ACTUALS!J7:J306,DATA_OPERATING_ACTUALS!D7:D306,MVP_CONTROL!B5,DATA_OPERATING_ACTUALS!I7:I306,"Source Net Income")</f>
        <v>0</v>
      </c>
      <c r="E25" s="108">
        <f>SUMIFS(DATA_OPERATING_ACTUALS!J7:J306,DATA_OPERATING_ACTUALS!D7:D306,MVP_CONTROL!B5,DATA_OPERATING_ACTUALS!I7:I306,"Source Net Income")</f>
        <v>0</v>
      </c>
      <c r="F25" s="11" t="s">
        <v>1014</v>
      </c>
      <c r="G25" s="11" t="s">
        <v>509</v>
      </c>
      <c r="H25" s="99" t="s">
        <v>1015</v>
      </c>
      <c r="I25" s="3"/>
      <c r="J25" s="3"/>
      <c r="K25" s="3"/>
      <c r="L25" s="3"/>
      <c r="M25" s="3"/>
      <c r="N25" s="3"/>
      <c r="O25" s="3"/>
      <c r="P25" s="3"/>
      <c r="Q25" s="3"/>
    </row>
    <row r="26" spans="1:17" ht="15">
      <c r="A26" s="98" t="s">
        <v>1016</v>
      </c>
      <c r="B26" s="11" t="s">
        <v>1017</v>
      </c>
      <c r="C26" s="11" t="s">
        <v>615</v>
      </c>
      <c r="D26" s="108">
        <f>SUMIFS(DATA_OPERATING_ACTUALS!J7:J306,DATA_OPERATING_ACTUALS!D7:D306,MVP_CONTROL!B5,DATA_OPERATING_ACTUALS!I7:I306,"Reserve Closing")</f>
        <v>0</v>
      </c>
      <c r="E26" s="108">
        <f>SUMIFS(DATA_OPERATING_ACTUALS!J7:J306,DATA_OPERATING_ACTUALS!D7:D306,MVP_CONTROL!B5,DATA_OPERATING_ACTUALS!I7:I306,"Reserve Closing")</f>
        <v>0</v>
      </c>
      <c r="F26" s="11" t="s">
        <v>340</v>
      </c>
      <c r="G26" s="11" t="s">
        <v>509</v>
      </c>
      <c r="H26" s="99" t="s">
        <v>1018</v>
      </c>
      <c r="I26" s="3"/>
      <c r="J26" s="3"/>
      <c r="K26" s="3"/>
      <c r="L26" s="3"/>
      <c r="M26" s="3"/>
      <c r="N26" s="3"/>
      <c r="O26" s="3"/>
      <c r="P26" s="3"/>
      <c r="Q26" s="3"/>
    </row>
    <row r="27" spans="1:17" ht="15">
      <c r="A27" s="98" t="s">
        <v>1019</v>
      </c>
      <c r="B27" s="11" t="s">
        <v>1020</v>
      </c>
      <c r="C27" s="11" t="s">
        <v>1021</v>
      </c>
      <c r="D27" s="105">
        <f>SUMIFS(DATA_UNIT_MIX!H7:H206,DATA_UNIT_MIX!G7:G206,"Deep Subsidy")</f>
        <v>0</v>
      </c>
      <c r="E27" s="105">
        <f>SUMIFS(DATA_UNIT_MIX!H7:H206,DATA_UNIT_MIX!G7:G206,"Deep Subsidy")</f>
        <v>0</v>
      </c>
      <c r="F27" s="11" t="s">
        <v>348</v>
      </c>
      <c r="G27" s="11" t="s">
        <v>509</v>
      </c>
      <c r="H27" s="99" t="s">
        <v>1022</v>
      </c>
      <c r="I27" s="3"/>
      <c r="J27" s="3"/>
      <c r="K27" s="3"/>
      <c r="L27" s="3"/>
      <c r="M27" s="3"/>
      <c r="N27" s="3"/>
      <c r="O27" s="3"/>
      <c r="P27" s="3"/>
      <c r="Q27" s="3"/>
    </row>
    <row r="28" spans="1:17" ht="15">
      <c r="A28" s="98" t="s">
        <v>1023</v>
      </c>
      <c r="B28" s="11" t="s">
        <v>1024</v>
      </c>
      <c r="C28" s="11" t="s">
        <v>1021</v>
      </c>
      <c r="D28" s="105">
        <f>SUMIFS(DATA_UNIT_MIX!H7:H206,DATA_UNIT_MIX!G7:G206,"Subsidized")</f>
        <v>0</v>
      </c>
      <c r="E28" s="105">
        <f>SUMIFS(DATA_UNIT_MIX!H7:H206,DATA_UNIT_MIX!G7:G206,"Subsidized")</f>
        <v>0</v>
      </c>
      <c r="F28" s="11" t="s">
        <v>348</v>
      </c>
      <c r="G28" s="11" t="s">
        <v>509</v>
      </c>
      <c r="H28" s="99" t="s">
        <v>1022</v>
      </c>
      <c r="I28" s="3"/>
      <c r="J28" s="3"/>
      <c r="K28" s="3"/>
      <c r="L28" s="3"/>
      <c r="M28" s="3"/>
      <c r="N28" s="3"/>
      <c r="O28" s="3"/>
      <c r="P28" s="3"/>
      <c r="Q28" s="3"/>
    </row>
    <row r="29" spans="1:17" ht="15">
      <c r="A29" s="98" t="s">
        <v>1025</v>
      </c>
      <c r="B29" s="11" t="s">
        <v>1026</v>
      </c>
      <c r="C29" s="11" t="s">
        <v>1021</v>
      </c>
      <c r="D29" s="105">
        <f>SUM(DATA_UNIT_MIX!I7:I206)</f>
        <v>0</v>
      </c>
      <c r="E29" s="105">
        <f>SUM(DATA_UNIT_MIX!I7:I206)</f>
        <v>0</v>
      </c>
      <c r="F29" s="11" t="s">
        <v>348</v>
      </c>
      <c r="G29" s="11" t="s">
        <v>509</v>
      </c>
      <c r="H29" s="99" t="s">
        <v>1027</v>
      </c>
      <c r="I29" s="3"/>
      <c r="J29" s="3"/>
      <c r="K29" s="3"/>
      <c r="L29" s="3"/>
      <c r="M29" s="3"/>
      <c r="N29" s="3"/>
      <c r="O29" s="3"/>
      <c r="P29" s="3"/>
      <c r="Q29" s="3"/>
    </row>
    <row r="30" spans="1:17" ht="15">
      <c r="A30" s="98" t="s">
        <v>1028</v>
      </c>
      <c r="B30" s="11" t="s">
        <v>1029</v>
      </c>
      <c r="C30" s="11" t="s">
        <v>1021</v>
      </c>
      <c r="D30" s="105">
        <f>SUM(DATA_UNIT_MIX!J7:J206)</f>
        <v>0</v>
      </c>
      <c r="E30" s="105">
        <f>SUM(DATA_UNIT_MIX!J7:J206)</f>
        <v>0</v>
      </c>
      <c r="F30" s="11" t="s">
        <v>348</v>
      </c>
      <c r="G30" s="11" t="s">
        <v>509</v>
      </c>
      <c r="H30" s="99" t="s">
        <v>1022</v>
      </c>
      <c r="I30" s="3"/>
      <c r="J30" s="3"/>
      <c r="K30" s="3"/>
      <c r="L30" s="3"/>
      <c r="M30" s="3"/>
      <c r="N30" s="3"/>
      <c r="O30" s="3"/>
      <c r="P30" s="3"/>
      <c r="Q30" s="3"/>
    </row>
    <row r="31" spans="1:17" ht="15">
      <c r="A31" s="98" t="s">
        <v>1030</v>
      </c>
      <c r="B31" s="11" t="s">
        <v>1031</v>
      </c>
      <c r="C31" s="11" t="s">
        <v>1021</v>
      </c>
      <c r="D31" s="105">
        <f>SUM(DATA_UNIT_MIX!P7:P206)</f>
        <v>0</v>
      </c>
      <c r="E31" s="105">
        <f>SUM(DATA_UNIT_MIX!P7:P206)</f>
        <v>0</v>
      </c>
      <c r="F31" s="11" t="s">
        <v>340</v>
      </c>
      <c r="G31" s="11" t="s">
        <v>509</v>
      </c>
      <c r="H31" s="99" t="s">
        <v>1032</v>
      </c>
      <c r="I31" s="3"/>
      <c r="J31" s="3"/>
      <c r="K31" s="3"/>
      <c r="L31" s="3"/>
      <c r="M31" s="3"/>
      <c r="N31" s="3"/>
      <c r="O31" s="3"/>
      <c r="P31" s="3"/>
      <c r="Q31" s="3"/>
    </row>
    <row r="32" spans="1:17" ht="15">
      <c r="A32" s="98" t="s">
        <v>1033</v>
      </c>
      <c r="B32" s="11" t="s">
        <v>1034</v>
      </c>
      <c r="C32" s="11" t="s">
        <v>1021</v>
      </c>
      <c r="D32" s="105">
        <f>SUM(DATA_UNIT_MIX!Q7:Q206)</f>
        <v>0</v>
      </c>
      <c r="E32" s="105">
        <f>SUM(DATA_UNIT_MIX!Q7:Q206)</f>
        <v>0</v>
      </c>
      <c r="F32" s="11" t="s">
        <v>348</v>
      </c>
      <c r="G32" s="11" t="s">
        <v>509</v>
      </c>
      <c r="H32" s="99" t="s">
        <v>1035</v>
      </c>
      <c r="I32" s="3"/>
      <c r="J32" s="3"/>
      <c r="K32" s="3"/>
      <c r="L32" s="3"/>
      <c r="M32" s="3"/>
      <c r="N32" s="3"/>
      <c r="O32" s="3"/>
      <c r="P32" s="3"/>
      <c r="Q32" s="3"/>
    </row>
    <row r="33" spans="1:17" ht="15">
      <c r="A33" s="98" t="s">
        <v>1036</v>
      </c>
      <c r="B33" s="11" t="s">
        <v>1037</v>
      </c>
      <c r="C33" s="11" t="s">
        <v>1021</v>
      </c>
      <c r="D33" s="110" t="str">
        <f>IFERROR((E29+E30+E32)/E12,"")</f>
        <v/>
      </c>
      <c r="E33" s="110" t="str">
        <f>D33</f>
        <v/>
      </c>
      <c r="F33" s="11" t="s">
        <v>340</v>
      </c>
      <c r="G33" s="11" t="s">
        <v>506</v>
      </c>
      <c r="H33" s="99" t="s">
        <v>1038</v>
      </c>
      <c r="I33" s="3"/>
      <c r="J33" s="3"/>
      <c r="K33" s="3"/>
      <c r="L33" s="3"/>
      <c r="M33" s="3"/>
      <c r="N33" s="3"/>
      <c r="O33" s="3"/>
      <c r="P33" s="3"/>
      <c r="Q33" s="3"/>
    </row>
    <row r="34" spans="1:17" ht="15">
      <c r="A34" s="98" t="s">
        <v>1039</v>
      </c>
      <c r="B34" s="11" t="s">
        <v>1040</v>
      </c>
      <c r="C34" s="11" t="s">
        <v>1041</v>
      </c>
      <c r="D34" s="105" t="str">
        <f>IF(COUNTA(DATA_AGREEMENTS!A7:A206)=0,"Not reviewed","Partial / reviewed")</f>
        <v>Not reviewed</v>
      </c>
      <c r="E34" s="105" t="str">
        <f>IF(COUNTA(DATA_AGREEMENTS!A7:A206)=0,"Not reviewed","Partial / reviewed")</f>
        <v>Not reviewed</v>
      </c>
      <c r="F34" s="11" t="s">
        <v>340</v>
      </c>
      <c r="G34" s="11" t="s">
        <v>506</v>
      </c>
      <c r="H34" s="99" t="s">
        <v>1042</v>
      </c>
      <c r="I34" s="3"/>
      <c r="J34" s="3"/>
      <c r="K34" s="3"/>
      <c r="L34" s="3"/>
      <c r="M34" s="3"/>
      <c r="N34" s="3"/>
      <c r="O34" s="3"/>
      <c r="P34" s="3"/>
      <c r="Q34" s="3"/>
    </row>
    <row r="35" spans="1:17" ht="15">
      <c r="A35" s="100" t="s">
        <v>1043</v>
      </c>
      <c r="B35" s="101" t="s">
        <v>1044</v>
      </c>
      <c r="C35" s="101" t="s">
        <v>1045</v>
      </c>
      <c r="D35" s="106" t="str">
        <f>IF(COUNTA(DATA_CAPITAL_NEEDS!A7:A206)=0,"Not reviewed","Partial / reviewed")</f>
        <v>Not reviewed</v>
      </c>
      <c r="E35" s="106" t="str">
        <f>IF(COUNTA(DATA_CAPITAL_NEEDS!A7:A206)=0,"Not reviewed","Partial / reviewed")</f>
        <v>Not reviewed</v>
      </c>
      <c r="F35" s="101" t="s">
        <v>340</v>
      </c>
      <c r="G35" s="101" t="s">
        <v>506</v>
      </c>
      <c r="H35" s="102" t="s">
        <v>1046</v>
      </c>
      <c r="I35" s="3"/>
      <c r="J35" s="3"/>
      <c r="K35" s="3"/>
      <c r="L35" s="3"/>
      <c r="M35" s="3"/>
      <c r="N35" s="3"/>
      <c r="O35" s="3"/>
      <c r="P35" s="3"/>
      <c r="Q35" s="3"/>
    </row>
    <row r="36" spans="1:17" ht="15">
      <c r="A36" s="11"/>
      <c r="B36" s="11"/>
      <c r="C36" s="11"/>
      <c r="D36" s="11"/>
      <c r="E36" s="11"/>
      <c r="F36" s="11"/>
      <c r="G36" s="11"/>
      <c r="H36" s="11"/>
      <c r="I36" s="3"/>
      <c r="J36" s="3"/>
      <c r="K36" s="3"/>
      <c r="L36" s="3"/>
      <c r="M36" s="3"/>
      <c r="N36" s="3"/>
      <c r="O36" s="3"/>
      <c r="P36" s="3"/>
      <c r="Q36" s="3"/>
    </row>
    <row r="37" spans="1:17" ht="15">
      <c r="A37" s="11"/>
      <c r="B37" s="11"/>
      <c r="C37" s="11"/>
      <c r="D37" s="11"/>
      <c r="E37" s="11"/>
      <c r="F37" s="11"/>
      <c r="G37" s="11"/>
      <c r="H37" s="11"/>
      <c r="I37" s="3"/>
      <c r="J37" s="3"/>
      <c r="K37" s="3"/>
      <c r="L37" s="3"/>
      <c r="M37" s="3"/>
      <c r="N37" s="3"/>
      <c r="O37" s="3"/>
      <c r="P37" s="3"/>
      <c r="Q37" s="3"/>
    </row>
    <row r="38" spans="1:17" ht="15">
      <c r="A38" s="11"/>
      <c r="B38" s="11"/>
      <c r="C38" s="11"/>
      <c r="D38" s="11"/>
      <c r="E38" s="11"/>
      <c r="F38" s="11"/>
      <c r="G38" s="11"/>
      <c r="H38" s="11"/>
      <c r="I38" s="3"/>
      <c r="J38" s="3"/>
      <c r="K38" s="3"/>
      <c r="L38" s="3"/>
      <c r="M38" s="3"/>
      <c r="N38" s="3"/>
      <c r="O38" s="3"/>
      <c r="P38" s="3"/>
      <c r="Q38" s="3"/>
    </row>
    <row r="39" spans="1:17" ht="15">
      <c r="A39" s="11"/>
      <c r="B39" s="11"/>
      <c r="C39" s="11"/>
      <c r="D39" s="11"/>
      <c r="E39" s="11"/>
      <c r="F39" s="11"/>
      <c r="G39" s="11"/>
      <c r="H39" s="11"/>
      <c r="I39" s="3"/>
      <c r="J39" s="3"/>
      <c r="K39" s="3"/>
      <c r="L39" s="3"/>
      <c r="M39" s="3"/>
      <c r="N39" s="3"/>
      <c r="O39" s="3"/>
      <c r="P39" s="3"/>
      <c r="Q39" s="3"/>
    </row>
    <row r="40" spans="1:17" ht="15">
      <c r="A40" s="11"/>
      <c r="B40" s="11"/>
      <c r="C40" s="11"/>
      <c r="D40" s="11"/>
      <c r="E40" s="11"/>
      <c r="F40" s="11"/>
      <c r="G40" s="11"/>
      <c r="H40" s="11"/>
      <c r="I40" s="3"/>
      <c r="J40" s="3"/>
      <c r="K40" s="3"/>
      <c r="L40" s="3"/>
      <c r="M40" s="3"/>
      <c r="N40" s="3"/>
      <c r="O40" s="3"/>
      <c r="P40" s="3"/>
      <c r="Q40" s="3"/>
    </row>
    <row r="41" spans="1:17" ht="15">
      <c r="A41" s="11"/>
      <c r="B41" s="11"/>
      <c r="C41" s="11"/>
      <c r="D41" s="11"/>
      <c r="E41" s="11"/>
      <c r="F41" s="11"/>
      <c r="G41" s="11"/>
      <c r="H41" s="11"/>
      <c r="I41" s="3"/>
      <c r="J41" s="3"/>
      <c r="K41" s="3"/>
      <c r="L41" s="3"/>
      <c r="M41" s="3"/>
      <c r="N41" s="3"/>
      <c r="O41" s="3"/>
      <c r="P41" s="3"/>
      <c r="Q41" s="3"/>
    </row>
    <row r="42" spans="1:17" ht="15">
      <c r="A42" s="11"/>
      <c r="B42" s="11"/>
      <c r="C42" s="11"/>
      <c r="D42" s="11"/>
      <c r="E42" s="11"/>
      <c r="F42" s="11"/>
      <c r="G42" s="11"/>
      <c r="H42" s="11"/>
      <c r="I42" s="3"/>
      <c r="J42" s="3"/>
      <c r="K42" s="3"/>
      <c r="L42" s="3"/>
      <c r="M42" s="3"/>
      <c r="N42" s="3"/>
      <c r="O42" s="3"/>
      <c r="P42" s="3"/>
      <c r="Q42" s="3"/>
    </row>
    <row r="43" spans="1:17" ht="15">
      <c r="A43" s="11"/>
      <c r="B43" s="11"/>
      <c r="C43" s="11"/>
      <c r="D43" s="11"/>
      <c r="E43" s="11"/>
      <c r="F43" s="11"/>
      <c r="G43" s="11"/>
      <c r="H43" s="11"/>
      <c r="I43" s="3"/>
      <c r="J43" s="3"/>
      <c r="K43" s="3"/>
      <c r="L43" s="3"/>
      <c r="M43" s="3"/>
      <c r="N43" s="3"/>
      <c r="O43" s="3"/>
      <c r="P43" s="3"/>
      <c r="Q43" s="3"/>
    </row>
    <row r="44" spans="1:17" ht="15">
      <c r="A44" s="11"/>
      <c r="B44" s="11"/>
      <c r="C44" s="11"/>
      <c r="D44" s="11"/>
      <c r="E44" s="11"/>
      <c r="F44" s="11"/>
      <c r="G44" s="11"/>
      <c r="H44" s="11"/>
      <c r="I44" s="3"/>
      <c r="J44" s="3"/>
      <c r="K44" s="3"/>
      <c r="L44" s="3"/>
      <c r="M44" s="3"/>
      <c r="N44" s="3"/>
      <c r="O44" s="3"/>
      <c r="P44" s="3"/>
      <c r="Q44" s="3"/>
    </row>
    <row r="45" spans="1:17" ht="15">
      <c r="A45" s="11"/>
      <c r="B45" s="11"/>
      <c r="C45" s="11"/>
      <c r="D45" s="11"/>
      <c r="E45" s="11"/>
      <c r="F45" s="11"/>
      <c r="G45" s="11"/>
      <c r="H45" s="11"/>
      <c r="I45" s="3"/>
      <c r="J45" s="3"/>
      <c r="K45" s="3"/>
      <c r="L45" s="3"/>
      <c r="M45" s="3"/>
      <c r="N45" s="3"/>
      <c r="O45" s="3"/>
      <c r="P45" s="3"/>
      <c r="Q45" s="3"/>
    </row>
    <row r="46" spans="1:17" ht="15">
      <c r="A46" s="11"/>
      <c r="B46" s="11"/>
      <c r="C46" s="11"/>
      <c r="D46" s="11"/>
      <c r="E46" s="11"/>
      <c r="F46" s="11"/>
      <c r="G46" s="11"/>
      <c r="H46" s="11"/>
      <c r="I46" s="3"/>
      <c r="J46" s="3"/>
      <c r="K46" s="3"/>
      <c r="L46" s="3"/>
      <c r="M46" s="3"/>
      <c r="N46" s="3"/>
      <c r="O46" s="3"/>
      <c r="P46" s="3"/>
      <c r="Q46" s="3"/>
    </row>
    <row r="47" spans="1:17" ht="15">
      <c r="A47" s="11"/>
      <c r="B47" s="11"/>
      <c r="C47" s="11"/>
      <c r="D47" s="11"/>
      <c r="E47" s="11"/>
      <c r="F47" s="11"/>
      <c r="G47" s="11"/>
      <c r="H47" s="11"/>
      <c r="I47" s="3"/>
      <c r="J47" s="3"/>
      <c r="K47" s="3"/>
      <c r="L47" s="3"/>
      <c r="M47" s="3"/>
      <c r="N47" s="3"/>
      <c r="O47" s="3"/>
      <c r="P47" s="3"/>
      <c r="Q47" s="3"/>
    </row>
    <row r="48" spans="1:17" ht="15">
      <c r="A48" s="11"/>
      <c r="B48" s="11"/>
      <c r="C48" s="11"/>
      <c r="D48" s="11"/>
      <c r="E48" s="11"/>
      <c r="F48" s="11"/>
      <c r="G48" s="11"/>
      <c r="H48" s="11"/>
      <c r="I48" s="3"/>
      <c r="J48" s="3"/>
      <c r="K48" s="3"/>
      <c r="L48" s="3"/>
      <c r="M48" s="3"/>
      <c r="N48" s="3"/>
      <c r="O48" s="3"/>
      <c r="P48" s="3"/>
      <c r="Q48" s="3"/>
    </row>
    <row r="49" spans="1:17" ht="15">
      <c r="A49" s="11"/>
      <c r="B49" s="11"/>
      <c r="C49" s="11"/>
      <c r="D49" s="11"/>
      <c r="E49" s="11"/>
      <c r="F49" s="11"/>
      <c r="G49" s="11"/>
      <c r="H49" s="11"/>
      <c r="I49" s="3"/>
      <c r="J49" s="3"/>
      <c r="K49" s="3"/>
      <c r="L49" s="3"/>
      <c r="M49" s="3"/>
      <c r="N49" s="3"/>
      <c r="O49" s="3"/>
      <c r="P49" s="3"/>
      <c r="Q49" s="3"/>
    </row>
    <row r="50" spans="1:17" ht="15">
      <c r="A50" s="11"/>
      <c r="B50" s="11"/>
      <c r="C50" s="11"/>
      <c r="D50" s="11"/>
      <c r="E50" s="11"/>
      <c r="F50" s="11"/>
      <c r="G50" s="11"/>
      <c r="H50" s="11"/>
      <c r="I50" s="3"/>
      <c r="J50" s="3"/>
      <c r="K50" s="3"/>
      <c r="L50" s="3"/>
      <c r="M50" s="3"/>
      <c r="N50" s="3"/>
      <c r="O50" s="3"/>
      <c r="P50" s="3"/>
      <c r="Q50" s="3"/>
    </row>
    <row r="51" spans="1:17" ht="15">
      <c r="A51" s="11"/>
      <c r="B51" s="11"/>
      <c r="C51" s="11"/>
      <c r="D51" s="11"/>
      <c r="E51" s="11"/>
      <c r="F51" s="11"/>
      <c r="G51" s="11"/>
      <c r="H51" s="11"/>
      <c r="I51" s="3"/>
      <c r="J51" s="3"/>
      <c r="K51" s="3"/>
      <c r="L51" s="3"/>
      <c r="M51" s="3"/>
      <c r="N51" s="3"/>
      <c r="O51" s="3"/>
      <c r="P51" s="3"/>
      <c r="Q51" s="3"/>
    </row>
    <row r="52" spans="1:17" ht="15">
      <c r="A52" s="11"/>
      <c r="B52" s="11"/>
      <c r="C52" s="11"/>
      <c r="D52" s="11"/>
      <c r="E52" s="11"/>
      <c r="F52" s="11"/>
      <c r="G52" s="11"/>
      <c r="H52" s="11"/>
      <c r="I52" s="3"/>
      <c r="J52" s="3"/>
      <c r="K52" s="3"/>
      <c r="L52" s="3"/>
      <c r="M52" s="3"/>
      <c r="N52" s="3"/>
      <c r="O52" s="3"/>
      <c r="P52" s="3"/>
      <c r="Q52" s="3"/>
    </row>
    <row r="53" spans="1:17" ht="15">
      <c r="A53" s="11"/>
      <c r="B53" s="11"/>
      <c r="C53" s="11"/>
      <c r="D53" s="11"/>
      <c r="E53" s="11"/>
      <c r="F53" s="11"/>
      <c r="G53" s="11"/>
      <c r="H53" s="11"/>
      <c r="I53" s="3"/>
      <c r="J53" s="3"/>
      <c r="K53" s="3"/>
      <c r="L53" s="3"/>
      <c r="M53" s="3"/>
      <c r="N53" s="3"/>
      <c r="O53" s="3"/>
      <c r="P53" s="3"/>
      <c r="Q53" s="3"/>
    </row>
    <row r="54" spans="1:17" ht="15">
      <c r="A54" s="11"/>
      <c r="B54" s="11"/>
      <c r="C54" s="11"/>
      <c r="D54" s="11"/>
      <c r="E54" s="11"/>
      <c r="F54" s="11"/>
      <c r="G54" s="11"/>
      <c r="H54" s="11"/>
      <c r="I54" s="3"/>
      <c r="J54" s="3"/>
      <c r="K54" s="3"/>
      <c r="L54" s="3"/>
      <c r="M54" s="3"/>
      <c r="N54" s="3"/>
      <c r="O54" s="3"/>
      <c r="P54" s="3"/>
      <c r="Q54" s="3"/>
    </row>
    <row r="55" spans="1:17" ht="15">
      <c r="A55" s="11"/>
      <c r="B55" s="11"/>
      <c r="C55" s="11"/>
      <c r="D55" s="11"/>
      <c r="E55" s="11"/>
      <c r="F55" s="11"/>
      <c r="G55" s="11"/>
      <c r="H55" s="11"/>
      <c r="I55" s="3"/>
      <c r="J55" s="3"/>
      <c r="K55" s="3"/>
      <c r="L55" s="3"/>
      <c r="M55" s="3"/>
      <c r="N55" s="3"/>
      <c r="O55" s="3"/>
      <c r="P55" s="3"/>
      <c r="Q55" s="3"/>
    </row>
    <row r="56" spans="1:17" ht="15">
      <c r="A56" s="11"/>
      <c r="B56" s="11"/>
      <c r="C56" s="11"/>
      <c r="D56" s="11"/>
      <c r="E56" s="11"/>
      <c r="F56" s="11"/>
      <c r="G56" s="11"/>
      <c r="H56" s="11"/>
      <c r="I56" s="3"/>
      <c r="J56" s="3"/>
      <c r="K56" s="3"/>
      <c r="L56" s="3"/>
      <c r="M56" s="3"/>
      <c r="N56" s="3"/>
      <c r="O56" s="3"/>
      <c r="P56" s="3"/>
      <c r="Q56" s="3"/>
    </row>
    <row r="57" spans="1:17" ht="15">
      <c r="A57" s="11"/>
      <c r="B57" s="11"/>
      <c r="C57" s="11"/>
      <c r="D57" s="11"/>
      <c r="E57" s="11"/>
      <c r="F57" s="11"/>
      <c r="G57" s="11"/>
      <c r="H57" s="11"/>
      <c r="I57" s="3"/>
      <c r="J57" s="3"/>
      <c r="K57" s="3"/>
      <c r="L57" s="3"/>
      <c r="M57" s="3"/>
      <c r="N57" s="3"/>
      <c r="O57" s="3"/>
      <c r="P57" s="3"/>
      <c r="Q57" s="3"/>
    </row>
    <row r="58" spans="1:17" ht="15">
      <c r="A58" s="11"/>
      <c r="B58" s="11"/>
      <c r="C58" s="11"/>
      <c r="D58" s="11"/>
      <c r="E58" s="11"/>
      <c r="F58" s="11"/>
      <c r="G58" s="11"/>
      <c r="H58" s="11"/>
      <c r="I58" s="3"/>
      <c r="J58" s="3"/>
      <c r="K58" s="3"/>
      <c r="L58" s="3"/>
      <c r="M58" s="3"/>
      <c r="N58" s="3"/>
      <c r="O58" s="3"/>
      <c r="P58" s="3"/>
      <c r="Q58" s="3"/>
    </row>
    <row r="59" spans="1:17" ht="15">
      <c r="A59" s="11"/>
      <c r="B59" s="11"/>
      <c r="C59" s="11"/>
      <c r="D59" s="11"/>
      <c r="E59" s="11"/>
      <c r="F59" s="11"/>
      <c r="G59" s="11"/>
      <c r="H59" s="11"/>
      <c r="I59" s="3"/>
      <c r="J59" s="3"/>
      <c r="K59" s="3"/>
      <c r="L59" s="3"/>
      <c r="M59" s="3"/>
      <c r="N59" s="3"/>
      <c r="O59" s="3"/>
      <c r="P59" s="3"/>
      <c r="Q59" s="3"/>
    </row>
    <row r="60" spans="1:17" ht="15">
      <c r="A60" s="11"/>
      <c r="B60" s="11"/>
      <c r="C60" s="11"/>
      <c r="D60" s="11"/>
      <c r="E60" s="11"/>
      <c r="F60" s="11"/>
      <c r="G60" s="11"/>
      <c r="H60" s="11"/>
      <c r="I60" s="3"/>
      <c r="J60" s="3"/>
      <c r="K60" s="3"/>
      <c r="L60" s="3"/>
      <c r="M60" s="3"/>
      <c r="N60" s="3"/>
      <c r="O60" s="3"/>
      <c r="P60" s="3"/>
      <c r="Q60" s="3"/>
    </row>
    <row r="61" spans="1:17" ht="15">
      <c r="A61" s="11"/>
      <c r="B61" s="11"/>
      <c r="C61" s="11"/>
      <c r="D61" s="11"/>
      <c r="E61" s="11"/>
      <c r="F61" s="11"/>
      <c r="G61" s="11"/>
      <c r="H61" s="11"/>
      <c r="I61" s="3"/>
      <c r="J61" s="3"/>
      <c r="K61" s="3"/>
      <c r="L61" s="3"/>
      <c r="M61" s="3"/>
      <c r="N61" s="3"/>
      <c r="O61" s="3"/>
      <c r="P61" s="3"/>
      <c r="Q61" s="3"/>
    </row>
    <row r="62" spans="1:17" ht="15">
      <c r="A62" s="11"/>
      <c r="B62" s="11"/>
      <c r="C62" s="11"/>
      <c r="D62" s="11"/>
      <c r="E62" s="11"/>
      <c r="F62" s="11"/>
      <c r="G62" s="11"/>
      <c r="H62" s="11"/>
      <c r="I62" s="3"/>
      <c r="J62" s="3"/>
      <c r="K62" s="3"/>
      <c r="L62" s="3"/>
      <c r="M62" s="3"/>
      <c r="N62" s="3"/>
      <c r="O62" s="3"/>
      <c r="P62" s="3"/>
      <c r="Q62" s="3"/>
    </row>
    <row r="63" spans="1:17" ht="15">
      <c r="A63" s="11"/>
      <c r="B63" s="11"/>
      <c r="C63" s="11"/>
      <c r="D63" s="11"/>
      <c r="E63" s="11"/>
      <c r="F63" s="11"/>
      <c r="G63" s="11"/>
      <c r="H63" s="11"/>
      <c r="I63" s="3"/>
      <c r="J63" s="3"/>
      <c r="K63" s="3"/>
      <c r="L63" s="3"/>
      <c r="M63" s="3"/>
      <c r="N63" s="3"/>
      <c r="O63" s="3"/>
      <c r="P63" s="3"/>
      <c r="Q63" s="3"/>
    </row>
    <row r="64" spans="1:17" ht="15">
      <c r="A64" s="11"/>
      <c r="B64" s="11"/>
      <c r="C64" s="11"/>
      <c r="D64" s="11"/>
      <c r="E64" s="11"/>
      <c r="F64" s="11"/>
      <c r="G64" s="11"/>
      <c r="H64" s="11"/>
      <c r="I64" s="3"/>
      <c r="J64" s="3"/>
      <c r="K64" s="3"/>
      <c r="L64" s="3"/>
      <c r="M64" s="3"/>
      <c r="N64" s="3"/>
      <c r="O64" s="3"/>
      <c r="P64" s="3"/>
      <c r="Q64" s="3"/>
    </row>
    <row r="65" spans="1:17" ht="15">
      <c r="A65" s="11"/>
      <c r="B65" s="11"/>
      <c r="C65" s="11"/>
      <c r="D65" s="11"/>
      <c r="E65" s="11"/>
      <c r="F65" s="11"/>
      <c r="G65" s="11"/>
      <c r="H65" s="11"/>
      <c r="I65" s="3"/>
      <c r="J65" s="3"/>
      <c r="K65" s="3"/>
      <c r="L65" s="3"/>
      <c r="M65" s="3"/>
      <c r="N65" s="3"/>
      <c r="O65" s="3"/>
      <c r="P65" s="3"/>
      <c r="Q65" s="3"/>
    </row>
    <row r="66" spans="1:17" ht="15">
      <c r="A66" s="11"/>
      <c r="B66" s="11"/>
      <c r="C66" s="11"/>
      <c r="D66" s="11"/>
      <c r="E66" s="11"/>
      <c r="F66" s="11"/>
      <c r="G66" s="11"/>
      <c r="H66" s="11"/>
      <c r="I66" s="3"/>
      <c r="J66" s="3"/>
      <c r="K66" s="3"/>
      <c r="L66" s="3"/>
      <c r="M66" s="3"/>
      <c r="N66" s="3"/>
      <c r="O66" s="3"/>
      <c r="P66" s="3"/>
      <c r="Q66" s="3"/>
    </row>
    <row r="67" spans="1:17" ht="15">
      <c r="A67" s="11"/>
      <c r="B67" s="11"/>
      <c r="C67" s="11"/>
      <c r="D67" s="11"/>
      <c r="E67" s="11"/>
      <c r="F67" s="11"/>
      <c r="G67" s="11"/>
      <c r="H67" s="11"/>
      <c r="I67" s="3"/>
      <c r="J67" s="3"/>
      <c r="K67" s="3"/>
      <c r="L67" s="3"/>
      <c r="M67" s="3"/>
      <c r="N67" s="3"/>
      <c r="O67" s="3"/>
      <c r="P67" s="3"/>
      <c r="Q67" s="3"/>
    </row>
    <row r="68" spans="1:17" ht="15">
      <c r="A68" s="11"/>
      <c r="B68" s="11"/>
      <c r="C68" s="11"/>
      <c r="D68" s="11"/>
      <c r="E68" s="11"/>
      <c r="F68" s="11"/>
      <c r="G68" s="11"/>
      <c r="H68" s="11"/>
      <c r="I68" s="3"/>
      <c r="J68" s="3"/>
      <c r="K68" s="3"/>
      <c r="L68" s="3"/>
      <c r="M68" s="3"/>
      <c r="N68" s="3"/>
      <c r="O68" s="3"/>
      <c r="P68" s="3"/>
      <c r="Q68" s="3"/>
    </row>
    <row r="69" spans="1:17" ht="15">
      <c r="A69" s="11"/>
      <c r="B69" s="11"/>
      <c r="C69" s="11"/>
      <c r="D69" s="11"/>
      <c r="E69" s="11"/>
      <c r="F69" s="11"/>
      <c r="G69" s="11"/>
      <c r="H69" s="11"/>
      <c r="I69" s="3"/>
      <c r="J69" s="3"/>
      <c r="K69" s="3"/>
      <c r="L69" s="3"/>
      <c r="M69" s="3"/>
      <c r="N69" s="3"/>
      <c r="O69" s="3"/>
      <c r="P69" s="3"/>
      <c r="Q69" s="3"/>
    </row>
    <row r="70" spans="1:17" ht="15">
      <c r="A70" s="11"/>
      <c r="B70" s="11"/>
      <c r="C70" s="11"/>
      <c r="D70" s="11"/>
      <c r="E70" s="11"/>
      <c r="F70" s="11"/>
      <c r="G70" s="11"/>
      <c r="H70" s="11"/>
      <c r="I70" s="3"/>
      <c r="J70" s="3"/>
      <c r="K70" s="3"/>
      <c r="L70" s="3"/>
      <c r="M70" s="3"/>
      <c r="N70" s="3"/>
      <c r="O70" s="3"/>
      <c r="P70" s="3"/>
      <c r="Q70" s="3"/>
    </row>
    <row r="71" spans="1:17" ht="15">
      <c r="A71" s="11"/>
      <c r="B71" s="11"/>
      <c r="C71" s="11"/>
      <c r="D71" s="11"/>
      <c r="E71" s="11"/>
      <c r="F71" s="11"/>
      <c r="G71" s="11"/>
      <c r="H71" s="11"/>
      <c r="I71" s="3"/>
      <c r="J71" s="3"/>
      <c r="K71" s="3"/>
      <c r="L71" s="3"/>
      <c r="M71" s="3"/>
      <c r="N71" s="3"/>
      <c r="O71" s="3"/>
      <c r="P71" s="3"/>
      <c r="Q71" s="3"/>
    </row>
    <row r="72" spans="1:17" ht="15">
      <c r="A72" s="11"/>
      <c r="B72" s="11"/>
      <c r="C72" s="11"/>
      <c r="D72" s="11"/>
      <c r="E72" s="11"/>
      <c r="F72" s="11"/>
      <c r="G72" s="11"/>
      <c r="H72" s="11"/>
      <c r="I72" s="3"/>
      <c r="J72" s="3"/>
      <c r="K72" s="3"/>
      <c r="L72" s="3"/>
      <c r="M72" s="3"/>
      <c r="N72" s="3"/>
      <c r="O72" s="3"/>
      <c r="P72" s="3"/>
      <c r="Q72" s="3"/>
    </row>
    <row r="73" spans="1:17" ht="15">
      <c r="A73" s="11"/>
      <c r="B73" s="11"/>
      <c r="C73" s="11"/>
      <c r="D73" s="11"/>
      <c r="E73" s="11"/>
      <c r="F73" s="11"/>
      <c r="G73" s="11"/>
      <c r="H73" s="11"/>
      <c r="I73" s="3"/>
      <c r="J73" s="3"/>
      <c r="K73" s="3"/>
      <c r="L73" s="3"/>
      <c r="M73" s="3"/>
      <c r="N73" s="3"/>
      <c r="O73" s="3"/>
      <c r="P73" s="3"/>
      <c r="Q73" s="3"/>
    </row>
    <row r="74" spans="1:17" ht="15">
      <c r="A74" s="11"/>
      <c r="B74" s="11"/>
      <c r="C74" s="11"/>
      <c r="D74" s="11"/>
      <c r="E74" s="11"/>
      <c r="F74" s="11"/>
      <c r="G74" s="11"/>
      <c r="H74" s="11"/>
      <c r="I74" s="3"/>
      <c r="J74" s="3"/>
      <c r="K74" s="3"/>
      <c r="L74" s="3"/>
      <c r="M74" s="3"/>
      <c r="N74" s="3"/>
      <c r="O74" s="3"/>
      <c r="P74" s="3"/>
      <c r="Q74" s="3"/>
    </row>
    <row r="75" spans="1:17" ht="15">
      <c r="A75" s="11"/>
      <c r="B75" s="11"/>
      <c r="C75" s="11"/>
      <c r="D75" s="11"/>
      <c r="E75" s="11"/>
      <c r="F75" s="11"/>
      <c r="G75" s="11"/>
      <c r="H75" s="11"/>
      <c r="I75" s="3"/>
      <c r="J75" s="3"/>
      <c r="K75" s="3"/>
      <c r="L75" s="3"/>
      <c r="M75" s="3"/>
      <c r="N75" s="3"/>
      <c r="O75" s="3"/>
      <c r="P75" s="3"/>
      <c r="Q75" s="3"/>
    </row>
    <row r="76" spans="1:17" ht="15">
      <c r="A76" s="11"/>
      <c r="B76" s="11"/>
      <c r="C76" s="11"/>
      <c r="D76" s="11"/>
      <c r="E76" s="11"/>
      <c r="F76" s="11"/>
      <c r="G76" s="11"/>
      <c r="H76" s="11"/>
      <c r="I76" s="3"/>
      <c r="J76" s="3"/>
      <c r="K76" s="3"/>
      <c r="L76" s="3"/>
      <c r="M76" s="3"/>
      <c r="N76" s="3"/>
      <c r="O76" s="3"/>
      <c r="P76" s="3"/>
      <c r="Q76" s="3"/>
    </row>
    <row r="77" spans="1:17" ht="15">
      <c r="A77" s="11"/>
      <c r="B77" s="11"/>
      <c r="C77" s="11"/>
      <c r="D77" s="11"/>
      <c r="E77" s="11"/>
      <c r="F77" s="11"/>
      <c r="G77" s="11"/>
      <c r="H77" s="11"/>
      <c r="I77" s="3"/>
      <c r="J77" s="3"/>
      <c r="K77" s="3"/>
      <c r="L77" s="3"/>
      <c r="M77" s="3"/>
      <c r="N77" s="3"/>
      <c r="O77" s="3"/>
      <c r="P77" s="3"/>
      <c r="Q77" s="3"/>
    </row>
    <row r="78" spans="1:17" ht="15">
      <c r="A78" s="11"/>
      <c r="B78" s="11"/>
      <c r="C78" s="11"/>
      <c r="D78" s="11"/>
      <c r="E78" s="11"/>
      <c r="F78" s="11"/>
      <c r="G78" s="11"/>
      <c r="H78" s="11"/>
      <c r="I78" s="3"/>
      <c r="J78" s="3"/>
      <c r="K78" s="3"/>
      <c r="L78" s="3"/>
      <c r="M78" s="3"/>
      <c r="N78" s="3"/>
      <c r="O78" s="3"/>
      <c r="P78" s="3"/>
      <c r="Q78" s="3"/>
    </row>
    <row r="79" spans="1:17" ht="15">
      <c r="A79" s="11"/>
      <c r="B79" s="11"/>
      <c r="C79" s="11"/>
      <c r="D79" s="11"/>
      <c r="E79" s="11"/>
      <c r="F79" s="11"/>
      <c r="G79" s="11"/>
      <c r="H79" s="11"/>
      <c r="I79" s="3"/>
      <c r="J79" s="3"/>
      <c r="K79" s="3"/>
      <c r="L79" s="3"/>
      <c r="M79" s="3"/>
      <c r="N79" s="3"/>
      <c r="O79" s="3"/>
      <c r="P79" s="3"/>
      <c r="Q79" s="3"/>
    </row>
    <row r="80" spans="1:17" ht="15">
      <c r="A80" s="11"/>
      <c r="B80" s="11"/>
      <c r="C80" s="11"/>
      <c r="D80" s="11"/>
      <c r="E80" s="11"/>
      <c r="F80" s="11"/>
      <c r="G80" s="11"/>
      <c r="H80" s="11"/>
      <c r="I80" s="3"/>
      <c r="J80" s="3"/>
      <c r="K80" s="3"/>
      <c r="L80" s="3"/>
      <c r="M80" s="3"/>
      <c r="N80" s="3"/>
      <c r="O80" s="3"/>
      <c r="P80" s="3"/>
      <c r="Q80" s="3"/>
    </row>
    <row r="81" spans="1:17" ht="15">
      <c r="A81" s="11"/>
      <c r="B81" s="11"/>
      <c r="C81" s="11"/>
      <c r="D81" s="11"/>
      <c r="E81" s="11"/>
      <c r="F81" s="11"/>
      <c r="G81" s="11"/>
      <c r="H81" s="11"/>
      <c r="I81" s="3"/>
      <c r="J81" s="3"/>
      <c r="K81" s="3"/>
      <c r="L81" s="3"/>
      <c r="M81" s="3"/>
      <c r="N81" s="3"/>
      <c r="O81" s="3"/>
      <c r="P81" s="3"/>
      <c r="Q81" s="3"/>
    </row>
    <row r="82" spans="1:17" ht="15">
      <c r="A82" s="11"/>
      <c r="B82" s="11"/>
      <c r="C82" s="11"/>
      <c r="D82" s="11"/>
      <c r="E82" s="11"/>
      <c r="F82" s="11"/>
      <c r="G82" s="11"/>
      <c r="H82" s="11"/>
      <c r="I82" s="3"/>
      <c r="J82" s="3"/>
      <c r="K82" s="3"/>
      <c r="L82" s="3"/>
      <c r="M82" s="3"/>
      <c r="N82" s="3"/>
      <c r="O82" s="3"/>
      <c r="P82" s="3"/>
      <c r="Q82" s="3"/>
    </row>
    <row r="83" spans="1:17" ht="15">
      <c r="A83" s="11"/>
      <c r="B83" s="11"/>
      <c r="C83" s="11"/>
      <c r="D83" s="11"/>
      <c r="E83" s="11"/>
      <c r="F83" s="11"/>
      <c r="G83" s="11"/>
      <c r="H83" s="11"/>
      <c r="I83" s="3"/>
      <c r="J83" s="3"/>
      <c r="K83" s="3"/>
      <c r="L83" s="3"/>
      <c r="M83" s="3"/>
      <c r="N83" s="3"/>
      <c r="O83" s="3"/>
      <c r="P83" s="3"/>
      <c r="Q83" s="3"/>
    </row>
    <row r="84" spans="1:17" ht="15">
      <c r="A84" s="11"/>
      <c r="B84" s="11"/>
      <c r="C84" s="11"/>
      <c r="D84" s="11"/>
      <c r="E84" s="11"/>
      <c r="F84" s="11"/>
      <c r="G84" s="11"/>
      <c r="H84" s="11"/>
      <c r="I84" s="3"/>
      <c r="J84" s="3"/>
      <c r="K84" s="3"/>
      <c r="L84" s="3"/>
      <c r="M84" s="3"/>
      <c r="N84" s="3"/>
      <c r="O84" s="3"/>
      <c r="P84" s="3"/>
      <c r="Q84" s="3"/>
    </row>
    <row r="85" spans="1:17" ht="15">
      <c r="A85" s="11"/>
      <c r="B85" s="11"/>
      <c r="C85" s="11"/>
      <c r="D85" s="11"/>
      <c r="E85" s="11"/>
      <c r="F85" s="11"/>
      <c r="G85" s="11"/>
      <c r="H85" s="11"/>
      <c r="I85" s="3"/>
      <c r="J85" s="3"/>
      <c r="K85" s="3"/>
      <c r="L85" s="3"/>
      <c r="M85" s="3"/>
      <c r="N85" s="3"/>
      <c r="O85" s="3"/>
      <c r="P85" s="3"/>
      <c r="Q85" s="3"/>
    </row>
    <row r="86" spans="1:17" ht="15">
      <c r="A86" s="11"/>
      <c r="B86" s="11"/>
      <c r="C86" s="11"/>
      <c r="D86" s="11"/>
      <c r="E86" s="11"/>
      <c r="F86" s="11"/>
      <c r="G86" s="11"/>
      <c r="H86" s="11"/>
      <c r="I86" s="3"/>
      <c r="J86" s="3"/>
      <c r="K86" s="3"/>
      <c r="L86" s="3"/>
      <c r="M86" s="3"/>
      <c r="N86" s="3"/>
      <c r="O86" s="3"/>
      <c r="P86" s="3"/>
      <c r="Q86" s="3"/>
    </row>
    <row r="87" spans="1:17" ht="15">
      <c r="A87" s="11"/>
      <c r="B87" s="11"/>
      <c r="C87" s="11"/>
      <c r="D87" s="11"/>
      <c r="E87" s="11"/>
      <c r="F87" s="11"/>
      <c r="G87" s="11"/>
      <c r="H87" s="11"/>
      <c r="I87" s="3"/>
      <c r="J87" s="3"/>
      <c r="K87" s="3"/>
      <c r="L87" s="3"/>
      <c r="M87" s="3"/>
      <c r="N87" s="3"/>
      <c r="O87" s="3"/>
      <c r="P87" s="3"/>
      <c r="Q87" s="3"/>
    </row>
    <row r="88" spans="1:17" ht="15">
      <c r="A88" s="11"/>
      <c r="B88" s="11"/>
      <c r="C88" s="11"/>
      <c r="D88" s="11"/>
      <c r="E88" s="11"/>
      <c r="F88" s="11"/>
      <c r="G88" s="11"/>
      <c r="H88" s="11"/>
      <c r="I88" s="3"/>
      <c r="J88" s="3"/>
      <c r="K88" s="3"/>
      <c r="L88" s="3"/>
      <c r="M88" s="3"/>
      <c r="N88" s="3"/>
      <c r="O88" s="3"/>
      <c r="P88" s="3"/>
      <c r="Q88" s="3"/>
    </row>
    <row r="89" spans="1:17" ht="15">
      <c r="A89" s="11"/>
      <c r="B89" s="11"/>
      <c r="C89" s="11"/>
      <c r="D89" s="11"/>
      <c r="E89" s="11"/>
      <c r="F89" s="11"/>
      <c r="G89" s="11"/>
      <c r="H89" s="11"/>
      <c r="I89" s="3"/>
      <c r="J89" s="3"/>
      <c r="K89" s="3"/>
      <c r="L89" s="3"/>
      <c r="M89" s="3"/>
      <c r="N89" s="3"/>
      <c r="O89" s="3"/>
      <c r="P89" s="3"/>
      <c r="Q89" s="3"/>
    </row>
    <row r="90" spans="1:17" ht="15">
      <c r="A90" s="11"/>
      <c r="B90" s="11"/>
      <c r="C90" s="11"/>
      <c r="D90" s="11"/>
      <c r="E90" s="11"/>
      <c r="F90" s="11"/>
      <c r="G90" s="11"/>
      <c r="H90" s="11"/>
      <c r="I90" s="3"/>
      <c r="J90" s="3"/>
      <c r="K90" s="3"/>
      <c r="L90" s="3"/>
      <c r="M90" s="3"/>
      <c r="N90" s="3"/>
      <c r="O90" s="3"/>
      <c r="P90" s="3"/>
      <c r="Q90" s="3"/>
    </row>
    <row r="91" spans="1:17" ht="15">
      <c r="A91" s="11"/>
      <c r="B91" s="11"/>
      <c r="C91" s="11"/>
      <c r="D91" s="11"/>
      <c r="E91" s="11"/>
      <c r="F91" s="11"/>
      <c r="G91" s="11"/>
      <c r="H91" s="11"/>
      <c r="I91" s="3"/>
      <c r="J91" s="3"/>
      <c r="K91" s="3"/>
      <c r="L91" s="3"/>
      <c r="M91" s="3"/>
      <c r="N91" s="3"/>
      <c r="O91" s="3"/>
      <c r="P91" s="3"/>
      <c r="Q91" s="3"/>
    </row>
    <row r="92" spans="1:17" ht="15">
      <c r="A92" s="11"/>
      <c r="B92" s="11"/>
      <c r="C92" s="11"/>
      <c r="D92" s="11"/>
      <c r="E92" s="11"/>
      <c r="F92" s="11"/>
      <c r="G92" s="11"/>
      <c r="H92" s="11"/>
      <c r="I92" s="3"/>
      <c r="J92" s="3"/>
      <c r="K92" s="3"/>
      <c r="L92" s="3"/>
      <c r="M92" s="3"/>
      <c r="N92" s="3"/>
      <c r="O92" s="3"/>
      <c r="P92" s="3"/>
      <c r="Q92" s="3"/>
    </row>
    <row r="93" spans="1:17" ht="15">
      <c r="A93" s="11"/>
      <c r="B93" s="11"/>
      <c r="C93" s="11"/>
      <c r="D93" s="11"/>
      <c r="E93" s="11"/>
      <c r="F93" s="11"/>
      <c r="G93" s="11"/>
      <c r="H93" s="11"/>
      <c r="I93" s="3"/>
      <c r="J93" s="3"/>
      <c r="K93" s="3"/>
      <c r="L93" s="3"/>
      <c r="M93" s="3"/>
      <c r="N93" s="3"/>
      <c r="O93" s="3"/>
      <c r="P93" s="3"/>
      <c r="Q93" s="3"/>
    </row>
    <row r="94" spans="1:17" ht="15">
      <c r="A94" s="11"/>
      <c r="B94" s="11"/>
      <c r="C94" s="11"/>
      <c r="D94" s="11"/>
      <c r="E94" s="11"/>
      <c r="F94" s="11"/>
      <c r="G94" s="11"/>
      <c r="H94" s="11"/>
      <c r="I94" s="3"/>
      <c r="J94" s="3"/>
      <c r="K94" s="3"/>
      <c r="L94" s="3"/>
      <c r="M94" s="3"/>
      <c r="N94" s="3"/>
      <c r="O94" s="3"/>
      <c r="P94" s="3"/>
      <c r="Q94" s="3"/>
    </row>
    <row r="95" spans="1:17" ht="15">
      <c r="A95" s="11"/>
      <c r="B95" s="11"/>
      <c r="C95" s="11"/>
      <c r="D95" s="11"/>
      <c r="E95" s="11"/>
      <c r="F95" s="11"/>
      <c r="G95" s="11"/>
      <c r="H95" s="11"/>
      <c r="I95" s="3"/>
      <c r="J95" s="3"/>
      <c r="K95" s="3"/>
      <c r="L95" s="3"/>
      <c r="M95" s="3"/>
      <c r="N95" s="3"/>
      <c r="O95" s="3"/>
      <c r="P95" s="3"/>
      <c r="Q95" s="3"/>
    </row>
    <row r="96" spans="1:17" ht="15">
      <c r="A96" s="11"/>
      <c r="B96" s="11"/>
      <c r="C96" s="11"/>
      <c r="D96" s="11"/>
      <c r="E96" s="11"/>
      <c r="F96" s="11"/>
      <c r="G96" s="11"/>
      <c r="H96" s="11"/>
      <c r="I96" s="3"/>
      <c r="J96" s="3"/>
      <c r="K96" s="3"/>
      <c r="L96" s="3"/>
      <c r="M96" s="3"/>
      <c r="N96" s="3"/>
      <c r="O96" s="3"/>
      <c r="P96" s="3"/>
      <c r="Q96" s="3"/>
    </row>
    <row r="97" spans="1:17" ht="15">
      <c r="A97" s="11"/>
      <c r="B97" s="11"/>
      <c r="C97" s="11"/>
      <c r="D97" s="11"/>
      <c r="E97" s="11"/>
      <c r="F97" s="11"/>
      <c r="G97" s="11"/>
      <c r="H97" s="11"/>
      <c r="I97" s="3"/>
      <c r="J97" s="3"/>
      <c r="K97" s="3"/>
      <c r="L97" s="3"/>
      <c r="M97" s="3"/>
      <c r="N97" s="3"/>
      <c r="O97" s="3"/>
      <c r="P97" s="3"/>
      <c r="Q97" s="3"/>
    </row>
    <row r="98" spans="1:17" ht="15">
      <c r="A98" s="11"/>
      <c r="B98" s="11"/>
      <c r="C98" s="11"/>
      <c r="D98" s="11"/>
      <c r="E98" s="11"/>
      <c r="F98" s="11"/>
      <c r="G98" s="11"/>
      <c r="H98" s="11"/>
      <c r="I98" s="3"/>
      <c r="J98" s="3"/>
      <c r="K98" s="3"/>
      <c r="L98" s="3"/>
      <c r="M98" s="3"/>
      <c r="N98" s="3"/>
      <c r="O98" s="3"/>
      <c r="P98" s="3"/>
      <c r="Q98" s="3"/>
    </row>
    <row r="99" spans="1:17" ht="15">
      <c r="A99" s="11"/>
      <c r="B99" s="11"/>
      <c r="C99" s="11"/>
      <c r="D99" s="11"/>
      <c r="E99" s="11"/>
      <c r="F99" s="11"/>
      <c r="G99" s="11"/>
      <c r="H99" s="11"/>
      <c r="I99" s="3"/>
      <c r="J99" s="3"/>
      <c r="K99" s="3"/>
      <c r="L99" s="3"/>
      <c r="M99" s="3"/>
      <c r="N99" s="3"/>
      <c r="O99" s="3"/>
      <c r="P99" s="3"/>
      <c r="Q99" s="3"/>
    </row>
    <row r="100" spans="1:17" ht="15">
      <c r="A100" s="11"/>
      <c r="B100" s="11"/>
      <c r="C100" s="11"/>
      <c r="D100" s="11"/>
      <c r="E100" s="11"/>
      <c r="F100" s="11"/>
      <c r="G100" s="11"/>
      <c r="H100" s="11"/>
      <c r="I100" s="3"/>
      <c r="J100" s="3"/>
      <c r="K100" s="3"/>
      <c r="L100" s="3"/>
      <c r="M100" s="3"/>
      <c r="N100" s="3"/>
      <c r="O100" s="3"/>
      <c r="P100" s="3"/>
      <c r="Q100" s="3"/>
    </row>
    <row r="101" spans="1:17" ht="15">
      <c r="A101" s="11"/>
      <c r="B101" s="11"/>
      <c r="C101" s="11"/>
      <c r="D101" s="11"/>
      <c r="E101" s="11"/>
      <c r="F101" s="11"/>
      <c r="G101" s="11"/>
      <c r="H101" s="11"/>
      <c r="I101" s="3"/>
      <c r="J101" s="3"/>
      <c r="K101" s="3"/>
      <c r="L101" s="3"/>
      <c r="M101" s="3"/>
      <c r="N101" s="3"/>
      <c r="O101" s="3"/>
      <c r="P101" s="3"/>
      <c r="Q101" s="3"/>
    </row>
    <row r="102" spans="1:17" ht="15">
      <c r="A102" s="11"/>
      <c r="B102" s="11"/>
      <c r="C102" s="11"/>
      <c r="D102" s="11"/>
      <c r="E102" s="11"/>
      <c r="F102" s="11"/>
      <c r="G102" s="11"/>
      <c r="H102" s="11"/>
      <c r="I102" s="3"/>
      <c r="J102" s="3"/>
      <c r="K102" s="3"/>
      <c r="L102" s="3"/>
      <c r="M102" s="3"/>
      <c r="N102" s="3"/>
      <c r="O102" s="3"/>
      <c r="P102" s="3"/>
      <c r="Q102" s="3"/>
    </row>
    <row r="103" spans="1:17" ht="15">
      <c r="A103" s="11"/>
      <c r="B103" s="11"/>
      <c r="C103" s="11"/>
      <c r="D103" s="11"/>
      <c r="E103" s="11"/>
      <c r="F103" s="11"/>
      <c r="G103" s="11"/>
      <c r="H103" s="11"/>
      <c r="I103" s="3"/>
      <c r="J103" s="3"/>
      <c r="K103" s="3"/>
      <c r="L103" s="3"/>
      <c r="M103" s="3"/>
      <c r="N103" s="3"/>
      <c r="O103" s="3"/>
      <c r="P103" s="3"/>
      <c r="Q103" s="3"/>
    </row>
    <row r="104" spans="1:17" ht="15">
      <c r="A104" s="11"/>
      <c r="B104" s="11"/>
      <c r="C104" s="11"/>
      <c r="D104" s="11"/>
      <c r="E104" s="11"/>
      <c r="F104" s="11"/>
      <c r="G104" s="11"/>
      <c r="H104" s="11"/>
      <c r="I104" s="3"/>
      <c r="J104" s="3"/>
      <c r="K104" s="3"/>
      <c r="L104" s="3"/>
      <c r="M104" s="3"/>
      <c r="N104" s="3"/>
      <c r="O104" s="3"/>
      <c r="P104" s="3"/>
      <c r="Q104" s="3"/>
    </row>
    <row r="105" spans="1:17" ht="15">
      <c r="A105" s="11"/>
      <c r="B105" s="11"/>
      <c r="C105" s="11"/>
      <c r="D105" s="11"/>
      <c r="E105" s="11"/>
      <c r="F105" s="11"/>
      <c r="G105" s="11"/>
      <c r="H105" s="11"/>
      <c r="I105" s="3"/>
      <c r="J105" s="3"/>
      <c r="K105" s="3"/>
      <c r="L105" s="3"/>
      <c r="M105" s="3"/>
      <c r="N105" s="3"/>
      <c r="O105" s="3"/>
      <c r="P105" s="3"/>
      <c r="Q105" s="3"/>
    </row>
    <row r="106" spans="1:17" ht="15">
      <c r="A106" s="11"/>
      <c r="B106" s="11"/>
      <c r="C106" s="11"/>
      <c r="D106" s="11"/>
      <c r="E106" s="11"/>
      <c r="F106" s="11"/>
      <c r="G106" s="11"/>
      <c r="H106" s="11"/>
      <c r="I106" s="3"/>
      <c r="J106" s="3"/>
      <c r="K106" s="3"/>
      <c r="L106" s="3"/>
      <c r="M106" s="3"/>
      <c r="N106" s="3"/>
      <c r="O106" s="3"/>
      <c r="P106" s="3"/>
      <c r="Q106" s="3"/>
    </row>
    <row r="107" spans="1:17" ht="15">
      <c r="A107" s="11"/>
      <c r="B107" s="11"/>
      <c r="C107" s="11"/>
      <c r="D107" s="11"/>
      <c r="E107" s="11"/>
      <c r="F107" s="11"/>
      <c r="G107" s="11"/>
      <c r="H107" s="11"/>
      <c r="I107" s="3"/>
      <c r="J107" s="3"/>
      <c r="K107" s="3"/>
      <c r="L107" s="3"/>
      <c r="M107" s="3"/>
      <c r="N107" s="3"/>
      <c r="O107" s="3"/>
      <c r="P107" s="3"/>
      <c r="Q107" s="3"/>
    </row>
    <row r="108" spans="1:17" ht="15">
      <c r="A108" s="11"/>
      <c r="B108" s="11"/>
      <c r="C108" s="11"/>
      <c r="D108" s="11"/>
      <c r="E108" s="11"/>
      <c r="F108" s="11"/>
      <c r="G108" s="11"/>
      <c r="H108" s="11"/>
      <c r="I108" s="3"/>
      <c r="J108" s="3"/>
      <c r="K108" s="3"/>
      <c r="L108" s="3"/>
      <c r="M108" s="3"/>
      <c r="N108" s="3"/>
      <c r="O108" s="3"/>
      <c r="P108" s="3"/>
      <c r="Q108" s="3"/>
    </row>
    <row r="109" spans="1:17" ht="15">
      <c r="A109" s="11"/>
      <c r="B109" s="11"/>
      <c r="C109" s="11"/>
      <c r="D109" s="11"/>
      <c r="E109" s="11"/>
      <c r="F109" s="11"/>
      <c r="G109" s="11"/>
      <c r="H109" s="11"/>
      <c r="I109" s="3"/>
      <c r="J109" s="3"/>
      <c r="K109" s="3"/>
      <c r="L109" s="3"/>
      <c r="M109" s="3"/>
      <c r="N109" s="3"/>
      <c r="O109" s="3"/>
      <c r="P109" s="3"/>
      <c r="Q109" s="3"/>
    </row>
    <row r="110" spans="1:17" ht="15">
      <c r="A110" s="11"/>
      <c r="B110" s="11"/>
      <c r="C110" s="11"/>
      <c r="D110" s="11"/>
      <c r="E110" s="11"/>
      <c r="F110" s="11"/>
      <c r="G110" s="11"/>
      <c r="H110" s="11"/>
      <c r="I110" s="3"/>
      <c r="J110" s="3"/>
      <c r="K110" s="3"/>
      <c r="L110" s="3"/>
      <c r="M110" s="3"/>
      <c r="N110" s="3"/>
      <c r="O110" s="3"/>
      <c r="P110" s="3"/>
      <c r="Q110" s="3"/>
    </row>
    <row r="111" spans="1:17" ht="15">
      <c r="A111" s="11"/>
      <c r="B111" s="11"/>
      <c r="C111" s="11"/>
      <c r="D111" s="11"/>
      <c r="E111" s="11"/>
      <c r="F111" s="11"/>
      <c r="G111" s="11"/>
      <c r="H111" s="11"/>
      <c r="I111" s="3"/>
      <c r="J111" s="3"/>
      <c r="K111" s="3"/>
      <c r="L111" s="3"/>
      <c r="M111" s="3"/>
      <c r="N111" s="3"/>
      <c r="O111" s="3"/>
      <c r="P111" s="3"/>
      <c r="Q111" s="3"/>
    </row>
    <row r="112" spans="1:17" ht="15">
      <c r="A112" s="11"/>
      <c r="B112" s="11"/>
      <c r="C112" s="11"/>
      <c r="D112" s="11"/>
      <c r="E112" s="11"/>
      <c r="F112" s="11"/>
      <c r="G112" s="11"/>
      <c r="H112" s="11"/>
      <c r="I112" s="3"/>
      <c r="J112" s="3"/>
      <c r="K112" s="3"/>
      <c r="L112" s="3"/>
      <c r="M112" s="3"/>
      <c r="N112" s="3"/>
      <c r="O112" s="3"/>
      <c r="P112" s="3"/>
      <c r="Q112" s="3"/>
    </row>
    <row r="113" spans="1:17" ht="15">
      <c r="A113" s="11"/>
      <c r="B113" s="11"/>
      <c r="C113" s="11"/>
      <c r="D113" s="11"/>
      <c r="E113" s="11"/>
      <c r="F113" s="11"/>
      <c r="G113" s="11"/>
      <c r="H113" s="11"/>
      <c r="I113" s="3"/>
      <c r="J113" s="3"/>
      <c r="K113" s="3"/>
      <c r="L113" s="3"/>
      <c r="M113" s="3"/>
      <c r="N113" s="3"/>
      <c r="O113" s="3"/>
      <c r="P113" s="3"/>
      <c r="Q113" s="3"/>
    </row>
    <row r="114" spans="1:17" ht="15">
      <c r="A114" s="11"/>
      <c r="B114" s="11"/>
      <c r="C114" s="11"/>
      <c r="D114" s="11"/>
      <c r="E114" s="11"/>
      <c r="F114" s="11"/>
      <c r="G114" s="11"/>
      <c r="H114" s="11"/>
      <c r="I114" s="3"/>
      <c r="J114" s="3"/>
      <c r="K114" s="3"/>
      <c r="L114" s="3"/>
      <c r="M114" s="3"/>
      <c r="N114" s="3"/>
      <c r="O114" s="3"/>
      <c r="P114" s="3"/>
      <c r="Q114" s="3"/>
    </row>
    <row r="115" spans="1:17" ht="15">
      <c r="A115" s="11"/>
      <c r="B115" s="11"/>
      <c r="C115" s="11"/>
      <c r="D115" s="11"/>
      <c r="E115" s="11"/>
      <c r="F115" s="11"/>
      <c r="G115" s="11"/>
      <c r="H115" s="11"/>
      <c r="I115" s="3"/>
      <c r="J115" s="3"/>
      <c r="K115" s="3"/>
      <c r="L115" s="3"/>
      <c r="M115" s="3"/>
      <c r="N115" s="3"/>
      <c r="O115" s="3"/>
      <c r="P115" s="3"/>
      <c r="Q115" s="3"/>
    </row>
    <row r="116" spans="1:17" ht="15">
      <c r="A116" s="11"/>
      <c r="B116" s="11"/>
      <c r="C116" s="11"/>
      <c r="D116" s="11"/>
      <c r="E116" s="11"/>
      <c r="F116" s="11"/>
      <c r="G116" s="11"/>
      <c r="H116" s="11"/>
      <c r="I116" s="3"/>
      <c r="J116" s="3"/>
      <c r="K116" s="3"/>
      <c r="L116" s="3"/>
      <c r="M116" s="3"/>
      <c r="N116" s="3"/>
      <c r="O116" s="3"/>
      <c r="P116" s="3"/>
      <c r="Q116" s="3"/>
    </row>
    <row r="117" spans="1:17" ht="15">
      <c r="A117" s="11"/>
      <c r="B117" s="11"/>
      <c r="C117" s="11"/>
      <c r="D117" s="11"/>
      <c r="E117" s="11"/>
      <c r="F117" s="11"/>
      <c r="G117" s="11"/>
      <c r="H117" s="11"/>
      <c r="I117" s="3"/>
      <c r="J117" s="3"/>
      <c r="K117" s="3"/>
      <c r="L117" s="3"/>
      <c r="M117" s="3"/>
      <c r="N117" s="3"/>
      <c r="O117" s="3"/>
      <c r="P117" s="3"/>
      <c r="Q117" s="3"/>
    </row>
    <row r="118" spans="1:17" ht="15">
      <c r="A118" s="11"/>
      <c r="B118" s="11"/>
      <c r="C118" s="11"/>
      <c r="D118" s="11"/>
      <c r="E118" s="11"/>
      <c r="F118" s="11"/>
      <c r="G118" s="11"/>
      <c r="H118" s="11"/>
      <c r="I118" s="3"/>
      <c r="J118" s="3"/>
      <c r="K118" s="3"/>
      <c r="L118" s="3"/>
      <c r="M118" s="3"/>
      <c r="N118" s="3"/>
      <c r="O118" s="3"/>
      <c r="P118" s="3"/>
      <c r="Q118" s="3"/>
    </row>
    <row r="119" spans="1:17" ht="15">
      <c r="A119" s="11"/>
      <c r="B119" s="11"/>
      <c r="C119" s="11"/>
      <c r="D119" s="11"/>
      <c r="E119" s="11"/>
      <c r="F119" s="11"/>
      <c r="G119" s="11"/>
      <c r="H119" s="11"/>
      <c r="I119" s="3"/>
      <c r="J119" s="3"/>
      <c r="K119" s="3"/>
      <c r="L119" s="3"/>
      <c r="M119" s="3"/>
      <c r="N119" s="3"/>
      <c r="O119" s="3"/>
      <c r="P119" s="3"/>
      <c r="Q119" s="3"/>
    </row>
    <row r="120" spans="1:17" ht="15">
      <c r="A120" s="11"/>
      <c r="B120" s="11"/>
      <c r="C120" s="11"/>
      <c r="D120" s="11"/>
      <c r="E120" s="11"/>
      <c r="F120" s="11"/>
      <c r="G120" s="11"/>
      <c r="H120" s="11"/>
      <c r="I120" s="3"/>
      <c r="J120" s="3"/>
      <c r="K120" s="3"/>
      <c r="L120" s="3"/>
      <c r="M120" s="3"/>
      <c r="N120" s="3"/>
      <c r="O120" s="3"/>
      <c r="P120" s="3"/>
      <c r="Q120" s="3"/>
    </row>
    <row r="121" spans="1:17" ht="15">
      <c r="A121" s="11"/>
      <c r="B121" s="11"/>
      <c r="C121" s="11"/>
      <c r="D121" s="11"/>
      <c r="E121" s="11"/>
      <c r="F121" s="11"/>
      <c r="G121" s="11"/>
      <c r="H121" s="11"/>
      <c r="I121" s="3"/>
      <c r="J121" s="3"/>
      <c r="K121" s="3"/>
      <c r="L121" s="3"/>
      <c r="M121" s="3"/>
      <c r="N121" s="3"/>
      <c r="O121" s="3"/>
      <c r="P121" s="3"/>
      <c r="Q121" s="3"/>
    </row>
    <row r="122" spans="1:17" ht="15">
      <c r="A122" s="11"/>
      <c r="B122" s="11"/>
      <c r="C122" s="11"/>
      <c r="D122" s="11"/>
      <c r="E122" s="11"/>
      <c r="F122" s="11"/>
      <c r="G122" s="11"/>
      <c r="H122" s="11"/>
      <c r="I122" s="3"/>
      <c r="J122" s="3"/>
      <c r="K122" s="3"/>
      <c r="L122" s="3"/>
      <c r="M122" s="3"/>
      <c r="N122" s="3"/>
      <c r="O122" s="3"/>
      <c r="P122" s="3"/>
      <c r="Q122" s="3"/>
    </row>
    <row r="123" spans="1:17" ht="15">
      <c r="A123" s="11"/>
      <c r="B123" s="11"/>
      <c r="C123" s="11"/>
      <c r="D123" s="11"/>
      <c r="E123" s="11"/>
      <c r="F123" s="11"/>
      <c r="G123" s="11"/>
      <c r="H123" s="11"/>
      <c r="I123" s="3"/>
      <c r="J123" s="3"/>
      <c r="K123" s="3"/>
      <c r="L123" s="3"/>
      <c r="M123" s="3"/>
      <c r="N123" s="3"/>
      <c r="O123" s="3"/>
      <c r="P123" s="3"/>
      <c r="Q123" s="3"/>
    </row>
    <row r="124" spans="1:17" ht="15">
      <c r="A124" s="11"/>
      <c r="B124" s="11"/>
      <c r="C124" s="11"/>
      <c r="D124" s="11"/>
      <c r="E124" s="11"/>
      <c r="F124" s="11"/>
      <c r="G124" s="11"/>
      <c r="H124" s="11"/>
      <c r="I124" s="3"/>
      <c r="J124" s="3"/>
      <c r="K124" s="3"/>
      <c r="L124" s="3"/>
      <c r="M124" s="3"/>
      <c r="N124" s="3"/>
      <c r="O124" s="3"/>
      <c r="P124" s="3"/>
      <c r="Q124" s="3"/>
    </row>
    <row r="125" spans="1:17" ht="15">
      <c r="A125" s="11"/>
      <c r="B125" s="11"/>
      <c r="C125" s="11"/>
      <c r="D125" s="11"/>
      <c r="E125" s="11"/>
      <c r="F125" s="11"/>
      <c r="G125" s="11"/>
      <c r="H125" s="11"/>
      <c r="I125" s="3"/>
      <c r="J125" s="3"/>
      <c r="K125" s="3"/>
      <c r="L125" s="3"/>
      <c r="M125" s="3"/>
      <c r="N125" s="3"/>
      <c r="O125" s="3"/>
      <c r="P125" s="3"/>
      <c r="Q125" s="3"/>
    </row>
    <row r="126" spans="1:17" ht="15">
      <c r="A126" s="11"/>
      <c r="B126" s="11"/>
      <c r="C126" s="11"/>
      <c r="D126" s="11"/>
      <c r="E126" s="11"/>
      <c r="F126" s="11"/>
      <c r="G126" s="11"/>
      <c r="H126" s="11"/>
      <c r="I126" s="3"/>
      <c r="J126" s="3"/>
      <c r="K126" s="3"/>
      <c r="L126" s="3"/>
      <c r="M126" s="3"/>
      <c r="N126" s="3"/>
      <c r="O126" s="3"/>
      <c r="P126" s="3"/>
      <c r="Q126" s="3"/>
    </row>
    <row r="127" spans="1:17" ht="15">
      <c r="A127" s="11"/>
      <c r="B127" s="11"/>
      <c r="C127" s="11"/>
      <c r="D127" s="11"/>
      <c r="E127" s="11"/>
      <c r="F127" s="11"/>
      <c r="G127" s="11"/>
      <c r="H127" s="11"/>
      <c r="I127" s="3"/>
      <c r="J127" s="3"/>
      <c r="K127" s="3"/>
      <c r="L127" s="3"/>
      <c r="M127" s="3"/>
      <c r="N127" s="3"/>
      <c r="O127" s="3"/>
      <c r="P127" s="3"/>
      <c r="Q127" s="3"/>
    </row>
    <row r="128" spans="1:17" ht="15">
      <c r="A128" s="11"/>
      <c r="B128" s="11"/>
      <c r="C128" s="11"/>
      <c r="D128" s="11"/>
      <c r="E128" s="11"/>
      <c r="F128" s="11"/>
      <c r="G128" s="11"/>
      <c r="H128" s="11"/>
      <c r="I128" s="3"/>
      <c r="J128" s="3"/>
      <c r="K128" s="3"/>
      <c r="L128" s="3"/>
      <c r="M128" s="3"/>
      <c r="N128" s="3"/>
      <c r="O128" s="3"/>
      <c r="P128" s="3"/>
      <c r="Q128" s="3"/>
    </row>
    <row r="129" spans="1:17" ht="15">
      <c r="A129" s="11"/>
      <c r="B129" s="11"/>
      <c r="C129" s="11"/>
      <c r="D129" s="11"/>
      <c r="E129" s="11"/>
      <c r="F129" s="11"/>
      <c r="G129" s="11"/>
      <c r="H129" s="11"/>
      <c r="I129" s="3"/>
      <c r="J129" s="3"/>
      <c r="K129" s="3"/>
      <c r="L129" s="3"/>
      <c r="M129" s="3"/>
      <c r="N129" s="3"/>
      <c r="O129" s="3"/>
      <c r="P129" s="3"/>
      <c r="Q129" s="3"/>
    </row>
    <row r="130" spans="1:17" ht="15">
      <c r="A130" s="11"/>
      <c r="B130" s="11"/>
      <c r="C130" s="11"/>
      <c r="D130" s="11"/>
      <c r="E130" s="11"/>
      <c r="F130" s="11"/>
      <c r="G130" s="11"/>
      <c r="H130" s="11"/>
      <c r="I130" s="3"/>
      <c r="J130" s="3"/>
      <c r="K130" s="3"/>
      <c r="L130" s="3"/>
      <c r="M130" s="3"/>
      <c r="N130" s="3"/>
      <c r="O130" s="3"/>
      <c r="P130" s="3"/>
      <c r="Q130" s="3"/>
    </row>
    <row r="131" spans="1:17" ht="15">
      <c r="A131" s="11"/>
      <c r="B131" s="11"/>
      <c r="C131" s="11"/>
      <c r="D131" s="11"/>
      <c r="E131" s="11"/>
      <c r="F131" s="11"/>
      <c r="G131" s="11"/>
      <c r="H131" s="11"/>
      <c r="I131" s="3"/>
      <c r="J131" s="3"/>
      <c r="K131" s="3"/>
      <c r="L131" s="3"/>
      <c r="M131" s="3"/>
      <c r="N131" s="3"/>
      <c r="O131" s="3"/>
      <c r="P131" s="3"/>
      <c r="Q131" s="3"/>
    </row>
    <row r="132" spans="1:17" ht="15">
      <c r="A132" s="11"/>
      <c r="B132" s="11"/>
      <c r="C132" s="11"/>
      <c r="D132" s="11"/>
      <c r="E132" s="11"/>
      <c r="F132" s="11"/>
      <c r="G132" s="11"/>
      <c r="H132" s="11"/>
      <c r="I132" s="3"/>
      <c r="J132" s="3"/>
      <c r="K132" s="3"/>
      <c r="L132" s="3"/>
      <c r="M132" s="3"/>
      <c r="N132" s="3"/>
      <c r="O132" s="3"/>
      <c r="P132" s="3"/>
      <c r="Q132" s="3"/>
    </row>
    <row r="133" spans="1:17" ht="15">
      <c r="A133" s="11"/>
      <c r="B133" s="11"/>
      <c r="C133" s="11"/>
      <c r="D133" s="11"/>
      <c r="E133" s="11"/>
      <c r="F133" s="11"/>
      <c r="G133" s="11"/>
      <c r="H133" s="11"/>
      <c r="I133" s="3"/>
      <c r="J133" s="3"/>
      <c r="K133" s="3"/>
      <c r="L133" s="3"/>
      <c r="M133" s="3"/>
      <c r="N133" s="3"/>
      <c r="O133" s="3"/>
      <c r="P133" s="3"/>
      <c r="Q133" s="3"/>
    </row>
    <row r="134" spans="1:17" ht="15">
      <c r="A134" s="11"/>
      <c r="B134" s="11"/>
      <c r="C134" s="11"/>
      <c r="D134" s="11"/>
      <c r="E134" s="11"/>
      <c r="F134" s="11"/>
      <c r="G134" s="11"/>
      <c r="H134" s="11"/>
      <c r="I134" s="3"/>
      <c r="J134" s="3"/>
      <c r="K134" s="3"/>
      <c r="L134" s="3"/>
      <c r="M134" s="3"/>
      <c r="N134" s="3"/>
      <c r="O134" s="3"/>
      <c r="P134" s="3"/>
      <c r="Q134" s="3"/>
    </row>
    <row r="135" spans="1:17" ht="15">
      <c r="A135" s="11"/>
      <c r="B135" s="11"/>
      <c r="C135" s="11"/>
      <c r="D135" s="11"/>
      <c r="E135" s="11"/>
      <c r="F135" s="11"/>
      <c r="G135" s="11"/>
      <c r="H135" s="11"/>
      <c r="I135" s="3"/>
      <c r="J135" s="3"/>
      <c r="K135" s="3"/>
      <c r="L135" s="3"/>
      <c r="M135" s="3"/>
      <c r="N135" s="3"/>
      <c r="O135" s="3"/>
      <c r="P135" s="3"/>
      <c r="Q135" s="3"/>
    </row>
    <row r="136" spans="1:17" ht="15">
      <c r="A136" s="11"/>
      <c r="B136" s="11"/>
      <c r="C136" s="11"/>
      <c r="D136" s="11"/>
      <c r="E136" s="11"/>
      <c r="F136" s="11"/>
      <c r="G136" s="11"/>
      <c r="H136" s="11"/>
      <c r="I136" s="3"/>
      <c r="J136" s="3"/>
      <c r="K136" s="3"/>
      <c r="L136" s="3"/>
      <c r="M136" s="3"/>
      <c r="N136" s="3"/>
      <c r="O136" s="3"/>
      <c r="P136" s="3"/>
      <c r="Q136" s="3"/>
    </row>
    <row r="137" spans="1:17" ht="15">
      <c r="A137" s="11"/>
      <c r="B137" s="11"/>
      <c r="C137" s="11"/>
      <c r="D137" s="11"/>
      <c r="E137" s="11"/>
      <c r="F137" s="11"/>
      <c r="G137" s="11"/>
      <c r="H137" s="11"/>
      <c r="I137" s="3"/>
      <c r="J137" s="3"/>
      <c r="K137" s="3"/>
      <c r="L137" s="3"/>
      <c r="M137" s="3"/>
      <c r="N137" s="3"/>
      <c r="O137" s="3"/>
      <c r="P137" s="3"/>
      <c r="Q137" s="3"/>
    </row>
    <row r="138" spans="1:17" ht="15">
      <c r="A138" s="11"/>
      <c r="B138" s="11"/>
      <c r="C138" s="11"/>
      <c r="D138" s="11"/>
      <c r="E138" s="11"/>
      <c r="F138" s="11"/>
      <c r="G138" s="11"/>
      <c r="H138" s="11"/>
      <c r="I138" s="3"/>
      <c r="J138" s="3"/>
      <c r="K138" s="3"/>
      <c r="L138" s="3"/>
      <c r="M138" s="3"/>
      <c r="N138" s="3"/>
      <c r="O138" s="3"/>
      <c r="P138" s="3"/>
      <c r="Q138" s="3"/>
    </row>
    <row r="139" spans="1:17" ht="15">
      <c r="A139" s="11"/>
      <c r="B139" s="11"/>
      <c r="C139" s="11"/>
      <c r="D139" s="11"/>
      <c r="E139" s="11"/>
      <c r="F139" s="11"/>
      <c r="G139" s="11"/>
      <c r="H139" s="11"/>
      <c r="I139" s="3"/>
      <c r="J139" s="3"/>
      <c r="K139" s="3"/>
      <c r="L139" s="3"/>
      <c r="M139" s="3"/>
      <c r="N139" s="3"/>
      <c r="O139" s="3"/>
      <c r="P139" s="3"/>
      <c r="Q139" s="3"/>
    </row>
    <row r="140" spans="1:17" ht="15">
      <c r="A140" s="11"/>
      <c r="B140" s="11"/>
      <c r="C140" s="11"/>
      <c r="D140" s="11"/>
      <c r="E140" s="11"/>
      <c r="F140" s="11"/>
      <c r="G140" s="11"/>
      <c r="H140" s="11"/>
      <c r="I140" s="3"/>
      <c r="J140" s="3"/>
      <c r="K140" s="3"/>
      <c r="L140" s="3"/>
      <c r="M140" s="3"/>
      <c r="N140" s="3"/>
      <c r="O140" s="3"/>
      <c r="P140" s="3"/>
      <c r="Q140" s="3"/>
    </row>
    <row r="141" spans="1:17" ht="15">
      <c r="A141" s="11"/>
      <c r="B141" s="11"/>
      <c r="C141" s="11"/>
      <c r="D141" s="11"/>
      <c r="E141" s="11"/>
      <c r="F141" s="11"/>
      <c r="G141" s="11"/>
      <c r="H141" s="11"/>
      <c r="I141" s="3"/>
      <c r="J141" s="3"/>
      <c r="K141" s="3"/>
      <c r="L141" s="3"/>
      <c r="M141" s="3"/>
      <c r="N141" s="3"/>
      <c r="O141" s="3"/>
      <c r="P141" s="3"/>
      <c r="Q141" s="3"/>
    </row>
    <row r="142" spans="1:17" ht="15">
      <c r="A142" s="11"/>
      <c r="B142" s="11"/>
      <c r="C142" s="11"/>
      <c r="D142" s="11"/>
      <c r="E142" s="11"/>
      <c r="F142" s="11"/>
      <c r="G142" s="11"/>
      <c r="H142" s="11"/>
      <c r="I142" s="3"/>
      <c r="J142" s="3"/>
      <c r="K142" s="3"/>
      <c r="L142" s="3"/>
      <c r="M142" s="3"/>
      <c r="N142" s="3"/>
      <c r="O142" s="3"/>
      <c r="P142" s="3"/>
      <c r="Q142" s="3"/>
    </row>
    <row r="143" spans="1:17" ht="15">
      <c r="A143" s="11"/>
      <c r="B143" s="11"/>
      <c r="C143" s="11"/>
      <c r="D143" s="11"/>
      <c r="E143" s="11"/>
      <c r="F143" s="11"/>
      <c r="G143" s="11"/>
      <c r="H143" s="11"/>
      <c r="I143" s="3"/>
      <c r="J143" s="3"/>
      <c r="K143" s="3"/>
      <c r="L143" s="3"/>
      <c r="M143" s="3"/>
      <c r="N143" s="3"/>
      <c r="O143" s="3"/>
      <c r="P143" s="3"/>
      <c r="Q143" s="3"/>
    </row>
    <row r="144" spans="1:17" ht="15">
      <c r="A144" s="11"/>
      <c r="B144" s="11"/>
      <c r="C144" s="11"/>
      <c r="D144" s="11"/>
      <c r="E144" s="11"/>
      <c r="F144" s="11"/>
      <c r="G144" s="11"/>
      <c r="H144" s="11"/>
      <c r="I144" s="3"/>
      <c r="J144" s="3"/>
      <c r="K144" s="3"/>
      <c r="L144" s="3"/>
      <c r="M144" s="3"/>
      <c r="N144" s="3"/>
      <c r="O144" s="3"/>
      <c r="P144" s="3"/>
      <c r="Q144" s="3"/>
    </row>
    <row r="145" spans="1:17" ht="15">
      <c r="A145" s="11"/>
      <c r="B145" s="11"/>
      <c r="C145" s="11"/>
      <c r="D145" s="11"/>
      <c r="E145" s="11"/>
      <c r="F145" s="11"/>
      <c r="G145" s="11"/>
      <c r="H145" s="11"/>
      <c r="I145" s="3"/>
      <c r="J145" s="3"/>
      <c r="K145" s="3"/>
      <c r="L145" s="3"/>
      <c r="M145" s="3"/>
      <c r="N145" s="3"/>
      <c r="O145" s="3"/>
      <c r="P145" s="3"/>
      <c r="Q145" s="3"/>
    </row>
    <row r="146" spans="1:17" ht="15">
      <c r="A146" s="11"/>
      <c r="B146" s="11"/>
      <c r="C146" s="11"/>
      <c r="D146" s="11"/>
      <c r="E146" s="11"/>
      <c r="F146" s="11"/>
      <c r="G146" s="11"/>
      <c r="H146" s="11"/>
      <c r="I146" s="3"/>
      <c r="J146" s="3"/>
      <c r="K146" s="3"/>
      <c r="L146" s="3"/>
      <c r="M146" s="3"/>
      <c r="N146" s="3"/>
      <c r="O146" s="3"/>
      <c r="P146" s="3"/>
      <c r="Q146" s="3"/>
    </row>
    <row r="147" spans="1:17" ht="15">
      <c r="A147" s="11"/>
      <c r="B147" s="11"/>
      <c r="C147" s="11"/>
      <c r="D147" s="11"/>
      <c r="E147" s="11"/>
      <c r="F147" s="11"/>
      <c r="G147" s="11"/>
      <c r="H147" s="11"/>
      <c r="I147" s="3"/>
      <c r="J147" s="3"/>
      <c r="K147" s="3"/>
      <c r="L147" s="3"/>
      <c r="M147" s="3"/>
      <c r="N147" s="3"/>
      <c r="O147" s="3"/>
      <c r="P147" s="3"/>
      <c r="Q147" s="3"/>
    </row>
    <row r="148" spans="1:17" ht="15">
      <c r="A148" s="11"/>
      <c r="B148" s="11"/>
      <c r="C148" s="11"/>
      <c r="D148" s="11"/>
      <c r="E148" s="11"/>
      <c r="F148" s="11"/>
      <c r="G148" s="11"/>
      <c r="H148" s="11"/>
      <c r="I148" s="3"/>
      <c r="J148" s="3"/>
      <c r="K148" s="3"/>
      <c r="L148" s="3"/>
      <c r="M148" s="3"/>
      <c r="N148" s="3"/>
      <c r="O148" s="3"/>
      <c r="P148" s="3"/>
      <c r="Q148" s="3"/>
    </row>
    <row r="149" spans="1:17" ht="15">
      <c r="A149" s="11"/>
      <c r="B149" s="11"/>
      <c r="C149" s="11"/>
      <c r="D149" s="11"/>
      <c r="E149" s="11"/>
      <c r="F149" s="11"/>
      <c r="G149" s="11"/>
      <c r="H149" s="11"/>
      <c r="I149" s="3"/>
      <c r="J149" s="3"/>
      <c r="K149" s="3"/>
      <c r="L149" s="3"/>
      <c r="M149" s="3"/>
      <c r="N149" s="3"/>
      <c r="O149" s="3"/>
      <c r="P149" s="3"/>
      <c r="Q149" s="3"/>
    </row>
    <row r="150" spans="1:17" ht="15">
      <c r="A150" s="11"/>
      <c r="B150" s="11"/>
      <c r="C150" s="11"/>
      <c r="D150" s="11"/>
      <c r="E150" s="11"/>
      <c r="F150" s="11"/>
      <c r="G150" s="11"/>
      <c r="H150" s="11"/>
      <c r="I150" s="3"/>
      <c r="J150" s="3"/>
      <c r="K150" s="3"/>
      <c r="L150" s="3"/>
      <c r="M150" s="3"/>
      <c r="N150" s="3"/>
      <c r="O150" s="3"/>
      <c r="P150" s="3"/>
      <c r="Q150" s="3"/>
    </row>
    <row r="151" spans="1:17" ht="15">
      <c r="A151" s="11"/>
      <c r="B151" s="11"/>
      <c r="C151" s="11"/>
      <c r="D151" s="11"/>
      <c r="E151" s="11"/>
      <c r="F151" s="11"/>
      <c r="G151" s="11"/>
      <c r="H151" s="11"/>
      <c r="I151" s="3"/>
      <c r="J151" s="3"/>
      <c r="K151" s="3"/>
      <c r="L151" s="3"/>
      <c r="M151" s="3"/>
      <c r="N151" s="3"/>
      <c r="O151" s="3"/>
      <c r="P151" s="3"/>
      <c r="Q151" s="3"/>
    </row>
    <row r="152" spans="1:17" ht="15">
      <c r="A152" s="11"/>
      <c r="B152" s="11"/>
      <c r="C152" s="11"/>
      <c r="D152" s="11"/>
      <c r="E152" s="11"/>
      <c r="F152" s="11"/>
      <c r="G152" s="11"/>
      <c r="H152" s="11"/>
      <c r="I152" s="3"/>
      <c r="J152" s="3"/>
      <c r="K152" s="3"/>
      <c r="L152" s="3"/>
      <c r="M152" s="3"/>
      <c r="N152" s="3"/>
      <c r="O152" s="3"/>
      <c r="P152" s="3"/>
      <c r="Q152" s="3"/>
    </row>
    <row r="153" spans="1:17" ht="15">
      <c r="A153" s="11"/>
      <c r="B153" s="11"/>
      <c r="C153" s="11"/>
      <c r="D153" s="11"/>
      <c r="E153" s="11"/>
      <c r="F153" s="11"/>
      <c r="G153" s="11"/>
      <c r="H153" s="11"/>
      <c r="I153" s="3"/>
      <c r="J153" s="3"/>
      <c r="K153" s="3"/>
      <c r="L153" s="3"/>
      <c r="M153" s="3"/>
      <c r="N153" s="3"/>
      <c r="O153" s="3"/>
      <c r="P153" s="3"/>
      <c r="Q153" s="3"/>
    </row>
    <row r="154" spans="1:17" ht="15">
      <c r="A154" s="11"/>
      <c r="B154" s="11"/>
      <c r="C154" s="11"/>
      <c r="D154" s="11"/>
      <c r="E154" s="11"/>
      <c r="F154" s="11"/>
      <c r="G154" s="11"/>
      <c r="H154" s="11"/>
      <c r="I154" s="3"/>
      <c r="J154" s="3"/>
      <c r="K154" s="3"/>
      <c r="L154" s="3"/>
      <c r="M154" s="3"/>
      <c r="N154" s="3"/>
      <c r="O154" s="3"/>
      <c r="P154" s="3"/>
      <c r="Q154" s="3"/>
    </row>
    <row r="155" spans="1:17" ht="15">
      <c r="A155" s="11"/>
      <c r="B155" s="11"/>
      <c r="C155" s="11"/>
      <c r="D155" s="11"/>
      <c r="E155" s="11"/>
      <c r="F155" s="11"/>
      <c r="G155" s="11"/>
      <c r="H155" s="11"/>
      <c r="I155" s="3"/>
      <c r="J155" s="3"/>
      <c r="K155" s="3"/>
      <c r="L155" s="3"/>
      <c r="M155" s="3"/>
      <c r="N155" s="3"/>
      <c r="O155" s="3"/>
      <c r="P155" s="3"/>
      <c r="Q155" s="3"/>
    </row>
    <row r="156" spans="1:17" ht="15">
      <c r="A156" s="11"/>
      <c r="B156" s="11"/>
      <c r="C156" s="11"/>
      <c r="D156" s="11"/>
      <c r="E156" s="11"/>
      <c r="F156" s="11"/>
      <c r="G156" s="11"/>
      <c r="H156" s="11"/>
      <c r="I156" s="3"/>
      <c r="J156" s="3"/>
      <c r="K156" s="3"/>
      <c r="L156" s="3"/>
      <c r="M156" s="3"/>
      <c r="N156" s="3"/>
      <c r="O156" s="3"/>
      <c r="P156" s="3"/>
      <c r="Q156" s="3"/>
    </row>
    <row r="157" spans="1:17" ht="15">
      <c r="A157" s="11"/>
      <c r="B157" s="11"/>
      <c r="C157" s="11"/>
      <c r="D157" s="11"/>
      <c r="E157" s="11"/>
      <c r="F157" s="11"/>
      <c r="G157" s="11"/>
      <c r="H157" s="11"/>
      <c r="I157" s="3"/>
      <c r="J157" s="3"/>
      <c r="K157" s="3"/>
      <c r="L157" s="3"/>
      <c r="M157" s="3"/>
      <c r="N157" s="3"/>
      <c r="O157" s="3"/>
      <c r="P157" s="3"/>
      <c r="Q157" s="3"/>
    </row>
    <row r="158" spans="1:17" ht="15">
      <c r="A158" s="11"/>
      <c r="B158" s="11"/>
      <c r="C158" s="11"/>
      <c r="D158" s="11"/>
      <c r="E158" s="11"/>
      <c r="F158" s="11"/>
      <c r="G158" s="11"/>
      <c r="H158" s="11"/>
      <c r="I158" s="3"/>
      <c r="J158" s="3"/>
      <c r="K158" s="3"/>
      <c r="L158" s="3"/>
      <c r="M158" s="3"/>
      <c r="N158" s="3"/>
      <c r="O158" s="3"/>
      <c r="P158" s="3"/>
      <c r="Q158" s="3"/>
    </row>
    <row r="159" spans="1:17" ht="15">
      <c r="A159" s="11"/>
      <c r="B159" s="11"/>
      <c r="C159" s="11"/>
      <c r="D159" s="11"/>
      <c r="E159" s="11"/>
      <c r="F159" s="11"/>
      <c r="G159" s="11"/>
      <c r="H159" s="11"/>
      <c r="I159" s="3"/>
      <c r="J159" s="3"/>
      <c r="K159" s="3"/>
      <c r="L159" s="3"/>
      <c r="M159" s="3"/>
      <c r="N159" s="3"/>
      <c r="O159" s="3"/>
      <c r="P159" s="3"/>
      <c r="Q159" s="3"/>
    </row>
    <row r="160" spans="1:17" ht="15">
      <c r="A160" s="11"/>
      <c r="B160" s="11"/>
      <c r="C160" s="11"/>
      <c r="D160" s="11"/>
      <c r="E160" s="11"/>
      <c r="F160" s="11"/>
      <c r="G160" s="11"/>
      <c r="H160" s="11"/>
      <c r="I160" s="3"/>
      <c r="J160" s="3"/>
      <c r="K160" s="3"/>
      <c r="L160" s="3"/>
      <c r="M160" s="3"/>
      <c r="N160" s="3"/>
      <c r="O160" s="3"/>
      <c r="P160" s="3"/>
      <c r="Q160" s="3"/>
    </row>
    <row r="161" spans="1:17" ht="15">
      <c r="A161" s="11"/>
      <c r="B161" s="11"/>
      <c r="C161" s="11"/>
      <c r="D161" s="11"/>
      <c r="E161" s="11"/>
      <c r="F161" s="11"/>
      <c r="G161" s="11"/>
      <c r="H161" s="11"/>
      <c r="I161" s="3"/>
      <c r="J161" s="3"/>
      <c r="K161" s="3"/>
      <c r="L161" s="3"/>
      <c r="M161" s="3"/>
      <c r="N161" s="3"/>
      <c r="O161" s="3"/>
      <c r="P161" s="3"/>
      <c r="Q161" s="3"/>
    </row>
    <row r="162" spans="1:17" ht="15">
      <c r="A162" s="11"/>
      <c r="B162" s="11"/>
      <c r="C162" s="11"/>
      <c r="D162" s="11"/>
      <c r="E162" s="11"/>
      <c r="F162" s="11"/>
      <c r="G162" s="11"/>
      <c r="H162" s="11"/>
      <c r="I162" s="3"/>
      <c r="J162" s="3"/>
      <c r="K162" s="3"/>
      <c r="L162" s="3"/>
      <c r="M162" s="3"/>
      <c r="N162" s="3"/>
      <c r="O162" s="3"/>
      <c r="P162" s="3"/>
      <c r="Q162" s="3"/>
    </row>
    <row r="163" spans="1:17" ht="15">
      <c r="A163" s="11"/>
      <c r="B163" s="11"/>
      <c r="C163" s="11"/>
      <c r="D163" s="11"/>
      <c r="E163" s="11"/>
      <c r="F163" s="11"/>
      <c r="G163" s="11"/>
      <c r="H163" s="11"/>
      <c r="I163" s="3"/>
      <c r="J163" s="3"/>
      <c r="K163" s="3"/>
      <c r="L163" s="3"/>
      <c r="M163" s="3"/>
      <c r="N163" s="3"/>
      <c r="O163" s="3"/>
      <c r="P163" s="3"/>
      <c r="Q163" s="3"/>
    </row>
    <row r="164" spans="1:17" ht="15">
      <c r="A164" s="11"/>
      <c r="B164" s="11"/>
      <c r="C164" s="11"/>
      <c r="D164" s="11"/>
      <c r="E164" s="11"/>
      <c r="F164" s="11"/>
      <c r="G164" s="11"/>
      <c r="H164" s="11"/>
      <c r="I164" s="3"/>
      <c r="J164" s="3"/>
      <c r="K164" s="3"/>
      <c r="L164" s="3"/>
      <c r="M164" s="3"/>
      <c r="N164" s="3"/>
      <c r="O164" s="3"/>
      <c r="P164" s="3"/>
      <c r="Q164" s="3"/>
    </row>
    <row r="165" spans="1:17" ht="15">
      <c r="A165" s="11"/>
      <c r="B165" s="11"/>
      <c r="C165" s="11"/>
      <c r="D165" s="11"/>
      <c r="E165" s="11"/>
      <c r="F165" s="11"/>
      <c r="G165" s="11"/>
      <c r="H165" s="11"/>
      <c r="I165" s="3"/>
      <c r="J165" s="3"/>
      <c r="K165" s="3"/>
      <c r="L165" s="3"/>
      <c r="M165" s="3"/>
      <c r="N165" s="3"/>
      <c r="O165" s="3"/>
      <c r="P165" s="3"/>
      <c r="Q165" s="3"/>
    </row>
    <row r="166" spans="1:17" ht="15">
      <c r="A166" s="11"/>
      <c r="B166" s="11"/>
      <c r="C166" s="11"/>
      <c r="D166" s="11"/>
      <c r="E166" s="11"/>
      <c r="F166" s="11"/>
      <c r="G166" s="11"/>
      <c r="H166" s="11"/>
      <c r="I166" s="3"/>
      <c r="J166" s="3"/>
      <c r="K166" s="3"/>
      <c r="L166" s="3"/>
      <c r="M166" s="3"/>
      <c r="N166" s="3"/>
      <c r="O166" s="3"/>
      <c r="P166" s="3"/>
      <c r="Q166" s="3"/>
    </row>
    <row r="167" spans="1:17" ht="15">
      <c r="A167" s="11"/>
      <c r="B167" s="11"/>
      <c r="C167" s="11"/>
      <c r="D167" s="11"/>
      <c r="E167" s="11"/>
      <c r="F167" s="11"/>
      <c r="G167" s="11"/>
      <c r="H167" s="11"/>
      <c r="I167" s="3"/>
      <c r="J167" s="3"/>
      <c r="K167" s="3"/>
      <c r="L167" s="3"/>
      <c r="M167" s="3"/>
      <c r="N167" s="3"/>
      <c r="O167" s="3"/>
      <c r="P167" s="3"/>
      <c r="Q167" s="3"/>
    </row>
    <row r="168" spans="1:17" ht="15">
      <c r="A168" s="11"/>
      <c r="B168" s="11"/>
      <c r="C168" s="11"/>
      <c r="D168" s="11"/>
      <c r="E168" s="11"/>
      <c r="F168" s="11"/>
      <c r="G168" s="11"/>
      <c r="H168" s="11"/>
      <c r="I168" s="3"/>
      <c r="J168" s="3"/>
      <c r="K168" s="3"/>
      <c r="L168" s="3"/>
      <c r="M168" s="3"/>
      <c r="N168" s="3"/>
      <c r="O168" s="3"/>
      <c r="P168" s="3"/>
      <c r="Q168" s="3"/>
    </row>
    <row r="169" spans="1:17" ht="15">
      <c r="A169" s="11"/>
      <c r="B169" s="11"/>
      <c r="C169" s="11"/>
      <c r="D169" s="11"/>
      <c r="E169" s="11"/>
      <c r="F169" s="11"/>
      <c r="G169" s="11"/>
      <c r="H169" s="11"/>
      <c r="I169" s="3"/>
      <c r="J169" s="3"/>
      <c r="K169" s="3"/>
      <c r="L169" s="3"/>
      <c r="M169" s="3"/>
      <c r="N169" s="3"/>
      <c r="O169" s="3"/>
      <c r="P169" s="3"/>
      <c r="Q169" s="3"/>
    </row>
    <row r="170" spans="1:17" ht="15">
      <c r="A170" s="11"/>
      <c r="B170" s="11"/>
      <c r="C170" s="11"/>
      <c r="D170" s="11"/>
      <c r="E170" s="11"/>
      <c r="F170" s="11"/>
      <c r="G170" s="11"/>
      <c r="H170" s="11"/>
      <c r="I170" s="3"/>
      <c r="J170" s="3"/>
      <c r="K170" s="3"/>
      <c r="L170" s="3"/>
      <c r="M170" s="3"/>
      <c r="N170" s="3"/>
      <c r="O170" s="3"/>
      <c r="P170" s="3"/>
      <c r="Q170" s="3"/>
    </row>
    <row r="171" spans="1:17" ht="15">
      <c r="A171" s="11"/>
      <c r="B171" s="11"/>
      <c r="C171" s="11"/>
      <c r="D171" s="11"/>
      <c r="E171" s="11"/>
      <c r="F171" s="11"/>
      <c r="G171" s="11"/>
      <c r="H171" s="11"/>
      <c r="I171" s="3"/>
      <c r="J171" s="3"/>
      <c r="K171" s="3"/>
      <c r="L171" s="3"/>
      <c r="M171" s="3"/>
      <c r="N171" s="3"/>
      <c r="O171" s="3"/>
      <c r="P171" s="3"/>
      <c r="Q171" s="3"/>
    </row>
    <row r="172" spans="1:17" ht="15">
      <c r="A172" s="11"/>
      <c r="B172" s="11"/>
      <c r="C172" s="11"/>
      <c r="D172" s="11"/>
      <c r="E172" s="11"/>
      <c r="F172" s="11"/>
      <c r="G172" s="11"/>
      <c r="H172" s="11"/>
      <c r="I172" s="3"/>
      <c r="J172" s="3"/>
      <c r="K172" s="3"/>
      <c r="L172" s="3"/>
      <c r="M172" s="3"/>
      <c r="N172" s="3"/>
      <c r="O172" s="3"/>
      <c r="P172" s="3"/>
      <c r="Q172" s="3"/>
    </row>
    <row r="173" spans="1:17" ht="15">
      <c r="A173" s="11"/>
      <c r="B173" s="11"/>
      <c r="C173" s="11"/>
      <c r="D173" s="11"/>
      <c r="E173" s="11"/>
      <c r="F173" s="11"/>
      <c r="G173" s="11"/>
      <c r="H173" s="11"/>
      <c r="I173" s="3"/>
      <c r="J173" s="3"/>
      <c r="K173" s="3"/>
      <c r="L173" s="3"/>
      <c r="M173" s="3"/>
      <c r="N173" s="3"/>
      <c r="O173" s="3"/>
      <c r="P173" s="3"/>
      <c r="Q173" s="3"/>
    </row>
    <row r="174" spans="1:17" ht="15">
      <c r="A174" s="11"/>
      <c r="B174" s="11"/>
      <c r="C174" s="11"/>
      <c r="D174" s="11"/>
      <c r="E174" s="11"/>
      <c r="F174" s="11"/>
      <c r="G174" s="11"/>
      <c r="H174" s="11"/>
      <c r="I174" s="3"/>
      <c r="J174" s="3"/>
      <c r="K174" s="3"/>
      <c r="L174" s="3"/>
      <c r="M174" s="3"/>
      <c r="N174" s="3"/>
      <c r="O174" s="3"/>
      <c r="P174" s="3"/>
      <c r="Q174" s="3"/>
    </row>
    <row r="175" spans="1:17" ht="15">
      <c r="A175" s="11"/>
      <c r="B175" s="11"/>
      <c r="C175" s="11"/>
      <c r="D175" s="11"/>
      <c r="E175" s="11"/>
      <c r="F175" s="11"/>
      <c r="G175" s="11"/>
      <c r="H175" s="11"/>
      <c r="I175" s="3"/>
      <c r="J175" s="3"/>
      <c r="K175" s="3"/>
      <c r="L175" s="3"/>
      <c r="M175" s="3"/>
      <c r="N175" s="3"/>
      <c r="O175" s="3"/>
      <c r="P175" s="3"/>
      <c r="Q175" s="3"/>
    </row>
    <row r="176" spans="1:17" ht="15">
      <c r="A176" s="11"/>
      <c r="B176" s="11"/>
      <c r="C176" s="11"/>
      <c r="D176" s="11"/>
      <c r="E176" s="11"/>
      <c r="F176" s="11"/>
      <c r="G176" s="11"/>
      <c r="H176" s="11"/>
      <c r="I176" s="3"/>
      <c r="J176" s="3"/>
      <c r="K176" s="3"/>
      <c r="L176" s="3"/>
      <c r="M176" s="3"/>
      <c r="N176" s="3"/>
      <c r="O176" s="3"/>
      <c r="P176" s="3"/>
      <c r="Q176" s="3"/>
    </row>
    <row r="177" spans="1:17" ht="15">
      <c r="A177" s="11"/>
      <c r="B177" s="11"/>
      <c r="C177" s="11"/>
      <c r="D177" s="11"/>
      <c r="E177" s="11"/>
      <c r="F177" s="11"/>
      <c r="G177" s="11"/>
      <c r="H177" s="11"/>
      <c r="I177" s="3"/>
      <c r="J177" s="3"/>
      <c r="K177" s="3"/>
      <c r="L177" s="3"/>
      <c r="M177" s="3"/>
      <c r="N177" s="3"/>
      <c r="O177" s="3"/>
      <c r="P177" s="3"/>
      <c r="Q177" s="3"/>
    </row>
    <row r="178" spans="1:17" ht="15">
      <c r="A178" s="11"/>
      <c r="B178" s="11"/>
      <c r="C178" s="11"/>
      <c r="D178" s="11"/>
      <c r="E178" s="11"/>
      <c r="F178" s="11"/>
      <c r="G178" s="11"/>
      <c r="H178" s="11"/>
      <c r="I178" s="3"/>
      <c r="J178" s="3"/>
      <c r="K178" s="3"/>
      <c r="L178" s="3"/>
      <c r="M178" s="3"/>
      <c r="N178" s="3"/>
      <c r="O178" s="3"/>
      <c r="P178" s="3"/>
      <c r="Q178" s="3"/>
    </row>
    <row r="179" spans="1:17" ht="15">
      <c r="A179" s="11"/>
      <c r="B179" s="11"/>
      <c r="C179" s="11"/>
      <c r="D179" s="11"/>
      <c r="E179" s="11"/>
      <c r="F179" s="11"/>
      <c r="G179" s="11"/>
      <c r="H179" s="11"/>
      <c r="I179" s="3"/>
      <c r="J179" s="3"/>
      <c r="K179" s="3"/>
      <c r="L179" s="3"/>
      <c r="M179" s="3"/>
      <c r="N179" s="3"/>
      <c r="O179" s="3"/>
      <c r="P179" s="3"/>
      <c r="Q179" s="3"/>
    </row>
    <row r="180" spans="1:17" ht="15">
      <c r="A180" s="11"/>
      <c r="B180" s="11"/>
      <c r="C180" s="11"/>
      <c r="D180" s="11"/>
      <c r="E180" s="11"/>
      <c r="F180" s="11"/>
      <c r="G180" s="11"/>
      <c r="H180" s="11"/>
      <c r="I180" s="3"/>
      <c r="J180" s="3"/>
      <c r="K180" s="3"/>
      <c r="L180" s="3"/>
      <c r="M180" s="3"/>
      <c r="N180" s="3"/>
      <c r="O180" s="3"/>
      <c r="P180" s="3"/>
      <c r="Q180" s="3"/>
    </row>
    <row r="181" spans="1:17" ht="15">
      <c r="A181" s="11"/>
      <c r="B181" s="11"/>
      <c r="C181" s="11"/>
      <c r="D181" s="11"/>
      <c r="E181" s="11"/>
      <c r="F181" s="11"/>
      <c r="G181" s="11"/>
      <c r="H181" s="11"/>
      <c r="I181" s="3"/>
      <c r="J181" s="3"/>
      <c r="K181" s="3"/>
      <c r="L181" s="3"/>
      <c r="M181" s="3"/>
      <c r="N181" s="3"/>
      <c r="O181" s="3"/>
      <c r="P181" s="3"/>
      <c r="Q181" s="3"/>
    </row>
    <row r="182" spans="1:17" ht="15">
      <c r="A182" s="11"/>
      <c r="B182" s="11"/>
      <c r="C182" s="11"/>
      <c r="D182" s="11"/>
      <c r="E182" s="11"/>
      <c r="F182" s="11"/>
      <c r="G182" s="11"/>
      <c r="H182" s="11"/>
      <c r="I182" s="3"/>
      <c r="J182" s="3"/>
      <c r="K182" s="3"/>
      <c r="L182" s="3"/>
      <c r="M182" s="3"/>
      <c r="N182" s="3"/>
      <c r="O182" s="3"/>
      <c r="P182" s="3"/>
      <c r="Q182" s="3"/>
    </row>
    <row r="183" spans="1:17" ht="15">
      <c r="A183" s="11"/>
      <c r="B183" s="11"/>
      <c r="C183" s="11"/>
      <c r="D183" s="11"/>
      <c r="E183" s="11"/>
      <c r="F183" s="11"/>
      <c r="G183" s="11"/>
      <c r="H183" s="11"/>
      <c r="I183" s="3"/>
      <c r="J183" s="3"/>
      <c r="K183" s="3"/>
      <c r="L183" s="3"/>
      <c r="M183" s="3"/>
      <c r="N183" s="3"/>
      <c r="O183" s="3"/>
      <c r="P183" s="3"/>
      <c r="Q183" s="3"/>
    </row>
    <row r="184" spans="1:17" ht="15">
      <c r="A184" s="11"/>
      <c r="B184" s="11"/>
      <c r="C184" s="11"/>
      <c r="D184" s="11"/>
      <c r="E184" s="11"/>
      <c r="F184" s="11"/>
      <c r="G184" s="11"/>
      <c r="H184" s="11"/>
      <c r="I184" s="3"/>
      <c r="J184" s="3"/>
      <c r="K184" s="3"/>
      <c r="L184" s="3"/>
      <c r="M184" s="3"/>
      <c r="N184" s="3"/>
      <c r="O184" s="3"/>
      <c r="P184" s="3"/>
      <c r="Q184" s="3"/>
    </row>
    <row r="185" spans="1:17" ht="15">
      <c r="A185" s="11"/>
      <c r="B185" s="11"/>
      <c r="C185" s="11"/>
      <c r="D185" s="11"/>
      <c r="E185" s="11"/>
      <c r="F185" s="11"/>
      <c r="G185" s="11"/>
      <c r="H185" s="11"/>
      <c r="I185" s="3"/>
      <c r="J185" s="3"/>
      <c r="K185" s="3"/>
      <c r="L185" s="3"/>
      <c r="M185" s="3"/>
      <c r="N185" s="3"/>
      <c r="O185" s="3"/>
      <c r="P185" s="3"/>
      <c r="Q185" s="3"/>
    </row>
    <row r="186" spans="1:17" ht="15">
      <c r="A186" s="11"/>
      <c r="B186" s="11"/>
      <c r="C186" s="11"/>
      <c r="D186" s="11"/>
      <c r="E186" s="11"/>
      <c r="F186" s="11"/>
      <c r="G186" s="11"/>
      <c r="H186" s="11"/>
      <c r="I186" s="3"/>
      <c r="J186" s="3"/>
      <c r="K186" s="3"/>
      <c r="L186" s="3"/>
      <c r="M186" s="3"/>
      <c r="N186" s="3"/>
      <c r="O186" s="3"/>
      <c r="P186" s="3"/>
      <c r="Q186" s="3"/>
    </row>
    <row r="187" spans="1:17" ht="15">
      <c r="A187" s="11"/>
      <c r="B187" s="11"/>
      <c r="C187" s="11"/>
      <c r="D187" s="11"/>
      <c r="E187" s="11"/>
      <c r="F187" s="11"/>
      <c r="G187" s="11"/>
      <c r="H187" s="11"/>
      <c r="I187" s="3"/>
      <c r="J187" s="3"/>
      <c r="K187" s="3"/>
      <c r="L187" s="3"/>
      <c r="M187" s="3"/>
      <c r="N187" s="3"/>
      <c r="O187" s="3"/>
      <c r="P187" s="3"/>
      <c r="Q187" s="3"/>
    </row>
    <row r="188" spans="1:17" ht="15">
      <c r="A188" s="11"/>
      <c r="B188" s="11"/>
      <c r="C188" s="11"/>
      <c r="D188" s="11"/>
      <c r="E188" s="11"/>
      <c r="F188" s="11"/>
      <c r="G188" s="11"/>
      <c r="H188" s="11"/>
      <c r="I188" s="3"/>
      <c r="J188" s="3"/>
      <c r="K188" s="3"/>
      <c r="L188" s="3"/>
      <c r="M188" s="3"/>
      <c r="N188" s="3"/>
      <c r="O188" s="3"/>
      <c r="P188" s="3"/>
      <c r="Q188" s="3"/>
    </row>
    <row r="189" spans="1:17" ht="15">
      <c r="A189" s="11"/>
      <c r="B189" s="11"/>
      <c r="C189" s="11"/>
      <c r="D189" s="11"/>
      <c r="E189" s="11"/>
      <c r="F189" s="11"/>
      <c r="G189" s="11"/>
      <c r="H189" s="11"/>
      <c r="I189" s="3"/>
      <c r="J189" s="3"/>
      <c r="K189" s="3"/>
      <c r="L189" s="3"/>
      <c r="M189" s="3"/>
      <c r="N189" s="3"/>
      <c r="O189" s="3"/>
      <c r="P189" s="3"/>
      <c r="Q189" s="3"/>
    </row>
    <row r="190" spans="1:17" ht="15">
      <c r="A190" s="11"/>
      <c r="B190" s="11"/>
      <c r="C190" s="11"/>
      <c r="D190" s="11"/>
      <c r="E190" s="11"/>
      <c r="F190" s="11"/>
      <c r="G190" s="11"/>
      <c r="H190" s="11"/>
      <c r="I190" s="3"/>
      <c r="J190" s="3"/>
      <c r="K190" s="3"/>
      <c r="L190" s="3"/>
      <c r="M190" s="3"/>
      <c r="N190" s="3"/>
      <c r="O190" s="3"/>
      <c r="P190" s="3"/>
      <c r="Q190" s="3"/>
    </row>
    <row r="191" spans="1:17" ht="15">
      <c r="A191" s="11"/>
      <c r="B191" s="11"/>
      <c r="C191" s="11"/>
      <c r="D191" s="11"/>
      <c r="E191" s="11"/>
      <c r="F191" s="11"/>
      <c r="G191" s="11"/>
      <c r="H191" s="11"/>
      <c r="I191" s="3"/>
      <c r="J191" s="3"/>
      <c r="K191" s="3"/>
      <c r="L191" s="3"/>
      <c r="M191" s="3"/>
      <c r="N191" s="3"/>
      <c r="O191" s="3"/>
      <c r="P191" s="3"/>
      <c r="Q191" s="3"/>
    </row>
    <row r="192" spans="1:17" ht="15">
      <c r="A192" s="11"/>
      <c r="B192" s="11"/>
      <c r="C192" s="11"/>
      <c r="D192" s="11"/>
      <c r="E192" s="11"/>
      <c r="F192" s="11"/>
      <c r="G192" s="11"/>
      <c r="H192" s="11"/>
      <c r="I192" s="3"/>
      <c r="J192" s="3"/>
      <c r="K192" s="3"/>
      <c r="L192" s="3"/>
      <c r="M192" s="3"/>
      <c r="N192" s="3"/>
      <c r="O192" s="3"/>
      <c r="P192" s="3"/>
      <c r="Q192" s="3"/>
    </row>
    <row r="193" spans="1:17" ht="15">
      <c r="A193" s="11"/>
      <c r="B193" s="11"/>
      <c r="C193" s="11"/>
      <c r="D193" s="11"/>
      <c r="E193" s="11"/>
      <c r="F193" s="11"/>
      <c r="G193" s="11"/>
      <c r="H193" s="11"/>
      <c r="I193" s="3"/>
      <c r="J193" s="3"/>
      <c r="K193" s="3"/>
      <c r="L193" s="3"/>
      <c r="M193" s="3"/>
      <c r="N193" s="3"/>
      <c r="O193" s="3"/>
      <c r="P193" s="3"/>
      <c r="Q193" s="3"/>
    </row>
    <row r="194" spans="1:17" ht="15">
      <c r="A194" s="11"/>
      <c r="B194" s="11"/>
      <c r="C194" s="11"/>
      <c r="D194" s="11"/>
      <c r="E194" s="11"/>
      <c r="F194" s="11"/>
      <c r="G194" s="11"/>
      <c r="H194" s="11"/>
      <c r="I194" s="3"/>
      <c r="J194" s="3"/>
      <c r="K194" s="3"/>
      <c r="L194" s="3"/>
      <c r="M194" s="3"/>
      <c r="N194" s="3"/>
      <c r="O194" s="3"/>
      <c r="P194" s="3"/>
      <c r="Q194" s="3"/>
    </row>
    <row r="195" spans="1:17" ht="15">
      <c r="A195" s="11"/>
      <c r="B195" s="11"/>
      <c r="C195" s="11"/>
      <c r="D195" s="11"/>
      <c r="E195" s="11"/>
      <c r="F195" s="11"/>
      <c r="G195" s="11"/>
      <c r="H195" s="11"/>
      <c r="I195" s="3"/>
      <c r="J195" s="3"/>
      <c r="K195" s="3"/>
      <c r="L195" s="3"/>
      <c r="M195" s="3"/>
      <c r="N195" s="3"/>
      <c r="O195" s="3"/>
      <c r="P195" s="3"/>
      <c r="Q195" s="3"/>
    </row>
    <row r="196" spans="1:17" ht="15">
      <c r="A196" s="11"/>
      <c r="B196" s="11"/>
      <c r="C196" s="11"/>
      <c r="D196" s="11"/>
      <c r="E196" s="11"/>
      <c r="F196" s="11"/>
      <c r="G196" s="11"/>
      <c r="H196" s="11"/>
      <c r="I196" s="3"/>
      <c r="J196" s="3"/>
      <c r="K196" s="3"/>
      <c r="L196" s="3"/>
      <c r="M196" s="3"/>
      <c r="N196" s="3"/>
      <c r="O196" s="3"/>
      <c r="P196" s="3"/>
      <c r="Q196" s="3"/>
    </row>
    <row r="197" spans="1:17" ht="15">
      <c r="A197" s="11"/>
      <c r="B197" s="11"/>
      <c r="C197" s="11"/>
      <c r="D197" s="11"/>
      <c r="E197" s="11"/>
      <c r="F197" s="11"/>
      <c r="G197" s="11"/>
      <c r="H197" s="11"/>
      <c r="I197" s="3"/>
      <c r="J197" s="3"/>
      <c r="K197" s="3"/>
      <c r="L197" s="3"/>
      <c r="M197" s="3"/>
      <c r="N197" s="3"/>
      <c r="O197" s="3"/>
      <c r="P197" s="3"/>
      <c r="Q197" s="3"/>
    </row>
    <row r="198" spans="1:17" ht="15">
      <c r="A198" s="11"/>
      <c r="B198" s="11"/>
      <c r="C198" s="11"/>
      <c r="D198" s="11"/>
      <c r="E198" s="11"/>
      <c r="F198" s="11"/>
      <c r="G198" s="11"/>
      <c r="H198" s="11"/>
      <c r="I198" s="3"/>
      <c r="J198" s="3"/>
      <c r="K198" s="3"/>
      <c r="L198" s="3"/>
      <c r="M198" s="3"/>
      <c r="N198" s="3"/>
      <c r="O198" s="3"/>
      <c r="P198" s="3"/>
      <c r="Q198" s="3"/>
    </row>
    <row r="199" spans="1:17" ht="15">
      <c r="A199" s="11"/>
      <c r="B199" s="11"/>
      <c r="C199" s="11"/>
      <c r="D199" s="11"/>
      <c r="E199" s="11"/>
      <c r="F199" s="11"/>
      <c r="G199" s="11"/>
      <c r="H199" s="11"/>
      <c r="I199" s="3"/>
      <c r="J199" s="3"/>
      <c r="K199" s="3"/>
      <c r="L199" s="3"/>
      <c r="M199" s="3"/>
      <c r="N199" s="3"/>
      <c r="O199" s="3"/>
      <c r="P199" s="3"/>
      <c r="Q199" s="3"/>
    </row>
    <row r="200" spans="1:17" ht="15">
      <c r="A200" s="11"/>
      <c r="B200" s="11"/>
      <c r="C200" s="11"/>
      <c r="D200" s="11"/>
      <c r="E200" s="11"/>
      <c r="F200" s="11"/>
      <c r="G200" s="11"/>
      <c r="H200" s="11"/>
      <c r="I200" s="3"/>
      <c r="J200" s="3"/>
      <c r="K200" s="3"/>
      <c r="L200" s="3"/>
      <c r="M200" s="3"/>
      <c r="N200" s="3"/>
      <c r="O200" s="3"/>
      <c r="P200" s="3"/>
      <c r="Q200" s="3"/>
    </row>
    <row r="201" spans="1:17" ht="15">
      <c r="A201" s="11"/>
      <c r="B201" s="11"/>
      <c r="C201" s="11"/>
      <c r="D201" s="11"/>
      <c r="E201" s="11"/>
      <c r="F201" s="11"/>
      <c r="G201" s="11"/>
      <c r="H201" s="11"/>
      <c r="I201" s="3"/>
      <c r="J201" s="3"/>
      <c r="K201" s="3"/>
      <c r="L201" s="3"/>
      <c r="M201" s="3"/>
      <c r="N201" s="3"/>
      <c r="O201" s="3"/>
      <c r="P201" s="3"/>
      <c r="Q201" s="3"/>
    </row>
    <row r="202" spans="1:17" ht="15">
      <c r="A202" s="11"/>
      <c r="B202" s="11"/>
      <c r="C202" s="11"/>
      <c r="D202" s="11"/>
      <c r="E202" s="11"/>
      <c r="F202" s="11"/>
      <c r="G202" s="11"/>
      <c r="H202" s="11"/>
      <c r="I202" s="3"/>
      <c r="J202" s="3"/>
      <c r="K202" s="3"/>
      <c r="L202" s="3"/>
      <c r="M202" s="3"/>
      <c r="N202" s="3"/>
      <c r="O202" s="3"/>
      <c r="P202" s="3"/>
      <c r="Q202" s="3"/>
    </row>
    <row r="203" spans="1:17" ht="15">
      <c r="A203" s="11"/>
      <c r="B203" s="11"/>
      <c r="C203" s="11"/>
      <c r="D203" s="11"/>
      <c r="E203" s="11"/>
      <c r="F203" s="11"/>
      <c r="G203" s="11"/>
      <c r="H203" s="11"/>
      <c r="I203" s="3"/>
      <c r="J203" s="3"/>
      <c r="K203" s="3"/>
      <c r="L203" s="3"/>
      <c r="M203" s="3"/>
      <c r="N203" s="3"/>
      <c r="O203" s="3"/>
      <c r="P203" s="3"/>
      <c r="Q203" s="3"/>
    </row>
    <row r="204" spans="1:17" ht="15">
      <c r="A204" s="11"/>
      <c r="B204" s="11"/>
      <c r="C204" s="11"/>
      <c r="D204" s="11"/>
      <c r="E204" s="11"/>
      <c r="F204" s="11"/>
      <c r="G204" s="11"/>
      <c r="H204" s="11"/>
      <c r="I204" s="3"/>
      <c r="J204" s="3"/>
      <c r="K204" s="3"/>
      <c r="L204" s="3"/>
      <c r="M204" s="3"/>
      <c r="N204" s="3"/>
      <c r="O204" s="3"/>
      <c r="P204" s="3"/>
      <c r="Q204" s="3"/>
    </row>
    <row r="205" spans="1:17" ht="15">
      <c r="A205" s="11"/>
      <c r="B205" s="11"/>
      <c r="C205" s="11"/>
      <c r="D205" s="11"/>
      <c r="E205" s="11"/>
      <c r="F205" s="11"/>
      <c r="G205" s="11"/>
      <c r="H205" s="11"/>
      <c r="I205" s="3"/>
      <c r="J205" s="3"/>
      <c r="K205" s="3"/>
      <c r="L205" s="3"/>
      <c r="M205" s="3"/>
      <c r="N205" s="3"/>
      <c r="O205" s="3"/>
      <c r="P205" s="3"/>
      <c r="Q205" s="3"/>
    </row>
    <row r="206" spans="1:17" ht="15">
      <c r="A206" s="11"/>
      <c r="B206" s="11"/>
      <c r="C206" s="11"/>
      <c r="D206" s="11"/>
      <c r="E206" s="11"/>
      <c r="F206" s="11"/>
      <c r="G206" s="11"/>
      <c r="H206" s="11"/>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50"/>
  <sheetViews>
    <sheetView workbookViewId="0"/>
  </sheetViews>
  <sheetFormatPr defaultRowHeight="14.25"/>
  <cols>
    <col min="1" max="1" width="15" customWidth="1"/>
    <col min="2" max="2" width="29" customWidth="1"/>
    <col min="3" max="3" width="25" customWidth="1"/>
    <col min="4" max="4" width="18" customWidth="1"/>
    <col min="5" max="5" width="13" customWidth="1"/>
    <col min="6" max="6" width="46" customWidth="1"/>
    <col min="7" max="7" width="38" customWidth="1"/>
  </cols>
  <sheetData>
    <row r="1" spans="1:17" ht="24" customHeight="1">
      <c r="A1" s="205" t="s">
        <v>478</v>
      </c>
      <c r="B1" s="205"/>
      <c r="C1" s="205"/>
      <c r="D1" s="205"/>
      <c r="E1" s="205"/>
      <c r="F1" s="205"/>
      <c r="G1" s="205"/>
      <c r="H1" s="15"/>
      <c r="I1" s="15"/>
      <c r="J1" s="15"/>
      <c r="K1" s="15"/>
      <c r="L1" s="3"/>
      <c r="M1" s="3"/>
      <c r="N1" s="3"/>
      <c r="O1" s="3"/>
      <c r="P1" s="3"/>
      <c r="Q1" s="3"/>
    </row>
    <row r="2" spans="1:17" ht="33.950000000000003" customHeight="1">
      <c r="A2" s="202" t="s">
        <v>479</v>
      </c>
      <c r="B2" s="203"/>
      <c r="C2" s="203"/>
      <c r="D2" s="203"/>
      <c r="E2" s="203"/>
      <c r="F2" s="203"/>
      <c r="G2" s="203"/>
      <c r="H2" s="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93" t="s">
        <v>1047</v>
      </c>
      <c r="B6" s="94" t="s">
        <v>1048</v>
      </c>
      <c r="C6" s="94" t="s">
        <v>1049</v>
      </c>
      <c r="D6" s="94" t="s">
        <v>1050</v>
      </c>
      <c r="E6" s="94" t="s">
        <v>94</v>
      </c>
      <c r="F6" s="94" t="s">
        <v>1051</v>
      </c>
      <c r="G6" s="95" t="s">
        <v>95</v>
      </c>
      <c r="H6" s="3"/>
      <c r="I6" s="3"/>
      <c r="J6" s="3"/>
      <c r="K6" s="3"/>
      <c r="L6" s="3"/>
      <c r="M6" s="3"/>
      <c r="N6" s="3"/>
      <c r="O6" s="3"/>
      <c r="P6" s="3"/>
      <c r="Q6" s="3"/>
    </row>
    <row r="7" spans="1:17" ht="15">
      <c r="A7" s="96" t="s">
        <v>1052</v>
      </c>
      <c r="B7" s="7" t="s">
        <v>1053</v>
      </c>
      <c r="C7" s="7" t="s">
        <v>1054</v>
      </c>
      <c r="D7" s="103">
        <f>COUNTA(DATA_PROPERTY_MASTER!A7:A206)</f>
        <v>0</v>
      </c>
      <c r="E7" s="7" t="str">
        <f>IF(D7&gt;=1,"PASS","OPEN")</f>
        <v>OPEN</v>
      </c>
      <c r="F7" s="8" t="s">
        <v>1055</v>
      </c>
      <c r="G7" s="97" t="s">
        <v>1056</v>
      </c>
      <c r="H7" s="3"/>
      <c r="I7" s="3"/>
      <c r="J7" s="3"/>
      <c r="K7" s="3"/>
      <c r="L7" s="3"/>
      <c r="M7" s="3"/>
      <c r="N7" s="3"/>
      <c r="O7" s="3"/>
      <c r="P7" s="3"/>
      <c r="Q7" s="3"/>
    </row>
    <row r="8" spans="1:17" ht="15">
      <c r="A8" s="96" t="s">
        <v>1057</v>
      </c>
      <c r="B8" s="7" t="s">
        <v>1058</v>
      </c>
      <c r="C8" s="7" t="s">
        <v>1054</v>
      </c>
      <c r="D8" s="103">
        <f>COUNTIF(DATA_PROPERTY_MASTER!E7:E206,"Yes")</f>
        <v>0</v>
      </c>
      <c r="E8" s="7" t="str">
        <f>IF(D8&gt;=1,"PASS","OPEN")</f>
        <v>OPEN</v>
      </c>
      <c r="F8" s="8" t="s">
        <v>1059</v>
      </c>
      <c r="G8" s="97" t="s">
        <v>1060</v>
      </c>
      <c r="H8" s="3"/>
      <c r="I8" s="3"/>
      <c r="J8" s="3"/>
      <c r="K8" s="3"/>
      <c r="L8" s="3"/>
      <c r="M8" s="3"/>
      <c r="N8" s="3"/>
      <c r="O8" s="3"/>
      <c r="P8" s="3"/>
      <c r="Q8" s="3"/>
    </row>
    <row r="9" spans="1:17" ht="15">
      <c r="A9" s="96" t="s">
        <v>1061</v>
      </c>
      <c r="B9" s="7" t="s">
        <v>1062</v>
      </c>
      <c r="C9" s="7" t="s">
        <v>1063</v>
      </c>
      <c r="D9" s="103">
        <f>COUNTIF(DATA_PROPERTY_MASTER!K7:K206,"Yes")</f>
        <v>0</v>
      </c>
      <c r="E9" s="7" t="str">
        <f>IF(D9=0,"PASS","OPEN")</f>
        <v>PASS</v>
      </c>
      <c r="F9" s="8" t="s">
        <v>1064</v>
      </c>
      <c r="G9" s="97" t="s">
        <v>1065</v>
      </c>
      <c r="H9" s="3"/>
      <c r="I9" s="3"/>
      <c r="J9" s="3"/>
      <c r="K9" s="3"/>
      <c r="L9" s="3"/>
      <c r="M9" s="3"/>
      <c r="N9" s="3"/>
      <c r="O9" s="3"/>
      <c r="P9" s="3"/>
      <c r="Q9" s="3"/>
    </row>
    <row r="10" spans="1:17" ht="15">
      <c r="A10" s="96" t="s">
        <v>1066</v>
      </c>
      <c r="B10" s="7" t="s">
        <v>1067</v>
      </c>
      <c r="C10" s="7" t="s">
        <v>1068</v>
      </c>
      <c r="D10" s="103">
        <f>SUMIFS(DATA_PROPERTY_MASTER!I7:I206,DATA_PROPERTY_MASTER!E7:E206,"Yes")-SUM(DATA_UNIT_MIX!H7:H206)</f>
        <v>0</v>
      </c>
      <c r="E10" s="7" t="str">
        <f>IF(ABS(D10)&lt;0.01,"PASS","FAIL")</f>
        <v>PASS</v>
      </c>
      <c r="F10" s="8" t="s">
        <v>1069</v>
      </c>
      <c r="G10" s="97" t="s">
        <v>1070</v>
      </c>
      <c r="H10" s="3"/>
      <c r="I10" s="3"/>
      <c r="J10" s="3"/>
      <c r="K10" s="3"/>
      <c r="L10" s="3"/>
      <c r="M10" s="3"/>
      <c r="N10" s="3"/>
      <c r="O10" s="3"/>
      <c r="P10" s="3"/>
      <c r="Q10" s="3"/>
    </row>
    <row r="11" spans="1:17" ht="15">
      <c r="A11" s="96" t="s">
        <v>1071</v>
      </c>
      <c r="B11" s="7" t="s">
        <v>1072</v>
      </c>
      <c r="C11" s="7" t="s">
        <v>1054</v>
      </c>
      <c r="D11" s="103">
        <f>COUNTA(STG_SOURCE_INTAKE!A5:A206)</f>
        <v>0</v>
      </c>
      <c r="E11" s="7" t="str">
        <f>IF(D11&gt;=1,"PASS","OPEN")</f>
        <v>OPEN</v>
      </c>
      <c r="F11" s="8" t="s">
        <v>1073</v>
      </c>
      <c r="G11" s="97" t="s">
        <v>1074</v>
      </c>
      <c r="H11" s="3"/>
      <c r="I11" s="3"/>
      <c r="J11" s="3"/>
      <c r="K11" s="3"/>
      <c r="L11" s="3"/>
      <c r="M11" s="3"/>
      <c r="N11" s="3"/>
      <c r="O11" s="3"/>
      <c r="P11" s="3"/>
      <c r="Q11" s="3"/>
    </row>
    <row r="12" spans="1:17" ht="15">
      <c r="A12" s="96" t="s">
        <v>1075</v>
      </c>
      <c r="B12" s="7" t="s">
        <v>1076</v>
      </c>
      <c r="C12" s="7" t="s">
        <v>1077</v>
      </c>
      <c r="D12" s="103">
        <f>COUNTIFS(DATA_OPERATING_ACTUALS!D7:D306,MVP_CONTROL!B5,DATA_OPERATING_ACTUALS!I7:I306,"Revenue")+COUNTIFS(DATA_OPERATING_ACTUALS!D7:D306,MVP_CONTROL!B5,DATA_OPERATING_ACTUALS!I7:I306,"Operating Expense")</f>
        <v>0</v>
      </c>
      <c r="E12" s="7" t="str">
        <f>IF(D12&gt;=3,"PASS","OPEN")</f>
        <v>OPEN</v>
      </c>
      <c r="F12" s="8" t="s">
        <v>1078</v>
      </c>
      <c r="G12" s="97" t="s">
        <v>1079</v>
      </c>
      <c r="H12" s="3"/>
      <c r="I12" s="3"/>
      <c r="J12" s="3"/>
      <c r="K12" s="3"/>
      <c r="L12" s="3"/>
      <c r="M12" s="3"/>
      <c r="N12" s="3"/>
      <c r="O12" s="3"/>
      <c r="P12" s="3"/>
      <c r="Q12" s="3"/>
    </row>
    <row r="13" spans="1:17" ht="15">
      <c r="A13" s="96" t="s">
        <v>1080</v>
      </c>
      <c r="B13" s="7" t="s">
        <v>1081</v>
      </c>
      <c r="C13" s="7" t="s">
        <v>1082</v>
      </c>
      <c r="D13" s="103">
        <f>COUNTIF(DATA_DEBT_SCHEDULE!B5:B206,MVP_CONTROL!B5)</f>
        <v>0</v>
      </c>
      <c r="E13" s="7" t="str">
        <f>IF(D13=1,"PASS","OPEN")</f>
        <v>OPEN</v>
      </c>
      <c r="F13" s="8" t="s">
        <v>1083</v>
      </c>
      <c r="G13" s="97" t="s">
        <v>1084</v>
      </c>
      <c r="H13" s="3"/>
      <c r="I13" s="3"/>
      <c r="J13" s="3"/>
      <c r="K13" s="3"/>
      <c r="L13" s="3"/>
      <c r="M13" s="3"/>
      <c r="N13" s="3"/>
      <c r="O13" s="3"/>
      <c r="P13" s="3"/>
      <c r="Q13" s="3"/>
    </row>
    <row r="14" spans="1:17" ht="27">
      <c r="A14" s="96" t="s">
        <v>1085</v>
      </c>
      <c r="B14" s="7" t="s">
        <v>1086</v>
      </c>
      <c r="C14" s="7" t="s">
        <v>1087</v>
      </c>
      <c r="D14" s="103">
        <f>INDEX(DATA_METRIC_LONG!E:E,MATCH("AFFO / Cash Flow After Debt",DATA_METRIC_LONG!B:B,0))-INDEX(DATA_METRIC_LONG!E:E,MATCH("Source Net Society Income",DATA_METRIC_LONG!B:B,0))</f>
        <v>0</v>
      </c>
      <c r="E14" s="7" t="str">
        <f>IF(COUNTA(DATA_OPERATING_ACTUALS!A7:A306)=0,"N/A",IF(ABS(D14)&lt;1,"PASS","FAIL"))</f>
        <v>N/A</v>
      </c>
      <c r="F14" s="8" t="s">
        <v>1088</v>
      </c>
      <c r="G14" s="97" t="s">
        <v>1089</v>
      </c>
      <c r="H14" s="3"/>
      <c r="I14" s="3"/>
      <c r="J14" s="3"/>
      <c r="K14" s="3"/>
      <c r="L14" s="3"/>
      <c r="M14" s="3"/>
      <c r="N14" s="3"/>
      <c r="O14" s="3"/>
      <c r="P14" s="3"/>
      <c r="Q14" s="3"/>
    </row>
    <row r="15" spans="1:17" ht="15">
      <c r="A15" s="96" t="s">
        <v>1090</v>
      </c>
      <c r="B15" s="7" t="s">
        <v>1091</v>
      </c>
      <c r="C15" s="7" t="s">
        <v>1092</v>
      </c>
      <c r="D15" s="103">
        <f>COUNTIF(DATA_CASH_RESERVES!I7:J206,"Unknown")</f>
        <v>0</v>
      </c>
      <c r="E15" s="7" t="str">
        <f>IF(D15=0,"PASS","OPEN")</f>
        <v>PASS</v>
      </c>
      <c r="F15" s="8" t="s">
        <v>1093</v>
      </c>
      <c r="G15" s="97" t="s">
        <v>1094</v>
      </c>
      <c r="H15" s="3"/>
      <c r="I15" s="3"/>
      <c r="J15" s="3"/>
      <c r="K15" s="3"/>
      <c r="L15" s="3"/>
      <c r="M15" s="3"/>
      <c r="N15" s="3"/>
      <c r="O15" s="3"/>
      <c r="P15" s="3"/>
      <c r="Q15" s="3"/>
    </row>
    <row r="16" spans="1:17" ht="15">
      <c r="A16" s="96" t="s">
        <v>1095</v>
      </c>
      <c r="B16" s="7" t="s">
        <v>1096</v>
      </c>
      <c r="C16" s="7" t="s">
        <v>1097</v>
      </c>
      <c r="D16" s="111" t="str">
        <f>INDEX(DATA_METRIC_LONG!E:E,MATCH("Known Classification Coverage",DATA_METRIC_LONG!B:B,0))</f>
        <v/>
      </c>
      <c r="E16" s="7" t="str">
        <f>IF(D16&gt;=1,"PASS","OPEN")</f>
        <v>PASS</v>
      </c>
      <c r="F16" s="8" t="s">
        <v>1098</v>
      </c>
      <c r="G16" s="97" t="s">
        <v>1099</v>
      </c>
      <c r="H16" s="3"/>
      <c r="I16" s="3"/>
      <c r="J16" s="3"/>
      <c r="K16" s="3"/>
      <c r="L16" s="3"/>
      <c r="M16" s="3"/>
      <c r="N16" s="3"/>
      <c r="O16" s="3"/>
      <c r="P16" s="3"/>
      <c r="Q16" s="3"/>
    </row>
    <row r="17" spans="1:17" ht="15">
      <c r="A17" s="98" t="s">
        <v>1100</v>
      </c>
      <c r="B17" s="11" t="s">
        <v>1101</v>
      </c>
      <c r="C17" s="11" t="s">
        <v>1102</v>
      </c>
      <c r="D17" s="105">
        <f>COUNTIFS(DATA_CAPITAL_NEEDS!A7:A206,"&lt;&gt;",DATA_CAPITAL_NEEDS!N7:N206,"&lt;&gt;Open")</f>
        <v>0</v>
      </c>
      <c r="E17" s="11" t="str">
        <f>IF(D17&gt;=1,"PASS","OPEN")</f>
        <v>OPEN</v>
      </c>
      <c r="F17" s="11" t="s">
        <v>1103</v>
      </c>
      <c r="G17" s="99" t="s">
        <v>1104</v>
      </c>
      <c r="H17" s="3"/>
      <c r="I17" s="3"/>
      <c r="J17" s="3"/>
      <c r="K17" s="3"/>
      <c r="L17" s="3"/>
      <c r="M17" s="3"/>
      <c r="N17" s="3"/>
      <c r="O17" s="3"/>
      <c r="P17" s="3"/>
      <c r="Q17" s="3"/>
    </row>
    <row r="18" spans="1:17" ht="15">
      <c r="A18" s="98" t="s">
        <v>1105</v>
      </c>
      <c r="B18" s="11" t="s">
        <v>1106</v>
      </c>
      <c r="C18" s="11" t="s">
        <v>1107</v>
      </c>
      <c r="D18" s="105">
        <f>COUNTA(DATA_AGREEMENTS!A7:A206)</f>
        <v>0</v>
      </c>
      <c r="E18" s="11" t="str">
        <f>IF(D18&gt;=1,"PARTIAL","OPEN")</f>
        <v>OPEN</v>
      </c>
      <c r="F18" s="11" t="s">
        <v>1108</v>
      </c>
      <c r="G18" s="99" t="s">
        <v>1109</v>
      </c>
      <c r="H18" s="3"/>
      <c r="I18" s="3"/>
      <c r="J18" s="3"/>
      <c r="K18" s="3"/>
      <c r="L18" s="3"/>
      <c r="M18" s="3"/>
      <c r="N18" s="3"/>
      <c r="O18" s="3"/>
      <c r="P18" s="3"/>
      <c r="Q18" s="3"/>
    </row>
    <row r="19" spans="1:17" ht="15">
      <c r="A19" s="98" t="s">
        <v>1110</v>
      </c>
      <c r="B19" s="11" t="s">
        <v>1111</v>
      </c>
      <c r="C19" s="11" t="s">
        <v>1063</v>
      </c>
      <c r="D19" s="105">
        <f>COUNTIF(ASSUMPTIONS_FLAGS!I7:I206,"Open")</f>
        <v>0</v>
      </c>
      <c r="E19" s="11" t="str">
        <f>IF(D19=0,"PASS","OPEN")</f>
        <v>PASS</v>
      </c>
      <c r="F19" s="11" t="s">
        <v>1112</v>
      </c>
      <c r="G19" s="99" t="s">
        <v>1113</v>
      </c>
      <c r="H19" s="3"/>
      <c r="I19" s="3"/>
      <c r="J19" s="3"/>
      <c r="K19" s="3"/>
      <c r="L19" s="3"/>
      <c r="M19" s="3"/>
      <c r="N19" s="3"/>
      <c r="O19" s="3"/>
      <c r="P19" s="3"/>
      <c r="Q19" s="3"/>
    </row>
    <row r="20" spans="1:17" ht="15">
      <c r="A20" s="100"/>
      <c r="B20" s="101"/>
      <c r="C20" s="101"/>
      <c r="D20" s="106"/>
      <c r="E20" s="101"/>
      <c r="F20" s="101"/>
      <c r="G20" s="102"/>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G1"/>
    <mergeCell ref="A2:G2"/>
  </mergeCells>
  <conditionalFormatting sqref="E7:E20">
    <cfRule type="expression" dxfId="3" priority="1">
      <formula>E7="PASS"</formula>
    </cfRule>
    <cfRule type="expression" dxfId="2" priority="2">
      <formula>E7="OPEN"</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50"/>
  <sheetViews>
    <sheetView workbookViewId="0"/>
  </sheetViews>
  <sheetFormatPr defaultRowHeight="14.25"/>
  <cols>
    <col min="1" max="1" width="18" customWidth="1"/>
    <col min="2" max="2" width="9" customWidth="1"/>
    <col min="3" max="3" width="15" customWidth="1"/>
    <col min="4" max="5" width="14" customWidth="1"/>
    <col min="6" max="7" width="15" customWidth="1"/>
    <col min="8" max="8" width="14" customWidth="1"/>
    <col min="9" max="9" width="15" customWidth="1"/>
    <col min="10" max="11" width="16" customWidth="1"/>
  </cols>
  <sheetData>
    <row r="1" spans="1:17" ht="33.950000000000003" customHeight="1">
      <c r="A1" s="206" t="s">
        <v>1114</v>
      </c>
      <c r="B1" s="206"/>
      <c r="C1" s="206"/>
      <c r="D1" s="206"/>
      <c r="E1" s="206"/>
      <c r="F1" s="206"/>
      <c r="G1" s="206"/>
      <c r="H1" s="206"/>
      <c r="I1" s="206"/>
      <c r="J1" s="206"/>
      <c r="K1" s="15"/>
      <c r="L1" s="3"/>
      <c r="M1" s="3"/>
      <c r="N1" s="3"/>
      <c r="O1" s="3"/>
      <c r="P1" s="3"/>
      <c r="Q1" s="3"/>
    </row>
    <row r="2" spans="1:17" ht="30" customHeight="1">
      <c r="A2" s="207" t="s">
        <v>1115</v>
      </c>
      <c r="B2" s="208"/>
      <c r="C2" s="208"/>
      <c r="D2" s="208"/>
      <c r="E2" s="208"/>
      <c r="F2" s="208"/>
      <c r="G2" s="208"/>
      <c r="H2" s="208"/>
      <c r="I2" s="208"/>
      <c r="J2" s="208"/>
      <c r="K2" s="3"/>
      <c r="L2" s="3"/>
      <c r="M2" s="3"/>
      <c r="N2" s="3"/>
      <c r="O2" s="3"/>
      <c r="P2" s="3"/>
      <c r="Q2" s="3"/>
    </row>
    <row r="3" spans="1:17" ht="15">
      <c r="A3" s="11"/>
      <c r="B3" s="11"/>
      <c r="C3" s="11"/>
      <c r="D3" s="11"/>
      <c r="E3" s="11"/>
      <c r="F3" s="11"/>
      <c r="G3" s="11"/>
      <c r="H3" s="11"/>
      <c r="I3" s="11"/>
      <c r="J3" s="11"/>
      <c r="K3" s="3"/>
      <c r="L3" s="3"/>
      <c r="M3" s="3"/>
      <c r="N3" s="3"/>
      <c r="O3" s="3"/>
      <c r="P3" s="3"/>
      <c r="Q3" s="3"/>
    </row>
    <row r="4" spans="1:17" ht="27.95" customHeight="1">
      <c r="A4" s="209" t="s">
        <v>1116</v>
      </c>
      <c r="B4" s="210"/>
      <c r="C4" s="211" t="s">
        <v>964</v>
      </c>
      <c r="D4" s="210"/>
      <c r="E4" s="210"/>
      <c r="F4" s="211" t="s">
        <v>970</v>
      </c>
      <c r="G4" s="210"/>
      <c r="H4" s="210"/>
      <c r="I4" s="211" t="s">
        <v>1117</v>
      </c>
      <c r="J4" s="212"/>
      <c r="K4" s="18"/>
      <c r="L4" s="3"/>
      <c r="M4" s="3"/>
      <c r="N4" s="3"/>
      <c r="O4" s="3"/>
      <c r="P4" s="3"/>
      <c r="Q4" s="3"/>
    </row>
    <row r="5" spans="1:17" ht="38.1" customHeight="1">
      <c r="A5" s="213">
        <f>DATA_METRIC_LONG!E7</f>
        <v>0</v>
      </c>
      <c r="B5" s="214"/>
      <c r="C5" s="214">
        <f>DATA_METRIC_LONG!E9</f>
        <v>0</v>
      </c>
      <c r="D5" s="214"/>
      <c r="E5" s="214"/>
      <c r="F5" s="214">
        <f>DATA_METRIC_LONG!E11</f>
        <v>0</v>
      </c>
      <c r="G5" s="214"/>
      <c r="H5" s="214"/>
      <c r="I5" s="214" t="str">
        <f>IF(COUNTIF(DATA_QUALITY_CHECKS!E7:E19,"OPEN")&gt;0,"Conditional","Ready")</f>
        <v>Conditional</v>
      </c>
      <c r="J5" s="215"/>
      <c r="K5" s="19"/>
      <c r="L5" s="3"/>
      <c r="M5" s="3"/>
      <c r="N5" s="3"/>
      <c r="O5" s="3"/>
      <c r="P5" s="3"/>
      <c r="Q5" s="3"/>
    </row>
    <row r="6" spans="1:17" ht="15">
      <c r="A6" s="23"/>
      <c r="B6" s="23"/>
      <c r="C6" s="11"/>
      <c r="D6" s="23"/>
      <c r="E6" s="23"/>
      <c r="F6" s="11"/>
      <c r="G6" s="23"/>
      <c r="H6" s="23"/>
      <c r="I6" s="11"/>
      <c r="J6" s="23"/>
      <c r="K6" s="19"/>
      <c r="L6" s="3"/>
      <c r="M6" s="3"/>
      <c r="N6" s="3"/>
      <c r="O6" s="3"/>
      <c r="P6" s="3"/>
      <c r="Q6" s="3"/>
    </row>
    <row r="7" spans="1:17" ht="15">
      <c r="A7" s="11"/>
      <c r="B7" s="11"/>
      <c r="C7" s="11"/>
      <c r="D7" s="11"/>
      <c r="E7" s="11"/>
      <c r="F7" s="11"/>
      <c r="G7" s="11"/>
      <c r="H7" s="11"/>
      <c r="I7" s="11"/>
      <c r="J7" s="11"/>
      <c r="K7" s="3"/>
      <c r="L7" s="3"/>
      <c r="M7" s="3"/>
      <c r="N7" s="3"/>
      <c r="O7" s="3"/>
      <c r="P7" s="3"/>
      <c r="Q7" s="3"/>
    </row>
    <row r="8" spans="1:17" ht="26.1" customHeight="1">
      <c r="A8" s="216" t="s">
        <v>1118</v>
      </c>
      <c r="B8" s="216"/>
      <c r="C8" s="216"/>
      <c r="D8" s="216"/>
      <c r="E8" s="216"/>
      <c r="F8" s="216" t="s">
        <v>1119</v>
      </c>
      <c r="G8" s="216"/>
      <c r="H8" s="216"/>
      <c r="I8" s="216"/>
      <c r="J8" s="216"/>
      <c r="K8" s="3"/>
      <c r="L8" s="3"/>
      <c r="M8" s="3"/>
      <c r="N8" s="3"/>
      <c r="O8" s="3"/>
      <c r="P8" s="3"/>
      <c r="Q8" s="3"/>
    </row>
    <row r="9" spans="1:17" ht="27.95" customHeight="1">
      <c r="A9" s="217" t="s">
        <v>1120</v>
      </c>
      <c r="B9" s="218"/>
      <c r="C9" s="219" t="str">
        <f>IF(MVP_CONTROL!B18="","Organization / Demo",MVP_CONTROL!B18)</f>
        <v>Organization / Demo</v>
      </c>
      <c r="D9" s="220"/>
      <c r="E9" s="219"/>
      <c r="F9" s="229" t="s">
        <v>1121</v>
      </c>
      <c r="G9" s="217"/>
      <c r="H9" s="218"/>
      <c r="I9" s="230" t="s">
        <v>103</v>
      </c>
      <c r="J9" s="231"/>
      <c r="K9" s="20"/>
      <c r="L9" s="3"/>
      <c r="M9" s="3"/>
      <c r="N9" s="3"/>
      <c r="O9" s="3"/>
      <c r="P9" s="3"/>
      <c r="Q9" s="3"/>
    </row>
    <row r="10" spans="1:17" ht="27.95" customHeight="1">
      <c r="A10" s="221" t="s">
        <v>1122</v>
      </c>
      <c r="B10" s="222"/>
      <c r="C10" s="223" t="str">
        <f>"Stage 1 Readiness Review"</f>
        <v>Stage 1 Readiness Review</v>
      </c>
      <c r="D10" s="224"/>
      <c r="E10" s="223"/>
      <c r="F10" s="232" t="s">
        <v>1123</v>
      </c>
      <c r="G10" s="221"/>
      <c r="H10" s="222"/>
      <c r="I10" s="233" t="s">
        <v>1124</v>
      </c>
      <c r="J10" s="234"/>
      <c r="K10" s="20"/>
      <c r="L10" s="3"/>
      <c r="M10" s="3"/>
      <c r="N10" s="3"/>
      <c r="O10" s="3"/>
      <c r="P10" s="3"/>
      <c r="Q10" s="3"/>
    </row>
    <row r="11" spans="1:17" ht="27.95" customHeight="1">
      <c r="A11" s="221" t="s">
        <v>1125</v>
      </c>
      <c r="B11" s="222"/>
      <c r="C11" s="223">
        <f>MVP_CONTROL!B5</f>
        <v>0</v>
      </c>
      <c r="D11" s="224"/>
      <c r="E11" s="223"/>
      <c r="F11" s="232" t="s">
        <v>1126</v>
      </c>
      <c r="G11" s="221"/>
      <c r="H11" s="222"/>
      <c r="I11" s="235" t="s">
        <v>103</v>
      </c>
      <c r="J11" s="236"/>
      <c r="K11" s="20"/>
      <c r="L11" s="3"/>
      <c r="M11" s="3"/>
      <c r="N11" s="3"/>
      <c r="O11" s="3"/>
      <c r="P11" s="3"/>
      <c r="Q11" s="3"/>
    </row>
    <row r="12" spans="1:17" ht="27.95" customHeight="1">
      <c r="A12" s="221" t="s">
        <v>1127</v>
      </c>
      <c r="B12" s="222"/>
      <c r="C12" s="223" t="s">
        <v>1128</v>
      </c>
      <c r="D12" s="224"/>
      <c r="E12" s="223"/>
      <c r="F12" s="232" t="s">
        <v>1129</v>
      </c>
      <c r="G12" s="221"/>
      <c r="H12" s="222"/>
      <c r="I12" s="235" t="s">
        <v>1130</v>
      </c>
      <c r="J12" s="236"/>
      <c r="K12" s="20"/>
      <c r="L12" s="3"/>
      <c r="M12" s="3"/>
      <c r="N12" s="3"/>
      <c r="O12" s="3"/>
      <c r="P12" s="3"/>
      <c r="Q12" s="3"/>
    </row>
    <row r="13" spans="1:17" ht="27.95" customHeight="1">
      <c r="A13" s="221" t="s">
        <v>1131</v>
      </c>
      <c r="B13" s="222"/>
      <c r="C13" s="223" t="str">
        <f>IF(COUNTIF(DATA_QUALITY_CHECKS!E7:E19,"OPEN")&gt;0,"Partial / Conditional","Complete")</f>
        <v>Partial / Conditional</v>
      </c>
      <c r="D13" s="224"/>
      <c r="E13" s="223"/>
      <c r="F13" s="232" t="s">
        <v>615</v>
      </c>
      <c r="G13" s="221"/>
      <c r="H13" s="222"/>
      <c r="I13" s="233" t="s">
        <v>508</v>
      </c>
      <c r="J13" s="234"/>
      <c r="K13" s="20"/>
      <c r="L13" s="3"/>
      <c r="M13" s="3"/>
      <c r="N13" s="3"/>
      <c r="O13" s="3"/>
      <c r="P13" s="3"/>
      <c r="Q13" s="3"/>
    </row>
    <row r="14" spans="1:17" ht="27.95" customHeight="1">
      <c r="A14" s="225" t="s">
        <v>1132</v>
      </c>
      <c r="B14" s="226"/>
      <c r="C14" s="227" t="str">
        <f>DATA_METRIC_LONG!E8&amp;" included / "&amp;DATA_METRIC_LONG!E7&amp;" portfolio records"</f>
        <v>0 included / 0 portfolio records</v>
      </c>
      <c r="D14" s="228"/>
      <c r="E14" s="227"/>
      <c r="F14" s="232" t="s">
        <v>1045</v>
      </c>
      <c r="G14" s="221"/>
      <c r="H14" s="222"/>
      <c r="I14" s="233" t="s">
        <v>508</v>
      </c>
      <c r="J14" s="234"/>
      <c r="K14" s="20"/>
      <c r="L14" s="3"/>
      <c r="M14" s="3"/>
      <c r="N14" s="3"/>
      <c r="O14" s="3"/>
      <c r="P14" s="3"/>
      <c r="Q14" s="3"/>
    </row>
    <row r="15" spans="1:17" ht="27.95" customHeight="1">
      <c r="A15" s="11"/>
      <c r="B15" s="11"/>
      <c r="C15" s="11"/>
      <c r="D15" s="11"/>
      <c r="E15" s="11"/>
      <c r="F15" s="232" t="s">
        <v>1133</v>
      </c>
      <c r="G15" s="221"/>
      <c r="H15" s="222"/>
      <c r="I15" s="233" t="s">
        <v>348</v>
      </c>
      <c r="J15" s="234"/>
      <c r="K15" s="20"/>
      <c r="L15" s="3"/>
      <c r="M15" s="3"/>
      <c r="N15" s="3"/>
      <c r="O15" s="3"/>
      <c r="P15" s="3"/>
      <c r="Q15" s="3"/>
    </row>
    <row r="16" spans="1:17" ht="27.95" customHeight="1">
      <c r="A16" s="11"/>
      <c r="B16" s="11"/>
      <c r="C16" s="11"/>
      <c r="D16" s="11"/>
      <c r="E16" s="11"/>
      <c r="F16" s="237" t="s">
        <v>1134</v>
      </c>
      <c r="G16" s="225"/>
      <c r="H16" s="226"/>
      <c r="I16" s="238" t="s">
        <v>103</v>
      </c>
      <c r="J16" s="239"/>
      <c r="K16" s="20"/>
      <c r="L16" s="3"/>
      <c r="M16" s="3"/>
      <c r="N16" s="3"/>
      <c r="O16" s="3"/>
      <c r="P16" s="3"/>
      <c r="Q16" s="3"/>
    </row>
    <row r="17" spans="1:17" ht="26.1" customHeight="1">
      <c r="A17" s="216" t="s">
        <v>1135</v>
      </c>
      <c r="B17" s="216"/>
      <c r="C17" s="216"/>
      <c r="D17" s="216"/>
      <c r="E17" s="216"/>
      <c r="F17" s="216"/>
      <c r="G17" s="216" t="s">
        <v>1136</v>
      </c>
      <c r="H17" s="216"/>
      <c r="I17" s="216"/>
      <c r="J17" s="216"/>
      <c r="K17" s="3"/>
      <c r="L17" s="3"/>
      <c r="M17" s="3"/>
      <c r="N17" s="3"/>
      <c r="O17" s="3"/>
      <c r="P17" s="3"/>
      <c r="Q17" s="3"/>
    </row>
    <row r="18" spans="1:17" ht="27.95" customHeight="1">
      <c r="A18" s="240" t="s">
        <v>1137</v>
      </c>
      <c r="B18" s="241"/>
      <c r="C18" s="94" t="s">
        <v>1138</v>
      </c>
      <c r="D18" s="242" t="s">
        <v>309</v>
      </c>
      <c r="E18" s="241"/>
      <c r="F18" s="242"/>
      <c r="G18" s="128"/>
      <c r="H18" s="11"/>
      <c r="I18" s="11"/>
      <c r="J18" s="11"/>
      <c r="K18" s="3"/>
      <c r="L18" s="3"/>
      <c r="M18" s="3"/>
      <c r="N18" s="3"/>
      <c r="O18" s="3"/>
      <c r="P18" s="3"/>
      <c r="Q18" s="3"/>
    </row>
    <row r="19" spans="1:17" ht="27.95" customHeight="1">
      <c r="A19" s="243" t="s">
        <v>990</v>
      </c>
      <c r="B19" s="244"/>
      <c r="C19" s="108">
        <f>DATA_METRIC_LONG!E17</f>
        <v>0</v>
      </c>
      <c r="D19" s="245" t="s">
        <v>1139</v>
      </c>
      <c r="E19" s="246"/>
      <c r="F19" s="245"/>
      <c r="G19" s="217" t="s">
        <v>973</v>
      </c>
      <c r="H19" s="218"/>
      <c r="I19" s="218"/>
      <c r="J19" s="129">
        <f>DATA_METRIC_LONG!E12</f>
        <v>0</v>
      </c>
      <c r="K19" s="20"/>
      <c r="L19" s="3"/>
      <c r="M19" s="3"/>
      <c r="N19" s="3"/>
      <c r="O19" s="3"/>
      <c r="P19" s="3"/>
      <c r="Q19" s="3"/>
    </row>
    <row r="20" spans="1:17" ht="27.95" customHeight="1">
      <c r="A20" s="243" t="s">
        <v>998</v>
      </c>
      <c r="B20" s="244"/>
      <c r="C20" s="108">
        <f>DATA_METRIC_LONG!E20</f>
        <v>0</v>
      </c>
      <c r="D20" s="245" t="s">
        <v>1140</v>
      </c>
      <c r="E20" s="246"/>
      <c r="F20" s="245"/>
      <c r="G20" s="221" t="s">
        <v>1026</v>
      </c>
      <c r="H20" s="222"/>
      <c r="I20" s="222"/>
      <c r="J20" s="130">
        <f>DATA_METRIC_LONG!E29</f>
        <v>0</v>
      </c>
      <c r="K20" s="20"/>
      <c r="L20" s="3"/>
      <c r="M20" s="3"/>
      <c r="N20" s="3"/>
      <c r="O20" s="3"/>
      <c r="P20" s="3"/>
      <c r="Q20" s="3"/>
    </row>
    <row r="21" spans="1:17" ht="27.95" customHeight="1">
      <c r="A21" s="243" t="s">
        <v>1001</v>
      </c>
      <c r="B21" s="244"/>
      <c r="C21" s="108">
        <f>DATA_METRIC_LONG!E21</f>
        <v>0</v>
      </c>
      <c r="D21" s="245" t="s">
        <v>1141</v>
      </c>
      <c r="E21" s="246"/>
      <c r="F21" s="245"/>
      <c r="G21" s="221" t="s">
        <v>1029</v>
      </c>
      <c r="H21" s="222"/>
      <c r="I21" s="222"/>
      <c r="J21" s="130">
        <f>DATA_METRIC_LONG!E30</f>
        <v>0</v>
      </c>
      <c r="K21" s="20"/>
      <c r="L21" s="3"/>
      <c r="M21" s="3"/>
      <c r="N21" s="3"/>
      <c r="O21" s="3"/>
      <c r="P21" s="3"/>
      <c r="Q21" s="3"/>
    </row>
    <row r="22" spans="1:17" ht="27.95" customHeight="1">
      <c r="A22" s="243" t="s">
        <v>1004</v>
      </c>
      <c r="B22" s="244"/>
      <c r="C22" s="108">
        <f>DATA_METRIC_LONG!E22</f>
        <v>0</v>
      </c>
      <c r="D22" s="245" t="s">
        <v>1142</v>
      </c>
      <c r="E22" s="246"/>
      <c r="F22" s="245"/>
      <c r="G22" s="221" t="s">
        <v>1031</v>
      </c>
      <c r="H22" s="222"/>
      <c r="I22" s="222"/>
      <c r="J22" s="130">
        <f>DATA_METRIC_LONG!E31</f>
        <v>0</v>
      </c>
      <c r="K22" s="20"/>
      <c r="L22" s="3"/>
      <c r="M22" s="3"/>
      <c r="N22" s="3"/>
      <c r="O22" s="3"/>
      <c r="P22" s="3"/>
      <c r="Q22" s="3"/>
    </row>
    <row r="23" spans="1:17" ht="27.95" customHeight="1">
      <c r="A23" s="243" t="s">
        <v>1143</v>
      </c>
      <c r="B23" s="244"/>
      <c r="C23" s="108">
        <f>DATA_METRIC_LONG!E23</f>
        <v>0</v>
      </c>
      <c r="D23" s="245" t="s">
        <v>1144</v>
      </c>
      <c r="E23" s="246"/>
      <c r="F23" s="245"/>
      <c r="G23" s="221" t="s">
        <v>1145</v>
      </c>
      <c r="H23" s="222"/>
      <c r="I23" s="222"/>
      <c r="J23" s="131" t="str">
        <f>DATA_METRIC_LONG!E33</f>
        <v/>
      </c>
      <c r="K23" s="20"/>
      <c r="L23" s="3"/>
      <c r="M23" s="3"/>
      <c r="N23" s="3"/>
      <c r="O23" s="3"/>
      <c r="P23" s="3"/>
      <c r="Q23" s="3"/>
    </row>
    <row r="24" spans="1:17" ht="27.95" customHeight="1">
      <c r="A24" s="247" t="s">
        <v>1010</v>
      </c>
      <c r="B24" s="248"/>
      <c r="C24" s="132" t="str">
        <f>DATA_METRIC_LONG!E24</f>
        <v/>
      </c>
      <c r="D24" s="249" t="s">
        <v>1146</v>
      </c>
      <c r="E24" s="250"/>
      <c r="F24" s="249"/>
      <c r="G24" s="237" t="s">
        <v>1147</v>
      </c>
      <c r="H24" s="250"/>
      <c r="I24" s="250"/>
      <c r="J24" s="133" t="str">
        <f>DATA_METRIC_LONG!E34</f>
        <v>Not reviewed</v>
      </c>
      <c r="K24" s="3"/>
      <c r="L24" s="3"/>
      <c r="M24" s="3"/>
      <c r="N24" s="3"/>
      <c r="O24" s="3"/>
      <c r="P24" s="3"/>
      <c r="Q24" s="3"/>
    </row>
    <row r="25" spans="1:17" ht="67.5">
      <c r="A25" s="11"/>
      <c r="B25" s="11"/>
      <c r="C25" s="11"/>
      <c r="D25" s="11"/>
      <c r="E25" s="11"/>
      <c r="F25" s="11"/>
      <c r="G25" s="11" t="s">
        <v>1148</v>
      </c>
      <c r="H25" s="11"/>
      <c r="I25" s="11"/>
      <c r="J25" s="11"/>
      <c r="K25" s="3"/>
      <c r="L25" s="3"/>
      <c r="M25" s="3"/>
      <c r="N25" s="3"/>
      <c r="O25" s="3"/>
      <c r="P25" s="3"/>
      <c r="Q25" s="3"/>
    </row>
    <row r="26" spans="1:17" ht="26.1" customHeight="1">
      <c r="A26" s="216" t="s">
        <v>1149</v>
      </c>
      <c r="B26" s="216"/>
      <c r="C26" s="216"/>
      <c r="D26" s="216"/>
      <c r="E26" s="216"/>
      <c r="F26" s="216"/>
      <c r="G26" s="216"/>
      <c r="H26" s="216"/>
      <c r="I26" s="216"/>
      <c r="J26" s="216"/>
      <c r="K26" s="3"/>
      <c r="L26" s="3"/>
      <c r="M26" s="3"/>
      <c r="N26" s="3"/>
      <c r="O26" s="3"/>
      <c r="P26" s="3"/>
      <c r="Q26" s="3"/>
    </row>
    <row r="27" spans="1:17" ht="33.950000000000003" customHeight="1">
      <c r="A27" s="251" t="str">
        <f>IF(ASSUMPTIONS_FLAGS!D7="","","• "&amp;ASSUMPTIONS_FLAGS!D7)</f>
        <v/>
      </c>
      <c r="B27" s="251"/>
      <c r="C27" s="251"/>
      <c r="D27" s="251"/>
      <c r="E27" s="251"/>
      <c r="F27" s="251"/>
      <c r="G27" s="251"/>
      <c r="H27" s="251"/>
      <c r="I27" s="251"/>
      <c r="J27" s="251"/>
      <c r="K27" s="21"/>
      <c r="L27" s="3"/>
      <c r="M27" s="3"/>
      <c r="N27" s="3"/>
      <c r="O27" s="3"/>
      <c r="P27" s="3"/>
      <c r="Q27" s="3"/>
    </row>
    <row r="28" spans="1:17" ht="33.950000000000003" customHeight="1">
      <c r="A28" s="251" t="str">
        <f>IF(ASSUMPTIONS_FLAGS!D8="","","• "&amp;ASSUMPTIONS_FLAGS!D8)</f>
        <v/>
      </c>
      <c r="B28" s="251"/>
      <c r="C28" s="251"/>
      <c r="D28" s="251"/>
      <c r="E28" s="251"/>
      <c r="F28" s="251"/>
      <c r="G28" s="251"/>
      <c r="H28" s="251"/>
      <c r="I28" s="251"/>
      <c r="J28" s="251"/>
      <c r="K28" s="21"/>
      <c r="L28" s="3"/>
      <c r="M28" s="3"/>
      <c r="N28" s="3"/>
      <c r="O28" s="3"/>
      <c r="P28" s="3"/>
      <c r="Q28" s="3"/>
    </row>
    <row r="29" spans="1:17" ht="33.950000000000003" customHeight="1">
      <c r="A29" s="251" t="str">
        <f>IF(ASSUMPTIONS_FLAGS!D9="","","• "&amp;ASSUMPTIONS_FLAGS!D9)</f>
        <v/>
      </c>
      <c r="B29" s="251"/>
      <c r="C29" s="251"/>
      <c r="D29" s="251"/>
      <c r="E29" s="251"/>
      <c r="F29" s="251"/>
      <c r="G29" s="251"/>
      <c r="H29" s="251"/>
      <c r="I29" s="251"/>
      <c r="J29" s="251"/>
      <c r="K29" s="21"/>
      <c r="L29" s="3"/>
      <c r="M29" s="3"/>
      <c r="N29" s="3"/>
      <c r="O29" s="3"/>
      <c r="P29" s="3"/>
      <c r="Q29" s="3"/>
    </row>
    <row r="30" spans="1:17" ht="33.950000000000003" customHeight="1">
      <c r="A30" s="251" t="str">
        <f>IF(ASSUMPTIONS_FLAGS!D10="","","• "&amp;ASSUMPTIONS_FLAGS!D10)</f>
        <v/>
      </c>
      <c r="B30" s="251"/>
      <c r="C30" s="251"/>
      <c r="D30" s="251"/>
      <c r="E30" s="251"/>
      <c r="F30" s="251"/>
      <c r="G30" s="251"/>
      <c r="H30" s="251"/>
      <c r="I30" s="251"/>
      <c r="J30" s="251"/>
      <c r="K30" s="21"/>
      <c r="L30" s="3"/>
      <c r="M30" s="3"/>
      <c r="N30" s="3"/>
      <c r="O30" s="3"/>
      <c r="P30" s="3"/>
      <c r="Q30" s="3"/>
    </row>
    <row r="31" spans="1:17" ht="33.950000000000003" customHeight="1">
      <c r="A31" s="251" t="str">
        <f>IF(ASSUMPTIONS_FLAGS!D11="","","• "&amp;ASSUMPTIONS_FLAGS!D11)</f>
        <v/>
      </c>
      <c r="B31" s="251"/>
      <c r="C31" s="251"/>
      <c r="D31" s="251"/>
      <c r="E31" s="251"/>
      <c r="F31" s="251"/>
      <c r="G31" s="251"/>
      <c r="H31" s="251"/>
      <c r="I31" s="251"/>
      <c r="J31" s="251"/>
      <c r="K31" s="21"/>
      <c r="L31" s="3"/>
      <c r="M31" s="3"/>
      <c r="N31" s="3"/>
      <c r="O31" s="3"/>
      <c r="P31" s="3"/>
      <c r="Q31" s="3"/>
    </row>
    <row r="32" spans="1:17" ht="33.950000000000003" customHeight="1">
      <c r="A32" s="251" t="str">
        <f>IF(ASSUMPTIONS_FLAGS!D12="","","• "&amp;ASSUMPTIONS_FLAGS!D12)</f>
        <v/>
      </c>
      <c r="B32" s="251"/>
      <c r="C32" s="251"/>
      <c r="D32" s="251"/>
      <c r="E32" s="251"/>
      <c r="F32" s="251"/>
      <c r="G32" s="251"/>
      <c r="H32" s="251"/>
      <c r="I32" s="251"/>
      <c r="J32" s="251"/>
      <c r="K32" s="21"/>
      <c r="L32" s="3"/>
      <c r="M32" s="3"/>
      <c r="N32" s="3"/>
      <c r="O32" s="3"/>
      <c r="P32" s="3"/>
      <c r="Q32" s="3"/>
    </row>
    <row r="33" spans="1:17" ht="15">
      <c r="A33" s="11"/>
      <c r="B33" s="11"/>
      <c r="C33" s="11"/>
      <c r="D33" s="11"/>
      <c r="E33" s="11"/>
      <c r="F33" s="11"/>
      <c r="G33" s="11"/>
      <c r="H33" s="11"/>
      <c r="I33" s="11"/>
      <c r="J33" s="11"/>
      <c r="K33" s="3"/>
      <c r="L33" s="3"/>
      <c r="M33" s="3"/>
      <c r="N33" s="3"/>
      <c r="O33" s="3"/>
      <c r="P33" s="3"/>
      <c r="Q33" s="3"/>
    </row>
    <row r="34" spans="1:17" ht="26.1" customHeight="1">
      <c r="A34" s="216" t="s">
        <v>1150</v>
      </c>
      <c r="B34" s="216"/>
      <c r="C34" s="216"/>
      <c r="D34" s="216"/>
      <c r="E34" s="216"/>
      <c r="F34" s="216"/>
      <c r="G34" s="216"/>
      <c r="H34" s="216"/>
      <c r="I34" s="216"/>
      <c r="J34" s="216"/>
      <c r="K34" s="3"/>
      <c r="L34" s="3"/>
      <c r="M34" s="3"/>
      <c r="N34" s="3"/>
      <c r="O34" s="3"/>
      <c r="P34" s="3"/>
      <c r="Q34" s="3"/>
    </row>
    <row r="35" spans="1:17" ht="32.1" customHeight="1">
      <c r="A35" s="209" t="s">
        <v>981</v>
      </c>
      <c r="B35" s="210"/>
      <c r="C35" s="211" t="s">
        <v>1151</v>
      </c>
      <c r="D35" s="210"/>
      <c r="E35" s="210"/>
      <c r="F35" s="211" t="s">
        <v>1152</v>
      </c>
      <c r="G35" s="210"/>
      <c r="H35" s="210"/>
      <c r="I35" s="211" t="s">
        <v>1153</v>
      </c>
      <c r="J35" s="212"/>
      <c r="K35" s="22"/>
      <c r="L35" s="3"/>
      <c r="M35" s="3"/>
      <c r="N35" s="3"/>
      <c r="O35" s="3"/>
      <c r="P35" s="3"/>
      <c r="Q35" s="3"/>
    </row>
    <row r="36" spans="1:17" ht="30" customHeight="1">
      <c r="A36" s="252" t="str">
        <f>IF(COUNTIF(DATA_QUALITY_CHECKS!E7:E19,"OPEN")&gt;0,"Conditional","Ready")</f>
        <v>Conditional</v>
      </c>
      <c r="B36" s="253"/>
      <c r="C36" s="256" t="str">
        <f>IF(OR(DATA_METRIC_LONG!E23&lt;0,DATA_METRIC_LONG!E24&lt;1),"Conditional","Ready")</f>
        <v>Ready</v>
      </c>
      <c r="D36" s="253"/>
      <c r="E36" s="253"/>
      <c r="F36" s="256" t="str">
        <f>IF(OR(DATA_METRIC_LONG!E33&lt;1,DATA_METRIC_LONG!E34="Not reviewed"),"Partial","Complete")</f>
        <v>Partial</v>
      </c>
      <c r="G36" s="253"/>
      <c r="H36" s="253"/>
      <c r="I36" s="256" t="str">
        <f>I5</f>
        <v>Conditional</v>
      </c>
      <c r="J36" s="258"/>
      <c r="K36" s="22"/>
      <c r="L36" s="3"/>
      <c r="M36" s="3"/>
      <c r="N36" s="3"/>
      <c r="O36" s="3"/>
      <c r="P36" s="3"/>
      <c r="Q36" s="3"/>
    </row>
    <row r="37" spans="1:17" ht="60" customHeight="1">
      <c r="A37" s="254" t="str">
        <f>IF(A36="Conditional","Key data conflicts and evidence gaps remain","Core data checks passed")</f>
        <v>Key data conflicts and evidence gaps remain</v>
      </c>
      <c r="B37" s="255"/>
      <c r="C37" s="257" t="str">
        <f>IF(C36="Conditional","Selected-year cash flow or DSCR remains below threshold","Selected-year financial metrics meet the initial threshold")</f>
        <v>Selected-year financial metrics meet the initial threshold</v>
      </c>
      <c r="D37" s="255"/>
      <c r="E37" s="255"/>
      <c r="F37" s="257" t="str">
        <f>IF(F36="Partial","Affordability classification or agreement review remains incomplete","Mission and restriction review is complete")</f>
        <v>Affordability classification or agreement review remains incomplete</v>
      </c>
      <c r="G37" s="255"/>
      <c r="H37" s="255"/>
      <c r="I37" s="257" t="str">
        <f>IF(I36="Conditional","Not ready for an external capital-readiness conclusion","Ready for the next controlled review")</f>
        <v>Not ready for an external capital-readiness conclusion</v>
      </c>
      <c r="J37" s="259"/>
      <c r="K37" s="22"/>
      <c r="L37" s="3"/>
      <c r="M37" s="3"/>
      <c r="N37" s="3"/>
      <c r="O37" s="3"/>
      <c r="P37" s="3"/>
      <c r="Q37" s="3"/>
    </row>
    <row r="38" spans="1:17" ht="15">
      <c r="A38" s="22"/>
      <c r="B38" s="22"/>
      <c r="C38" s="11"/>
      <c r="D38" s="22"/>
      <c r="E38" s="22"/>
      <c r="F38" s="11"/>
      <c r="G38" s="22"/>
      <c r="H38" s="22"/>
      <c r="I38" s="11"/>
      <c r="J38" s="22"/>
      <c r="K38" s="22"/>
      <c r="L38" s="3"/>
      <c r="M38" s="3"/>
      <c r="N38" s="3"/>
      <c r="O38" s="3"/>
      <c r="P38" s="3"/>
      <c r="Q38" s="3"/>
    </row>
    <row r="39" spans="1:17" ht="15">
      <c r="A39" s="11"/>
      <c r="B39" s="11"/>
      <c r="C39" s="11"/>
      <c r="D39" s="11"/>
      <c r="E39" s="11"/>
      <c r="F39" s="11"/>
      <c r="G39" s="11"/>
      <c r="H39" s="11"/>
      <c r="I39" s="11"/>
      <c r="J39" s="11"/>
      <c r="K39" s="3"/>
      <c r="L39" s="3"/>
      <c r="M39" s="3"/>
      <c r="N39" s="3"/>
      <c r="O39" s="3"/>
      <c r="P39" s="3"/>
      <c r="Q39" s="3"/>
    </row>
    <row r="40" spans="1:17" ht="66" customHeight="1">
      <c r="A40" s="208" t="s">
        <v>1154</v>
      </c>
      <c r="B40" s="208"/>
      <c r="C40" s="208"/>
      <c r="D40" s="208"/>
      <c r="E40" s="208"/>
      <c r="F40" s="208"/>
      <c r="G40" s="208"/>
      <c r="H40" s="208"/>
      <c r="I40" s="208"/>
      <c r="J40" s="208"/>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83">
    <mergeCell ref="I37:J37"/>
    <mergeCell ref="A40:J40"/>
    <mergeCell ref="A37:B37"/>
    <mergeCell ref="C35:E35"/>
    <mergeCell ref="C36:E36"/>
    <mergeCell ref="C37:E37"/>
    <mergeCell ref="F35:H35"/>
    <mergeCell ref="F36:H36"/>
    <mergeCell ref="F37:H37"/>
    <mergeCell ref="A31:J31"/>
    <mergeCell ref="A32:J32"/>
    <mergeCell ref="A34:J34"/>
    <mergeCell ref="A35:B35"/>
    <mergeCell ref="A36:B36"/>
    <mergeCell ref="I35:J35"/>
    <mergeCell ref="I36:J36"/>
    <mergeCell ref="A26:J26"/>
    <mergeCell ref="A27:J27"/>
    <mergeCell ref="A28:J28"/>
    <mergeCell ref="A29:J29"/>
    <mergeCell ref="A30:J30"/>
    <mergeCell ref="A24:B24"/>
    <mergeCell ref="D24:F24"/>
    <mergeCell ref="G19:I19"/>
    <mergeCell ref="G20:I20"/>
    <mergeCell ref="G21:I21"/>
    <mergeCell ref="G22:I22"/>
    <mergeCell ref="G23:I23"/>
    <mergeCell ref="G24:I24"/>
    <mergeCell ref="A21:B21"/>
    <mergeCell ref="D21:F21"/>
    <mergeCell ref="A22:B22"/>
    <mergeCell ref="D22:F22"/>
    <mergeCell ref="A23:B23"/>
    <mergeCell ref="D23:F23"/>
    <mergeCell ref="A18:B18"/>
    <mergeCell ref="D18:F18"/>
    <mergeCell ref="A19:B19"/>
    <mergeCell ref="D19:F19"/>
    <mergeCell ref="A20:B20"/>
    <mergeCell ref="D20:F20"/>
    <mergeCell ref="F15:H15"/>
    <mergeCell ref="I15:J15"/>
    <mergeCell ref="F16:H16"/>
    <mergeCell ref="I16:J16"/>
    <mergeCell ref="A17:F17"/>
    <mergeCell ref="G17:J17"/>
    <mergeCell ref="F12:H12"/>
    <mergeCell ref="I12:J12"/>
    <mergeCell ref="F13:H13"/>
    <mergeCell ref="I13:J13"/>
    <mergeCell ref="F14:H14"/>
    <mergeCell ref="I14:J14"/>
    <mergeCell ref="F9:H9"/>
    <mergeCell ref="I9:J9"/>
    <mergeCell ref="F10:H10"/>
    <mergeCell ref="I10:J10"/>
    <mergeCell ref="F11:H11"/>
    <mergeCell ref="I11:J11"/>
    <mergeCell ref="A12:B12"/>
    <mergeCell ref="C12:E12"/>
    <mergeCell ref="A13:B13"/>
    <mergeCell ref="C13:E13"/>
    <mergeCell ref="A14:B14"/>
    <mergeCell ref="C14:E14"/>
    <mergeCell ref="A9:B9"/>
    <mergeCell ref="C9:E9"/>
    <mergeCell ref="A10:B10"/>
    <mergeCell ref="C10:E10"/>
    <mergeCell ref="A11:B11"/>
    <mergeCell ref="C11:E11"/>
    <mergeCell ref="A5:B5"/>
    <mergeCell ref="C5:E5"/>
    <mergeCell ref="F5:H5"/>
    <mergeCell ref="I5:J5"/>
    <mergeCell ref="A8:E8"/>
    <mergeCell ref="F8:J8"/>
    <mergeCell ref="A1:J1"/>
    <mergeCell ref="A2:J2"/>
    <mergeCell ref="A4:B4"/>
    <mergeCell ref="C4:E4"/>
    <mergeCell ref="F4:H4"/>
    <mergeCell ref="I4:J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8"/>
  <sheetViews>
    <sheetView workbookViewId="0"/>
  </sheetViews>
  <sheetFormatPr defaultRowHeight="14.25"/>
  <cols>
    <col min="1" max="1" width="12.75" customWidth="1"/>
    <col min="2" max="2" width="12.875" customWidth="1"/>
    <col min="3" max="3" width="15.125" customWidth="1"/>
    <col min="4" max="4" width="21.875" customWidth="1"/>
    <col min="5" max="5" width="11.125" customWidth="1"/>
    <col min="6" max="6" width="10.375" customWidth="1"/>
    <col min="7" max="7" width="15.25" customWidth="1"/>
    <col min="8" max="8" width="14.625" customWidth="1"/>
    <col min="9" max="9" width="14.375" customWidth="1"/>
    <col min="10" max="10" width="6.875" customWidth="1"/>
    <col min="11" max="11" width="14.625" customWidth="1"/>
    <col min="12" max="17" width="20" customWidth="1"/>
  </cols>
  <sheetData>
    <row r="1" spans="1:17" ht="30">
      <c r="A1" s="17" t="s">
        <v>480</v>
      </c>
      <c r="B1" s="17" t="s">
        <v>481</v>
      </c>
      <c r="C1" s="17" t="s">
        <v>482</v>
      </c>
      <c r="D1" s="17" t="s">
        <v>429</v>
      </c>
      <c r="E1" s="17" t="s">
        <v>483</v>
      </c>
      <c r="F1" s="17" t="s">
        <v>484</v>
      </c>
      <c r="G1" s="17" t="s">
        <v>485</v>
      </c>
      <c r="H1" s="17" t="s">
        <v>486</v>
      </c>
      <c r="I1" s="17" t="s">
        <v>487</v>
      </c>
      <c r="J1" s="17" t="s">
        <v>473</v>
      </c>
      <c r="K1" s="17" t="s">
        <v>488</v>
      </c>
      <c r="L1" s="170" t="s">
        <v>1155</v>
      </c>
      <c r="M1" s="170" t="s">
        <v>1156</v>
      </c>
      <c r="N1" s="170" t="s">
        <v>1157</v>
      </c>
      <c r="O1" s="170" t="s">
        <v>1158</v>
      </c>
      <c r="P1" s="170" t="s">
        <v>1159</v>
      </c>
      <c r="Q1" s="170" t="s">
        <v>1160</v>
      </c>
    </row>
    <row r="2" spans="1:17">
      <c r="A2" s="2" t="s">
        <v>322</v>
      </c>
      <c r="B2" s="2" t="s">
        <v>489</v>
      </c>
      <c r="C2" s="2" t="s">
        <v>283</v>
      </c>
      <c r="D2" s="2" t="s">
        <v>490</v>
      </c>
      <c r="E2" s="2" t="s">
        <v>490</v>
      </c>
      <c r="F2" s="2" t="s">
        <v>491</v>
      </c>
      <c r="G2" s="2" t="s">
        <v>276</v>
      </c>
      <c r="H2" s="2" t="s">
        <v>322</v>
      </c>
      <c r="I2" s="2" t="s">
        <v>322</v>
      </c>
      <c r="J2" s="2" t="s">
        <v>299</v>
      </c>
      <c r="K2" s="2" t="s">
        <v>492</v>
      </c>
      <c r="L2" s="155" t="s">
        <v>1161</v>
      </c>
      <c r="M2" s="155" t="s">
        <v>1162</v>
      </c>
      <c r="N2" s="155" t="s">
        <v>1162</v>
      </c>
      <c r="O2" s="155" t="s">
        <v>299</v>
      </c>
      <c r="P2" s="155" t="s">
        <v>1161</v>
      </c>
      <c r="Q2" s="155" t="s">
        <v>1163</v>
      </c>
    </row>
    <row r="3" spans="1:17" ht="28.5">
      <c r="A3" s="2" t="s">
        <v>101</v>
      </c>
      <c r="B3" s="2" t="s">
        <v>493</v>
      </c>
      <c r="C3" s="2" t="s">
        <v>292</v>
      </c>
      <c r="D3" s="2" t="s">
        <v>494</v>
      </c>
      <c r="E3" s="2" t="s">
        <v>348</v>
      </c>
      <c r="F3" s="2" t="s">
        <v>495</v>
      </c>
      <c r="G3" s="2" t="s">
        <v>489</v>
      </c>
      <c r="H3" s="2" t="s">
        <v>101</v>
      </c>
      <c r="I3" s="2" t="s">
        <v>101</v>
      </c>
      <c r="J3" s="2" t="s">
        <v>292</v>
      </c>
      <c r="K3" s="2" t="s">
        <v>348</v>
      </c>
      <c r="L3" s="155" t="s">
        <v>1164</v>
      </c>
      <c r="M3" s="155" t="s">
        <v>1165</v>
      </c>
      <c r="N3" s="155" t="s">
        <v>1166</v>
      </c>
      <c r="O3" s="155" t="s">
        <v>292</v>
      </c>
      <c r="P3" s="155" t="s">
        <v>492</v>
      </c>
      <c r="Q3" s="155" t="s">
        <v>1167</v>
      </c>
    </row>
    <row r="4" spans="1:17" ht="28.5">
      <c r="A4" s="2"/>
      <c r="B4" s="2" t="s">
        <v>496</v>
      </c>
      <c r="C4" s="2" t="s">
        <v>299</v>
      </c>
      <c r="D4" s="2" t="s">
        <v>497</v>
      </c>
      <c r="E4" s="2" t="s">
        <v>498</v>
      </c>
      <c r="F4" s="2" t="s">
        <v>499</v>
      </c>
      <c r="G4" s="2" t="s">
        <v>340</v>
      </c>
      <c r="H4" s="2" t="s">
        <v>500</v>
      </c>
      <c r="I4" s="2" t="s">
        <v>500</v>
      </c>
      <c r="J4" s="2" t="s">
        <v>283</v>
      </c>
      <c r="K4" s="2" t="s">
        <v>501</v>
      </c>
      <c r="L4" s="155" t="s">
        <v>1168</v>
      </c>
      <c r="M4" s="155" t="s">
        <v>1167</v>
      </c>
      <c r="N4" s="155" t="s">
        <v>1169</v>
      </c>
      <c r="O4" s="155" t="s">
        <v>283</v>
      </c>
      <c r="P4" s="155" t="s">
        <v>1170</v>
      </c>
      <c r="Q4" s="155" t="s">
        <v>1171</v>
      </c>
    </row>
    <row r="5" spans="1:17" ht="28.5">
      <c r="A5" s="2"/>
      <c r="B5" s="2" t="s">
        <v>502</v>
      </c>
      <c r="C5" s="2" t="s">
        <v>503</v>
      </c>
      <c r="D5" s="2" t="s">
        <v>504</v>
      </c>
      <c r="E5" s="2" t="s">
        <v>496</v>
      </c>
      <c r="F5" s="2" t="s">
        <v>505</v>
      </c>
      <c r="G5" s="2" t="s">
        <v>103</v>
      </c>
      <c r="H5" s="2" t="s">
        <v>348</v>
      </c>
      <c r="I5" s="2"/>
      <c r="J5" s="2"/>
      <c r="K5" s="2"/>
      <c r="L5" s="155" t="s">
        <v>1170</v>
      </c>
      <c r="M5" s="155" t="s">
        <v>1172</v>
      </c>
      <c r="N5" s="155" t="s">
        <v>1173</v>
      </c>
      <c r="O5" s="155" t="s">
        <v>1174</v>
      </c>
      <c r="P5" s="155" t="s">
        <v>1175</v>
      </c>
      <c r="Q5" s="155" t="s">
        <v>1176</v>
      </c>
    </row>
    <row r="6" spans="1:17">
      <c r="A6" s="2"/>
      <c r="B6" s="2"/>
      <c r="C6" s="2" t="s">
        <v>506</v>
      </c>
      <c r="D6" s="2" t="s">
        <v>348</v>
      </c>
      <c r="E6" s="2"/>
      <c r="F6" s="2" t="s">
        <v>507</v>
      </c>
      <c r="G6" s="2"/>
      <c r="H6" s="2" t="s">
        <v>508</v>
      </c>
      <c r="I6" s="2"/>
      <c r="J6" s="2"/>
      <c r="K6" s="2"/>
      <c r="L6" s="155" t="s">
        <v>1177</v>
      </c>
      <c r="M6" s="155" t="s">
        <v>1178</v>
      </c>
      <c r="N6" s="155" t="s">
        <v>1179</v>
      </c>
      <c r="O6" s="155"/>
      <c r="P6" s="155" t="s">
        <v>1177</v>
      </c>
      <c r="Q6" s="155" t="s">
        <v>1180</v>
      </c>
    </row>
    <row r="7" spans="1:17">
      <c r="A7" s="2"/>
      <c r="B7" s="2"/>
      <c r="C7" s="2" t="s">
        <v>509</v>
      </c>
      <c r="D7" s="2" t="s">
        <v>276</v>
      </c>
      <c r="E7" s="2"/>
      <c r="F7" s="2"/>
      <c r="G7" s="2"/>
      <c r="H7" s="2"/>
      <c r="I7" s="2"/>
      <c r="J7" s="2"/>
      <c r="K7" s="2"/>
      <c r="L7" s="155"/>
      <c r="M7" s="155" t="s">
        <v>1181</v>
      </c>
      <c r="N7" s="155" t="s">
        <v>503</v>
      </c>
      <c r="O7" s="155"/>
      <c r="P7" s="155"/>
      <c r="Q7" s="155"/>
    </row>
    <row r="8" spans="1:17">
      <c r="L8" s="155"/>
      <c r="M8" s="155" t="s">
        <v>1182</v>
      </c>
      <c r="N8" s="155"/>
      <c r="O8" s="155"/>
      <c r="P8" s="155"/>
      <c r="Q8" s="15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7"/>
  <sheetViews>
    <sheetView workbookViewId="0"/>
  </sheetViews>
  <sheetFormatPr defaultRowHeight="14.25"/>
  <cols>
    <col min="1" max="1" width="25" customWidth="1"/>
    <col min="2" max="2" width="28" customWidth="1"/>
    <col min="3" max="3" width="62" customWidth="1"/>
  </cols>
  <sheetData>
    <row r="1" spans="1:6" ht="27.95" customHeight="1">
      <c r="A1" s="260" t="s">
        <v>1183</v>
      </c>
      <c r="B1" s="260"/>
      <c r="C1" s="260"/>
      <c r="D1" s="261"/>
      <c r="E1" s="261"/>
      <c r="F1" s="261"/>
    </row>
    <row r="2" spans="1:6" ht="36" customHeight="1">
      <c r="A2" s="262" t="s">
        <v>1184</v>
      </c>
      <c r="B2" s="262"/>
      <c r="C2" s="262"/>
      <c r="D2" s="261"/>
      <c r="E2" s="261"/>
      <c r="F2" s="261"/>
    </row>
    <row r="3" spans="1:6">
      <c r="A3" s="34"/>
      <c r="B3" s="34"/>
      <c r="C3" s="34"/>
    </row>
    <row r="4" spans="1:6" ht="15">
      <c r="A4" s="27" t="s">
        <v>1014</v>
      </c>
      <c r="B4" s="27" t="s">
        <v>1185</v>
      </c>
      <c r="C4" s="27" t="s">
        <v>1186</v>
      </c>
    </row>
    <row r="5" spans="1:6" ht="15">
      <c r="A5" s="28" t="s">
        <v>1187</v>
      </c>
      <c r="B5" s="35"/>
      <c r="C5" s="29" t="s">
        <v>1188</v>
      </c>
    </row>
    <row r="6" spans="1:6" ht="15">
      <c r="A6" s="30" t="s">
        <v>1189</v>
      </c>
      <c r="B6" s="36"/>
      <c r="C6" s="31" t="s">
        <v>1190</v>
      </c>
    </row>
    <row r="7" spans="1:6" ht="15">
      <c r="A7" s="30" t="s">
        <v>1191</v>
      </c>
      <c r="B7" s="36" t="s">
        <v>1192</v>
      </c>
      <c r="C7" s="31" t="s">
        <v>1193</v>
      </c>
    </row>
    <row r="8" spans="1:6" ht="30">
      <c r="A8" s="30" t="s">
        <v>1194</v>
      </c>
      <c r="B8" s="36"/>
      <c r="C8" s="31" t="s">
        <v>1195</v>
      </c>
    </row>
    <row r="9" spans="1:6" ht="30">
      <c r="A9" s="30" t="s">
        <v>1196</v>
      </c>
      <c r="B9" s="36"/>
      <c r="C9" s="31" t="s">
        <v>1197</v>
      </c>
    </row>
    <row r="10" spans="1:6" ht="30">
      <c r="A10" s="30" t="s">
        <v>1198</v>
      </c>
      <c r="B10" s="36"/>
      <c r="C10" s="31" t="s">
        <v>1199</v>
      </c>
    </row>
    <row r="11" spans="1:6" ht="30">
      <c r="A11" s="30" t="s">
        <v>1200</v>
      </c>
      <c r="B11" s="36"/>
      <c r="C11" s="31" t="s">
        <v>1201</v>
      </c>
    </row>
    <row r="12" spans="1:6" ht="30">
      <c r="A12" s="30" t="s">
        <v>1202</v>
      </c>
      <c r="B12" s="36"/>
      <c r="C12" s="31" t="s">
        <v>1203</v>
      </c>
    </row>
    <row r="13" spans="1:6" ht="28.5">
      <c r="A13" s="30" t="s">
        <v>1204</v>
      </c>
      <c r="B13" s="36" t="s">
        <v>1205</v>
      </c>
      <c r="C13" s="31" t="s">
        <v>1206</v>
      </c>
    </row>
    <row r="14" spans="1:6" ht="28.5">
      <c r="A14" s="30" t="s">
        <v>1207</v>
      </c>
      <c r="B14" s="36" t="s">
        <v>1208</v>
      </c>
      <c r="C14" s="31" t="s">
        <v>1209</v>
      </c>
    </row>
    <row r="15" spans="1:6" ht="28.5">
      <c r="A15" s="30" t="s">
        <v>1210</v>
      </c>
      <c r="B15" s="36" t="s">
        <v>1144</v>
      </c>
      <c r="C15" s="31" t="s">
        <v>1211</v>
      </c>
    </row>
    <row r="16" spans="1:6" ht="28.5">
      <c r="A16" s="32" t="s">
        <v>1212</v>
      </c>
      <c r="B16" s="37" t="s">
        <v>1213</v>
      </c>
      <c r="C16" s="33" t="s">
        <v>1214</v>
      </c>
    </row>
    <row r="17" spans="1:3" ht="28.5">
      <c r="A17" s="34" t="s">
        <v>1215</v>
      </c>
      <c r="B17" s="34" t="s">
        <v>1216</v>
      </c>
      <c r="C17" s="34" t="s">
        <v>1217</v>
      </c>
    </row>
    <row r="18" spans="1:3" ht="28.5">
      <c r="A18" s="34" t="s">
        <v>1218</v>
      </c>
      <c r="B18" s="34"/>
      <c r="C18" s="34" t="s">
        <v>1219</v>
      </c>
    </row>
    <row r="19" spans="1:3">
      <c r="A19" s="34"/>
      <c r="B19" s="34"/>
      <c r="C19" s="34"/>
    </row>
    <row r="20" spans="1:3">
      <c r="A20" s="164" t="s">
        <v>1220</v>
      </c>
      <c r="B20" s="167" t="s">
        <v>1221</v>
      </c>
      <c r="C20" s="158" t="s">
        <v>1222</v>
      </c>
    </row>
    <row r="21" spans="1:3">
      <c r="A21" s="165" t="s">
        <v>1223</v>
      </c>
      <c r="B21" s="168"/>
      <c r="C21" s="160" t="s">
        <v>1224</v>
      </c>
    </row>
    <row r="22" spans="1:3" ht="24">
      <c r="A22" s="165" t="s">
        <v>1225</v>
      </c>
      <c r="B22" s="168"/>
      <c r="C22" s="160" t="s">
        <v>1226</v>
      </c>
    </row>
    <row r="23" spans="1:3">
      <c r="A23" s="165" t="s">
        <v>1227</v>
      </c>
      <c r="B23" s="168" t="s">
        <v>1228</v>
      </c>
      <c r="C23" s="160" t="s">
        <v>1229</v>
      </c>
    </row>
    <row r="24" spans="1:3">
      <c r="A24" s="165" t="s">
        <v>1230</v>
      </c>
      <c r="B24" s="168" t="s">
        <v>1231</v>
      </c>
      <c r="C24" s="160" t="s">
        <v>1232</v>
      </c>
    </row>
    <row r="25" spans="1:3">
      <c r="A25" s="165" t="s">
        <v>1233</v>
      </c>
      <c r="B25" s="168" t="s">
        <v>1231</v>
      </c>
      <c r="C25" s="160" t="s">
        <v>1234</v>
      </c>
    </row>
    <row r="26" spans="1:3">
      <c r="A26" s="165" t="s">
        <v>1235</v>
      </c>
      <c r="B26" s="168" t="s">
        <v>1236</v>
      </c>
      <c r="C26" s="160" t="s">
        <v>1237</v>
      </c>
    </row>
    <row r="27" spans="1:3">
      <c r="A27" s="166" t="s">
        <v>1238</v>
      </c>
      <c r="B27" s="169" t="s">
        <v>1239</v>
      </c>
      <c r="C27" s="163" t="s">
        <v>1240</v>
      </c>
    </row>
  </sheetData>
  <mergeCells count="2">
    <mergeCell ref="A1:F1"/>
    <mergeCell ref="A2:F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06"/>
  <sheetViews>
    <sheetView workbookViewId="0"/>
  </sheetViews>
  <sheetFormatPr defaultRowHeight="14.25"/>
  <cols>
    <col min="1" max="1" width="15" customWidth="1"/>
    <col min="2" max="2" width="14" customWidth="1"/>
    <col min="3" max="5" width="19" customWidth="1"/>
    <col min="6" max="6" width="18" customWidth="1"/>
    <col min="7" max="7" width="16" customWidth="1"/>
    <col min="8" max="8" width="58" customWidth="1"/>
  </cols>
  <sheetData>
    <row r="1" spans="1:9" ht="20.25">
      <c r="A1" s="263" t="s">
        <v>1241</v>
      </c>
      <c r="B1" s="263"/>
      <c r="C1" s="263"/>
      <c r="D1" s="263"/>
      <c r="E1" s="263"/>
      <c r="F1" s="263"/>
      <c r="G1" s="263"/>
      <c r="H1" s="263"/>
    </row>
    <row r="2" spans="1:9">
      <c r="A2" s="264" t="s">
        <v>1242</v>
      </c>
      <c r="B2" s="264"/>
      <c r="C2" s="264"/>
      <c r="D2" s="264"/>
      <c r="E2" s="264"/>
      <c r="F2" s="264"/>
      <c r="G2" s="264"/>
      <c r="H2" s="264"/>
    </row>
    <row r="4" spans="1:9" ht="15">
      <c r="A4" s="85" t="s">
        <v>1243</v>
      </c>
      <c r="B4" s="86" t="s">
        <v>421</v>
      </c>
      <c r="C4" s="86" t="s">
        <v>1244</v>
      </c>
      <c r="D4" s="86" t="s">
        <v>1245</v>
      </c>
      <c r="E4" s="86" t="s">
        <v>1246</v>
      </c>
      <c r="F4" s="86" t="s">
        <v>418</v>
      </c>
      <c r="G4" s="86" t="s">
        <v>429</v>
      </c>
      <c r="H4" s="87" t="s">
        <v>309</v>
      </c>
      <c r="I4" t="s">
        <v>1247</v>
      </c>
    </row>
    <row r="5" spans="1:9">
      <c r="A5" s="88"/>
      <c r="B5" s="2"/>
      <c r="C5" s="91"/>
      <c r="D5" s="91"/>
      <c r="E5" s="91" t="str">
        <f t="shared" ref="E5:E68" si="0">IF(OR(C5&lt;&gt;"",D5&lt;&gt;""),SUM(C5:D5),"")</f>
        <v/>
      </c>
      <c r="F5" s="2"/>
      <c r="G5" s="2"/>
      <c r="H5" s="25"/>
    </row>
    <row r="6" spans="1:9">
      <c r="A6" s="88"/>
      <c r="B6" s="2"/>
      <c r="C6" s="91"/>
      <c r="D6" s="91"/>
      <c r="E6" s="91" t="str">
        <f t="shared" si="0"/>
        <v/>
      </c>
      <c r="F6" s="2"/>
      <c r="G6" s="2"/>
      <c r="H6" s="25"/>
    </row>
    <row r="7" spans="1:9">
      <c r="A7" s="88"/>
      <c r="B7" s="2"/>
      <c r="C7" s="91"/>
      <c r="D7" s="91"/>
      <c r="E7" s="91" t="str">
        <f t="shared" si="0"/>
        <v/>
      </c>
      <c r="F7" s="2"/>
      <c r="G7" s="2"/>
      <c r="H7" s="25"/>
    </row>
    <row r="8" spans="1:9">
      <c r="A8" s="88"/>
      <c r="B8" s="2"/>
      <c r="C8" s="91"/>
      <c r="D8" s="91"/>
      <c r="E8" s="91" t="str">
        <f t="shared" si="0"/>
        <v/>
      </c>
      <c r="F8" s="2"/>
      <c r="G8" s="2"/>
      <c r="H8" s="25"/>
    </row>
    <row r="9" spans="1:9">
      <c r="A9" s="88"/>
      <c r="B9" s="2"/>
      <c r="C9" s="91"/>
      <c r="D9" s="91"/>
      <c r="E9" s="91" t="str">
        <f t="shared" si="0"/>
        <v/>
      </c>
      <c r="F9" s="2"/>
      <c r="G9" s="2"/>
      <c r="H9" s="25"/>
    </row>
    <row r="10" spans="1:9">
      <c r="A10" s="88"/>
      <c r="B10" s="2"/>
      <c r="C10" s="91"/>
      <c r="D10" s="91"/>
      <c r="E10" s="91" t="str">
        <f t="shared" si="0"/>
        <v/>
      </c>
      <c r="F10" s="2"/>
      <c r="G10" s="2"/>
      <c r="H10" s="25"/>
    </row>
    <row r="11" spans="1:9">
      <c r="A11" s="88"/>
      <c r="B11" s="2"/>
      <c r="C11" s="91"/>
      <c r="D11" s="91"/>
      <c r="E11" s="91" t="str">
        <f t="shared" si="0"/>
        <v/>
      </c>
      <c r="F11" s="2"/>
      <c r="G11" s="2"/>
      <c r="H11" s="25"/>
    </row>
    <row r="12" spans="1:9">
      <c r="A12" s="88"/>
      <c r="B12" s="2"/>
      <c r="C12" s="91"/>
      <c r="D12" s="91"/>
      <c r="E12" s="91" t="str">
        <f t="shared" si="0"/>
        <v/>
      </c>
      <c r="F12" s="2"/>
      <c r="G12" s="2"/>
      <c r="H12" s="25"/>
    </row>
    <row r="13" spans="1:9">
      <c r="A13" s="88"/>
      <c r="B13" s="2"/>
      <c r="C13" s="91"/>
      <c r="D13" s="91"/>
      <c r="E13" s="91" t="str">
        <f t="shared" si="0"/>
        <v/>
      </c>
      <c r="F13" s="2"/>
      <c r="G13" s="2"/>
      <c r="H13" s="25"/>
    </row>
    <row r="14" spans="1:9">
      <c r="A14" s="89"/>
      <c r="B14" s="90"/>
      <c r="C14" s="92"/>
      <c r="D14" s="92"/>
      <c r="E14" s="92" t="str">
        <f t="shared" si="0"/>
        <v/>
      </c>
      <c r="F14" s="90"/>
      <c r="G14" s="90"/>
      <c r="H14" s="26"/>
    </row>
    <row r="15" spans="1:9">
      <c r="E15" t="str">
        <f t="shared" si="0"/>
        <v/>
      </c>
    </row>
    <row r="16" spans="1:9">
      <c r="E16" t="str">
        <f t="shared" si="0"/>
        <v/>
      </c>
    </row>
    <row r="17" spans="5:5">
      <c r="E17" t="str">
        <f t="shared" si="0"/>
        <v/>
      </c>
    </row>
    <row r="18" spans="5:5">
      <c r="E18" t="str">
        <f t="shared" si="0"/>
        <v/>
      </c>
    </row>
    <row r="19" spans="5:5">
      <c r="E19" t="str">
        <f t="shared" si="0"/>
        <v/>
      </c>
    </row>
    <row r="20" spans="5:5">
      <c r="E20" t="str">
        <f t="shared" si="0"/>
        <v/>
      </c>
    </row>
    <row r="21" spans="5:5">
      <c r="E21" t="str">
        <f t="shared" si="0"/>
        <v/>
      </c>
    </row>
    <row r="22" spans="5:5">
      <c r="E22" t="str">
        <f t="shared" si="0"/>
        <v/>
      </c>
    </row>
    <row r="23" spans="5:5">
      <c r="E23" t="str">
        <f t="shared" si="0"/>
        <v/>
      </c>
    </row>
    <row r="24" spans="5:5">
      <c r="E24" t="str">
        <f t="shared" si="0"/>
        <v/>
      </c>
    </row>
    <row r="25" spans="5:5">
      <c r="E25" t="str">
        <f t="shared" si="0"/>
        <v/>
      </c>
    </row>
    <row r="26" spans="5:5">
      <c r="E26" t="str">
        <f t="shared" si="0"/>
        <v/>
      </c>
    </row>
    <row r="27" spans="5:5">
      <c r="E27" t="str">
        <f t="shared" si="0"/>
        <v/>
      </c>
    </row>
    <row r="28" spans="5:5">
      <c r="E28" t="str">
        <f t="shared" si="0"/>
        <v/>
      </c>
    </row>
    <row r="29" spans="5:5">
      <c r="E29" t="str">
        <f t="shared" si="0"/>
        <v/>
      </c>
    </row>
    <row r="30" spans="5:5">
      <c r="E30" t="str">
        <f t="shared" si="0"/>
        <v/>
      </c>
    </row>
    <row r="31" spans="5:5">
      <c r="E31" t="str">
        <f t="shared" si="0"/>
        <v/>
      </c>
    </row>
    <row r="32" spans="5:5">
      <c r="E32" t="str">
        <f t="shared" si="0"/>
        <v/>
      </c>
    </row>
    <row r="33" spans="5:5">
      <c r="E33" t="str">
        <f t="shared" si="0"/>
        <v/>
      </c>
    </row>
    <row r="34" spans="5:5">
      <c r="E34" t="str">
        <f t="shared" si="0"/>
        <v/>
      </c>
    </row>
    <row r="35" spans="5:5">
      <c r="E35" t="str">
        <f t="shared" si="0"/>
        <v/>
      </c>
    </row>
    <row r="36" spans="5:5">
      <c r="E36" t="str">
        <f t="shared" si="0"/>
        <v/>
      </c>
    </row>
    <row r="37" spans="5:5">
      <c r="E37" t="str">
        <f t="shared" si="0"/>
        <v/>
      </c>
    </row>
    <row r="38" spans="5:5">
      <c r="E38" t="str">
        <f t="shared" si="0"/>
        <v/>
      </c>
    </row>
    <row r="39" spans="5:5">
      <c r="E39" t="str">
        <f t="shared" si="0"/>
        <v/>
      </c>
    </row>
    <row r="40" spans="5:5">
      <c r="E40" t="str">
        <f t="shared" si="0"/>
        <v/>
      </c>
    </row>
    <row r="41" spans="5:5">
      <c r="E41" t="str">
        <f t="shared" si="0"/>
        <v/>
      </c>
    </row>
    <row r="42" spans="5:5">
      <c r="E42" t="str">
        <f t="shared" si="0"/>
        <v/>
      </c>
    </row>
    <row r="43" spans="5:5">
      <c r="E43" t="str">
        <f t="shared" si="0"/>
        <v/>
      </c>
    </row>
    <row r="44" spans="5:5">
      <c r="E44" t="str">
        <f t="shared" si="0"/>
        <v/>
      </c>
    </row>
    <row r="45" spans="5:5">
      <c r="E45" t="str">
        <f t="shared" si="0"/>
        <v/>
      </c>
    </row>
    <row r="46" spans="5:5">
      <c r="E46" t="str">
        <f t="shared" si="0"/>
        <v/>
      </c>
    </row>
    <row r="47" spans="5:5">
      <c r="E47" t="str">
        <f t="shared" si="0"/>
        <v/>
      </c>
    </row>
    <row r="48" spans="5:5">
      <c r="E48" t="str">
        <f t="shared" si="0"/>
        <v/>
      </c>
    </row>
    <row r="49" spans="5:5">
      <c r="E49" t="str">
        <f t="shared" si="0"/>
        <v/>
      </c>
    </row>
    <row r="50" spans="5:5">
      <c r="E50" t="str">
        <f t="shared" si="0"/>
        <v/>
      </c>
    </row>
    <row r="51" spans="5:5">
      <c r="E51" t="str">
        <f t="shared" si="0"/>
        <v/>
      </c>
    </row>
    <row r="52" spans="5:5">
      <c r="E52" t="str">
        <f t="shared" si="0"/>
        <v/>
      </c>
    </row>
    <row r="53" spans="5:5">
      <c r="E53" t="str">
        <f t="shared" si="0"/>
        <v/>
      </c>
    </row>
    <row r="54" spans="5:5">
      <c r="E54" t="str">
        <f t="shared" si="0"/>
        <v/>
      </c>
    </row>
    <row r="55" spans="5:5">
      <c r="E55" t="str">
        <f t="shared" si="0"/>
        <v/>
      </c>
    </row>
    <row r="56" spans="5:5">
      <c r="E56" t="str">
        <f t="shared" si="0"/>
        <v/>
      </c>
    </row>
    <row r="57" spans="5:5">
      <c r="E57" t="str">
        <f t="shared" si="0"/>
        <v/>
      </c>
    </row>
    <row r="58" spans="5:5">
      <c r="E58" t="str">
        <f t="shared" si="0"/>
        <v/>
      </c>
    </row>
    <row r="59" spans="5:5">
      <c r="E59" t="str">
        <f t="shared" si="0"/>
        <v/>
      </c>
    </row>
    <row r="60" spans="5:5">
      <c r="E60" t="str">
        <f t="shared" si="0"/>
        <v/>
      </c>
    </row>
    <row r="61" spans="5:5">
      <c r="E61" t="str">
        <f t="shared" si="0"/>
        <v/>
      </c>
    </row>
    <row r="62" spans="5:5">
      <c r="E62" t="str">
        <f t="shared" si="0"/>
        <v/>
      </c>
    </row>
    <row r="63" spans="5:5">
      <c r="E63" t="str">
        <f t="shared" si="0"/>
        <v/>
      </c>
    </row>
    <row r="64" spans="5:5">
      <c r="E64" t="str">
        <f t="shared" si="0"/>
        <v/>
      </c>
    </row>
    <row r="65" spans="5:5">
      <c r="E65" t="str">
        <f t="shared" si="0"/>
        <v/>
      </c>
    </row>
    <row r="66" spans="5:5">
      <c r="E66" t="str">
        <f t="shared" si="0"/>
        <v/>
      </c>
    </row>
    <row r="67" spans="5:5">
      <c r="E67" t="str">
        <f t="shared" si="0"/>
        <v/>
      </c>
    </row>
    <row r="68" spans="5:5">
      <c r="E68" t="str">
        <f t="shared" si="0"/>
        <v/>
      </c>
    </row>
    <row r="69" spans="5:5">
      <c r="E69" t="str">
        <f t="shared" ref="E69:E132" si="1">IF(OR(C69&lt;&gt;"",D69&lt;&gt;""),SUM(C69:D69),"")</f>
        <v/>
      </c>
    </row>
    <row r="70" spans="5:5">
      <c r="E70" t="str">
        <f t="shared" si="1"/>
        <v/>
      </c>
    </row>
    <row r="71" spans="5:5">
      <c r="E71" t="str">
        <f t="shared" si="1"/>
        <v/>
      </c>
    </row>
    <row r="72" spans="5:5">
      <c r="E72" t="str">
        <f t="shared" si="1"/>
        <v/>
      </c>
    </row>
    <row r="73" spans="5:5">
      <c r="E73" t="str">
        <f t="shared" si="1"/>
        <v/>
      </c>
    </row>
    <row r="74" spans="5:5">
      <c r="E74" t="str">
        <f t="shared" si="1"/>
        <v/>
      </c>
    </row>
    <row r="75" spans="5:5">
      <c r="E75" t="str">
        <f t="shared" si="1"/>
        <v/>
      </c>
    </row>
    <row r="76" spans="5:5">
      <c r="E76" t="str">
        <f t="shared" si="1"/>
        <v/>
      </c>
    </row>
    <row r="77" spans="5:5">
      <c r="E77" t="str">
        <f t="shared" si="1"/>
        <v/>
      </c>
    </row>
    <row r="78" spans="5:5">
      <c r="E78" t="str">
        <f t="shared" si="1"/>
        <v/>
      </c>
    </row>
    <row r="79" spans="5:5">
      <c r="E79" t="str">
        <f t="shared" si="1"/>
        <v/>
      </c>
    </row>
    <row r="80" spans="5:5">
      <c r="E80" t="str">
        <f t="shared" si="1"/>
        <v/>
      </c>
    </row>
    <row r="81" spans="5:5">
      <c r="E81" t="str">
        <f t="shared" si="1"/>
        <v/>
      </c>
    </row>
    <row r="82" spans="5:5">
      <c r="E82" t="str">
        <f t="shared" si="1"/>
        <v/>
      </c>
    </row>
    <row r="83" spans="5:5">
      <c r="E83" t="str">
        <f t="shared" si="1"/>
        <v/>
      </c>
    </row>
    <row r="84" spans="5:5">
      <c r="E84" t="str">
        <f t="shared" si="1"/>
        <v/>
      </c>
    </row>
    <row r="85" spans="5:5">
      <c r="E85" t="str">
        <f t="shared" si="1"/>
        <v/>
      </c>
    </row>
    <row r="86" spans="5:5">
      <c r="E86" t="str">
        <f t="shared" si="1"/>
        <v/>
      </c>
    </row>
    <row r="87" spans="5:5">
      <c r="E87" t="str">
        <f t="shared" si="1"/>
        <v/>
      </c>
    </row>
    <row r="88" spans="5:5">
      <c r="E88" t="str">
        <f t="shared" si="1"/>
        <v/>
      </c>
    </row>
    <row r="89" spans="5:5">
      <c r="E89" t="str">
        <f t="shared" si="1"/>
        <v/>
      </c>
    </row>
    <row r="90" spans="5:5">
      <c r="E90" t="str">
        <f t="shared" si="1"/>
        <v/>
      </c>
    </row>
    <row r="91" spans="5:5">
      <c r="E91" t="str">
        <f t="shared" si="1"/>
        <v/>
      </c>
    </row>
    <row r="92" spans="5:5">
      <c r="E92" t="str">
        <f t="shared" si="1"/>
        <v/>
      </c>
    </row>
    <row r="93" spans="5:5">
      <c r="E93" t="str">
        <f t="shared" si="1"/>
        <v/>
      </c>
    </row>
    <row r="94" spans="5:5">
      <c r="E94" t="str">
        <f t="shared" si="1"/>
        <v/>
      </c>
    </row>
    <row r="95" spans="5:5">
      <c r="E95" t="str">
        <f t="shared" si="1"/>
        <v/>
      </c>
    </row>
    <row r="96" spans="5:5">
      <c r="E96" t="str">
        <f t="shared" si="1"/>
        <v/>
      </c>
    </row>
    <row r="97" spans="5:5">
      <c r="E97" t="str">
        <f t="shared" si="1"/>
        <v/>
      </c>
    </row>
    <row r="98" spans="5:5">
      <c r="E98" t="str">
        <f t="shared" si="1"/>
        <v/>
      </c>
    </row>
    <row r="99" spans="5:5">
      <c r="E99" t="str">
        <f t="shared" si="1"/>
        <v/>
      </c>
    </row>
    <row r="100" spans="5:5">
      <c r="E100" t="str">
        <f t="shared" si="1"/>
        <v/>
      </c>
    </row>
    <row r="101" spans="5:5">
      <c r="E101" t="str">
        <f t="shared" si="1"/>
        <v/>
      </c>
    </row>
    <row r="102" spans="5:5">
      <c r="E102" t="str">
        <f t="shared" si="1"/>
        <v/>
      </c>
    </row>
    <row r="103" spans="5:5">
      <c r="E103" t="str">
        <f t="shared" si="1"/>
        <v/>
      </c>
    </row>
    <row r="104" spans="5:5">
      <c r="E104" t="str">
        <f t="shared" si="1"/>
        <v/>
      </c>
    </row>
    <row r="105" spans="5:5">
      <c r="E105" t="str">
        <f t="shared" si="1"/>
        <v/>
      </c>
    </row>
    <row r="106" spans="5:5">
      <c r="E106" t="str">
        <f t="shared" si="1"/>
        <v/>
      </c>
    </row>
    <row r="107" spans="5:5">
      <c r="E107" t="str">
        <f t="shared" si="1"/>
        <v/>
      </c>
    </row>
    <row r="108" spans="5:5">
      <c r="E108" t="str">
        <f t="shared" si="1"/>
        <v/>
      </c>
    </row>
    <row r="109" spans="5:5">
      <c r="E109" t="str">
        <f t="shared" si="1"/>
        <v/>
      </c>
    </row>
    <row r="110" spans="5:5">
      <c r="E110" t="str">
        <f t="shared" si="1"/>
        <v/>
      </c>
    </row>
    <row r="111" spans="5:5">
      <c r="E111" t="str">
        <f t="shared" si="1"/>
        <v/>
      </c>
    </row>
    <row r="112" spans="5:5">
      <c r="E112" t="str">
        <f t="shared" si="1"/>
        <v/>
      </c>
    </row>
    <row r="113" spans="5:5">
      <c r="E113" t="str">
        <f t="shared" si="1"/>
        <v/>
      </c>
    </row>
    <row r="114" spans="5:5">
      <c r="E114" t="str">
        <f t="shared" si="1"/>
        <v/>
      </c>
    </row>
    <row r="115" spans="5:5">
      <c r="E115" t="str">
        <f t="shared" si="1"/>
        <v/>
      </c>
    </row>
    <row r="116" spans="5:5">
      <c r="E116" t="str">
        <f t="shared" si="1"/>
        <v/>
      </c>
    </row>
    <row r="117" spans="5:5">
      <c r="E117" t="str">
        <f t="shared" si="1"/>
        <v/>
      </c>
    </row>
    <row r="118" spans="5:5">
      <c r="E118" t="str">
        <f t="shared" si="1"/>
        <v/>
      </c>
    </row>
    <row r="119" spans="5:5">
      <c r="E119" t="str">
        <f t="shared" si="1"/>
        <v/>
      </c>
    </row>
    <row r="120" spans="5:5">
      <c r="E120" t="str">
        <f t="shared" si="1"/>
        <v/>
      </c>
    </row>
    <row r="121" spans="5:5">
      <c r="E121" t="str">
        <f t="shared" si="1"/>
        <v/>
      </c>
    </row>
    <row r="122" spans="5:5">
      <c r="E122" t="str">
        <f t="shared" si="1"/>
        <v/>
      </c>
    </row>
    <row r="123" spans="5:5">
      <c r="E123" t="str">
        <f t="shared" si="1"/>
        <v/>
      </c>
    </row>
    <row r="124" spans="5:5">
      <c r="E124" t="str">
        <f t="shared" si="1"/>
        <v/>
      </c>
    </row>
    <row r="125" spans="5:5">
      <c r="E125" t="str">
        <f t="shared" si="1"/>
        <v/>
      </c>
    </row>
    <row r="126" spans="5:5">
      <c r="E126" t="str">
        <f t="shared" si="1"/>
        <v/>
      </c>
    </row>
    <row r="127" spans="5:5">
      <c r="E127" t="str">
        <f t="shared" si="1"/>
        <v/>
      </c>
    </row>
    <row r="128" spans="5:5">
      <c r="E128" t="str">
        <f t="shared" si="1"/>
        <v/>
      </c>
    </row>
    <row r="129" spans="5:5">
      <c r="E129" t="str">
        <f t="shared" si="1"/>
        <v/>
      </c>
    </row>
    <row r="130" spans="5:5">
      <c r="E130" t="str">
        <f t="shared" si="1"/>
        <v/>
      </c>
    </row>
    <row r="131" spans="5:5">
      <c r="E131" t="str">
        <f t="shared" si="1"/>
        <v/>
      </c>
    </row>
    <row r="132" spans="5:5">
      <c r="E132" t="str">
        <f t="shared" si="1"/>
        <v/>
      </c>
    </row>
    <row r="133" spans="5:5">
      <c r="E133" t="str">
        <f t="shared" ref="E133:E196" si="2">IF(OR(C133&lt;&gt;"",D133&lt;&gt;""),SUM(C133:D133),"")</f>
        <v/>
      </c>
    </row>
    <row r="134" spans="5:5">
      <c r="E134" t="str">
        <f t="shared" si="2"/>
        <v/>
      </c>
    </row>
    <row r="135" spans="5:5">
      <c r="E135" t="str">
        <f t="shared" si="2"/>
        <v/>
      </c>
    </row>
    <row r="136" spans="5:5">
      <c r="E136" t="str">
        <f t="shared" si="2"/>
        <v/>
      </c>
    </row>
    <row r="137" spans="5:5">
      <c r="E137" t="str">
        <f t="shared" si="2"/>
        <v/>
      </c>
    </row>
    <row r="138" spans="5:5">
      <c r="E138" t="str">
        <f t="shared" si="2"/>
        <v/>
      </c>
    </row>
    <row r="139" spans="5:5">
      <c r="E139" t="str">
        <f t="shared" si="2"/>
        <v/>
      </c>
    </row>
    <row r="140" spans="5:5">
      <c r="E140" t="str">
        <f t="shared" si="2"/>
        <v/>
      </c>
    </row>
    <row r="141" spans="5:5">
      <c r="E141" t="str">
        <f t="shared" si="2"/>
        <v/>
      </c>
    </row>
    <row r="142" spans="5:5">
      <c r="E142" t="str">
        <f t="shared" si="2"/>
        <v/>
      </c>
    </row>
    <row r="143" spans="5:5">
      <c r="E143" t="str">
        <f t="shared" si="2"/>
        <v/>
      </c>
    </row>
    <row r="144" spans="5:5">
      <c r="E144" t="str">
        <f t="shared" si="2"/>
        <v/>
      </c>
    </row>
    <row r="145" spans="5:5">
      <c r="E145" t="str">
        <f t="shared" si="2"/>
        <v/>
      </c>
    </row>
    <row r="146" spans="5:5">
      <c r="E146" t="str">
        <f t="shared" si="2"/>
        <v/>
      </c>
    </row>
    <row r="147" spans="5:5">
      <c r="E147" t="str">
        <f t="shared" si="2"/>
        <v/>
      </c>
    </row>
    <row r="148" spans="5:5">
      <c r="E148" t="str">
        <f t="shared" si="2"/>
        <v/>
      </c>
    </row>
    <row r="149" spans="5:5">
      <c r="E149" t="str">
        <f t="shared" si="2"/>
        <v/>
      </c>
    </row>
    <row r="150" spans="5:5">
      <c r="E150" t="str">
        <f t="shared" si="2"/>
        <v/>
      </c>
    </row>
    <row r="151" spans="5:5">
      <c r="E151" t="str">
        <f t="shared" si="2"/>
        <v/>
      </c>
    </row>
    <row r="152" spans="5:5">
      <c r="E152" t="str">
        <f t="shared" si="2"/>
        <v/>
      </c>
    </row>
    <row r="153" spans="5:5">
      <c r="E153" t="str">
        <f t="shared" si="2"/>
        <v/>
      </c>
    </row>
    <row r="154" spans="5:5">
      <c r="E154" t="str">
        <f t="shared" si="2"/>
        <v/>
      </c>
    </row>
    <row r="155" spans="5:5">
      <c r="E155" t="str">
        <f t="shared" si="2"/>
        <v/>
      </c>
    </row>
    <row r="156" spans="5:5">
      <c r="E156" t="str">
        <f t="shared" si="2"/>
        <v/>
      </c>
    </row>
    <row r="157" spans="5:5">
      <c r="E157" t="str">
        <f t="shared" si="2"/>
        <v/>
      </c>
    </row>
    <row r="158" spans="5:5">
      <c r="E158" t="str">
        <f t="shared" si="2"/>
        <v/>
      </c>
    </row>
    <row r="159" spans="5:5">
      <c r="E159" t="str">
        <f t="shared" si="2"/>
        <v/>
      </c>
    </row>
    <row r="160" spans="5:5">
      <c r="E160" t="str">
        <f t="shared" si="2"/>
        <v/>
      </c>
    </row>
    <row r="161" spans="5:5">
      <c r="E161" t="str">
        <f t="shared" si="2"/>
        <v/>
      </c>
    </row>
    <row r="162" spans="5:5">
      <c r="E162" t="str">
        <f t="shared" si="2"/>
        <v/>
      </c>
    </row>
    <row r="163" spans="5:5">
      <c r="E163" t="str">
        <f t="shared" si="2"/>
        <v/>
      </c>
    </row>
    <row r="164" spans="5:5">
      <c r="E164" t="str">
        <f t="shared" si="2"/>
        <v/>
      </c>
    </row>
    <row r="165" spans="5:5">
      <c r="E165" t="str">
        <f t="shared" si="2"/>
        <v/>
      </c>
    </row>
    <row r="166" spans="5:5">
      <c r="E166" t="str">
        <f t="shared" si="2"/>
        <v/>
      </c>
    </row>
    <row r="167" spans="5:5">
      <c r="E167" t="str">
        <f t="shared" si="2"/>
        <v/>
      </c>
    </row>
    <row r="168" spans="5:5">
      <c r="E168" t="str">
        <f t="shared" si="2"/>
        <v/>
      </c>
    </row>
    <row r="169" spans="5:5">
      <c r="E169" t="str">
        <f t="shared" si="2"/>
        <v/>
      </c>
    </row>
    <row r="170" spans="5:5">
      <c r="E170" t="str">
        <f t="shared" si="2"/>
        <v/>
      </c>
    </row>
    <row r="171" spans="5:5">
      <c r="E171" t="str">
        <f t="shared" si="2"/>
        <v/>
      </c>
    </row>
    <row r="172" spans="5:5">
      <c r="E172" t="str">
        <f t="shared" si="2"/>
        <v/>
      </c>
    </row>
    <row r="173" spans="5:5">
      <c r="E173" t="str">
        <f t="shared" si="2"/>
        <v/>
      </c>
    </row>
    <row r="174" spans="5:5">
      <c r="E174" t="str">
        <f t="shared" si="2"/>
        <v/>
      </c>
    </row>
    <row r="175" spans="5:5">
      <c r="E175" t="str">
        <f t="shared" si="2"/>
        <v/>
      </c>
    </row>
    <row r="176" spans="5:5">
      <c r="E176" t="str">
        <f t="shared" si="2"/>
        <v/>
      </c>
    </row>
    <row r="177" spans="5:5">
      <c r="E177" t="str">
        <f t="shared" si="2"/>
        <v/>
      </c>
    </row>
    <row r="178" spans="5:5">
      <c r="E178" t="str">
        <f t="shared" si="2"/>
        <v/>
      </c>
    </row>
    <row r="179" spans="5:5">
      <c r="E179" t="str">
        <f t="shared" si="2"/>
        <v/>
      </c>
    </row>
    <row r="180" spans="5:5">
      <c r="E180" t="str">
        <f t="shared" si="2"/>
        <v/>
      </c>
    </row>
    <row r="181" spans="5:5">
      <c r="E181" t="str">
        <f t="shared" si="2"/>
        <v/>
      </c>
    </row>
    <row r="182" spans="5:5">
      <c r="E182" t="str">
        <f t="shared" si="2"/>
        <v/>
      </c>
    </row>
    <row r="183" spans="5:5">
      <c r="E183" t="str">
        <f t="shared" si="2"/>
        <v/>
      </c>
    </row>
    <row r="184" spans="5:5">
      <c r="E184" t="str">
        <f t="shared" si="2"/>
        <v/>
      </c>
    </row>
    <row r="185" spans="5:5">
      <c r="E185" t="str">
        <f t="shared" si="2"/>
        <v/>
      </c>
    </row>
    <row r="186" spans="5:5">
      <c r="E186" t="str">
        <f t="shared" si="2"/>
        <v/>
      </c>
    </row>
    <row r="187" spans="5:5">
      <c r="E187" t="str">
        <f t="shared" si="2"/>
        <v/>
      </c>
    </row>
    <row r="188" spans="5:5">
      <c r="E188" t="str">
        <f t="shared" si="2"/>
        <v/>
      </c>
    </row>
    <row r="189" spans="5:5">
      <c r="E189" t="str">
        <f t="shared" si="2"/>
        <v/>
      </c>
    </row>
    <row r="190" spans="5:5">
      <c r="E190" t="str">
        <f t="shared" si="2"/>
        <v/>
      </c>
    </row>
    <row r="191" spans="5:5">
      <c r="E191" t="str">
        <f t="shared" si="2"/>
        <v/>
      </c>
    </row>
    <row r="192" spans="5:5">
      <c r="E192" t="str">
        <f t="shared" si="2"/>
        <v/>
      </c>
    </row>
    <row r="193" spans="5:5">
      <c r="E193" t="str">
        <f t="shared" si="2"/>
        <v/>
      </c>
    </row>
    <row r="194" spans="5:5">
      <c r="E194" t="str">
        <f t="shared" si="2"/>
        <v/>
      </c>
    </row>
    <row r="195" spans="5:5">
      <c r="E195" t="str">
        <f t="shared" si="2"/>
        <v/>
      </c>
    </row>
    <row r="196" spans="5:5">
      <c r="E196" t="str">
        <f t="shared" si="2"/>
        <v/>
      </c>
    </row>
    <row r="197" spans="5:5">
      <c r="E197" t="str">
        <f t="shared" ref="E197:E260" si="3">IF(OR(C197&lt;&gt;"",D197&lt;&gt;""),SUM(C197:D197),"")</f>
        <v/>
      </c>
    </row>
    <row r="198" spans="5:5">
      <c r="E198" t="str">
        <f t="shared" si="3"/>
        <v/>
      </c>
    </row>
    <row r="199" spans="5:5">
      <c r="E199" t="str">
        <f t="shared" si="3"/>
        <v/>
      </c>
    </row>
    <row r="200" spans="5:5">
      <c r="E200" t="str">
        <f t="shared" si="3"/>
        <v/>
      </c>
    </row>
    <row r="201" spans="5:5">
      <c r="E201" t="str">
        <f t="shared" si="3"/>
        <v/>
      </c>
    </row>
    <row r="202" spans="5:5">
      <c r="E202" t="str">
        <f t="shared" si="3"/>
        <v/>
      </c>
    </row>
    <row r="203" spans="5:5">
      <c r="E203" t="str">
        <f t="shared" si="3"/>
        <v/>
      </c>
    </row>
    <row r="204" spans="5:5">
      <c r="E204" t="str">
        <f t="shared" si="3"/>
        <v/>
      </c>
    </row>
    <row r="205" spans="5:5">
      <c r="E205" t="str">
        <f t="shared" si="3"/>
        <v/>
      </c>
    </row>
    <row r="206" spans="5:5">
      <c r="E206" t="str">
        <f t="shared" si="3"/>
        <v/>
      </c>
    </row>
  </sheetData>
  <mergeCells count="2">
    <mergeCell ref="A1:H1"/>
    <mergeCell ref="A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1"/>
  <sheetViews>
    <sheetView workbookViewId="0"/>
  </sheetViews>
  <sheetFormatPr defaultRowHeight="14.25"/>
  <cols>
    <col min="1" max="1" width="31" customWidth="1"/>
    <col min="2" max="2" width="18" customWidth="1"/>
    <col min="3" max="4" width="20" customWidth="1"/>
    <col min="5" max="6" width="18" customWidth="1"/>
    <col min="7" max="7" width="42" customWidth="1"/>
    <col min="8" max="8" width="46" customWidth="1"/>
  </cols>
  <sheetData>
    <row r="1" spans="1:8" ht="20.25">
      <c r="A1" s="263" t="s">
        <v>1248</v>
      </c>
      <c r="B1" s="263"/>
      <c r="C1" s="263"/>
      <c r="D1" s="263"/>
      <c r="E1" s="263"/>
      <c r="F1" s="263"/>
      <c r="G1" s="263"/>
      <c r="H1" s="263"/>
    </row>
    <row r="2" spans="1:8">
      <c r="A2" s="264" t="s">
        <v>1249</v>
      </c>
      <c r="B2" s="264"/>
      <c r="C2" s="264"/>
      <c r="D2" s="264"/>
      <c r="E2" s="264"/>
      <c r="F2" s="264"/>
      <c r="G2" s="264"/>
      <c r="H2" s="264"/>
    </row>
    <row r="4" spans="1:8" ht="15">
      <c r="A4" s="85" t="s">
        <v>1250</v>
      </c>
      <c r="B4" s="86" t="s">
        <v>1251</v>
      </c>
      <c r="C4" s="86" t="s">
        <v>1252</v>
      </c>
      <c r="D4" s="86" t="s">
        <v>1253</v>
      </c>
      <c r="E4" s="86" t="s">
        <v>1185</v>
      </c>
      <c r="F4" s="86" t="s">
        <v>301</v>
      </c>
      <c r="G4" s="86" t="s">
        <v>94</v>
      </c>
      <c r="H4" s="87" t="s">
        <v>1254</v>
      </c>
    </row>
    <row r="5" spans="1:8">
      <c r="A5" s="88"/>
      <c r="B5" s="112"/>
      <c r="C5" s="112"/>
      <c r="D5" s="114"/>
      <c r="E5" s="114"/>
      <c r="F5" s="2"/>
      <c r="G5" s="2"/>
      <c r="H5" s="25"/>
    </row>
    <row r="6" spans="1:8">
      <c r="A6" s="88"/>
      <c r="B6" s="112"/>
      <c r="C6" s="112"/>
      <c r="D6" s="114"/>
      <c r="E6" s="114"/>
      <c r="F6" s="2"/>
      <c r="G6" s="2"/>
      <c r="H6" s="25"/>
    </row>
    <row r="7" spans="1:8">
      <c r="A7" s="88"/>
      <c r="B7" s="112"/>
      <c r="C7" s="112"/>
      <c r="D7" s="114"/>
      <c r="E7" s="114"/>
      <c r="F7" s="2"/>
      <c r="G7" s="2"/>
      <c r="H7" s="25"/>
    </row>
    <row r="8" spans="1:8">
      <c r="A8" s="88"/>
      <c r="B8" s="112"/>
      <c r="C8" s="112"/>
      <c r="D8" s="114"/>
      <c r="E8" s="114"/>
      <c r="F8" s="2"/>
      <c r="G8" s="2"/>
      <c r="H8" s="25"/>
    </row>
    <row r="9" spans="1:8">
      <c r="A9" s="88"/>
      <c r="B9" s="112"/>
      <c r="C9" s="112"/>
      <c r="D9" s="114"/>
      <c r="E9" s="114"/>
      <c r="F9" s="2"/>
      <c r="G9" s="2"/>
      <c r="H9" s="25"/>
    </row>
    <row r="10" spans="1:8">
      <c r="A10" s="88"/>
      <c r="B10" s="112"/>
      <c r="C10" s="112"/>
      <c r="D10" s="114"/>
      <c r="E10" s="114"/>
      <c r="F10" s="2"/>
      <c r="G10" s="2"/>
      <c r="H10" s="25"/>
    </row>
    <row r="11" spans="1:8">
      <c r="A11" s="88"/>
      <c r="B11" s="112"/>
      <c r="C11" s="112"/>
      <c r="D11" s="114"/>
      <c r="E11" s="114"/>
      <c r="F11" s="2"/>
      <c r="G11" s="2"/>
      <c r="H11" s="25"/>
    </row>
    <row r="12" spans="1:8">
      <c r="A12" s="88"/>
      <c r="B12" s="91"/>
      <c r="C12" s="91"/>
      <c r="D12" s="115"/>
      <c r="E12" s="115"/>
      <c r="F12" s="2"/>
      <c r="G12" s="2"/>
      <c r="H12" s="25"/>
    </row>
    <row r="13" spans="1:8">
      <c r="A13" s="88"/>
      <c r="B13" s="91"/>
      <c r="C13" s="91"/>
      <c r="D13" s="115"/>
      <c r="E13" s="115"/>
      <c r="F13" s="2"/>
      <c r="G13" s="2"/>
      <c r="H13" s="25"/>
    </row>
    <row r="14" spans="1:8">
      <c r="A14" s="88"/>
      <c r="B14" s="91"/>
      <c r="C14" s="91"/>
      <c r="D14" s="115"/>
      <c r="E14" s="115"/>
      <c r="F14" s="2"/>
      <c r="G14" s="2"/>
      <c r="H14" s="25"/>
    </row>
    <row r="15" spans="1:8">
      <c r="A15" s="88"/>
      <c r="B15" s="91"/>
      <c r="C15" s="91"/>
      <c r="D15" s="115"/>
      <c r="E15" s="115"/>
      <c r="F15" s="2"/>
      <c r="G15" s="2"/>
      <c r="H15" s="25"/>
    </row>
    <row r="16" spans="1:8">
      <c r="A16" s="88"/>
      <c r="B16" s="91"/>
      <c r="C16" s="91"/>
      <c r="D16" s="115"/>
      <c r="E16" s="115"/>
      <c r="F16" s="2"/>
      <c r="G16" s="2"/>
      <c r="H16" s="25"/>
    </row>
    <row r="17" spans="1:8">
      <c r="A17" s="88"/>
      <c r="B17" s="113"/>
      <c r="C17" s="113"/>
      <c r="D17" s="116"/>
      <c r="E17" s="116"/>
      <c r="F17" s="2"/>
      <c r="G17" s="2"/>
      <c r="H17" s="25"/>
    </row>
    <row r="18" spans="1:8">
      <c r="A18" s="88"/>
      <c r="B18" s="112"/>
      <c r="C18" s="112"/>
      <c r="D18" s="114"/>
      <c r="E18" s="114"/>
      <c r="F18" s="2"/>
      <c r="G18" s="2"/>
      <c r="H18" s="25"/>
    </row>
    <row r="19" spans="1:8">
      <c r="A19" s="88"/>
      <c r="B19" s="112"/>
      <c r="C19" s="112"/>
      <c r="D19" s="114"/>
      <c r="E19" s="114"/>
      <c r="F19" s="2"/>
      <c r="G19" s="2"/>
      <c r="H19" s="25"/>
    </row>
    <row r="20" spans="1:8">
      <c r="A20" s="88"/>
      <c r="B20" s="112"/>
      <c r="C20" s="112"/>
      <c r="D20" s="114"/>
      <c r="E20" s="114"/>
      <c r="F20" s="2"/>
      <c r="G20" s="2"/>
      <c r="H20" s="25"/>
    </row>
    <row r="21" spans="1:8">
      <c r="A21" s="89"/>
      <c r="B21" s="92"/>
      <c r="C21" s="92"/>
      <c r="D21" s="117"/>
      <c r="E21" s="117"/>
      <c r="F21" s="90"/>
      <c r="G21" s="90"/>
      <c r="H21" s="26"/>
    </row>
  </sheetData>
  <mergeCells count="2">
    <mergeCell ref="A1:H1"/>
    <mergeCell ref="A2:H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4"/>
  <sheetViews>
    <sheetView workbookViewId="0"/>
  </sheetViews>
  <sheetFormatPr defaultRowHeight="14.25"/>
  <cols>
    <col min="1" max="1" width="43" customWidth="1"/>
    <col min="2" max="2" width="20" customWidth="1"/>
    <col min="3" max="3" width="17" customWidth="1"/>
    <col min="4" max="4" width="62" customWidth="1"/>
    <col min="5" max="8" width="3" customWidth="1"/>
  </cols>
  <sheetData>
    <row r="1" spans="1:8" ht="20.25">
      <c r="A1" s="263" t="s">
        <v>1255</v>
      </c>
      <c r="B1" s="263"/>
      <c r="C1" s="263"/>
      <c r="D1" s="263"/>
      <c r="E1" s="263"/>
      <c r="F1" s="263"/>
      <c r="G1" s="263"/>
      <c r="H1" s="263"/>
    </row>
    <row r="2" spans="1:8">
      <c r="A2" t="s">
        <v>1256</v>
      </c>
    </row>
    <row r="3" spans="1:8" ht="105" customHeight="1">
      <c r="A3" s="264" t="s">
        <v>1257</v>
      </c>
      <c r="B3" s="264"/>
      <c r="C3" s="264"/>
      <c r="D3" s="264"/>
      <c r="E3" s="264"/>
      <c r="F3" s="264"/>
      <c r="G3" s="264"/>
      <c r="H3" s="264"/>
    </row>
    <row r="4" spans="1:8">
      <c r="A4" s="261" t="s">
        <v>1258</v>
      </c>
      <c r="B4" s="261" t="s">
        <v>1259</v>
      </c>
      <c r="C4" s="261" t="s">
        <v>1260</v>
      </c>
      <c r="D4" s="261" t="s">
        <v>1261</v>
      </c>
      <c r="E4" s="261"/>
      <c r="F4" s="261"/>
      <c r="G4" s="261"/>
      <c r="H4" s="261"/>
    </row>
    <row r="5" spans="1:8">
      <c r="A5" s="261"/>
      <c r="B5" s="261"/>
      <c r="C5" s="261"/>
      <c r="D5" s="261"/>
      <c r="E5" s="261"/>
      <c r="F5" s="261"/>
      <c r="G5" s="261"/>
      <c r="H5" s="261"/>
    </row>
    <row r="6" spans="1:8">
      <c r="A6" s="261"/>
      <c r="B6" s="261"/>
      <c r="C6" s="261"/>
      <c r="D6" s="261"/>
      <c r="E6" s="261"/>
      <c r="F6" s="261"/>
      <c r="G6" s="261"/>
      <c r="H6" s="261"/>
    </row>
    <row r="8" spans="1:8" ht="15">
      <c r="A8" s="85"/>
      <c r="B8" s="86"/>
      <c r="C8" s="86"/>
      <c r="D8" s="87"/>
    </row>
    <row r="9" spans="1:8">
      <c r="A9" s="88"/>
      <c r="B9" s="118"/>
      <c r="C9" s="2"/>
      <c r="D9" s="25"/>
    </row>
    <row r="10" spans="1:8">
      <c r="A10" s="88"/>
      <c r="B10" s="118"/>
      <c r="C10" s="2"/>
      <c r="D10" s="25"/>
    </row>
    <row r="11" spans="1:8">
      <c r="A11" s="88"/>
      <c r="B11" s="115"/>
      <c r="C11" s="2"/>
      <c r="D11" s="25"/>
    </row>
    <row r="12" spans="1:8">
      <c r="A12" s="88"/>
      <c r="B12" s="115"/>
      <c r="C12" s="2"/>
      <c r="D12" s="25"/>
    </row>
    <row r="13" spans="1:8">
      <c r="A13" s="88"/>
      <c r="B13" s="115"/>
      <c r="C13" s="2"/>
      <c r="D13" s="25"/>
    </row>
    <row r="14" spans="1:8">
      <c r="A14" s="88"/>
      <c r="B14" s="115"/>
      <c r="C14" s="2"/>
      <c r="D14" s="25"/>
    </row>
    <row r="15" spans="1:8">
      <c r="A15" s="88"/>
      <c r="B15" s="115"/>
      <c r="C15" s="2"/>
      <c r="D15" s="25"/>
    </row>
    <row r="16" spans="1:8">
      <c r="A16" s="88"/>
      <c r="B16" s="116"/>
      <c r="C16" s="2"/>
      <c r="D16" s="25"/>
    </row>
    <row r="17" spans="1:8">
      <c r="A17" s="89"/>
      <c r="B17" s="119"/>
      <c r="C17" s="90"/>
      <c r="D17" s="26"/>
    </row>
    <row r="21" spans="1:8" ht="125.1" customHeight="1">
      <c r="A21" s="265"/>
      <c r="B21" s="265"/>
      <c r="C21" s="265"/>
      <c r="D21" s="265"/>
      <c r="E21" s="265"/>
      <c r="F21" s="265"/>
      <c r="G21" s="265"/>
      <c r="H21" s="265"/>
    </row>
    <row r="22" spans="1:8">
      <c r="A22" s="261"/>
      <c r="B22" s="261"/>
      <c r="C22" s="261"/>
      <c r="D22" s="261"/>
      <c r="E22" s="261"/>
      <c r="F22" s="261"/>
      <c r="G22" s="261"/>
      <c r="H22" s="261"/>
    </row>
    <row r="23" spans="1:8">
      <c r="A23" s="261"/>
      <c r="B23" s="261"/>
      <c r="C23" s="261"/>
      <c r="D23" s="261"/>
      <c r="E23" s="261"/>
      <c r="F23" s="261"/>
      <c r="G23" s="261"/>
      <c r="H23" s="261"/>
    </row>
    <row r="24" spans="1:8">
      <c r="A24" s="261"/>
      <c r="B24" s="261"/>
      <c r="C24" s="261"/>
      <c r="D24" s="261"/>
      <c r="E24" s="261"/>
      <c r="F24" s="261"/>
      <c r="G24" s="261"/>
      <c r="H24" s="261"/>
    </row>
  </sheetData>
  <mergeCells count="3">
    <mergeCell ref="A1:H1"/>
    <mergeCell ref="A3:H6"/>
    <mergeCell ref="A21:H2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3"/>
  <sheetViews>
    <sheetView workbookViewId="0"/>
  </sheetViews>
  <sheetFormatPr defaultRowHeight="14.25"/>
  <cols>
    <col min="1" max="1" width="16" customWidth="1"/>
    <col min="2" max="2" width="18" customWidth="1"/>
    <col min="3" max="3" width="20" customWidth="1"/>
    <col min="4" max="4" width="22" customWidth="1"/>
    <col min="5" max="5" width="18" customWidth="1"/>
    <col min="6" max="6" width="22" customWidth="1"/>
    <col min="7" max="7" width="12" customWidth="1"/>
    <col min="8" max="8" width="18" customWidth="1"/>
  </cols>
  <sheetData>
    <row r="1" spans="1:8" ht="20.25">
      <c r="A1" s="263" t="s">
        <v>1262</v>
      </c>
      <c r="B1" s="263"/>
      <c r="C1" s="263"/>
      <c r="D1" s="263"/>
      <c r="E1" s="263"/>
      <c r="F1" s="263"/>
      <c r="G1" s="263"/>
      <c r="H1" s="263"/>
    </row>
    <row r="3" spans="1:8" ht="15">
      <c r="A3" s="85" t="s">
        <v>1263</v>
      </c>
      <c r="B3" s="86" t="s">
        <v>990</v>
      </c>
      <c r="C3" s="86" t="s">
        <v>998</v>
      </c>
      <c r="D3" s="86" t="s">
        <v>1001</v>
      </c>
      <c r="E3" s="86" t="s">
        <v>1004</v>
      </c>
      <c r="F3" s="86" t="s">
        <v>1143</v>
      </c>
      <c r="G3" s="86" t="s">
        <v>1010</v>
      </c>
      <c r="H3" s="87" t="s">
        <v>1264</v>
      </c>
    </row>
    <row r="4" spans="1:8">
      <c r="A4" s="120"/>
      <c r="B4" s="122">
        <f>SUMIFS(DATA_OPERATING_ACTUALS!$J$7:$J$306,DATA_OPERATING_ACTUALS!$D$7:$D$306,$A4,DATA_OPERATING_ACTUALS!$I$7:$I$306,"Revenue")</f>
        <v>0</v>
      </c>
      <c r="C4" s="122">
        <f>SUMIFS(DATA_OPERATING_ACTUALS!$J$7:$J$306,DATA_OPERATING_ACTUALS!$D$7:$D$306,$A4,DATA_OPERATING_ACTUALS!$I$7:$I$306,"Operating Expense")</f>
        <v>0</v>
      </c>
      <c r="D4" s="122">
        <f t="shared" ref="D4:D13" si="0">B4-C4</f>
        <v>0</v>
      </c>
      <c r="E4" s="122">
        <f>SUMIFS(DATA_DEBT_SCHEDULE!$E$5:$E$30,DATA_DEBT_SCHEDULE!$B$5:$B$30,$A4)</f>
        <v>0</v>
      </c>
      <c r="F4" s="122">
        <f t="shared" ref="F4:F13" si="1">D4-E4</f>
        <v>0</v>
      </c>
      <c r="G4" s="123" t="str">
        <f t="shared" ref="G4:G13" si="2">IFERROR(D4/E4,"")</f>
        <v/>
      </c>
      <c r="H4" s="124">
        <f>SUMIFS(DATA_OPERATING_ACTUALS!$J$7:$J$306,DATA_OPERATING_ACTUALS!$D$7:$D$306,$A4,DATA_OPERATING_ACTUALS!$I$7:$I$306,"Reserve Closing")</f>
        <v>0</v>
      </c>
    </row>
    <row r="5" spans="1:8">
      <c r="A5" s="120"/>
      <c r="B5" s="122">
        <f>SUMIFS(DATA_OPERATING_ACTUALS!$J$7:$J$306,DATA_OPERATING_ACTUALS!$D$7:$D$306,$A5,DATA_OPERATING_ACTUALS!$I$7:$I$306,"Revenue")</f>
        <v>0</v>
      </c>
      <c r="C5" s="122">
        <f>SUMIFS(DATA_OPERATING_ACTUALS!$J$7:$J$306,DATA_OPERATING_ACTUALS!$D$7:$D$306,$A5,DATA_OPERATING_ACTUALS!$I$7:$I$306,"Operating Expense")</f>
        <v>0</v>
      </c>
      <c r="D5" s="122">
        <f t="shared" si="0"/>
        <v>0</v>
      </c>
      <c r="E5" s="122">
        <f>SUMIFS(DATA_DEBT_SCHEDULE!$E$5:$E$30,DATA_DEBT_SCHEDULE!$B$5:$B$30,$A5)</f>
        <v>0</v>
      </c>
      <c r="F5" s="122">
        <f t="shared" si="1"/>
        <v>0</v>
      </c>
      <c r="G5" s="123" t="str">
        <f t="shared" si="2"/>
        <v/>
      </c>
      <c r="H5" s="124">
        <f>SUMIFS(DATA_OPERATING_ACTUALS!$J$7:$J$306,DATA_OPERATING_ACTUALS!$D$7:$D$306,$A5,DATA_OPERATING_ACTUALS!$I$7:$I$306,"Reserve Closing")</f>
        <v>0</v>
      </c>
    </row>
    <row r="6" spans="1:8">
      <c r="A6" s="120"/>
      <c r="B6" s="122">
        <f>SUMIFS(DATA_OPERATING_ACTUALS!$J$7:$J$306,DATA_OPERATING_ACTUALS!$D$7:$D$306,$A6,DATA_OPERATING_ACTUALS!$I$7:$I$306,"Revenue")</f>
        <v>0</v>
      </c>
      <c r="C6" s="122">
        <f>SUMIFS(DATA_OPERATING_ACTUALS!$J$7:$J$306,DATA_OPERATING_ACTUALS!$D$7:$D$306,$A6,DATA_OPERATING_ACTUALS!$I$7:$I$306,"Operating Expense")</f>
        <v>0</v>
      </c>
      <c r="D6" s="122">
        <f t="shared" si="0"/>
        <v>0</v>
      </c>
      <c r="E6" s="122">
        <f>SUMIFS(DATA_DEBT_SCHEDULE!$E$5:$E$30,DATA_DEBT_SCHEDULE!$B$5:$B$30,$A6)</f>
        <v>0</v>
      </c>
      <c r="F6" s="122">
        <f t="shared" si="1"/>
        <v>0</v>
      </c>
      <c r="G6" s="123" t="str">
        <f t="shared" si="2"/>
        <v/>
      </c>
      <c r="H6" s="124">
        <f>SUMIFS(DATA_OPERATING_ACTUALS!$J$7:$J$306,DATA_OPERATING_ACTUALS!$D$7:$D$306,$A6,DATA_OPERATING_ACTUALS!$I$7:$I$306,"Reserve Closing")</f>
        <v>0</v>
      </c>
    </row>
    <row r="7" spans="1:8">
      <c r="A7" s="120"/>
      <c r="B7" s="122">
        <f>SUMIFS(DATA_OPERATING_ACTUALS!$J$7:$J$306,DATA_OPERATING_ACTUALS!$D$7:$D$306,$A7,DATA_OPERATING_ACTUALS!$I$7:$I$306,"Revenue")</f>
        <v>0</v>
      </c>
      <c r="C7" s="122">
        <f>SUMIFS(DATA_OPERATING_ACTUALS!$J$7:$J$306,DATA_OPERATING_ACTUALS!$D$7:$D$306,$A7,DATA_OPERATING_ACTUALS!$I$7:$I$306,"Operating Expense")</f>
        <v>0</v>
      </c>
      <c r="D7" s="122">
        <f t="shared" si="0"/>
        <v>0</v>
      </c>
      <c r="E7" s="122">
        <f>SUMIFS(DATA_DEBT_SCHEDULE!$E$5:$E$30,DATA_DEBT_SCHEDULE!$B$5:$B$30,$A7)</f>
        <v>0</v>
      </c>
      <c r="F7" s="122">
        <f t="shared" si="1"/>
        <v>0</v>
      </c>
      <c r="G7" s="123" t="str">
        <f t="shared" si="2"/>
        <v/>
      </c>
      <c r="H7" s="124">
        <f>SUMIFS(DATA_OPERATING_ACTUALS!$J$7:$J$306,DATA_OPERATING_ACTUALS!$D$7:$D$306,$A7,DATA_OPERATING_ACTUALS!$I$7:$I$306,"Reserve Closing")</f>
        <v>0</v>
      </c>
    </row>
    <row r="8" spans="1:8">
      <c r="A8" s="120"/>
      <c r="B8" s="122">
        <f>SUMIFS(DATA_OPERATING_ACTUALS!$J$7:$J$306,DATA_OPERATING_ACTUALS!$D$7:$D$306,$A8,DATA_OPERATING_ACTUALS!$I$7:$I$306,"Revenue")</f>
        <v>0</v>
      </c>
      <c r="C8" s="122">
        <f>SUMIFS(DATA_OPERATING_ACTUALS!$J$7:$J$306,DATA_OPERATING_ACTUALS!$D$7:$D$306,$A8,DATA_OPERATING_ACTUALS!$I$7:$I$306,"Operating Expense")</f>
        <v>0</v>
      </c>
      <c r="D8" s="122">
        <f t="shared" si="0"/>
        <v>0</v>
      </c>
      <c r="E8" s="122">
        <f>SUMIFS(DATA_DEBT_SCHEDULE!$E$5:$E$30,DATA_DEBT_SCHEDULE!$B$5:$B$30,$A8)</f>
        <v>0</v>
      </c>
      <c r="F8" s="122">
        <f t="shared" si="1"/>
        <v>0</v>
      </c>
      <c r="G8" s="123" t="str">
        <f t="shared" si="2"/>
        <v/>
      </c>
      <c r="H8" s="124">
        <f>SUMIFS(DATA_OPERATING_ACTUALS!$J$7:$J$306,DATA_OPERATING_ACTUALS!$D$7:$D$306,$A8,DATA_OPERATING_ACTUALS!$I$7:$I$306,"Reserve Closing")</f>
        <v>0</v>
      </c>
    </row>
    <row r="9" spans="1:8">
      <c r="A9" s="120"/>
      <c r="B9" s="122">
        <f>SUMIFS(DATA_OPERATING_ACTUALS!$J$7:$J$306,DATA_OPERATING_ACTUALS!$D$7:$D$306,$A9,DATA_OPERATING_ACTUALS!$I$7:$I$306,"Revenue")</f>
        <v>0</v>
      </c>
      <c r="C9" s="122">
        <f>SUMIFS(DATA_OPERATING_ACTUALS!$J$7:$J$306,DATA_OPERATING_ACTUALS!$D$7:$D$306,$A9,DATA_OPERATING_ACTUALS!$I$7:$I$306,"Operating Expense")</f>
        <v>0</v>
      </c>
      <c r="D9" s="122">
        <f t="shared" si="0"/>
        <v>0</v>
      </c>
      <c r="E9" s="122">
        <f>SUMIFS(DATA_DEBT_SCHEDULE!$E$5:$E$30,DATA_DEBT_SCHEDULE!$B$5:$B$30,$A9)</f>
        <v>0</v>
      </c>
      <c r="F9" s="122">
        <f t="shared" si="1"/>
        <v>0</v>
      </c>
      <c r="G9" s="123" t="str">
        <f t="shared" si="2"/>
        <v/>
      </c>
      <c r="H9" s="124">
        <f>SUMIFS(DATA_OPERATING_ACTUALS!$J$7:$J$306,DATA_OPERATING_ACTUALS!$D$7:$D$306,$A9,DATA_OPERATING_ACTUALS!$I$7:$I$306,"Reserve Closing")</f>
        <v>0</v>
      </c>
    </row>
    <row r="10" spans="1:8">
      <c r="A10" s="120"/>
      <c r="B10" s="122">
        <f>SUMIFS(DATA_OPERATING_ACTUALS!$J$7:$J$306,DATA_OPERATING_ACTUALS!$D$7:$D$306,$A10,DATA_OPERATING_ACTUALS!$I$7:$I$306,"Revenue")</f>
        <v>0</v>
      </c>
      <c r="C10" s="122">
        <f>SUMIFS(DATA_OPERATING_ACTUALS!$J$7:$J$306,DATA_OPERATING_ACTUALS!$D$7:$D$306,$A10,DATA_OPERATING_ACTUALS!$I$7:$I$306,"Operating Expense")</f>
        <v>0</v>
      </c>
      <c r="D10" s="122">
        <f t="shared" si="0"/>
        <v>0</v>
      </c>
      <c r="E10" s="122">
        <f>SUMIFS(DATA_DEBT_SCHEDULE!$E$5:$E$30,DATA_DEBT_SCHEDULE!$B$5:$B$30,$A10)</f>
        <v>0</v>
      </c>
      <c r="F10" s="122">
        <f t="shared" si="1"/>
        <v>0</v>
      </c>
      <c r="G10" s="123" t="str">
        <f t="shared" si="2"/>
        <v/>
      </c>
      <c r="H10" s="124">
        <f>SUMIFS(DATA_OPERATING_ACTUALS!$J$7:$J$306,DATA_OPERATING_ACTUALS!$D$7:$D$306,$A10,DATA_OPERATING_ACTUALS!$I$7:$I$306,"Reserve Closing")</f>
        <v>0</v>
      </c>
    </row>
    <row r="11" spans="1:8">
      <c r="A11" s="120"/>
      <c r="B11" s="122">
        <f>SUMIFS(DATA_OPERATING_ACTUALS!$J$7:$J$306,DATA_OPERATING_ACTUALS!$D$7:$D$306,$A11,DATA_OPERATING_ACTUALS!$I$7:$I$306,"Revenue")</f>
        <v>0</v>
      </c>
      <c r="C11" s="122">
        <f>SUMIFS(DATA_OPERATING_ACTUALS!$J$7:$J$306,DATA_OPERATING_ACTUALS!$D$7:$D$306,$A11,DATA_OPERATING_ACTUALS!$I$7:$I$306,"Operating Expense")</f>
        <v>0</v>
      </c>
      <c r="D11" s="122">
        <f t="shared" si="0"/>
        <v>0</v>
      </c>
      <c r="E11" s="122">
        <f>SUMIFS(DATA_DEBT_SCHEDULE!$E$5:$E$30,DATA_DEBT_SCHEDULE!$B$5:$B$30,$A11)</f>
        <v>0</v>
      </c>
      <c r="F11" s="122">
        <f t="shared" si="1"/>
        <v>0</v>
      </c>
      <c r="G11" s="123" t="str">
        <f t="shared" si="2"/>
        <v/>
      </c>
      <c r="H11" s="124">
        <f>SUMIFS(DATA_OPERATING_ACTUALS!$J$7:$J$306,DATA_OPERATING_ACTUALS!$D$7:$D$306,$A11,DATA_OPERATING_ACTUALS!$I$7:$I$306,"Reserve Closing")</f>
        <v>0</v>
      </c>
    </row>
    <row r="12" spans="1:8">
      <c r="A12" s="120"/>
      <c r="B12" s="122">
        <f>SUMIFS(DATA_OPERATING_ACTUALS!$J$7:$J$306,DATA_OPERATING_ACTUALS!$D$7:$D$306,$A12,DATA_OPERATING_ACTUALS!$I$7:$I$306,"Revenue")</f>
        <v>0</v>
      </c>
      <c r="C12" s="122">
        <f>SUMIFS(DATA_OPERATING_ACTUALS!$J$7:$J$306,DATA_OPERATING_ACTUALS!$D$7:$D$306,$A12,DATA_OPERATING_ACTUALS!$I$7:$I$306,"Operating Expense")</f>
        <v>0</v>
      </c>
      <c r="D12" s="122">
        <f t="shared" si="0"/>
        <v>0</v>
      </c>
      <c r="E12" s="122">
        <f>SUMIFS(DATA_DEBT_SCHEDULE!$E$5:$E$30,DATA_DEBT_SCHEDULE!$B$5:$B$30,$A12)</f>
        <v>0</v>
      </c>
      <c r="F12" s="122">
        <f t="shared" si="1"/>
        <v>0</v>
      </c>
      <c r="G12" s="123" t="str">
        <f t="shared" si="2"/>
        <v/>
      </c>
      <c r="H12" s="124">
        <f>SUMIFS(DATA_OPERATING_ACTUALS!$J$7:$J$306,DATA_OPERATING_ACTUALS!$D$7:$D$306,$A12,DATA_OPERATING_ACTUALS!$I$7:$I$306,"Reserve Closing")</f>
        <v>0</v>
      </c>
    </row>
    <row r="13" spans="1:8">
      <c r="A13" s="121"/>
      <c r="B13" s="125">
        <f>SUMIFS(DATA_OPERATING_ACTUALS!$J$7:$J$306,DATA_OPERATING_ACTUALS!$D$7:$D$306,$A13,DATA_OPERATING_ACTUALS!$I$7:$I$306,"Revenue")</f>
        <v>0</v>
      </c>
      <c r="C13" s="125">
        <f>SUMIFS(DATA_OPERATING_ACTUALS!$J$7:$J$306,DATA_OPERATING_ACTUALS!$D$7:$D$306,$A13,DATA_OPERATING_ACTUALS!$I$7:$I$306,"Operating Expense")</f>
        <v>0</v>
      </c>
      <c r="D13" s="125">
        <f t="shared" si="0"/>
        <v>0</v>
      </c>
      <c r="E13" s="125">
        <f>SUMIFS(DATA_DEBT_SCHEDULE!$E$5:$E$30,DATA_DEBT_SCHEDULE!$B$5:$B$30,$A13)</f>
        <v>0</v>
      </c>
      <c r="F13" s="125">
        <f t="shared" si="1"/>
        <v>0</v>
      </c>
      <c r="G13" s="126" t="str">
        <f t="shared" si="2"/>
        <v/>
      </c>
      <c r="H13" s="127">
        <f>SUMIFS(DATA_OPERATING_ACTUALS!$J$7:$J$306,DATA_OPERATING_ACTUALS!$D$7:$D$306,$A13,DATA_OPERATING_ACTUALS!$I$7:$I$306,"Reserve Closing")</f>
        <v>0</v>
      </c>
    </row>
  </sheetData>
  <mergeCells count="1">
    <mergeCell ref="A1:H1"/>
  </mergeCells>
  <conditionalFormatting sqref="F4:F13">
    <cfRule type="expression" dxfId="1" priority="1">
      <formula>F4&lt;0</formula>
    </cfRule>
  </conditionalFormatting>
  <conditionalFormatting sqref="G4:G13">
    <cfRule type="expression" dxfId="0" priority="2">
      <formula>G4&lt;1</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1"/>
  <sheetViews>
    <sheetView workbookViewId="0"/>
  </sheetViews>
  <sheetFormatPr defaultRowHeight="14.25"/>
  <cols>
    <col min="1" max="1" width="32" customWidth="1"/>
    <col min="2" max="2" width="20" customWidth="1"/>
    <col min="3" max="3" width="42" customWidth="1"/>
    <col min="4" max="4" width="24" customWidth="1"/>
    <col min="5" max="5" width="14" customWidth="1"/>
    <col min="6" max="6" width="40" customWidth="1"/>
  </cols>
  <sheetData>
    <row r="1" spans="1:6" ht="27.95" customHeight="1">
      <c r="A1" s="266" t="s">
        <v>1265</v>
      </c>
      <c r="B1" s="266"/>
      <c r="C1" s="266"/>
      <c r="D1" s="266"/>
      <c r="E1" s="266"/>
      <c r="F1" s="266"/>
    </row>
    <row r="2" spans="1:6">
      <c r="A2" s="267" t="s">
        <v>1266</v>
      </c>
      <c r="B2" s="267"/>
      <c r="C2" s="267"/>
      <c r="D2" s="267"/>
      <c r="E2" s="267"/>
      <c r="F2" s="267"/>
    </row>
    <row r="4" spans="1:6" ht="15">
      <c r="A4" s="134" t="s">
        <v>1267</v>
      </c>
      <c r="B4" s="134" t="s">
        <v>304</v>
      </c>
      <c r="C4" s="134" t="s">
        <v>1268</v>
      </c>
      <c r="D4" s="134" t="s">
        <v>305</v>
      </c>
      <c r="E4" s="134" t="s">
        <v>94</v>
      </c>
      <c r="F4" s="134" t="s">
        <v>1269</v>
      </c>
    </row>
    <row r="5" spans="1:6">
      <c r="A5" s="34"/>
      <c r="B5" s="34"/>
      <c r="C5" s="34"/>
      <c r="D5" s="34"/>
      <c r="E5" s="34"/>
      <c r="F5" s="34"/>
    </row>
    <row r="6" spans="1:6">
      <c r="A6" s="34"/>
      <c r="B6" s="34"/>
      <c r="C6" s="34"/>
      <c r="D6" s="34"/>
      <c r="E6" s="34"/>
      <c r="F6" s="34"/>
    </row>
    <row r="7" spans="1:6">
      <c r="A7" s="34"/>
      <c r="B7" s="34"/>
      <c r="C7" s="34"/>
      <c r="D7" s="34"/>
      <c r="E7" s="34"/>
      <c r="F7" s="34"/>
    </row>
    <row r="8" spans="1:6">
      <c r="A8" s="34"/>
      <c r="B8" s="34"/>
      <c r="C8" s="34"/>
      <c r="D8" s="34"/>
      <c r="E8" s="34"/>
      <c r="F8" s="34"/>
    </row>
    <row r="9" spans="1:6">
      <c r="A9" s="34"/>
      <c r="B9" s="34"/>
      <c r="C9" s="34"/>
      <c r="D9" s="34"/>
      <c r="E9" s="34"/>
      <c r="F9" s="34"/>
    </row>
    <row r="10" spans="1:6">
      <c r="A10" s="34"/>
      <c r="B10" s="34"/>
      <c r="C10" s="34"/>
      <c r="D10" s="34"/>
      <c r="E10" s="34"/>
      <c r="F10" s="34"/>
    </row>
    <row r="11" spans="1:6">
      <c r="A11" s="34"/>
      <c r="B11" s="34"/>
      <c r="C11" s="34"/>
      <c r="D11" s="34"/>
      <c r="E11" s="34"/>
      <c r="F11" s="34"/>
    </row>
  </sheetData>
  <mergeCells count="2">
    <mergeCell ref="A1:F1"/>
    <mergeCell ref="A2:F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06"/>
  <sheetViews>
    <sheetView workbookViewId="0"/>
  </sheetViews>
  <sheetFormatPr defaultRowHeight="14.25"/>
  <cols>
    <col min="1" max="1" width="11" customWidth="1"/>
    <col min="2" max="2" width="10" customWidth="1"/>
    <col min="3" max="3" width="32" customWidth="1"/>
    <col min="4" max="4" width="42" customWidth="1"/>
    <col min="5" max="6" width="46" customWidth="1"/>
  </cols>
  <sheetData>
    <row r="1" spans="1:6" ht="24" customHeight="1">
      <c r="A1" s="268" t="s">
        <v>1270</v>
      </c>
      <c r="B1" s="268"/>
      <c r="C1" s="268"/>
      <c r="D1" s="268"/>
      <c r="E1" s="268"/>
      <c r="F1" s="268"/>
    </row>
    <row r="2" spans="1:6">
      <c r="A2" s="269" t="s">
        <v>1271</v>
      </c>
      <c r="B2" s="269"/>
      <c r="C2" s="269"/>
      <c r="D2" s="269"/>
      <c r="E2" s="269"/>
      <c r="F2" s="269"/>
    </row>
    <row r="6" spans="1:6">
      <c r="A6" s="171" t="s">
        <v>1272</v>
      </c>
      <c r="B6" s="172" t="s">
        <v>305</v>
      </c>
      <c r="C6" s="172" t="s">
        <v>1273</v>
      </c>
      <c r="D6" s="172" t="s">
        <v>1274</v>
      </c>
      <c r="E6" s="172" t="s">
        <v>1275</v>
      </c>
      <c r="F6" s="173" t="s">
        <v>1276</v>
      </c>
    </row>
    <row r="7" spans="1:6" ht="24">
      <c r="A7" s="156" t="s">
        <v>1277</v>
      </c>
      <c r="B7" s="157" t="s">
        <v>767</v>
      </c>
      <c r="C7" s="157" t="s">
        <v>1278</v>
      </c>
      <c r="D7" s="157" t="s">
        <v>1279</v>
      </c>
      <c r="E7" s="157" t="s">
        <v>1280</v>
      </c>
      <c r="F7" s="158" t="s">
        <v>1281</v>
      </c>
    </row>
    <row r="8" spans="1:6" ht="24">
      <c r="A8" s="159" t="s">
        <v>1282</v>
      </c>
      <c r="B8" s="155" t="s">
        <v>767</v>
      </c>
      <c r="C8" s="155" t="s">
        <v>1283</v>
      </c>
      <c r="D8" s="155" t="s">
        <v>1284</v>
      </c>
      <c r="E8" s="155" t="s">
        <v>1285</v>
      </c>
      <c r="F8" s="160" t="s">
        <v>1286</v>
      </c>
    </row>
    <row r="9" spans="1:6" ht="24">
      <c r="A9" s="159" t="s">
        <v>1287</v>
      </c>
      <c r="B9" s="155" t="s">
        <v>767</v>
      </c>
      <c r="C9" s="155" t="s">
        <v>1288</v>
      </c>
      <c r="D9" s="155" t="s">
        <v>1289</v>
      </c>
      <c r="E9" s="155" t="s">
        <v>1290</v>
      </c>
      <c r="F9" s="160" t="s">
        <v>1291</v>
      </c>
    </row>
    <row r="10" spans="1:6" ht="24">
      <c r="A10" s="159" t="s">
        <v>1292</v>
      </c>
      <c r="B10" s="155" t="s">
        <v>767</v>
      </c>
      <c r="C10" s="155" t="s">
        <v>1293</v>
      </c>
      <c r="D10" s="155" t="s">
        <v>1294</v>
      </c>
      <c r="E10" s="155" t="s">
        <v>1295</v>
      </c>
      <c r="F10" s="160" t="s">
        <v>1296</v>
      </c>
    </row>
    <row r="11" spans="1:6" ht="24">
      <c r="A11" s="159" t="s">
        <v>1297</v>
      </c>
      <c r="B11" s="155" t="s">
        <v>767</v>
      </c>
      <c r="C11" s="155" t="s">
        <v>1298</v>
      </c>
      <c r="D11" s="155" t="s">
        <v>1299</v>
      </c>
      <c r="E11" s="155" t="s">
        <v>1300</v>
      </c>
      <c r="F11" s="160" t="s">
        <v>1301</v>
      </c>
    </row>
    <row r="12" spans="1:6" ht="24">
      <c r="A12" s="159" t="s">
        <v>1302</v>
      </c>
      <c r="B12" s="155" t="s">
        <v>789</v>
      </c>
      <c r="C12" s="155" t="s">
        <v>1303</v>
      </c>
      <c r="D12" s="155" t="s">
        <v>1304</v>
      </c>
      <c r="E12" s="155" t="s">
        <v>1305</v>
      </c>
      <c r="F12" s="160" t="s">
        <v>1306</v>
      </c>
    </row>
    <row r="13" spans="1:6" ht="24">
      <c r="A13" s="159" t="s">
        <v>1307</v>
      </c>
      <c r="B13" s="155" t="s">
        <v>767</v>
      </c>
      <c r="C13" s="155" t="s">
        <v>1308</v>
      </c>
      <c r="D13" s="155" t="s">
        <v>1309</v>
      </c>
      <c r="E13" s="155" t="s">
        <v>1310</v>
      </c>
      <c r="F13" s="160" t="s">
        <v>1311</v>
      </c>
    </row>
    <row r="14" spans="1:6" ht="24">
      <c r="A14" s="161" t="s">
        <v>1312</v>
      </c>
      <c r="B14" s="162" t="s">
        <v>767</v>
      </c>
      <c r="C14" s="162" t="s">
        <v>1313</v>
      </c>
      <c r="D14" s="162" t="s">
        <v>1314</v>
      </c>
      <c r="E14" s="162" t="s">
        <v>1315</v>
      </c>
      <c r="F14" s="163" t="s">
        <v>1316</v>
      </c>
    </row>
    <row r="15" spans="1:6">
      <c r="A15" s="159"/>
      <c r="B15" s="155"/>
      <c r="C15" s="155"/>
      <c r="D15" s="155"/>
      <c r="E15" s="155"/>
      <c r="F15" s="160"/>
    </row>
    <row r="16" spans="1:6">
      <c r="A16" s="159"/>
      <c r="B16" s="155"/>
      <c r="C16" s="155"/>
      <c r="D16" s="155"/>
      <c r="E16" s="155"/>
      <c r="F16" s="160"/>
    </row>
    <row r="17" spans="1:6">
      <c r="A17" s="159"/>
      <c r="B17" s="155"/>
      <c r="C17" s="155"/>
      <c r="D17" s="155"/>
      <c r="E17" s="155"/>
      <c r="F17" s="160"/>
    </row>
    <row r="18" spans="1:6">
      <c r="A18" s="159"/>
      <c r="B18" s="155"/>
      <c r="C18" s="155"/>
      <c r="D18" s="155"/>
      <c r="E18" s="155"/>
      <c r="F18" s="160"/>
    </row>
    <row r="19" spans="1:6">
      <c r="A19" s="159"/>
      <c r="B19" s="155"/>
      <c r="C19" s="155"/>
      <c r="D19" s="155"/>
      <c r="E19" s="155"/>
      <c r="F19" s="160"/>
    </row>
    <row r="20" spans="1:6">
      <c r="A20" s="159"/>
      <c r="B20" s="155"/>
      <c r="C20" s="155"/>
      <c r="D20" s="155"/>
      <c r="E20" s="155"/>
      <c r="F20" s="160"/>
    </row>
    <row r="21" spans="1:6">
      <c r="A21" s="159"/>
      <c r="B21" s="155"/>
      <c r="C21" s="155"/>
      <c r="D21" s="155"/>
      <c r="E21" s="155"/>
      <c r="F21" s="160"/>
    </row>
    <row r="22" spans="1:6">
      <c r="A22" s="159"/>
      <c r="B22" s="155"/>
      <c r="C22" s="155"/>
      <c r="D22" s="155"/>
      <c r="E22" s="155"/>
      <c r="F22" s="160"/>
    </row>
    <row r="23" spans="1:6">
      <c r="A23" s="159"/>
      <c r="B23" s="155"/>
      <c r="C23" s="155"/>
      <c r="D23" s="155"/>
      <c r="E23" s="155"/>
      <c r="F23" s="160"/>
    </row>
    <row r="24" spans="1:6">
      <c r="A24" s="159"/>
      <c r="B24" s="155"/>
      <c r="C24" s="155"/>
      <c r="D24" s="155"/>
      <c r="E24" s="155"/>
      <c r="F24" s="160"/>
    </row>
    <row r="25" spans="1:6">
      <c r="A25" s="159"/>
      <c r="B25" s="155"/>
      <c r="C25" s="155"/>
      <c r="D25" s="155"/>
      <c r="E25" s="155"/>
      <c r="F25" s="160"/>
    </row>
    <row r="26" spans="1:6">
      <c r="A26" s="159"/>
      <c r="B26" s="155"/>
      <c r="C26" s="155"/>
      <c r="D26" s="155"/>
      <c r="E26" s="155"/>
      <c r="F26" s="160"/>
    </row>
    <row r="27" spans="1:6">
      <c r="A27" s="159"/>
      <c r="B27" s="155"/>
      <c r="C27" s="155"/>
      <c r="D27" s="155"/>
      <c r="E27" s="155"/>
      <c r="F27" s="160"/>
    </row>
    <row r="28" spans="1:6">
      <c r="A28" s="159"/>
      <c r="B28" s="155"/>
      <c r="C28" s="155"/>
      <c r="D28" s="155"/>
      <c r="E28" s="155"/>
      <c r="F28" s="160"/>
    </row>
    <row r="29" spans="1:6">
      <c r="A29" s="159"/>
      <c r="B29" s="155"/>
      <c r="C29" s="155"/>
      <c r="D29" s="155"/>
      <c r="E29" s="155"/>
      <c r="F29" s="160"/>
    </row>
    <row r="30" spans="1:6">
      <c r="A30" s="159"/>
      <c r="B30" s="155"/>
      <c r="C30" s="155"/>
      <c r="D30" s="155"/>
      <c r="E30" s="155"/>
      <c r="F30" s="160"/>
    </row>
    <row r="31" spans="1:6">
      <c r="A31" s="159"/>
      <c r="B31" s="155"/>
      <c r="C31" s="155"/>
      <c r="D31" s="155"/>
      <c r="E31" s="155"/>
      <c r="F31" s="160"/>
    </row>
    <row r="32" spans="1:6">
      <c r="A32" s="159"/>
      <c r="B32" s="155"/>
      <c r="C32" s="155"/>
      <c r="D32" s="155"/>
      <c r="E32" s="155"/>
      <c r="F32" s="160"/>
    </row>
    <row r="33" spans="1:6">
      <c r="A33" s="159"/>
      <c r="B33" s="155"/>
      <c r="C33" s="155"/>
      <c r="D33" s="155"/>
      <c r="E33" s="155"/>
      <c r="F33" s="160"/>
    </row>
    <row r="34" spans="1:6">
      <c r="A34" s="159"/>
      <c r="B34" s="155"/>
      <c r="C34" s="155"/>
      <c r="D34" s="155"/>
      <c r="E34" s="155"/>
      <c r="F34" s="160"/>
    </row>
    <row r="35" spans="1:6">
      <c r="A35" s="159"/>
      <c r="B35" s="155"/>
      <c r="C35" s="155"/>
      <c r="D35" s="155"/>
      <c r="E35" s="155"/>
      <c r="F35" s="160"/>
    </row>
    <row r="36" spans="1:6">
      <c r="A36" s="159"/>
      <c r="B36" s="155"/>
      <c r="C36" s="155"/>
      <c r="D36" s="155"/>
      <c r="E36" s="155"/>
      <c r="F36" s="160"/>
    </row>
    <row r="37" spans="1:6">
      <c r="A37" s="159"/>
      <c r="B37" s="155"/>
      <c r="C37" s="155"/>
      <c r="D37" s="155"/>
      <c r="E37" s="155"/>
      <c r="F37" s="160"/>
    </row>
    <row r="38" spans="1:6">
      <c r="A38" s="159"/>
      <c r="B38" s="155"/>
      <c r="C38" s="155"/>
      <c r="D38" s="155"/>
      <c r="E38" s="155"/>
      <c r="F38" s="160"/>
    </row>
    <row r="39" spans="1:6">
      <c r="A39" s="159"/>
      <c r="B39" s="155"/>
      <c r="C39" s="155"/>
      <c r="D39" s="155"/>
      <c r="E39" s="155"/>
      <c r="F39" s="160"/>
    </row>
    <row r="40" spans="1:6">
      <c r="A40" s="159"/>
      <c r="B40" s="155"/>
      <c r="C40" s="155"/>
      <c r="D40" s="155"/>
      <c r="E40" s="155"/>
      <c r="F40" s="160"/>
    </row>
    <row r="41" spans="1:6">
      <c r="A41" s="159"/>
      <c r="B41" s="155"/>
      <c r="C41" s="155"/>
      <c r="D41" s="155"/>
      <c r="E41" s="155"/>
      <c r="F41" s="160"/>
    </row>
    <row r="42" spans="1:6">
      <c r="A42" s="159"/>
      <c r="B42" s="155"/>
      <c r="C42" s="155"/>
      <c r="D42" s="155"/>
      <c r="E42" s="155"/>
      <c r="F42" s="160"/>
    </row>
    <row r="43" spans="1:6">
      <c r="A43" s="159"/>
      <c r="B43" s="155"/>
      <c r="C43" s="155"/>
      <c r="D43" s="155"/>
      <c r="E43" s="155"/>
      <c r="F43" s="160"/>
    </row>
    <row r="44" spans="1:6">
      <c r="A44" s="159"/>
      <c r="B44" s="155"/>
      <c r="C44" s="155"/>
      <c r="D44" s="155"/>
      <c r="E44" s="155"/>
      <c r="F44" s="160"/>
    </row>
    <row r="45" spans="1:6">
      <c r="A45" s="159"/>
      <c r="B45" s="155"/>
      <c r="C45" s="155"/>
      <c r="D45" s="155"/>
      <c r="E45" s="155"/>
      <c r="F45" s="160"/>
    </row>
    <row r="46" spans="1:6">
      <c r="A46" s="159"/>
      <c r="B46" s="155"/>
      <c r="C46" s="155"/>
      <c r="D46" s="155"/>
      <c r="E46" s="155"/>
      <c r="F46" s="160"/>
    </row>
    <row r="47" spans="1:6">
      <c r="A47" s="159"/>
      <c r="B47" s="155"/>
      <c r="C47" s="155"/>
      <c r="D47" s="155"/>
      <c r="E47" s="155"/>
      <c r="F47" s="160"/>
    </row>
    <row r="48" spans="1:6">
      <c r="A48" s="159"/>
      <c r="B48" s="155"/>
      <c r="C48" s="155"/>
      <c r="D48" s="155"/>
      <c r="E48" s="155"/>
      <c r="F48" s="160"/>
    </row>
    <row r="49" spans="1:6">
      <c r="A49" s="159"/>
      <c r="B49" s="155"/>
      <c r="C49" s="155"/>
      <c r="D49" s="155"/>
      <c r="E49" s="155"/>
      <c r="F49" s="160"/>
    </row>
    <row r="50" spans="1:6">
      <c r="A50" s="159"/>
      <c r="B50" s="155"/>
      <c r="C50" s="155"/>
      <c r="D50" s="155"/>
      <c r="E50" s="155"/>
      <c r="F50" s="160"/>
    </row>
    <row r="51" spans="1:6">
      <c r="A51" s="159"/>
      <c r="B51" s="155"/>
      <c r="C51" s="155"/>
      <c r="D51" s="155"/>
      <c r="E51" s="155"/>
      <c r="F51" s="160"/>
    </row>
    <row r="52" spans="1:6">
      <c r="A52" s="159"/>
      <c r="B52" s="155"/>
      <c r="C52" s="155"/>
      <c r="D52" s="155"/>
      <c r="E52" s="155"/>
      <c r="F52" s="160"/>
    </row>
    <row r="53" spans="1:6">
      <c r="A53" s="159"/>
      <c r="B53" s="155"/>
      <c r="C53" s="155"/>
      <c r="D53" s="155"/>
      <c r="E53" s="155"/>
      <c r="F53" s="160"/>
    </row>
    <row r="54" spans="1:6">
      <c r="A54" s="159"/>
      <c r="B54" s="155"/>
      <c r="C54" s="155"/>
      <c r="D54" s="155"/>
      <c r="E54" s="155"/>
      <c r="F54" s="160"/>
    </row>
    <row r="55" spans="1:6">
      <c r="A55" s="159"/>
      <c r="B55" s="155"/>
      <c r="C55" s="155"/>
      <c r="D55" s="155"/>
      <c r="E55" s="155"/>
      <c r="F55" s="160"/>
    </row>
    <row r="56" spans="1:6">
      <c r="A56" s="159"/>
      <c r="B56" s="155"/>
      <c r="C56" s="155"/>
      <c r="D56" s="155"/>
      <c r="E56" s="155"/>
      <c r="F56" s="160"/>
    </row>
    <row r="57" spans="1:6">
      <c r="A57" s="159"/>
      <c r="B57" s="155"/>
      <c r="C57" s="155"/>
      <c r="D57" s="155"/>
      <c r="E57" s="155"/>
      <c r="F57" s="160"/>
    </row>
    <row r="58" spans="1:6">
      <c r="A58" s="159"/>
      <c r="B58" s="155"/>
      <c r="C58" s="155"/>
      <c r="D58" s="155"/>
      <c r="E58" s="155"/>
      <c r="F58" s="160"/>
    </row>
    <row r="59" spans="1:6">
      <c r="A59" s="159"/>
      <c r="B59" s="155"/>
      <c r="C59" s="155"/>
      <c r="D59" s="155"/>
      <c r="E59" s="155"/>
      <c r="F59" s="160"/>
    </row>
    <row r="60" spans="1:6">
      <c r="A60" s="159"/>
      <c r="B60" s="155"/>
      <c r="C60" s="155"/>
      <c r="D60" s="155"/>
      <c r="E60" s="155"/>
      <c r="F60" s="160"/>
    </row>
    <row r="61" spans="1:6">
      <c r="A61" s="159"/>
      <c r="B61" s="155"/>
      <c r="C61" s="155"/>
      <c r="D61" s="155"/>
      <c r="E61" s="155"/>
      <c r="F61" s="160"/>
    </row>
    <row r="62" spans="1:6">
      <c r="A62" s="159"/>
      <c r="B62" s="155"/>
      <c r="C62" s="155"/>
      <c r="D62" s="155"/>
      <c r="E62" s="155"/>
      <c r="F62" s="160"/>
    </row>
    <row r="63" spans="1:6">
      <c r="A63" s="159"/>
      <c r="B63" s="155"/>
      <c r="C63" s="155"/>
      <c r="D63" s="155"/>
      <c r="E63" s="155"/>
      <c r="F63" s="160"/>
    </row>
    <row r="64" spans="1:6">
      <c r="A64" s="159"/>
      <c r="B64" s="155"/>
      <c r="C64" s="155"/>
      <c r="D64" s="155"/>
      <c r="E64" s="155"/>
      <c r="F64" s="160"/>
    </row>
    <row r="65" spans="1:6">
      <c r="A65" s="159"/>
      <c r="B65" s="155"/>
      <c r="C65" s="155"/>
      <c r="D65" s="155"/>
      <c r="E65" s="155"/>
      <c r="F65" s="160"/>
    </row>
    <row r="66" spans="1:6">
      <c r="A66" s="159"/>
      <c r="B66" s="155"/>
      <c r="C66" s="155"/>
      <c r="D66" s="155"/>
      <c r="E66" s="155"/>
      <c r="F66" s="160"/>
    </row>
    <row r="67" spans="1:6">
      <c r="A67" s="159"/>
      <c r="B67" s="155"/>
      <c r="C67" s="155"/>
      <c r="D67" s="155"/>
      <c r="E67" s="155"/>
      <c r="F67" s="160"/>
    </row>
    <row r="68" spans="1:6">
      <c r="A68" s="159"/>
      <c r="B68" s="155"/>
      <c r="C68" s="155"/>
      <c r="D68" s="155"/>
      <c r="E68" s="155"/>
      <c r="F68" s="160"/>
    </row>
    <row r="69" spans="1:6">
      <c r="A69" s="159"/>
      <c r="B69" s="155"/>
      <c r="C69" s="155"/>
      <c r="D69" s="155"/>
      <c r="E69" s="155"/>
      <c r="F69" s="160"/>
    </row>
    <row r="70" spans="1:6">
      <c r="A70" s="159"/>
      <c r="B70" s="155"/>
      <c r="C70" s="155"/>
      <c r="D70" s="155"/>
      <c r="E70" s="155"/>
      <c r="F70" s="160"/>
    </row>
    <row r="71" spans="1:6">
      <c r="A71" s="159"/>
      <c r="B71" s="155"/>
      <c r="C71" s="155"/>
      <c r="D71" s="155"/>
      <c r="E71" s="155"/>
      <c r="F71" s="160"/>
    </row>
    <row r="72" spans="1:6">
      <c r="A72" s="159"/>
      <c r="B72" s="155"/>
      <c r="C72" s="155"/>
      <c r="D72" s="155"/>
      <c r="E72" s="155"/>
      <c r="F72" s="160"/>
    </row>
    <row r="73" spans="1:6">
      <c r="A73" s="159"/>
      <c r="B73" s="155"/>
      <c r="C73" s="155"/>
      <c r="D73" s="155"/>
      <c r="E73" s="155"/>
      <c r="F73" s="160"/>
    </row>
    <row r="74" spans="1:6">
      <c r="A74" s="159"/>
      <c r="B74" s="155"/>
      <c r="C74" s="155"/>
      <c r="D74" s="155"/>
      <c r="E74" s="155"/>
      <c r="F74" s="160"/>
    </row>
    <row r="75" spans="1:6">
      <c r="A75" s="159"/>
      <c r="B75" s="155"/>
      <c r="C75" s="155"/>
      <c r="D75" s="155"/>
      <c r="E75" s="155"/>
      <c r="F75" s="160"/>
    </row>
    <row r="76" spans="1:6">
      <c r="A76" s="159"/>
      <c r="B76" s="155"/>
      <c r="C76" s="155"/>
      <c r="D76" s="155"/>
      <c r="E76" s="155"/>
      <c r="F76" s="160"/>
    </row>
    <row r="77" spans="1:6">
      <c r="A77" s="159"/>
      <c r="B77" s="155"/>
      <c r="C77" s="155"/>
      <c r="D77" s="155"/>
      <c r="E77" s="155"/>
      <c r="F77" s="160"/>
    </row>
    <row r="78" spans="1:6">
      <c r="A78" s="159"/>
      <c r="B78" s="155"/>
      <c r="C78" s="155"/>
      <c r="D78" s="155"/>
      <c r="E78" s="155"/>
      <c r="F78" s="160"/>
    </row>
    <row r="79" spans="1:6">
      <c r="A79" s="159"/>
      <c r="B79" s="155"/>
      <c r="C79" s="155"/>
      <c r="D79" s="155"/>
      <c r="E79" s="155"/>
      <c r="F79" s="160"/>
    </row>
    <row r="80" spans="1:6">
      <c r="A80" s="159"/>
      <c r="B80" s="155"/>
      <c r="C80" s="155"/>
      <c r="D80" s="155"/>
      <c r="E80" s="155"/>
      <c r="F80" s="160"/>
    </row>
    <row r="81" spans="1:6">
      <c r="A81" s="159"/>
      <c r="B81" s="155"/>
      <c r="C81" s="155"/>
      <c r="D81" s="155"/>
      <c r="E81" s="155"/>
      <c r="F81" s="160"/>
    </row>
    <row r="82" spans="1:6">
      <c r="A82" s="159"/>
      <c r="B82" s="155"/>
      <c r="C82" s="155"/>
      <c r="D82" s="155"/>
      <c r="E82" s="155"/>
      <c r="F82" s="160"/>
    </row>
    <row r="83" spans="1:6">
      <c r="A83" s="159"/>
      <c r="B83" s="155"/>
      <c r="C83" s="155"/>
      <c r="D83" s="155"/>
      <c r="E83" s="155"/>
      <c r="F83" s="160"/>
    </row>
    <row r="84" spans="1:6">
      <c r="A84" s="159"/>
      <c r="B84" s="155"/>
      <c r="C84" s="155"/>
      <c r="D84" s="155"/>
      <c r="E84" s="155"/>
      <c r="F84" s="160"/>
    </row>
    <row r="85" spans="1:6">
      <c r="A85" s="159"/>
      <c r="B85" s="155"/>
      <c r="C85" s="155"/>
      <c r="D85" s="155"/>
      <c r="E85" s="155"/>
      <c r="F85" s="160"/>
    </row>
    <row r="86" spans="1:6">
      <c r="A86" s="159"/>
      <c r="B86" s="155"/>
      <c r="C86" s="155"/>
      <c r="D86" s="155"/>
      <c r="E86" s="155"/>
      <c r="F86" s="160"/>
    </row>
    <row r="87" spans="1:6">
      <c r="A87" s="159"/>
      <c r="B87" s="155"/>
      <c r="C87" s="155"/>
      <c r="D87" s="155"/>
      <c r="E87" s="155"/>
      <c r="F87" s="160"/>
    </row>
    <row r="88" spans="1:6">
      <c r="A88" s="159"/>
      <c r="B88" s="155"/>
      <c r="C88" s="155"/>
      <c r="D88" s="155"/>
      <c r="E88" s="155"/>
      <c r="F88" s="160"/>
    </row>
    <row r="89" spans="1:6">
      <c r="A89" s="159"/>
      <c r="B89" s="155"/>
      <c r="C89" s="155"/>
      <c r="D89" s="155"/>
      <c r="E89" s="155"/>
      <c r="F89" s="160"/>
    </row>
    <row r="90" spans="1:6">
      <c r="A90" s="159"/>
      <c r="B90" s="155"/>
      <c r="C90" s="155"/>
      <c r="D90" s="155"/>
      <c r="E90" s="155"/>
      <c r="F90" s="160"/>
    </row>
    <row r="91" spans="1:6">
      <c r="A91" s="159"/>
      <c r="B91" s="155"/>
      <c r="C91" s="155"/>
      <c r="D91" s="155"/>
      <c r="E91" s="155"/>
      <c r="F91" s="160"/>
    </row>
    <row r="92" spans="1:6">
      <c r="A92" s="159"/>
      <c r="B92" s="155"/>
      <c r="C92" s="155"/>
      <c r="D92" s="155"/>
      <c r="E92" s="155"/>
      <c r="F92" s="160"/>
    </row>
    <row r="93" spans="1:6">
      <c r="A93" s="159"/>
      <c r="B93" s="155"/>
      <c r="C93" s="155"/>
      <c r="D93" s="155"/>
      <c r="E93" s="155"/>
      <c r="F93" s="160"/>
    </row>
    <row r="94" spans="1:6">
      <c r="A94" s="159"/>
      <c r="B94" s="155"/>
      <c r="C94" s="155"/>
      <c r="D94" s="155"/>
      <c r="E94" s="155"/>
      <c r="F94" s="160"/>
    </row>
    <row r="95" spans="1:6">
      <c r="A95" s="159"/>
      <c r="B95" s="155"/>
      <c r="C95" s="155"/>
      <c r="D95" s="155"/>
      <c r="E95" s="155"/>
      <c r="F95" s="160"/>
    </row>
    <row r="96" spans="1:6">
      <c r="A96" s="159"/>
      <c r="B96" s="155"/>
      <c r="C96" s="155"/>
      <c r="D96" s="155"/>
      <c r="E96" s="155"/>
      <c r="F96" s="160"/>
    </row>
    <row r="97" spans="1:6">
      <c r="A97" s="159"/>
      <c r="B97" s="155"/>
      <c r="C97" s="155"/>
      <c r="D97" s="155"/>
      <c r="E97" s="155"/>
      <c r="F97" s="160"/>
    </row>
    <row r="98" spans="1:6">
      <c r="A98" s="159"/>
      <c r="B98" s="155"/>
      <c r="C98" s="155"/>
      <c r="D98" s="155"/>
      <c r="E98" s="155"/>
      <c r="F98" s="160"/>
    </row>
    <row r="99" spans="1:6">
      <c r="A99" s="159"/>
      <c r="B99" s="155"/>
      <c r="C99" s="155"/>
      <c r="D99" s="155"/>
      <c r="E99" s="155"/>
      <c r="F99" s="160"/>
    </row>
    <row r="100" spans="1:6">
      <c r="A100" s="159"/>
      <c r="B100" s="155"/>
      <c r="C100" s="155"/>
      <c r="D100" s="155"/>
      <c r="E100" s="155"/>
      <c r="F100" s="160"/>
    </row>
    <row r="101" spans="1:6">
      <c r="A101" s="159"/>
      <c r="B101" s="155"/>
      <c r="C101" s="155"/>
      <c r="D101" s="155"/>
      <c r="E101" s="155"/>
      <c r="F101" s="160"/>
    </row>
    <row r="102" spans="1:6">
      <c r="A102" s="159"/>
      <c r="B102" s="155"/>
      <c r="C102" s="155"/>
      <c r="D102" s="155"/>
      <c r="E102" s="155"/>
      <c r="F102" s="160"/>
    </row>
    <row r="103" spans="1:6">
      <c r="A103" s="159"/>
      <c r="B103" s="155"/>
      <c r="C103" s="155"/>
      <c r="D103" s="155"/>
      <c r="E103" s="155"/>
      <c r="F103" s="160"/>
    </row>
    <row r="104" spans="1:6">
      <c r="A104" s="159"/>
      <c r="B104" s="155"/>
      <c r="C104" s="155"/>
      <c r="D104" s="155"/>
      <c r="E104" s="155"/>
      <c r="F104" s="160"/>
    </row>
    <row r="105" spans="1:6">
      <c r="A105" s="159"/>
      <c r="B105" s="155"/>
      <c r="C105" s="155"/>
      <c r="D105" s="155"/>
      <c r="E105" s="155"/>
      <c r="F105" s="160"/>
    </row>
    <row r="106" spans="1:6">
      <c r="A106" s="159"/>
      <c r="B106" s="155"/>
      <c r="C106" s="155"/>
      <c r="D106" s="155"/>
      <c r="E106" s="155"/>
      <c r="F106" s="160"/>
    </row>
    <row r="107" spans="1:6">
      <c r="A107" s="159"/>
      <c r="B107" s="155"/>
      <c r="C107" s="155"/>
      <c r="D107" s="155"/>
      <c r="E107" s="155"/>
      <c r="F107" s="160"/>
    </row>
    <row r="108" spans="1:6">
      <c r="A108" s="159"/>
      <c r="B108" s="155"/>
      <c r="C108" s="155"/>
      <c r="D108" s="155"/>
      <c r="E108" s="155"/>
      <c r="F108" s="160"/>
    </row>
    <row r="109" spans="1:6">
      <c r="A109" s="159"/>
      <c r="B109" s="155"/>
      <c r="C109" s="155"/>
      <c r="D109" s="155"/>
      <c r="E109" s="155"/>
      <c r="F109" s="160"/>
    </row>
    <row r="110" spans="1:6">
      <c r="A110" s="159"/>
      <c r="B110" s="155"/>
      <c r="C110" s="155"/>
      <c r="D110" s="155"/>
      <c r="E110" s="155"/>
      <c r="F110" s="160"/>
    </row>
    <row r="111" spans="1:6">
      <c r="A111" s="159"/>
      <c r="B111" s="155"/>
      <c r="C111" s="155"/>
      <c r="D111" s="155"/>
      <c r="E111" s="155"/>
      <c r="F111" s="160"/>
    </row>
    <row r="112" spans="1:6">
      <c r="A112" s="159"/>
      <c r="B112" s="155"/>
      <c r="C112" s="155"/>
      <c r="D112" s="155"/>
      <c r="E112" s="155"/>
      <c r="F112" s="160"/>
    </row>
    <row r="113" spans="1:6">
      <c r="A113" s="159"/>
      <c r="B113" s="155"/>
      <c r="C113" s="155"/>
      <c r="D113" s="155"/>
      <c r="E113" s="155"/>
      <c r="F113" s="160"/>
    </row>
    <row r="114" spans="1:6">
      <c r="A114" s="159"/>
      <c r="B114" s="155"/>
      <c r="C114" s="155"/>
      <c r="D114" s="155"/>
      <c r="E114" s="155"/>
      <c r="F114" s="160"/>
    </row>
    <row r="115" spans="1:6">
      <c r="A115" s="159"/>
      <c r="B115" s="155"/>
      <c r="C115" s="155"/>
      <c r="D115" s="155"/>
      <c r="E115" s="155"/>
      <c r="F115" s="160"/>
    </row>
    <row r="116" spans="1:6">
      <c r="A116" s="159"/>
      <c r="B116" s="155"/>
      <c r="C116" s="155"/>
      <c r="D116" s="155"/>
      <c r="E116" s="155"/>
      <c r="F116" s="160"/>
    </row>
    <row r="117" spans="1:6">
      <c r="A117" s="159"/>
      <c r="B117" s="155"/>
      <c r="C117" s="155"/>
      <c r="D117" s="155"/>
      <c r="E117" s="155"/>
      <c r="F117" s="160"/>
    </row>
    <row r="118" spans="1:6">
      <c r="A118" s="159"/>
      <c r="B118" s="155"/>
      <c r="C118" s="155"/>
      <c r="D118" s="155"/>
      <c r="E118" s="155"/>
      <c r="F118" s="160"/>
    </row>
    <row r="119" spans="1:6">
      <c r="A119" s="159"/>
      <c r="B119" s="155"/>
      <c r="C119" s="155"/>
      <c r="D119" s="155"/>
      <c r="E119" s="155"/>
      <c r="F119" s="160"/>
    </row>
    <row r="120" spans="1:6">
      <c r="A120" s="159"/>
      <c r="B120" s="155"/>
      <c r="C120" s="155"/>
      <c r="D120" s="155"/>
      <c r="E120" s="155"/>
      <c r="F120" s="160"/>
    </row>
    <row r="121" spans="1:6">
      <c r="A121" s="159"/>
      <c r="B121" s="155"/>
      <c r="C121" s="155"/>
      <c r="D121" s="155"/>
      <c r="E121" s="155"/>
      <c r="F121" s="160"/>
    </row>
    <row r="122" spans="1:6">
      <c r="A122" s="159"/>
      <c r="B122" s="155"/>
      <c r="C122" s="155"/>
      <c r="D122" s="155"/>
      <c r="E122" s="155"/>
      <c r="F122" s="160"/>
    </row>
    <row r="123" spans="1:6">
      <c r="A123" s="159"/>
      <c r="B123" s="155"/>
      <c r="C123" s="155"/>
      <c r="D123" s="155"/>
      <c r="E123" s="155"/>
      <c r="F123" s="160"/>
    </row>
    <row r="124" spans="1:6">
      <c r="A124" s="159"/>
      <c r="B124" s="155"/>
      <c r="C124" s="155"/>
      <c r="D124" s="155"/>
      <c r="E124" s="155"/>
      <c r="F124" s="160"/>
    </row>
    <row r="125" spans="1:6">
      <c r="A125" s="159"/>
      <c r="B125" s="155"/>
      <c r="C125" s="155"/>
      <c r="D125" s="155"/>
      <c r="E125" s="155"/>
      <c r="F125" s="160"/>
    </row>
    <row r="126" spans="1:6">
      <c r="A126" s="159"/>
      <c r="B126" s="155"/>
      <c r="C126" s="155"/>
      <c r="D126" s="155"/>
      <c r="E126" s="155"/>
      <c r="F126" s="160"/>
    </row>
    <row r="127" spans="1:6">
      <c r="A127" s="159"/>
      <c r="B127" s="155"/>
      <c r="C127" s="155"/>
      <c r="D127" s="155"/>
      <c r="E127" s="155"/>
      <c r="F127" s="160"/>
    </row>
    <row r="128" spans="1:6">
      <c r="A128" s="159"/>
      <c r="B128" s="155"/>
      <c r="C128" s="155"/>
      <c r="D128" s="155"/>
      <c r="E128" s="155"/>
      <c r="F128" s="160"/>
    </row>
    <row r="129" spans="1:6">
      <c r="A129" s="159"/>
      <c r="B129" s="155"/>
      <c r="C129" s="155"/>
      <c r="D129" s="155"/>
      <c r="E129" s="155"/>
      <c r="F129" s="160"/>
    </row>
    <row r="130" spans="1:6">
      <c r="A130" s="159"/>
      <c r="B130" s="155"/>
      <c r="C130" s="155"/>
      <c r="D130" s="155"/>
      <c r="E130" s="155"/>
      <c r="F130" s="160"/>
    </row>
    <row r="131" spans="1:6">
      <c r="A131" s="159"/>
      <c r="B131" s="155"/>
      <c r="C131" s="155"/>
      <c r="D131" s="155"/>
      <c r="E131" s="155"/>
      <c r="F131" s="160"/>
    </row>
    <row r="132" spans="1:6">
      <c r="A132" s="159"/>
      <c r="B132" s="155"/>
      <c r="C132" s="155"/>
      <c r="D132" s="155"/>
      <c r="E132" s="155"/>
      <c r="F132" s="160"/>
    </row>
    <row r="133" spans="1:6">
      <c r="A133" s="159"/>
      <c r="B133" s="155"/>
      <c r="C133" s="155"/>
      <c r="D133" s="155"/>
      <c r="E133" s="155"/>
      <c r="F133" s="160"/>
    </row>
    <row r="134" spans="1:6">
      <c r="A134" s="159"/>
      <c r="B134" s="155"/>
      <c r="C134" s="155"/>
      <c r="D134" s="155"/>
      <c r="E134" s="155"/>
      <c r="F134" s="160"/>
    </row>
    <row r="135" spans="1:6">
      <c r="A135" s="159"/>
      <c r="B135" s="155"/>
      <c r="C135" s="155"/>
      <c r="D135" s="155"/>
      <c r="E135" s="155"/>
      <c r="F135" s="160"/>
    </row>
    <row r="136" spans="1:6">
      <c r="A136" s="159"/>
      <c r="B136" s="155"/>
      <c r="C136" s="155"/>
      <c r="D136" s="155"/>
      <c r="E136" s="155"/>
      <c r="F136" s="160"/>
    </row>
    <row r="137" spans="1:6">
      <c r="A137" s="159"/>
      <c r="B137" s="155"/>
      <c r="C137" s="155"/>
      <c r="D137" s="155"/>
      <c r="E137" s="155"/>
      <c r="F137" s="160"/>
    </row>
    <row r="138" spans="1:6">
      <c r="A138" s="159"/>
      <c r="B138" s="155"/>
      <c r="C138" s="155"/>
      <c r="D138" s="155"/>
      <c r="E138" s="155"/>
      <c r="F138" s="160"/>
    </row>
    <row r="139" spans="1:6">
      <c r="A139" s="159"/>
      <c r="B139" s="155"/>
      <c r="C139" s="155"/>
      <c r="D139" s="155"/>
      <c r="E139" s="155"/>
      <c r="F139" s="160"/>
    </row>
    <row r="140" spans="1:6">
      <c r="A140" s="159"/>
      <c r="B140" s="155"/>
      <c r="C140" s="155"/>
      <c r="D140" s="155"/>
      <c r="E140" s="155"/>
      <c r="F140" s="160"/>
    </row>
    <row r="141" spans="1:6">
      <c r="A141" s="159"/>
      <c r="B141" s="155"/>
      <c r="C141" s="155"/>
      <c r="D141" s="155"/>
      <c r="E141" s="155"/>
      <c r="F141" s="160"/>
    </row>
    <row r="142" spans="1:6">
      <c r="A142" s="159"/>
      <c r="B142" s="155"/>
      <c r="C142" s="155"/>
      <c r="D142" s="155"/>
      <c r="E142" s="155"/>
      <c r="F142" s="160"/>
    </row>
    <row r="143" spans="1:6">
      <c r="A143" s="159"/>
      <c r="B143" s="155"/>
      <c r="C143" s="155"/>
      <c r="D143" s="155"/>
      <c r="E143" s="155"/>
      <c r="F143" s="160"/>
    </row>
    <row r="144" spans="1:6">
      <c r="A144" s="159"/>
      <c r="B144" s="155"/>
      <c r="C144" s="155"/>
      <c r="D144" s="155"/>
      <c r="E144" s="155"/>
      <c r="F144" s="160"/>
    </row>
    <row r="145" spans="1:6">
      <c r="A145" s="159"/>
      <c r="B145" s="155"/>
      <c r="C145" s="155"/>
      <c r="D145" s="155"/>
      <c r="E145" s="155"/>
      <c r="F145" s="160"/>
    </row>
    <row r="146" spans="1:6">
      <c r="A146" s="159"/>
      <c r="B146" s="155"/>
      <c r="C146" s="155"/>
      <c r="D146" s="155"/>
      <c r="E146" s="155"/>
      <c r="F146" s="160"/>
    </row>
    <row r="147" spans="1:6">
      <c r="A147" s="159"/>
      <c r="B147" s="155"/>
      <c r="C147" s="155"/>
      <c r="D147" s="155"/>
      <c r="E147" s="155"/>
      <c r="F147" s="160"/>
    </row>
    <row r="148" spans="1:6">
      <c r="A148" s="159"/>
      <c r="B148" s="155"/>
      <c r="C148" s="155"/>
      <c r="D148" s="155"/>
      <c r="E148" s="155"/>
      <c r="F148" s="160"/>
    </row>
    <row r="149" spans="1:6">
      <c r="A149" s="159"/>
      <c r="B149" s="155"/>
      <c r="C149" s="155"/>
      <c r="D149" s="155"/>
      <c r="E149" s="155"/>
      <c r="F149" s="160"/>
    </row>
    <row r="150" spans="1:6">
      <c r="A150" s="159"/>
      <c r="B150" s="155"/>
      <c r="C150" s="155"/>
      <c r="D150" s="155"/>
      <c r="E150" s="155"/>
      <c r="F150" s="160"/>
    </row>
    <row r="151" spans="1:6">
      <c r="A151" s="159"/>
      <c r="B151" s="155"/>
      <c r="C151" s="155"/>
      <c r="D151" s="155"/>
      <c r="E151" s="155"/>
      <c r="F151" s="160"/>
    </row>
    <row r="152" spans="1:6">
      <c r="A152" s="159"/>
      <c r="B152" s="155"/>
      <c r="C152" s="155"/>
      <c r="D152" s="155"/>
      <c r="E152" s="155"/>
      <c r="F152" s="160"/>
    </row>
    <row r="153" spans="1:6">
      <c r="A153" s="159"/>
      <c r="B153" s="155"/>
      <c r="C153" s="155"/>
      <c r="D153" s="155"/>
      <c r="E153" s="155"/>
      <c r="F153" s="160"/>
    </row>
    <row r="154" spans="1:6">
      <c r="A154" s="159"/>
      <c r="B154" s="155"/>
      <c r="C154" s="155"/>
      <c r="D154" s="155"/>
      <c r="E154" s="155"/>
      <c r="F154" s="160"/>
    </row>
    <row r="155" spans="1:6">
      <c r="A155" s="159"/>
      <c r="B155" s="155"/>
      <c r="C155" s="155"/>
      <c r="D155" s="155"/>
      <c r="E155" s="155"/>
      <c r="F155" s="160"/>
    </row>
    <row r="156" spans="1:6">
      <c r="A156" s="159"/>
      <c r="B156" s="155"/>
      <c r="C156" s="155"/>
      <c r="D156" s="155"/>
      <c r="E156" s="155"/>
      <c r="F156" s="160"/>
    </row>
    <row r="157" spans="1:6">
      <c r="A157" s="159"/>
      <c r="B157" s="155"/>
      <c r="C157" s="155"/>
      <c r="D157" s="155"/>
      <c r="E157" s="155"/>
      <c r="F157" s="160"/>
    </row>
    <row r="158" spans="1:6">
      <c r="A158" s="159"/>
      <c r="B158" s="155"/>
      <c r="C158" s="155"/>
      <c r="D158" s="155"/>
      <c r="E158" s="155"/>
      <c r="F158" s="160"/>
    </row>
    <row r="159" spans="1:6">
      <c r="A159" s="159"/>
      <c r="B159" s="155"/>
      <c r="C159" s="155"/>
      <c r="D159" s="155"/>
      <c r="E159" s="155"/>
      <c r="F159" s="160"/>
    </row>
    <row r="160" spans="1:6">
      <c r="A160" s="159"/>
      <c r="B160" s="155"/>
      <c r="C160" s="155"/>
      <c r="D160" s="155"/>
      <c r="E160" s="155"/>
      <c r="F160" s="160"/>
    </row>
    <row r="161" spans="1:6">
      <c r="A161" s="159"/>
      <c r="B161" s="155"/>
      <c r="C161" s="155"/>
      <c r="D161" s="155"/>
      <c r="E161" s="155"/>
      <c r="F161" s="160"/>
    </row>
    <row r="162" spans="1:6">
      <c r="A162" s="159"/>
      <c r="B162" s="155"/>
      <c r="C162" s="155"/>
      <c r="D162" s="155"/>
      <c r="E162" s="155"/>
      <c r="F162" s="160"/>
    </row>
    <row r="163" spans="1:6">
      <c r="A163" s="159"/>
      <c r="B163" s="155"/>
      <c r="C163" s="155"/>
      <c r="D163" s="155"/>
      <c r="E163" s="155"/>
      <c r="F163" s="160"/>
    </row>
    <row r="164" spans="1:6">
      <c r="A164" s="159"/>
      <c r="B164" s="155"/>
      <c r="C164" s="155"/>
      <c r="D164" s="155"/>
      <c r="E164" s="155"/>
      <c r="F164" s="160"/>
    </row>
    <row r="165" spans="1:6">
      <c r="A165" s="159"/>
      <c r="B165" s="155"/>
      <c r="C165" s="155"/>
      <c r="D165" s="155"/>
      <c r="E165" s="155"/>
      <c r="F165" s="160"/>
    </row>
    <row r="166" spans="1:6">
      <c r="A166" s="159"/>
      <c r="B166" s="155"/>
      <c r="C166" s="155"/>
      <c r="D166" s="155"/>
      <c r="E166" s="155"/>
      <c r="F166" s="160"/>
    </row>
    <row r="167" spans="1:6">
      <c r="A167" s="159"/>
      <c r="B167" s="155"/>
      <c r="C167" s="155"/>
      <c r="D167" s="155"/>
      <c r="E167" s="155"/>
      <c r="F167" s="160"/>
    </row>
    <row r="168" spans="1:6">
      <c r="A168" s="159"/>
      <c r="B168" s="155"/>
      <c r="C168" s="155"/>
      <c r="D168" s="155"/>
      <c r="E168" s="155"/>
      <c r="F168" s="160"/>
    </row>
    <row r="169" spans="1:6">
      <c r="A169" s="159"/>
      <c r="B169" s="155"/>
      <c r="C169" s="155"/>
      <c r="D169" s="155"/>
      <c r="E169" s="155"/>
      <c r="F169" s="160"/>
    </row>
    <row r="170" spans="1:6">
      <c r="A170" s="159"/>
      <c r="B170" s="155"/>
      <c r="C170" s="155"/>
      <c r="D170" s="155"/>
      <c r="E170" s="155"/>
      <c r="F170" s="160"/>
    </row>
    <row r="171" spans="1:6">
      <c r="A171" s="159"/>
      <c r="B171" s="155"/>
      <c r="C171" s="155"/>
      <c r="D171" s="155"/>
      <c r="E171" s="155"/>
      <c r="F171" s="160"/>
    </row>
    <row r="172" spans="1:6">
      <c r="A172" s="159"/>
      <c r="B172" s="155"/>
      <c r="C172" s="155"/>
      <c r="D172" s="155"/>
      <c r="E172" s="155"/>
      <c r="F172" s="160"/>
    </row>
    <row r="173" spans="1:6">
      <c r="A173" s="159"/>
      <c r="B173" s="155"/>
      <c r="C173" s="155"/>
      <c r="D173" s="155"/>
      <c r="E173" s="155"/>
      <c r="F173" s="160"/>
    </row>
    <row r="174" spans="1:6">
      <c r="A174" s="159"/>
      <c r="B174" s="155"/>
      <c r="C174" s="155"/>
      <c r="D174" s="155"/>
      <c r="E174" s="155"/>
      <c r="F174" s="160"/>
    </row>
    <row r="175" spans="1:6">
      <c r="A175" s="159"/>
      <c r="B175" s="155"/>
      <c r="C175" s="155"/>
      <c r="D175" s="155"/>
      <c r="E175" s="155"/>
      <c r="F175" s="160"/>
    </row>
    <row r="176" spans="1:6">
      <c r="A176" s="159"/>
      <c r="B176" s="155"/>
      <c r="C176" s="155"/>
      <c r="D176" s="155"/>
      <c r="E176" s="155"/>
      <c r="F176" s="160"/>
    </row>
    <row r="177" spans="1:6">
      <c r="A177" s="159"/>
      <c r="B177" s="155"/>
      <c r="C177" s="155"/>
      <c r="D177" s="155"/>
      <c r="E177" s="155"/>
      <c r="F177" s="160"/>
    </row>
    <row r="178" spans="1:6">
      <c r="A178" s="159"/>
      <c r="B178" s="155"/>
      <c r="C178" s="155"/>
      <c r="D178" s="155"/>
      <c r="E178" s="155"/>
      <c r="F178" s="160"/>
    </row>
    <row r="179" spans="1:6">
      <c r="A179" s="159"/>
      <c r="B179" s="155"/>
      <c r="C179" s="155"/>
      <c r="D179" s="155"/>
      <c r="E179" s="155"/>
      <c r="F179" s="160"/>
    </row>
    <row r="180" spans="1:6">
      <c r="A180" s="159"/>
      <c r="B180" s="155"/>
      <c r="C180" s="155"/>
      <c r="D180" s="155"/>
      <c r="E180" s="155"/>
      <c r="F180" s="160"/>
    </row>
    <row r="181" spans="1:6">
      <c r="A181" s="159"/>
      <c r="B181" s="155"/>
      <c r="C181" s="155"/>
      <c r="D181" s="155"/>
      <c r="E181" s="155"/>
      <c r="F181" s="160"/>
    </row>
    <row r="182" spans="1:6">
      <c r="A182" s="159"/>
      <c r="B182" s="155"/>
      <c r="C182" s="155"/>
      <c r="D182" s="155"/>
      <c r="E182" s="155"/>
      <c r="F182" s="160"/>
    </row>
    <row r="183" spans="1:6">
      <c r="A183" s="159"/>
      <c r="B183" s="155"/>
      <c r="C183" s="155"/>
      <c r="D183" s="155"/>
      <c r="E183" s="155"/>
      <c r="F183" s="160"/>
    </row>
    <row r="184" spans="1:6">
      <c r="A184" s="159"/>
      <c r="B184" s="155"/>
      <c r="C184" s="155"/>
      <c r="D184" s="155"/>
      <c r="E184" s="155"/>
      <c r="F184" s="160"/>
    </row>
    <row r="185" spans="1:6">
      <c r="A185" s="159"/>
      <c r="B185" s="155"/>
      <c r="C185" s="155"/>
      <c r="D185" s="155"/>
      <c r="E185" s="155"/>
      <c r="F185" s="160"/>
    </row>
    <row r="186" spans="1:6">
      <c r="A186" s="159"/>
      <c r="B186" s="155"/>
      <c r="C186" s="155"/>
      <c r="D186" s="155"/>
      <c r="E186" s="155"/>
      <c r="F186" s="160"/>
    </row>
    <row r="187" spans="1:6">
      <c r="A187" s="159"/>
      <c r="B187" s="155"/>
      <c r="C187" s="155"/>
      <c r="D187" s="155"/>
      <c r="E187" s="155"/>
      <c r="F187" s="160"/>
    </row>
    <row r="188" spans="1:6">
      <c r="A188" s="159"/>
      <c r="B188" s="155"/>
      <c r="C188" s="155"/>
      <c r="D188" s="155"/>
      <c r="E188" s="155"/>
      <c r="F188" s="160"/>
    </row>
    <row r="189" spans="1:6">
      <c r="A189" s="159"/>
      <c r="B189" s="155"/>
      <c r="C189" s="155"/>
      <c r="D189" s="155"/>
      <c r="E189" s="155"/>
      <c r="F189" s="160"/>
    </row>
    <row r="190" spans="1:6">
      <c r="A190" s="159"/>
      <c r="B190" s="155"/>
      <c r="C190" s="155"/>
      <c r="D190" s="155"/>
      <c r="E190" s="155"/>
      <c r="F190" s="160"/>
    </row>
    <row r="191" spans="1:6">
      <c r="A191" s="159"/>
      <c r="B191" s="155"/>
      <c r="C191" s="155"/>
      <c r="D191" s="155"/>
      <c r="E191" s="155"/>
      <c r="F191" s="160"/>
    </row>
    <row r="192" spans="1:6">
      <c r="A192" s="159"/>
      <c r="B192" s="155"/>
      <c r="C192" s="155"/>
      <c r="D192" s="155"/>
      <c r="E192" s="155"/>
      <c r="F192" s="160"/>
    </row>
    <row r="193" spans="1:6">
      <c r="A193" s="159"/>
      <c r="B193" s="155"/>
      <c r="C193" s="155"/>
      <c r="D193" s="155"/>
      <c r="E193" s="155"/>
      <c r="F193" s="160"/>
    </row>
    <row r="194" spans="1:6">
      <c r="A194" s="159"/>
      <c r="B194" s="155"/>
      <c r="C194" s="155"/>
      <c r="D194" s="155"/>
      <c r="E194" s="155"/>
      <c r="F194" s="160"/>
    </row>
    <row r="195" spans="1:6">
      <c r="A195" s="159"/>
      <c r="B195" s="155"/>
      <c r="C195" s="155"/>
      <c r="D195" s="155"/>
      <c r="E195" s="155"/>
      <c r="F195" s="160"/>
    </row>
    <row r="196" spans="1:6">
      <c r="A196" s="159"/>
      <c r="B196" s="155"/>
      <c r="C196" s="155"/>
      <c r="D196" s="155"/>
      <c r="E196" s="155"/>
      <c r="F196" s="160"/>
    </row>
    <row r="197" spans="1:6">
      <c r="A197" s="159"/>
      <c r="B197" s="155"/>
      <c r="C197" s="155"/>
      <c r="D197" s="155"/>
      <c r="E197" s="155"/>
      <c r="F197" s="160"/>
    </row>
    <row r="198" spans="1:6">
      <c r="A198" s="159"/>
      <c r="B198" s="155"/>
      <c r="C198" s="155"/>
      <c r="D198" s="155"/>
      <c r="E198" s="155"/>
      <c r="F198" s="160"/>
    </row>
    <row r="199" spans="1:6">
      <c r="A199" s="159"/>
      <c r="B199" s="155"/>
      <c r="C199" s="155"/>
      <c r="D199" s="155"/>
      <c r="E199" s="155"/>
      <c r="F199" s="160"/>
    </row>
    <row r="200" spans="1:6">
      <c r="A200" s="159"/>
      <c r="B200" s="155"/>
      <c r="C200" s="155"/>
      <c r="D200" s="155"/>
      <c r="E200" s="155"/>
      <c r="F200" s="160"/>
    </row>
    <row r="201" spans="1:6">
      <c r="A201" s="159"/>
      <c r="B201" s="155"/>
      <c r="C201" s="155"/>
      <c r="D201" s="155"/>
      <c r="E201" s="155"/>
      <c r="F201" s="160"/>
    </row>
    <row r="202" spans="1:6">
      <c r="A202" s="159"/>
      <c r="B202" s="155"/>
      <c r="C202" s="155"/>
      <c r="D202" s="155"/>
      <c r="E202" s="155"/>
      <c r="F202" s="160"/>
    </row>
    <row r="203" spans="1:6">
      <c r="A203" s="159"/>
      <c r="B203" s="155"/>
      <c r="C203" s="155"/>
      <c r="D203" s="155"/>
      <c r="E203" s="155"/>
      <c r="F203" s="160"/>
    </row>
    <row r="204" spans="1:6">
      <c r="A204" s="159"/>
      <c r="B204" s="155"/>
      <c r="C204" s="155"/>
      <c r="D204" s="155"/>
      <c r="E204" s="155"/>
      <c r="F204" s="160"/>
    </row>
    <row r="205" spans="1:6">
      <c r="A205" s="159"/>
      <c r="B205" s="155"/>
      <c r="C205" s="155"/>
      <c r="D205" s="155"/>
      <c r="E205" s="155"/>
      <c r="F205" s="160"/>
    </row>
    <row r="206" spans="1:6">
      <c r="A206" s="161"/>
      <c r="B206" s="162"/>
      <c r="C206" s="162"/>
      <c r="D206" s="162"/>
      <c r="E206" s="162"/>
      <c r="F206" s="163"/>
    </row>
  </sheetData>
  <mergeCells count="2">
    <mergeCell ref="A1:F1"/>
    <mergeCell ref="A2:F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06"/>
  <sheetViews>
    <sheetView workbookViewId="0"/>
  </sheetViews>
  <sheetFormatPr defaultRowHeight="14.25"/>
  <cols>
    <col min="1" max="1" width="24" customWidth="1"/>
    <col min="2" max="2" width="18" customWidth="1"/>
    <col min="3" max="3" width="30" customWidth="1"/>
    <col min="4" max="4" width="18" customWidth="1"/>
    <col min="5" max="5" width="16" customWidth="1"/>
    <col min="6" max="10" width="18" customWidth="1"/>
    <col min="11" max="11" width="22" customWidth="1"/>
    <col min="12" max="12" width="24" customWidth="1"/>
    <col min="13" max="13" width="48" customWidth="1"/>
  </cols>
  <sheetData>
    <row r="1" spans="1:13" ht="24" customHeight="1">
      <c r="A1" s="268" t="s">
        <v>1317</v>
      </c>
      <c r="B1" s="268"/>
      <c r="C1" s="268"/>
      <c r="D1" s="268"/>
      <c r="E1" s="268"/>
      <c r="F1" s="268"/>
      <c r="G1" s="268"/>
      <c r="H1" s="268"/>
      <c r="I1" s="268"/>
      <c r="J1" s="268"/>
      <c r="K1" s="268"/>
      <c r="L1" s="268"/>
      <c r="M1" s="268"/>
    </row>
    <row r="2" spans="1:13">
      <c r="A2" s="269" t="s">
        <v>1318</v>
      </c>
      <c r="B2" s="269"/>
      <c r="C2" s="269"/>
      <c r="D2" s="269"/>
      <c r="E2" s="269"/>
      <c r="F2" s="269"/>
      <c r="G2" s="269"/>
      <c r="H2" s="269"/>
      <c r="I2" s="269"/>
      <c r="J2" s="269"/>
      <c r="K2" s="269"/>
      <c r="L2" s="269"/>
      <c r="M2" s="269"/>
    </row>
    <row r="6" spans="1:13">
      <c r="A6" s="171" t="s">
        <v>1319</v>
      </c>
      <c r="B6" s="172" t="s">
        <v>435</v>
      </c>
      <c r="C6" s="172" t="s">
        <v>1320</v>
      </c>
      <c r="D6" s="172" t="s">
        <v>1321</v>
      </c>
      <c r="E6" s="172" t="s">
        <v>1155</v>
      </c>
      <c r="F6" s="172" t="s">
        <v>1322</v>
      </c>
      <c r="G6" s="172" t="s">
        <v>1323</v>
      </c>
      <c r="H6" s="172" t="s">
        <v>1324</v>
      </c>
      <c r="I6" s="172" t="s">
        <v>1325</v>
      </c>
      <c r="J6" s="172" t="s">
        <v>1326</v>
      </c>
      <c r="K6" s="172" t="s">
        <v>1327</v>
      </c>
      <c r="L6" s="172" t="s">
        <v>1328</v>
      </c>
      <c r="M6" s="173" t="s">
        <v>309</v>
      </c>
    </row>
    <row r="7" spans="1:13">
      <c r="A7" s="159"/>
      <c r="B7" s="155"/>
      <c r="C7" s="155"/>
      <c r="D7" s="155"/>
      <c r="E7" s="155"/>
      <c r="F7" s="155"/>
      <c r="G7" s="155"/>
      <c r="H7" s="155"/>
      <c r="I7" s="155"/>
      <c r="J7" s="155"/>
      <c r="K7" s="155"/>
      <c r="L7" s="155"/>
      <c r="M7" s="160"/>
    </row>
    <row r="8" spans="1:13">
      <c r="A8" s="159"/>
      <c r="B8" s="155"/>
      <c r="C8" s="155"/>
      <c r="D8" s="155"/>
      <c r="E8" s="155"/>
      <c r="F8" s="155"/>
      <c r="G8" s="155"/>
      <c r="H8" s="155"/>
      <c r="I8" s="155"/>
      <c r="J8" s="155"/>
      <c r="K8" s="155"/>
      <c r="L8" s="155"/>
      <c r="M8" s="160"/>
    </row>
    <row r="9" spans="1:13">
      <c r="A9" s="159"/>
      <c r="B9" s="155"/>
      <c r="C9" s="155"/>
      <c r="D9" s="155"/>
      <c r="E9" s="155"/>
      <c r="F9" s="155"/>
      <c r="G9" s="155"/>
      <c r="H9" s="155"/>
      <c r="I9" s="155"/>
      <c r="J9" s="155"/>
      <c r="K9" s="155"/>
      <c r="L9" s="155"/>
      <c r="M9" s="160"/>
    </row>
    <row r="10" spans="1:13">
      <c r="A10" s="159"/>
      <c r="B10" s="155"/>
      <c r="C10" s="155"/>
      <c r="D10" s="155"/>
      <c r="E10" s="155"/>
      <c r="F10" s="155"/>
      <c r="G10" s="155"/>
      <c r="H10" s="155"/>
      <c r="I10" s="155"/>
      <c r="J10" s="155"/>
      <c r="K10" s="155"/>
      <c r="L10" s="155"/>
      <c r="M10" s="160"/>
    </row>
    <row r="11" spans="1:13">
      <c r="A11" s="159"/>
      <c r="B11" s="155"/>
      <c r="C11" s="155"/>
      <c r="D11" s="155"/>
      <c r="E11" s="155"/>
      <c r="F11" s="155"/>
      <c r="G11" s="155"/>
      <c r="H11" s="155"/>
      <c r="I11" s="155"/>
      <c r="J11" s="155"/>
      <c r="K11" s="155"/>
      <c r="L11" s="155"/>
      <c r="M11" s="160"/>
    </row>
    <row r="12" spans="1:13">
      <c r="A12" s="159"/>
      <c r="B12" s="155"/>
      <c r="C12" s="155"/>
      <c r="D12" s="155"/>
      <c r="E12" s="155"/>
      <c r="F12" s="155"/>
      <c r="G12" s="155"/>
      <c r="H12" s="155"/>
      <c r="I12" s="155"/>
      <c r="J12" s="155"/>
      <c r="K12" s="155"/>
      <c r="L12" s="155"/>
      <c r="M12" s="160"/>
    </row>
    <row r="13" spans="1:13">
      <c r="A13" s="159"/>
      <c r="B13" s="155"/>
      <c r="C13" s="155"/>
      <c r="D13" s="155"/>
      <c r="E13" s="155"/>
      <c r="F13" s="155"/>
      <c r="G13" s="155"/>
      <c r="H13" s="155"/>
      <c r="I13" s="155"/>
      <c r="J13" s="155"/>
      <c r="K13" s="155"/>
      <c r="L13" s="155"/>
      <c r="M13" s="160"/>
    </row>
    <row r="14" spans="1:13">
      <c r="A14" s="159"/>
      <c r="B14" s="155"/>
      <c r="C14" s="155"/>
      <c r="D14" s="155"/>
      <c r="E14" s="155"/>
      <c r="F14" s="155"/>
      <c r="G14" s="155"/>
      <c r="H14" s="155"/>
      <c r="I14" s="155"/>
      <c r="J14" s="155"/>
      <c r="K14" s="155"/>
      <c r="L14" s="155"/>
      <c r="M14" s="160"/>
    </row>
    <row r="15" spans="1:13">
      <c r="A15" s="159"/>
      <c r="B15" s="155"/>
      <c r="C15" s="155"/>
      <c r="D15" s="155"/>
      <c r="E15" s="155"/>
      <c r="F15" s="155"/>
      <c r="G15" s="155"/>
      <c r="H15" s="155"/>
      <c r="I15" s="155"/>
      <c r="J15" s="155"/>
      <c r="K15" s="155"/>
      <c r="L15" s="155"/>
      <c r="M15" s="160"/>
    </row>
    <row r="16" spans="1:13">
      <c r="A16" s="159"/>
      <c r="B16" s="155"/>
      <c r="C16" s="155"/>
      <c r="D16" s="155"/>
      <c r="E16" s="155"/>
      <c r="F16" s="155"/>
      <c r="G16" s="155"/>
      <c r="H16" s="155"/>
      <c r="I16" s="155"/>
      <c r="J16" s="155"/>
      <c r="K16" s="155"/>
      <c r="L16" s="155"/>
      <c r="M16" s="160"/>
    </row>
    <row r="17" spans="1:13">
      <c r="A17" s="159"/>
      <c r="B17" s="155"/>
      <c r="C17" s="155"/>
      <c r="D17" s="155"/>
      <c r="E17" s="155"/>
      <c r="F17" s="155"/>
      <c r="G17" s="155"/>
      <c r="H17" s="155"/>
      <c r="I17" s="155"/>
      <c r="J17" s="155"/>
      <c r="K17" s="155"/>
      <c r="L17" s="155"/>
      <c r="M17" s="160"/>
    </row>
    <row r="18" spans="1:13">
      <c r="A18" s="159"/>
      <c r="B18" s="155"/>
      <c r="C18" s="155"/>
      <c r="D18" s="155"/>
      <c r="E18" s="155"/>
      <c r="F18" s="155"/>
      <c r="G18" s="155"/>
      <c r="H18" s="155"/>
      <c r="I18" s="155"/>
      <c r="J18" s="155"/>
      <c r="K18" s="155"/>
      <c r="L18" s="155"/>
      <c r="M18" s="160"/>
    </row>
    <row r="19" spans="1:13">
      <c r="A19" s="159"/>
      <c r="B19" s="155"/>
      <c r="C19" s="155"/>
      <c r="D19" s="155"/>
      <c r="E19" s="155"/>
      <c r="F19" s="155"/>
      <c r="G19" s="155"/>
      <c r="H19" s="155"/>
      <c r="I19" s="155"/>
      <c r="J19" s="155"/>
      <c r="K19" s="155"/>
      <c r="L19" s="155"/>
      <c r="M19" s="160"/>
    </row>
    <row r="20" spans="1:13">
      <c r="A20" s="159"/>
      <c r="B20" s="155"/>
      <c r="C20" s="155"/>
      <c r="D20" s="155"/>
      <c r="E20" s="155"/>
      <c r="F20" s="155"/>
      <c r="G20" s="155"/>
      <c r="H20" s="155"/>
      <c r="I20" s="155"/>
      <c r="J20" s="155"/>
      <c r="K20" s="155"/>
      <c r="L20" s="155"/>
      <c r="M20" s="160"/>
    </row>
    <row r="21" spans="1:13">
      <c r="A21" s="159"/>
      <c r="B21" s="155"/>
      <c r="C21" s="155"/>
      <c r="D21" s="155"/>
      <c r="E21" s="155"/>
      <c r="F21" s="155"/>
      <c r="G21" s="155"/>
      <c r="H21" s="155"/>
      <c r="I21" s="155"/>
      <c r="J21" s="155"/>
      <c r="K21" s="155"/>
      <c r="L21" s="155"/>
      <c r="M21" s="160"/>
    </row>
    <row r="22" spans="1:13">
      <c r="A22" s="159"/>
      <c r="B22" s="155"/>
      <c r="C22" s="155"/>
      <c r="D22" s="155"/>
      <c r="E22" s="155"/>
      <c r="F22" s="155"/>
      <c r="G22" s="155"/>
      <c r="H22" s="155"/>
      <c r="I22" s="155"/>
      <c r="J22" s="155"/>
      <c r="K22" s="155"/>
      <c r="L22" s="155"/>
      <c r="M22" s="160"/>
    </row>
    <row r="23" spans="1:13">
      <c r="A23" s="159"/>
      <c r="B23" s="155"/>
      <c r="C23" s="155"/>
      <c r="D23" s="155"/>
      <c r="E23" s="155"/>
      <c r="F23" s="155"/>
      <c r="G23" s="155"/>
      <c r="H23" s="155"/>
      <c r="I23" s="155"/>
      <c r="J23" s="155"/>
      <c r="K23" s="155"/>
      <c r="L23" s="155"/>
      <c r="M23" s="160"/>
    </row>
    <row r="24" spans="1:13">
      <c r="A24" s="159"/>
      <c r="B24" s="155"/>
      <c r="C24" s="155"/>
      <c r="D24" s="155"/>
      <c r="E24" s="155"/>
      <c r="F24" s="155"/>
      <c r="G24" s="155"/>
      <c r="H24" s="155"/>
      <c r="I24" s="155"/>
      <c r="J24" s="155"/>
      <c r="K24" s="155"/>
      <c r="L24" s="155"/>
      <c r="M24" s="160"/>
    </row>
    <row r="25" spans="1:13">
      <c r="A25" s="159"/>
      <c r="B25" s="155"/>
      <c r="C25" s="155"/>
      <c r="D25" s="155"/>
      <c r="E25" s="155"/>
      <c r="F25" s="155"/>
      <c r="G25" s="155"/>
      <c r="H25" s="155"/>
      <c r="I25" s="155"/>
      <c r="J25" s="155"/>
      <c r="K25" s="155"/>
      <c r="L25" s="155"/>
      <c r="M25" s="160"/>
    </row>
    <row r="26" spans="1:13">
      <c r="A26" s="159"/>
      <c r="B26" s="155"/>
      <c r="C26" s="155"/>
      <c r="D26" s="155"/>
      <c r="E26" s="155"/>
      <c r="F26" s="155"/>
      <c r="G26" s="155"/>
      <c r="H26" s="155"/>
      <c r="I26" s="155"/>
      <c r="J26" s="155"/>
      <c r="K26" s="155"/>
      <c r="L26" s="155"/>
      <c r="M26" s="160"/>
    </row>
    <row r="27" spans="1:13">
      <c r="A27" s="159"/>
      <c r="B27" s="155"/>
      <c r="C27" s="155"/>
      <c r="D27" s="155"/>
      <c r="E27" s="155"/>
      <c r="F27" s="155"/>
      <c r="G27" s="155"/>
      <c r="H27" s="155"/>
      <c r="I27" s="155"/>
      <c r="J27" s="155"/>
      <c r="K27" s="155"/>
      <c r="L27" s="155"/>
      <c r="M27" s="160"/>
    </row>
    <row r="28" spans="1:13">
      <c r="A28" s="159"/>
      <c r="B28" s="155"/>
      <c r="C28" s="155"/>
      <c r="D28" s="155"/>
      <c r="E28" s="155"/>
      <c r="F28" s="155"/>
      <c r="G28" s="155"/>
      <c r="H28" s="155"/>
      <c r="I28" s="155"/>
      <c r="J28" s="155"/>
      <c r="K28" s="155"/>
      <c r="L28" s="155"/>
      <c r="M28" s="160"/>
    </row>
    <row r="29" spans="1:13">
      <c r="A29" s="159"/>
      <c r="B29" s="155"/>
      <c r="C29" s="155"/>
      <c r="D29" s="155"/>
      <c r="E29" s="155"/>
      <c r="F29" s="155"/>
      <c r="G29" s="155"/>
      <c r="H29" s="155"/>
      <c r="I29" s="155"/>
      <c r="J29" s="155"/>
      <c r="K29" s="155"/>
      <c r="L29" s="155"/>
      <c r="M29" s="160"/>
    </row>
    <row r="30" spans="1:13">
      <c r="A30" s="159"/>
      <c r="B30" s="155"/>
      <c r="C30" s="155"/>
      <c r="D30" s="155"/>
      <c r="E30" s="155"/>
      <c r="F30" s="155"/>
      <c r="G30" s="155"/>
      <c r="H30" s="155"/>
      <c r="I30" s="155"/>
      <c r="J30" s="155"/>
      <c r="K30" s="155"/>
      <c r="L30" s="155"/>
      <c r="M30" s="160"/>
    </row>
    <row r="31" spans="1:13">
      <c r="A31" s="159"/>
      <c r="B31" s="155"/>
      <c r="C31" s="155"/>
      <c r="D31" s="155"/>
      <c r="E31" s="155"/>
      <c r="F31" s="155"/>
      <c r="G31" s="155"/>
      <c r="H31" s="155"/>
      <c r="I31" s="155"/>
      <c r="J31" s="155"/>
      <c r="K31" s="155"/>
      <c r="L31" s="155"/>
      <c r="M31" s="160"/>
    </row>
    <row r="32" spans="1:13">
      <c r="A32" s="159"/>
      <c r="B32" s="155"/>
      <c r="C32" s="155"/>
      <c r="D32" s="155"/>
      <c r="E32" s="155"/>
      <c r="F32" s="155"/>
      <c r="G32" s="155"/>
      <c r="H32" s="155"/>
      <c r="I32" s="155"/>
      <c r="J32" s="155"/>
      <c r="K32" s="155"/>
      <c r="L32" s="155"/>
      <c r="M32" s="160"/>
    </row>
    <row r="33" spans="1:13">
      <c r="A33" s="159"/>
      <c r="B33" s="155"/>
      <c r="C33" s="155"/>
      <c r="D33" s="155"/>
      <c r="E33" s="155"/>
      <c r="F33" s="155"/>
      <c r="G33" s="155"/>
      <c r="H33" s="155"/>
      <c r="I33" s="155"/>
      <c r="J33" s="155"/>
      <c r="K33" s="155"/>
      <c r="L33" s="155"/>
      <c r="M33" s="160"/>
    </row>
    <row r="34" spans="1:13">
      <c r="A34" s="159"/>
      <c r="B34" s="155"/>
      <c r="C34" s="155"/>
      <c r="D34" s="155"/>
      <c r="E34" s="155"/>
      <c r="F34" s="155"/>
      <c r="G34" s="155"/>
      <c r="H34" s="155"/>
      <c r="I34" s="155"/>
      <c r="J34" s="155"/>
      <c r="K34" s="155"/>
      <c r="L34" s="155"/>
      <c r="M34" s="160"/>
    </row>
    <row r="35" spans="1:13">
      <c r="A35" s="159"/>
      <c r="B35" s="155"/>
      <c r="C35" s="155"/>
      <c r="D35" s="155"/>
      <c r="E35" s="155"/>
      <c r="F35" s="155"/>
      <c r="G35" s="155"/>
      <c r="H35" s="155"/>
      <c r="I35" s="155"/>
      <c r="J35" s="155"/>
      <c r="K35" s="155"/>
      <c r="L35" s="155"/>
      <c r="M35" s="160"/>
    </row>
    <row r="36" spans="1:13">
      <c r="A36" s="159"/>
      <c r="B36" s="155"/>
      <c r="C36" s="155"/>
      <c r="D36" s="155"/>
      <c r="E36" s="155"/>
      <c r="F36" s="155"/>
      <c r="G36" s="155"/>
      <c r="H36" s="155"/>
      <c r="I36" s="155"/>
      <c r="J36" s="155"/>
      <c r="K36" s="155"/>
      <c r="L36" s="155"/>
      <c r="M36" s="160"/>
    </row>
    <row r="37" spans="1:13">
      <c r="A37" s="159"/>
      <c r="B37" s="155"/>
      <c r="C37" s="155"/>
      <c r="D37" s="155"/>
      <c r="E37" s="155"/>
      <c r="F37" s="155"/>
      <c r="G37" s="155"/>
      <c r="H37" s="155"/>
      <c r="I37" s="155"/>
      <c r="J37" s="155"/>
      <c r="K37" s="155"/>
      <c r="L37" s="155"/>
      <c r="M37" s="160"/>
    </row>
    <row r="38" spans="1:13">
      <c r="A38" s="159"/>
      <c r="B38" s="155"/>
      <c r="C38" s="155"/>
      <c r="D38" s="155"/>
      <c r="E38" s="155"/>
      <c r="F38" s="155"/>
      <c r="G38" s="155"/>
      <c r="H38" s="155"/>
      <c r="I38" s="155"/>
      <c r="J38" s="155"/>
      <c r="K38" s="155"/>
      <c r="L38" s="155"/>
      <c r="M38" s="160"/>
    </row>
    <row r="39" spans="1:13">
      <c r="A39" s="159"/>
      <c r="B39" s="155"/>
      <c r="C39" s="155"/>
      <c r="D39" s="155"/>
      <c r="E39" s="155"/>
      <c r="F39" s="155"/>
      <c r="G39" s="155"/>
      <c r="H39" s="155"/>
      <c r="I39" s="155"/>
      <c r="J39" s="155"/>
      <c r="K39" s="155"/>
      <c r="L39" s="155"/>
      <c r="M39" s="160"/>
    </row>
    <row r="40" spans="1:13">
      <c r="A40" s="159"/>
      <c r="B40" s="155"/>
      <c r="C40" s="155"/>
      <c r="D40" s="155"/>
      <c r="E40" s="155"/>
      <c r="F40" s="155"/>
      <c r="G40" s="155"/>
      <c r="H40" s="155"/>
      <c r="I40" s="155"/>
      <c r="J40" s="155"/>
      <c r="K40" s="155"/>
      <c r="L40" s="155"/>
      <c r="M40" s="160"/>
    </row>
    <row r="41" spans="1:13">
      <c r="A41" s="159"/>
      <c r="B41" s="155"/>
      <c r="C41" s="155"/>
      <c r="D41" s="155"/>
      <c r="E41" s="155"/>
      <c r="F41" s="155"/>
      <c r="G41" s="155"/>
      <c r="H41" s="155"/>
      <c r="I41" s="155"/>
      <c r="J41" s="155"/>
      <c r="K41" s="155"/>
      <c r="L41" s="155"/>
      <c r="M41" s="160"/>
    </row>
    <row r="42" spans="1:13">
      <c r="A42" s="159"/>
      <c r="B42" s="155"/>
      <c r="C42" s="155"/>
      <c r="D42" s="155"/>
      <c r="E42" s="155"/>
      <c r="F42" s="155"/>
      <c r="G42" s="155"/>
      <c r="H42" s="155"/>
      <c r="I42" s="155"/>
      <c r="J42" s="155"/>
      <c r="K42" s="155"/>
      <c r="L42" s="155"/>
      <c r="M42" s="160"/>
    </row>
    <row r="43" spans="1:13">
      <c r="A43" s="159"/>
      <c r="B43" s="155"/>
      <c r="C43" s="155"/>
      <c r="D43" s="155"/>
      <c r="E43" s="155"/>
      <c r="F43" s="155"/>
      <c r="G43" s="155"/>
      <c r="H43" s="155"/>
      <c r="I43" s="155"/>
      <c r="J43" s="155"/>
      <c r="K43" s="155"/>
      <c r="L43" s="155"/>
      <c r="M43" s="160"/>
    </row>
    <row r="44" spans="1:13">
      <c r="A44" s="159"/>
      <c r="B44" s="155"/>
      <c r="C44" s="155"/>
      <c r="D44" s="155"/>
      <c r="E44" s="155"/>
      <c r="F44" s="155"/>
      <c r="G44" s="155"/>
      <c r="H44" s="155"/>
      <c r="I44" s="155"/>
      <c r="J44" s="155"/>
      <c r="K44" s="155"/>
      <c r="L44" s="155"/>
      <c r="M44" s="160"/>
    </row>
    <row r="45" spans="1:13">
      <c r="A45" s="159"/>
      <c r="B45" s="155"/>
      <c r="C45" s="155"/>
      <c r="D45" s="155"/>
      <c r="E45" s="155"/>
      <c r="F45" s="155"/>
      <c r="G45" s="155"/>
      <c r="H45" s="155"/>
      <c r="I45" s="155"/>
      <c r="J45" s="155"/>
      <c r="K45" s="155"/>
      <c r="L45" s="155"/>
      <c r="M45" s="160"/>
    </row>
    <row r="46" spans="1:13">
      <c r="A46" s="159"/>
      <c r="B46" s="155"/>
      <c r="C46" s="155"/>
      <c r="D46" s="155"/>
      <c r="E46" s="155"/>
      <c r="F46" s="155"/>
      <c r="G46" s="155"/>
      <c r="H46" s="155"/>
      <c r="I46" s="155"/>
      <c r="J46" s="155"/>
      <c r="K46" s="155"/>
      <c r="L46" s="155"/>
      <c r="M46" s="160"/>
    </row>
    <row r="47" spans="1:13">
      <c r="A47" s="159"/>
      <c r="B47" s="155"/>
      <c r="C47" s="155"/>
      <c r="D47" s="155"/>
      <c r="E47" s="155"/>
      <c r="F47" s="155"/>
      <c r="G47" s="155"/>
      <c r="H47" s="155"/>
      <c r="I47" s="155"/>
      <c r="J47" s="155"/>
      <c r="K47" s="155"/>
      <c r="L47" s="155"/>
      <c r="M47" s="160"/>
    </row>
    <row r="48" spans="1:13">
      <c r="A48" s="159"/>
      <c r="B48" s="155"/>
      <c r="C48" s="155"/>
      <c r="D48" s="155"/>
      <c r="E48" s="155"/>
      <c r="F48" s="155"/>
      <c r="G48" s="155"/>
      <c r="H48" s="155"/>
      <c r="I48" s="155"/>
      <c r="J48" s="155"/>
      <c r="K48" s="155"/>
      <c r="L48" s="155"/>
      <c r="M48" s="160"/>
    </row>
    <row r="49" spans="1:13">
      <c r="A49" s="159"/>
      <c r="B49" s="155"/>
      <c r="C49" s="155"/>
      <c r="D49" s="155"/>
      <c r="E49" s="155"/>
      <c r="F49" s="155"/>
      <c r="G49" s="155"/>
      <c r="H49" s="155"/>
      <c r="I49" s="155"/>
      <c r="J49" s="155"/>
      <c r="K49" s="155"/>
      <c r="L49" s="155"/>
      <c r="M49" s="160"/>
    </row>
    <row r="50" spans="1:13">
      <c r="A50" s="159"/>
      <c r="B50" s="155"/>
      <c r="C50" s="155"/>
      <c r="D50" s="155"/>
      <c r="E50" s="155"/>
      <c r="F50" s="155"/>
      <c r="G50" s="155"/>
      <c r="H50" s="155"/>
      <c r="I50" s="155"/>
      <c r="J50" s="155"/>
      <c r="K50" s="155"/>
      <c r="L50" s="155"/>
      <c r="M50" s="160"/>
    </row>
    <row r="51" spans="1:13">
      <c r="A51" s="159"/>
      <c r="B51" s="155"/>
      <c r="C51" s="155"/>
      <c r="D51" s="155"/>
      <c r="E51" s="155"/>
      <c r="F51" s="155"/>
      <c r="G51" s="155"/>
      <c r="H51" s="155"/>
      <c r="I51" s="155"/>
      <c r="J51" s="155"/>
      <c r="K51" s="155"/>
      <c r="L51" s="155"/>
      <c r="M51" s="160"/>
    </row>
    <row r="52" spans="1:13">
      <c r="A52" s="159"/>
      <c r="B52" s="155"/>
      <c r="C52" s="155"/>
      <c r="D52" s="155"/>
      <c r="E52" s="155"/>
      <c r="F52" s="155"/>
      <c r="G52" s="155"/>
      <c r="H52" s="155"/>
      <c r="I52" s="155"/>
      <c r="J52" s="155"/>
      <c r="K52" s="155"/>
      <c r="L52" s="155"/>
      <c r="M52" s="160"/>
    </row>
    <row r="53" spans="1:13">
      <c r="A53" s="159"/>
      <c r="B53" s="155"/>
      <c r="C53" s="155"/>
      <c r="D53" s="155"/>
      <c r="E53" s="155"/>
      <c r="F53" s="155"/>
      <c r="G53" s="155"/>
      <c r="H53" s="155"/>
      <c r="I53" s="155"/>
      <c r="J53" s="155"/>
      <c r="K53" s="155"/>
      <c r="L53" s="155"/>
      <c r="M53" s="160"/>
    </row>
    <row r="54" spans="1:13">
      <c r="A54" s="159"/>
      <c r="B54" s="155"/>
      <c r="C54" s="155"/>
      <c r="D54" s="155"/>
      <c r="E54" s="155"/>
      <c r="F54" s="155"/>
      <c r="G54" s="155"/>
      <c r="H54" s="155"/>
      <c r="I54" s="155"/>
      <c r="J54" s="155"/>
      <c r="K54" s="155"/>
      <c r="L54" s="155"/>
      <c r="M54" s="160"/>
    </row>
    <row r="55" spans="1:13">
      <c r="A55" s="159"/>
      <c r="B55" s="155"/>
      <c r="C55" s="155"/>
      <c r="D55" s="155"/>
      <c r="E55" s="155"/>
      <c r="F55" s="155"/>
      <c r="G55" s="155"/>
      <c r="H55" s="155"/>
      <c r="I55" s="155"/>
      <c r="J55" s="155"/>
      <c r="K55" s="155"/>
      <c r="L55" s="155"/>
      <c r="M55" s="160"/>
    </row>
    <row r="56" spans="1:13">
      <c r="A56" s="159"/>
      <c r="B56" s="155"/>
      <c r="C56" s="155"/>
      <c r="D56" s="155"/>
      <c r="E56" s="155"/>
      <c r="F56" s="155"/>
      <c r="G56" s="155"/>
      <c r="H56" s="155"/>
      <c r="I56" s="155"/>
      <c r="J56" s="155"/>
      <c r="K56" s="155"/>
      <c r="L56" s="155"/>
      <c r="M56" s="160"/>
    </row>
    <row r="57" spans="1:13">
      <c r="A57" s="159"/>
      <c r="B57" s="155"/>
      <c r="C57" s="155"/>
      <c r="D57" s="155"/>
      <c r="E57" s="155"/>
      <c r="F57" s="155"/>
      <c r="G57" s="155"/>
      <c r="H57" s="155"/>
      <c r="I57" s="155"/>
      <c r="J57" s="155"/>
      <c r="K57" s="155"/>
      <c r="L57" s="155"/>
      <c r="M57" s="160"/>
    </row>
    <row r="58" spans="1:13">
      <c r="A58" s="159"/>
      <c r="B58" s="155"/>
      <c r="C58" s="155"/>
      <c r="D58" s="155"/>
      <c r="E58" s="155"/>
      <c r="F58" s="155"/>
      <c r="G58" s="155"/>
      <c r="H58" s="155"/>
      <c r="I58" s="155"/>
      <c r="J58" s="155"/>
      <c r="K58" s="155"/>
      <c r="L58" s="155"/>
      <c r="M58" s="160"/>
    </row>
    <row r="59" spans="1:13">
      <c r="A59" s="159"/>
      <c r="B59" s="155"/>
      <c r="C59" s="155"/>
      <c r="D59" s="155"/>
      <c r="E59" s="155"/>
      <c r="F59" s="155"/>
      <c r="G59" s="155"/>
      <c r="H59" s="155"/>
      <c r="I59" s="155"/>
      <c r="J59" s="155"/>
      <c r="K59" s="155"/>
      <c r="L59" s="155"/>
      <c r="M59" s="160"/>
    </row>
    <row r="60" spans="1:13">
      <c r="A60" s="159"/>
      <c r="B60" s="155"/>
      <c r="C60" s="155"/>
      <c r="D60" s="155"/>
      <c r="E60" s="155"/>
      <c r="F60" s="155"/>
      <c r="G60" s="155"/>
      <c r="H60" s="155"/>
      <c r="I60" s="155"/>
      <c r="J60" s="155"/>
      <c r="K60" s="155"/>
      <c r="L60" s="155"/>
      <c r="M60" s="160"/>
    </row>
    <row r="61" spans="1:13">
      <c r="A61" s="159"/>
      <c r="B61" s="155"/>
      <c r="C61" s="155"/>
      <c r="D61" s="155"/>
      <c r="E61" s="155"/>
      <c r="F61" s="155"/>
      <c r="G61" s="155"/>
      <c r="H61" s="155"/>
      <c r="I61" s="155"/>
      <c r="J61" s="155"/>
      <c r="K61" s="155"/>
      <c r="L61" s="155"/>
      <c r="M61" s="160"/>
    </row>
    <row r="62" spans="1:13">
      <c r="A62" s="159"/>
      <c r="B62" s="155"/>
      <c r="C62" s="155"/>
      <c r="D62" s="155"/>
      <c r="E62" s="155"/>
      <c r="F62" s="155"/>
      <c r="G62" s="155"/>
      <c r="H62" s="155"/>
      <c r="I62" s="155"/>
      <c r="J62" s="155"/>
      <c r="K62" s="155"/>
      <c r="L62" s="155"/>
      <c r="M62" s="160"/>
    </row>
    <row r="63" spans="1:13">
      <c r="A63" s="159"/>
      <c r="B63" s="155"/>
      <c r="C63" s="155"/>
      <c r="D63" s="155"/>
      <c r="E63" s="155"/>
      <c r="F63" s="155"/>
      <c r="G63" s="155"/>
      <c r="H63" s="155"/>
      <c r="I63" s="155"/>
      <c r="J63" s="155"/>
      <c r="K63" s="155"/>
      <c r="L63" s="155"/>
      <c r="M63" s="160"/>
    </row>
    <row r="64" spans="1:13">
      <c r="A64" s="159"/>
      <c r="B64" s="155"/>
      <c r="C64" s="155"/>
      <c r="D64" s="155"/>
      <c r="E64" s="155"/>
      <c r="F64" s="155"/>
      <c r="G64" s="155"/>
      <c r="H64" s="155"/>
      <c r="I64" s="155"/>
      <c r="J64" s="155"/>
      <c r="K64" s="155"/>
      <c r="L64" s="155"/>
      <c r="M64" s="160"/>
    </row>
    <row r="65" spans="1:13">
      <c r="A65" s="159"/>
      <c r="B65" s="155"/>
      <c r="C65" s="155"/>
      <c r="D65" s="155"/>
      <c r="E65" s="155"/>
      <c r="F65" s="155"/>
      <c r="G65" s="155"/>
      <c r="H65" s="155"/>
      <c r="I65" s="155"/>
      <c r="J65" s="155"/>
      <c r="K65" s="155"/>
      <c r="L65" s="155"/>
      <c r="M65" s="160"/>
    </row>
    <row r="66" spans="1:13">
      <c r="A66" s="159"/>
      <c r="B66" s="155"/>
      <c r="C66" s="155"/>
      <c r="D66" s="155"/>
      <c r="E66" s="155"/>
      <c r="F66" s="155"/>
      <c r="G66" s="155"/>
      <c r="H66" s="155"/>
      <c r="I66" s="155"/>
      <c r="J66" s="155"/>
      <c r="K66" s="155"/>
      <c r="L66" s="155"/>
      <c r="M66" s="160"/>
    </row>
    <row r="67" spans="1:13">
      <c r="A67" s="159"/>
      <c r="B67" s="155"/>
      <c r="C67" s="155"/>
      <c r="D67" s="155"/>
      <c r="E67" s="155"/>
      <c r="F67" s="155"/>
      <c r="G67" s="155"/>
      <c r="H67" s="155"/>
      <c r="I67" s="155"/>
      <c r="J67" s="155"/>
      <c r="K67" s="155"/>
      <c r="L67" s="155"/>
      <c r="M67" s="160"/>
    </row>
    <row r="68" spans="1:13">
      <c r="A68" s="159"/>
      <c r="B68" s="155"/>
      <c r="C68" s="155"/>
      <c r="D68" s="155"/>
      <c r="E68" s="155"/>
      <c r="F68" s="155"/>
      <c r="G68" s="155"/>
      <c r="H68" s="155"/>
      <c r="I68" s="155"/>
      <c r="J68" s="155"/>
      <c r="K68" s="155"/>
      <c r="L68" s="155"/>
      <c r="M68" s="160"/>
    </row>
    <row r="69" spans="1:13">
      <c r="A69" s="159"/>
      <c r="B69" s="155"/>
      <c r="C69" s="155"/>
      <c r="D69" s="155"/>
      <c r="E69" s="155"/>
      <c r="F69" s="155"/>
      <c r="G69" s="155"/>
      <c r="H69" s="155"/>
      <c r="I69" s="155"/>
      <c r="J69" s="155"/>
      <c r="K69" s="155"/>
      <c r="L69" s="155"/>
      <c r="M69" s="160"/>
    </row>
    <row r="70" spans="1:13">
      <c r="A70" s="159"/>
      <c r="B70" s="155"/>
      <c r="C70" s="155"/>
      <c r="D70" s="155"/>
      <c r="E70" s="155"/>
      <c r="F70" s="155"/>
      <c r="G70" s="155"/>
      <c r="H70" s="155"/>
      <c r="I70" s="155"/>
      <c r="J70" s="155"/>
      <c r="K70" s="155"/>
      <c r="L70" s="155"/>
      <c r="M70" s="160"/>
    </row>
    <row r="71" spans="1:13">
      <c r="A71" s="159"/>
      <c r="B71" s="155"/>
      <c r="C71" s="155"/>
      <c r="D71" s="155"/>
      <c r="E71" s="155"/>
      <c r="F71" s="155"/>
      <c r="G71" s="155"/>
      <c r="H71" s="155"/>
      <c r="I71" s="155"/>
      <c r="J71" s="155"/>
      <c r="K71" s="155"/>
      <c r="L71" s="155"/>
      <c r="M71" s="160"/>
    </row>
    <row r="72" spans="1:13">
      <c r="A72" s="159"/>
      <c r="B72" s="155"/>
      <c r="C72" s="155"/>
      <c r="D72" s="155"/>
      <c r="E72" s="155"/>
      <c r="F72" s="155"/>
      <c r="G72" s="155"/>
      <c r="H72" s="155"/>
      <c r="I72" s="155"/>
      <c r="J72" s="155"/>
      <c r="K72" s="155"/>
      <c r="L72" s="155"/>
      <c r="M72" s="160"/>
    </row>
    <row r="73" spans="1:13">
      <c r="A73" s="159"/>
      <c r="B73" s="155"/>
      <c r="C73" s="155"/>
      <c r="D73" s="155"/>
      <c r="E73" s="155"/>
      <c r="F73" s="155"/>
      <c r="G73" s="155"/>
      <c r="H73" s="155"/>
      <c r="I73" s="155"/>
      <c r="J73" s="155"/>
      <c r="K73" s="155"/>
      <c r="L73" s="155"/>
      <c r="M73" s="160"/>
    </row>
    <row r="74" spans="1:13">
      <c r="A74" s="159"/>
      <c r="B74" s="155"/>
      <c r="C74" s="155"/>
      <c r="D74" s="155"/>
      <c r="E74" s="155"/>
      <c r="F74" s="155"/>
      <c r="G74" s="155"/>
      <c r="H74" s="155"/>
      <c r="I74" s="155"/>
      <c r="J74" s="155"/>
      <c r="K74" s="155"/>
      <c r="L74" s="155"/>
      <c r="M74" s="160"/>
    </row>
    <row r="75" spans="1:13">
      <c r="A75" s="159"/>
      <c r="B75" s="155"/>
      <c r="C75" s="155"/>
      <c r="D75" s="155"/>
      <c r="E75" s="155"/>
      <c r="F75" s="155"/>
      <c r="G75" s="155"/>
      <c r="H75" s="155"/>
      <c r="I75" s="155"/>
      <c r="J75" s="155"/>
      <c r="K75" s="155"/>
      <c r="L75" s="155"/>
      <c r="M75" s="160"/>
    </row>
    <row r="76" spans="1:13">
      <c r="A76" s="159"/>
      <c r="B76" s="155"/>
      <c r="C76" s="155"/>
      <c r="D76" s="155"/>
      <c r="E76" s="155"/>
      <c r="F76" s="155"/>
      <c r="G76" s="155"/>
      <c r="H76" s="155"/>
      <c r="I76" s="155"/>
      <c r="J76" s="155"/>
      <c r="K76" s="155"/>
      <c r="L76" s="155"/>
      <c r="M76" s="160"/>
    </row>
    <row r="77" spans="1:13">
      <c r="A77" s="159"/>
      <c r="B77" s="155"/>
      <c r="C77" s="155"/>
      <c r="D77" s="155"/>
      <c r="E77" s="155"/>
      <c r="F77" s="155"/>
      <c r="G77" s="155"/>
      <c r="H77" s="155"/>
      <c r="I77" s="155"/>
      <c r="J77" s="155"/>
      <c r="K77" s="155"/>
      <c r="L77" s="155"/>
      <c r="M77" s="160"/>
    </row>
    <row r="78" spans="1:13">
      <c r="A78" s="159"/>
      <c r="B78" s="155"/>
      <c r="C78" s="155"/>
      <c r="D78" s="155"/>
      <c r="E78" s="155"/>
      <c r="F78" s="155"/>
      <c r="G78" s="155"/>
      <c r="H78" s="155"/>
      <c r="I78" s="155"/>
      <c r="J78" s="155"/>
      <c r="K78" s="155"/>
      <c r="L78" s="155"/>
      <c r="M78" s="160"/>
    </row>
    <row r="79" spans="1:13">
      <c r="A79" s="159"/>
      <c r="B79" s="155"/>
      <c r="C79" s="155"/>
      <c r="D79" s="155"/>
      <c r="E79" s="155"/>
      <c r="F79" s="155"/>
      <c r="G79" s="155"/>
      <c r="H79" s="155"/>
      <c r="I79" s="155"/>
      <c r="J79" s="155"/>
      <c r="K79" s="155"/>
      <c r="L79" s="155"/>
      <c r="M79" s="160"/>
    </row>
    <row r="80" spans="1:13">
      <c r="A80" s="159"/>
      <c r="B80" s="155"/>
      <c r="C80" s="155"/>
      <c r="D80" s="155"/>
      <c r="E80" s="155"/>
      <c r="F80" s="155"/>
      <c r="G80" s="155"/>
      <c r="H80" s="155"/>
      <c r="I80" s="155"/>
      <c r="J80" s="155"/>
      <c r="K80" s="155"/>
      <c r="L80" s="155"/>
      <c r="M80" s="160"/>
    </row>
    <row r="81" spans="1:13">
      <c r="A81" s="159"/>
      <c r="B81" s="155"/>
      <c r="C81" s="155"/>
      <c r="D81" s="155"/>
      <c r="E81" s="155"/>
      <c r="F81" s="155"/>
      <c r="G81" s="155"/>
      <c r="H81" s="155"/>
      <c r="I81" s="155"/>
      <c r="J81" s="155"/>
      <c r="K81" s="155"/>
      <c r="L81" s="155"/>
      <c r="M81" s="160"/>
    </row>
    <row r="82" spans="1:13">
      <c r="A82" s="159"/>
      <c r="B82" s="155"/>
      <c r="C82" s="155"/>
      <c r="D82" s="155"/>
      <c r="E82" s="155"/>
      <c r="F82" s="155"/>
      <c r="G82" s="155"/>
      <c r="H82" s="155"/>
      <c r="I82" s="155"/>
      <c r="J82" s="155"/>
      <c r="K82" s="155"/>
      <c r="L82" s="155"/>
      <c r="M82" s="160"/>
    </row>
    <row r="83" spans="1:13">
      <c r="A83" s="159"/>
      <c r="B83" s="155"/>
      <c r="C83" s="155"/>
      <c r="D83" s="155"/>
      <c r="E83" s="155"/>
      <c r="F83" s="155"/>
      <c r="G83" s="155"/>
      <c r="H83" s="155"/>
      <c r="I83" s="155"/>
      <c r="J83" s="155"/>
      <c r="K83" s="155"/>
      <c r="L83" s="155"/>
      <c r="M83" s="160"/>
    </row>
    <row r="84" spans="1:13">
      <c r="A84" s="159"/>
      <c r="B84" s="155"/>
      <c r="C84" s="155"/>
      <c r="D84" s="155"/>
      <c r="E84" s="155"/>
      <c r="F84" s="155"/>
      <c r="G84" s="155"/>
      <c r="H84" s="155"/>
      <c r="I84" s="155"/>
      <c r="J84" s="155"/>
      <c r="K84" s="155"/>
      <c r="L84" s="155"/>
      <c r="M84" s="160"/>
    </row>
    <row r="85" spans="1:13">
      <c r="A85" s="159"/>
      <c r="B85" s="155"/>
      <c r="C85" s="155"/>
      <c r="D85" s="155"/>
      <c r="E85" s="155"/>
      <c r="F85" s="155"/>
      <c r="G85" s="155"/>
      <c r="H85" s="155"/>
      <c r="I85" s="155"/>
      <c r="J85" s="155"/>
      <c r="K85" s="155"/>
      <c r="L85" s="155"/>
      <c r="M85" s="160"/>
    </row>
    <row r="86" spans="1:13">
      <c r="A86" s="159"/>
      <c r="B86" s="155"/>
      <c r="C86" s="155"/>
      <c r="D86" s="155"/>
      <c r="E86" s="155"/>
      <c r="F86" s="155"/>
      <c r="G86" s="155"/>
      <c r="H86" s="155"/>
      <c r="I86" s="155"/>
      <c r="J86" s="155"/>
      <c r="K86" s="155"/>
      <c r="L86" s="155"/>
      <c r="M86" s="160"/>
    </row>
    <row r="87" spans="1:13">
      <c r="A87" s="159"/>
      <c r="B87" s="155"/>
      <c r="C87" s="155"/>
      <c r="D87" s="155"/>
      <c r="E87" s="155"/>
      <c r="F87" s="155"/>
      <c r="G87" s="155"/>
      <c r="H87" s="155"/>
      <c r="I87" s="155"/>
      <c r="J87" s="155"/>
      <c r="K87" s="155"/>
      <c r="L87" s="155"/>
      <c r="M87" s="160"/>
    </row>
    <row r="88" spans="1:13">
      <c r="A88" s="159"/>
      <c r="B88" s="155"/>
      <c r="C88" s="155"/>
      <c r="D88" s="155"/>
      <c r="E88" s="155"/>
      <c r="F88" s="155"/>
      <c r="G88" s="155"/>
      <c r="H88" s="155"/>
      <c r="I88" s="155"/>
      <c r="J88" s="155"/>
      <c r="K88" s="155"/>
      <c r="L88" s="155"/>
      <c r="M88" s="160"/>
    </row>
    <row r="89" spans="1:13">
      <c r="A89" s="159"/>
      <c r="B89" s="155"/>
      <c r="C89" s="155"/>
      <c r="D89" s="155"/>
      <c r="E89" s="155"/>
      <c r="F89" s="155"/>
      <c r="G89" s="155"/>
      <c r="H89" s="155"/>
      <c r="I89" s="155"/>
      <c r="J89" s="155"/>
      <c r="K89" s="155"/>
      <c r="L89" s="155"/>
      <c r="M89" s="160"/>
    </row>
    <row r="90" spans="1:13">
      <c r="A90" s="159"/>
      <c r="B90" s="155"/>
      <c r="C90" s="155"/>
      <c r="D90" s="155"/>
      <c r="E90" s="155"/>
      <c r="F90" s="155"/>
      <c r="G90" s="155"/>
      <c r="H90" s="155"/>
      <c r="I90" s="155"/>
      <c r="J90" s="155"/>
      <c r="K90" s="155"/>
      <c r="L90" s="155"/>
      <c r="M90" s="160"/>
    </row>
    <row r="91" spans="1:13">
      <c r="A91" s="159"/>
      <c r="B91" s="155"/>
      <c r="C91" s="155"/>
      <c r="D91" s="155"/>
      <c r="E91" s="155"/>
      <c r="F91" s="155"/>
      <c r="G91" s="155"/>
      <c r="H91" s="155"/>
      <c r="I91" s="155"/>
      <c r="J91" s="155"/>
      <c r="K91" s="155"/>
      <c r="L91" s="155"/>
      <c r="M91" s="160"/>
    </row>
    <row r="92" spans="1:13">
      <c r="A92" s="159"/>
      <c r="B92" s="155"/>
      <c r="C92" s="155"/>
      <c r="D92" s="155"/>
      <c r="E92" s="155"/>
      <c r="F92" s="155"/>
      <c r="G92" s="155"/>
      <c r="H92" s="155"/>
      <c r="I92" s="155"/>
      <c r="J92" s="155"/>
      <c r="K92" s="155"/>
      <c r="L92" s="155"/>
      <c r="M92" s="160"/>
    </row>
    <row r="93" spans="1:13">
      <c r="A93" s="159"/>
      <c r="B93" s="155"/>
      <c r="C93" s="155"/>
      <c r="D93" s="155"/>
      <c r="E93" s="155"/>
      <c r="F93" s="155"/>
      <c r="G93" s="155"/>
      <c r="H93" s="155"/>
      <c r="I93" s="155"/>
      <c r="J93" s="155"/>
      <c r="K93" s="155"/>
      <c r="L93" s="155"/>
      <c r="M93" s="160"/>
    </row>
    <row r="94" spans="1:13">
      <c r="A94" s="159"/>
      <c r="B94" s="155"/>
      <c r="C94" s="155"/>
      <c r="D94" s="155"/>
      <c r="E94" s="155"/>
      <c r="F94" s="155"/>
      <c r="G94" s="155"/>
      <c r="H94" s="155"/>
      <c r="I94" s="155"/>
      <c r="J94" s="155"/>
      <c r="K94" s="155"/>
      <c r="L94" s="155"/>
      <c r="M94" s="160"/>
    </row>
    <row r="95" spans="1:13">
      <c r="A95" s="159"/>
      <c r="B95" s="155"/>
      <c r="C95" s="155"/>
      <c r="D95" s="155"/>
      <c r="E95" s="155"/>
      <c r="F95" s="155"/>
      <c r="G95" s="155"/>
      <c r="H95" s="155"/>
      <c r="I95" s="155"/>
      <c r="J95" s="155"/>
      <c r="K95" s="155"/>
      <c r="L95" s="155"/>
      <c r="M95" s="160"/>
    </row>
    <row r="96" spans="1:13">
      <c r="A96" s="159"/>
      <c r="B96" s="155"/>
      <c r="C96" s="155"/>
      <c r="D96" s="155"/>
      <c r="E96" s="155"/>
      <c r="F96" s="155"/>
      <c r="G96" s="155"/>
      <c r="H96" s="155"/>
      <c r="I96" s="155"/>
      <c r="J96" s="155"/>
      <c r="K96" s="155"/>
      <c r="L96" s="155"/>
      <c r="M96" s="160"/>
    </row>
    <row r="97" spans="1:13">
      <c r="A97" s="159"/>
      <c r="B97" s="155"/>
      <c r="C97" s="155"/>
      <c r="D97" s="155"/>
      <c r="E97" s="155"/>
      <c r="F97" s="155"/>
      <c r="G97" s="155"/>
      <c r="H97" s="155"/>
      <c r="I97" s="155"/>
      <c r="J97" s="155"/>
      <c r="K97" s="155"/>
      <c r="L97" s="155"/>
      <c r="M97" s="160"/>
    </row>
    <row r="98" spans="1:13">
      <c r="A98" s="159"/>
      <c r="B98" s="155"/>
      <c r="C98" s="155"/>
      <c r="D98" s="155"/>
      <c r="E98" s="155"/>
      <c r="F98" s="155"/>
      <c r="G98" s="155"/>
      <c r="H98" s="155"/>
      <c r="I98" s="155"/>
      <c r="J98" s="155"/>
      <c r="K98" s="155"/>
      <c r="L98" s="155"/>
      <c r="M98" s="160"/>
    </row>
    <row r="99" spans="1:13">
      <c r="A99" s="159"/>
      <c r="B99" s="155"/>
      <c r="C99" s="155"/>
      <c r="D99" s="155"/>
      <c r="E99" s="155"/>
      <c r="F99" s="155"/>
      <c r="G99" s="155"/>
      <c r="H99" s="155"/>
      <c r="I99" s="155"/>
      <c r="J99" s="155"/>
      <c r="K99" s="155"/>
      <c r="L99" s="155"/>
      <c r="M99" s="160"/>
    </row>
    <row r="100" spans="1:13">
      <c r="A100" s="159"/>
      <c r="B100" s="155"/>
      <c r="C100" s="155"/>
      <c r="D100" s="155"/>
      <c r="E100" s="155"/>
      <c r="F100" s="155"/>
      <c r="G100" s="155"/>
      <c r="H100" s="155"/>
      <c r="I100" s="155"/>
      <c r="J100" s="155"/>
      <c r="K100" s="155"/>
      <c r="L100" s="155"/>
      <c r="M100" s="160"/>
    </row>
    <row r="101" spans="1:13">
      <c r="A101" s="159"/>
      <c r="B101" s="155"/>
      <c r="C101" s="155"/>
      <c r="D101" s="155"/>
      <c r="E101" s="155"/>
      <c r="F101" s="155"/>
      <c r="G101" s="155"/>
      <c r="H101" s="155"/>
      <c r="I101" s="155"/>
      <c r="J101" s="155"/>
      <c r="K101" s="155"/>
      <c r="L101" s="155"/>
      <c r="M101" s="160"/>
    </row>
    <row r="102" spans="1:13">
      <c r="A102" s="159"/>
      <c r="B102" s="155"/>
      <c r="C102" s="155"/>
      <c r="D102" s="155"/>
      <c r="E102" s="155"/>
      <c r="F102" s="155"/>
      <c r="G102" s="155"/>
      <c r="H102" s="155"/>
      <c r="I102" s="155"/>
      <c r="J102" s="155"/>
      <c r="K102" s="155"/>
      <c r="L102" s="155"/>
      <c r="M102" s="160"/>
    </row>
    <row r="103" spans="1:13">
      <c r="A103" s="159"/>
      <c r="B103" s="155"/>
      <c r="C103" s="155"/>
      <c r="D103" s="155"/>
      <c r="E103" s="155"/>
      <c r="F103" s="155"/>
      <c r="G103" s="155"/>
      <c r="H103" s="155"/>
      <c r="I103" s="155"/>
      <c r="J103" s="155"/>
      <c r="K103" s="155"/>
      <c r="L103" s="155"/>
      <c r="M103" s="160"/>
    </row>
    <row r="104" spans="1:13">
      <c r="A104" s="159"/>
      <c r="B104" s="155"/>
      <c r="C104" s="155"/>
      <c r="D104" s="155"/>
      <c r="E104" s="155"/>
      <c r="F104" s="155"/>
      <c r="G104" s="155"/>
      <c r="H104" s="155"/>
      <c r="I104" s="155"/>
      <c r="J104" s="155"/>
      <c r="K104" s="155"/>
      <c r="L104" s="155"/>
      <c r="M104" s="160"/>
    </row>
    <row r="105" spans="1:13">
      <c r="A105" s="159"/>
      <c r="B105" s="155"/>
      <c r="C105" s="155"/>
      <c r="D105" s="155"/>
      <c r="E105" s="155"/>
      <c r="F105" s="155"/>
      <c r="G105" s="155"/>
      <c r="H105" s="155"/>
      <c r="I105" s="155"/>
      <c r="J105" s="155"/>
      <c r="K105" s="155"/>
      <c r="L105" s="155"/>
      <c r="M105" s="160"/>
    </row>
    <row r="106" spans="1:13">
      <c r="A106" s="159"/>
      <c r="B106" s="155"/>
      <c r="C106" s="155"/>
      <c r="D106" s="155"/>
      <c r="E106" s="155"/>
      <c r="F106" s="155"/>
      <c r="G106" s="155"/>
      <c r="H106" s="155"/>
      <c r="I106" s="155"/>
      <c r="J106" s="155"/>
      <c r="K106" s="155"/>
      <c r="L106" s="155"/>
      <c r="M106" s="160"/>
    </row>
    <row r="107" spans="1:13">
      <c r="A107" s="159"/>
      <c r="B107" s="155"/>
      <c r="C107" s="155"/>
      <c r="D107" s="155"/>
      <c r="E107" s="155"/>
      <c r="F107" s="155"/>
      <c r="G107" s="155"/>
      <c r="H107" s="155"/>
      <c r="I107" s="155"/>
      <c r="J107" s="155"/>
      <c r="K107" s="155"/>
      <c r="L107" s="155"/>
      <c r="M107" s="160"/>
    </row>
    <row r="108" spans="1:13">
      <c r="A108" s="159"/>
      <c r="B108" s="155"/>
      <c r="C108" s="155"/>
      <c r="D108" s="155"/>
      <c r="E108" s="155"/>
      <c r="F108" s="155"/>
      <c r="G108" s="155"/>
      <c r="H108" s="155"/>
      <c r="I108" s="155"/>
      <c r="J108" s="155"/>
      <c r="K108" s="155"/>
      <c r="L108" s="155"/>
      <c r="M108" s="160"/>
    </row>
    <row r="109" spans="1:13">
      <c r="A109" s="159"/>
      <c r="B109" s="155"/>
      <c r="C109" s="155"/>
      <c r="D109" s="155"/>
      <c r="E109" s="155"/>
      <c r="F109" s="155"/>
      <c r="G109" s="155"/>
      <c r="H109" s="155"/>
      <c r="I109" s="155"/>
      <c r="J109" s="155"/>
      <c r="K109" s="155"/>
      <c r="L109" s="155"/>
      <c r="M109" s="160"/>
    </row>
    <row r="110" spans="1:13">
      <c r="A110" s="159"/>
      <c r="B110" s="155"/>
      <c r="C110" s="155"/>
      <c r="D110" s="155"/>
      <c r="E110" s="155"/>
      <c r="F110" s="155"/>
      <c r="G110" s="155"/>
      <c r="H110" s="155"/>
      <c r="I110" s="155"/>
      <c r="J110" s="155"/>
      <c r="K110" s="155"/>
      <c r="L110" s="155"/>
      <c r="M110" s="160"/>
    </row>
    <row r="111" spans="1:13">
      <c r="A111" s="159"/>
      <c r="B111" s="155"/>
      <c r="C111" s="155"/>
      <c r="D111" s="155"/>
      <c r="E111" s="155"/>
      <c r="F111" s="155"/>
      <c r="G111" s="155"/>
      <c r="H111" s="155"/>
      <c r="I111" s="155"/>
      <c r="J111" s="155"/>
      <c r="K111" s="155"/>
      <c r="L111" s="155"/>
      <c r="M111" s="160"/>
    </row>
    <row r="112" spans="1:13">
      <c r="A112" s="159"/>
      <c r="B112" s="155"/>
      <c r="C112" s="155"/>
      <c r="D112" s="155"/>
      <c r="E112" s="155"/>
      <c r="F112" s="155"/>
      <c r="G112" s="155"/>
      <c r="H112" s="155"/>
      <c r="I112" s="155"/>
      <c r="J112" s="155"/>
      <c r="K112" s="155"/>
      <c r="L112" s="155"/>
      <c r="M112" s="160"/>
    </row>
    <row r="113" spans="1:13">
      <c r="A113" s="159"/>
      <c r="B113" s="155"/>
      <c r="C113" s="155"/>
      <c r="D113" s="155"/>
      <c r="E113" s="155"/>
      <c r="F113" s="155"/>
      <c r="G113" s="155"/>
      <c r="H113" s="155"/>
      <c r="I113" s="155"/>
      <c r="J113" s="155"/>
      <c r="K113" s="155"/>
      <c r="L113" s="155"/>
      <c r="M113" s="160"/>
    </row>
    <row r="114" spans="1:13">
      <c r="A114" s="159"/>
      <c r="B114" s="155"/>
      <c r="C114" s="155"/>
      <c r="D114" s="155"/>
      <c r="E114" s="155"/>
      <c r="F114" s="155"/>
      <c r="G114" s="155"/>
      <c r="H114" s="155"/>
      <c r="I114" s="155"/>
      <c r="J114" s="155"/>
      <c r="K114" s="155"/>
      <c r="L114" s="155"/>
      <c r="M114" s="160"/>
    </row>
    <row r="115" spans="1:13">
      <c r="A115" s="159"/>
      <c r="B115" s="155"/>
      <c r="C115" s="155"/>
      <c r="D115" s="155"/>
      <c r="E115" s="155"/>
      <c r="F115" s="155"/>
      <c r="G115" s="155"/>
      <c r="H115" s="155"/>
      <c r="I115" s="155"/>
      <c r="J115" s="155"/>
      <c r="K115" s="155"/>
      <c r="L115" s="155"/>
      <c r="M115" s="160"/>
    </row>
    <row r="116" spans="1:13">
      <c r="A116" s="159"/>
      <c r="B116" s="155"/>
      <c r="C116" s="155"/>
      <c r="D116" s="155"/>
      <c r="E116" s="155"/>
      <c r="F116" s="155"/>
      <c r="G116" s="155"/>
      <c r="H116" s="155"/>
      <c r="I116" s="155"/>
      <c r="J116" s="155"/>
      <c r="K116" s="155"/>
      <c r="L116" s="155"/>
      <c r="M116" s="160"/>
    </row>
    <row r="117" spans="1:13">
      <c r="A117" s="159"/>
      <c r="B117" s="155"/>
      <c r="C117" s="155"/>
      <c r="D117" s="155"/>
      <c r="E117" s="155"/>
      <c r="F117" s="155"/>
      <c r="G117" s="155"/>
      <c r="H117" s="155"/>
      <c r="I117" s="155"/>
      <c r="J117" s="155"/>
      <c r="K117" s="155"/>
      <c r="L117" s="155"/>
      <c r="M117" s="160"/>
    </row>
    <row r="118" spans="1:13">
      <c r="A118" s="159"/>
      <c r="B118" s="155"/>
      <c r="C118" s="155"/>
      <c r="D118" s="155"/>
      <c r="E118" s="155"/>
      <c r="F118" s="155"/>
      <c r="G118" s="155"/>
      <c r="H118" s="155"/>
      <c r="I118" s="155"/>
      <c r="J118" s="155"/>
      <c r="K118" s="155"/>
      <c r="L118" s="155"/>
      <c r="M118" s="160"/>
    </row>
    <row r="119" spans="1:13">
      <c r="A119" s="159"/>
      <c r="B119" s="155"/>
      <c r="C119" s="155"/>
      <c r="D119" s="155"/>
      <c r="E119" s="155"/>
      <c r="F119" s="155"/>
      <c r="G119" s="155"/>
      <c r="H119" s="155"/>
      <c r="I119" s="155"/>
      <c r="J119" s="155"/>
      <c r="K119" s="155"/>
      <c r="L119" s="155"/>
      <c r="M119" s="160"/>
    </row>
    <row r="120" spans="1:13">
      <c r="A120" s="159"/>
      <c r="B120" s="155"/>
      <c r="C120" s="155"/>
      <c r="D120" s="155"/>
      <c r="E120" s="155"/>
      <c r="F120" s="155"/>
      <c r="G120" s="155"/>
      <c r="H120" s="155"/>
      <c r="I120" s="155"/>
      <c r="J120" s="155"/>
      <c r="K120" s="155"/>
      <c r="L120" s="155"/>
      <c r="M120" s="160"/>
    </row>
    <row r="121" spans="1:13">
      <c r="A121" s="159"/>
      <c r="B121" s="155"/>
      <c r="C121" s="155"/>
      <c r="D121" s="155"/>
      <c r="E121" s="155"/>
      <c r="F121" s="155"/>
      <c r="G121" s="155"/>
      <c r="H121" s="155"/>
      <c r="I121" s="155"/>
      <c r="J121" s="155"/>
      <c r="K121" s="155"/>
      <c r="L121" s="155"/>
      <c r="M121" s="160"/>
    </row>
    <row r="122" spans="1:13">
      <c r="A122" s="159"/>
      <c r="B122" s="155"/>
      <c r="C122" s="155"/>
      <c r="D122" s="155"/>
      <c r="E122" s="155"/>
      <c r="F122" s="155"/>
      <c r="G122" s="155"/>
      <c r="H122" s="155"/>
      <c r="I122" s="155"/>
      <c r="J122" s="155"/>
      <c r="K122" s="155"/>
      <c r="L122" s="155"/>
      <c r="M122" s="160"/>
    </row>
    <row r="123" spans="1:13">
      <c r="A123" s="159"/>
      <c r="B123" s="155"/>
      <c r="C123" s="155"/>
      <c r="D123" s="155"/>
      <c r="E123" s="155"/>
      <c r="F123" s="155"/>
      <c r="G123" s="155"/>
      <c r="H123" s="155"/>
      <c r="I123" s="155"/>
      <c r="J123" s="155"/>
      <c r="K123" s="155"/>
      <c r="L123" s="155"/>
      <c r="M123" s="160"/>
    </row>
    <row r="124" spans="1:13">
      <c r="A124" s="159"/>
      <c r="B124" s="155"/>
      <c r="C124" s="155"/>
      <c r="D124" s="155"/>
      <c r="E124" s="155"/>
      <c r="F124" s="155"/>
      <c r="G124" s="155"/>
      <c r="H124" s="155"/>
      <c r="I124" s="155"/>
      <c r="J124" s="155"/>
      <c r="K124" s="155"/>
      <c r="L124" s="155"/>
      <c r="M124" s="160"/>
    </row>
    <row r="125" spans="1:13">
      <c r="A125" s="159"/>
      <c r="B125" s="155"/>
      <c r="C125" s="155"/>
      <c r="D125" s="155"/>
      <c r="E125" s="155"/>
      <c r="F125" s="155"/>
      <c r="G125" s="155"/>
      <c r="H125" s="155"/>
      <c r="I125" s="155"/>
      <c r="J125" s="155"/>
      <c r="K125" s="155"/>
      <c r="L125" s="155"/>
      <c r="M125" s="160"/>
    </row>
    <row r="126" spans="1:13">
      <c r="A126" s="159"/>
      <c r="B126" s="155"/>
      <c r="C126" s="155"/>
      <c r="D126" s="155"/>
      <c r="E126" s="155"/>
      <c r="F126" s="155"/>
      <c r="G126" s="155"/>
      <c r="H126" s="155"/>
      <c r="I126" s="155"/>
      <c r="J126" s="155"/>
      <c r="K126" s="155"/>
      <c r="L126" s="155"/>
      <c r="M126" s="160"/>
    </row>
    <row r="127" spans="1:13">
      <c r="A127" s="159"/>
      <c r="B127" s="155"/>
      <c r="C127" s="155"/>
      <c r="D127" s="155"/>
      <c r="E127" s="155"/>
      <c r="F127" s="155"/>
      <c r="G127" s="155"/>
      <c r="H127" s="155"/>
      <c r="I127" s="155"/>
      <c r="J127" s="155"/>
      <c r="K127" s="155"/>
      <c r="L127" s="155"/>
      <c r="M127" s="160"/>
    </row>
    <row r="128" spans="1:13">
      <c r="A128" s="159"/>
      <c r="B128" s="155"/>
      <c r="C128" s="155"/>
      <c r="D128" s="155"/>
      <c r="E128" s="155"/>
      <c r="F128" s="155"/>
      <c r="G128" s="155"/>
      <c r="H128" s="155"/>
      <c r="I128" s="155"/>
      <c r="J128" s="155"/>
      <c r="K128" s="155"/>
      <c r="L128" s="155"/>
      <c r="M128" s="160"/>
    </row>
    <row r="129" spans="1:13">
      <c r="A129" s="159"/>
      <c r="B129" s="155"/>
      <c r="C129" s="155"/>
      <c r="D129" s="155"/>
      <c r="E129" s="155"/>
      <c r="F129" s="155"/>
      <c r="G129" s="155"/>
      <c r="H129" s="155"/>
      <c r="I129" s="155"/>
      <c r="J129" s="155"/>
      <c r="K129" s="155"/>
      <c r="L129" s="155"/>
      <c r="M129" s="160"/>
    </row>
    <row r="130" spans="1:13">
      <c r="A130" s="159"/>
      <c r="B130" s="155"/>
      <c r="C130" s="155"/>
      <c r="D130" s="155"/>
      <c r="E130" s="155"/>
      <c r="F130" s="155"/>
      <c r="G130" s="155"/>
      <c r="H130" s="155"/>
      <c r="I130" s="155"/>
      <c r="J130" s="155"/>
      <c r="K130" s="155"/>
      <c r="L130" s="155"/>
      <c r="M130" s="160"/>
    </row>
    <row r="131" spans="1:13">
      <c r="A131" s="159"/>
      <c r="B131" s="155"/>
      <c r="C131" s="155"/>
      <c r="D131" s="155"/>
      <c r="E131" s="155"/>
      <c r="F131" s="155"/>
      <c r="G131" s="155"/>
      <c r="H131" s="155"/>
      <c r="I131" s="155"/>
      <c r="J131" s="155"/>
      <c r="K131" s="155"/>
      <c r="L131" s="155"/>
      <c r="M131" s="160"/>
    </row>
    <row r="132" spans="1:13">
      <c r="A132" s="159"/>
      <c r="B132" s="155"/>
      <c r="C132" s="155"/>
      <c r="D132" s="155"/>
      <c r="E132" s="155"/>
      <c r="F132" s="155"/>
      <c r="G132" s="155"/>
      <c r="H132" s="155"/>
      <c r="I132" s="155"/>
      <c r="J132" s="155"/>
      <c r="K132" s="155"/>
      <c r="L132" s="155"/>
      <c r="M132" s="160"/>
    </row>
    <row r="133" spans="1:13">
      <c r="A133" s="159"/>
      <c r="B133" s="155"/>
      <c r="C133" s="155"/>
      <c r="D133" s="155"/>
      <c r="E133" s="155"/>
      <c r="F133" s="155"/>
      <c r="G133" s="155"/>
      <c r="H133" s="155"/>
      <c r="I133" s="155"/>
      <c r="J133" s="155"/>
      <c r="K133" s="155"/>
      <c r="L133" s="155"/>
      <c r="M133" s="160"/>
    </row>
    <row r="134" spans="1:13">
      <c r="A134" s="159"/>
      <c r="B134" s="155"/>
      <c r="C134" s="155"/>
      <c r="D134" s="155"/>
      <c r="E134" s="155"/>
      <c r="F134" s="155"/>
      <c r="G134" s="155"/>
      <c r="H134" s="155"/>
      <c r="I134" s="155"/>
      <c r="J134" s="155"/>
      <c r="K134" s="155"/>
      <c r="L134" s="155"/>
      <c r="M134" s="160"/>
    </row>
    <row r="135" spans="1:13">
      <c r="A135" s="159"/>
      <c r="B135" s="155"/>
      <c r="C135" s="155"/>
      <c r="D135" s="155"/>
      <c r="E135" s="155"/>
      <c r="F135" s="155"/>
      <c r="G135" s="155"/>
      <c r="H135" s="155"/>
      <c r="I135" s="155"/>
      <c r="J135" s="155"/>
      <c r="K135" s="155"/>
      <c r="L135" s="155"/>
      <c r="M135" s="160"/>
    </row>
    <row r="136" spans="1:13">
      <c r="A136" s="159"/>
      <c r="B136" s="155"/>
      <c r="C136" s="155"/>
      <c r="D136" s="155"/>
      <c r="E136" s="155"/>
      <c r="F136" s="155"/>
      <c r="G136" s="155"/>
      <c r="H136" s="155"/>
      <c r="I136" s="155"/>
      <c r="J136" s="155"/>
      <c r="K136" s="155"/>
      <c r="L136" s="155"/>
      <c r="M136" s="160"/>
    </row>
    <row r="137" spans="1:13">
      <c r="A137" s="159"/>
      <c r="B137" s="155"/>
      <c r="C137" s="155"/>
      <c r="D137" s="155"/>
      <c r="E137" s="155"/>
      <c r="F137" s="155"/>
      <c r="G137" s="155"/>
      <c r="H137" s="155"/>
      <c r="I137" s="155"/>
      <c r="J137" s="155"/>
      <c r="K137" s="155"/>
      <c r="L137" s="155"/>
      <c r="M137" s="160"/>
    </row>
    <row r="138" spans="1:13">
      <c r="A138" s="159"/>
      <c r="B138" s="155"/>
      <c r="C138" s="155"/>
      <c r="D138" s="155"/>
      <c r="E138" s="155"/>
      <c r="F138" s="155"/>
      <c r="G138" s="155"/>
      <c r="H138" s="155"/>
      <c r="I138" s="155"/>
      <c r="J138" s="155"/>
      <c r="K138" s="155"/>
      <c r="L138" s="155"/>
      <c r="M138" s="160"/>
    </row>
    <row r="139" spans="1:13">
      <c r="A139" s="159"/>
      <c r="B139" s="155"/>
      <c r="C139" s="155"/>
      <c r="D139" s="155"/>
      <c r="E139" s="155"/>
      <c r="F139" s="155"/>
      <c r="G139" s="155"/>
      <c r="H139" s="155"/>
      <c r="I139" s="155"/>
      <c r="J139" s="155"/>
      <c r="K139" s="155"/>
      <c r="L139" s="155"/>
      <c r="M139" s="160"/>
    </row>
    <row r="140" spans="1:13">
      <c r="A140" s="159"/>
      <c r="B140" s="155"/>
      <c r="C140" s="155"/>
      <c r="D140" s="155"/>
      <c r="E140" s="155"/>
      <c r="F140" s="155"/>
      <c r="G140" s="155"/>
      <c r="H140" s="155"/>
      <c r="I140" s="155"/>
      <c r="J140" s="155"/>
      <c r="K140" s="155"/>
      <c r="L140" s="155"/>
      <c r="M140" s="160"/>
    </row>
    <row r="141" spans="1:13">
      <c r="A141" s="159"/>
      <c r="B141" s="155"/>
      <c r="C141" s="155"/>
      <c r="D141" s="155"/>
      <c r="E141" s="155"/>
      <c r="F141" s="155"/>
      <c r="G141" s="155"/>
      <c r="H141" s="155"/>
      <c r="I141" s="155"/>
      <c r="J141" s="155"/>
      <c r="K141" s="155"/>
      <c r="L141" s="155"/>
      <c r="M141" s="160"/>
    </row>
    <row r="142" spans="1:13">
      <c r="A142" s="159"/>
      <c r="B142" s="155"/>
      <c r="C142" s="155"/>
      <c r="D142" s="155"/>
      <c r="E142" s="155"/>
      <c r="F142" s="155"/>
      <c r="G142" s="155"/>
      <c r="H142" s="155"/>
      <c r="I142" s="155"/>
      <c r="J142" s="155"/>
      <c r="K142" s="155"/>
      <c r="L142" s="155"/>
      <c r="M142" s="160"/>
    </row>
    <row r="143" spans="1:13">
      <c r="A143" s="159"/>
      <c r="B143" s="155"/>
      <c r="C143" s="155"/>
      <c r="D143" s="155"/>
      <c r="E143" s="155"/>
      <c r="F143" s="155"/>
      <c r="G143" s="155"/>
      <c r="H143" s="155"/>
      <c r="I143" s="155"/>
      <c r="J143" s="155"/>
      <c r="K143" s="155"/>
      <c r="L143" s="155"/>
      <c r="M143" s="160"/>
    </row>
    <row r="144" spans="1:13">
      <c r="A144" s="159"/>
      <c r="B144" s="155"/>
      <c r="C144" s="155"/>
      <c r="D144" s="155"/>
      <c r="E144" s="155"/>
      <c r="F144" s="155"/>
      <c r="G144" s="155"/>
      <c r="H144" s="155"/>
      <c r="I144" s="155"/>
      <c r="J144" s="155"/>
      <c r="K144" s="155"/>
      <c r="L144" s="155"/>
      <c r="M144" s="160"/>
    </row>
    <row r="145" spans="1:13">
      <c r="A145" s="159"/>
      <c r="B145" s="155"/>
      <c r="C145" s="155"/>
      <c r="D145" s="155"/>
      <c r="E145" s="155"/>
      <c r="F145" s="155"/>
      <c r="G145" s="155"/>
      <c r="H145" s="155"/>
      <c r="I145" s="155"/>
      <c r="J145" s="155"/>
      <c r="K145" s="155"/>
      <c r="L145" s="155"/>
      <c r="M145" s="160"/>
    </row>
    <row r="146" spans="1:13">
      <c r="A146" s="159"/>
      <c r="B146" s="155"/>
      <c r="C146" s="155"/>
      <c r="D146" s="155"/>
      <c r="E146" s="155"/>
      <c r="F146" s="155"/>
      <c r="G146" s="155"/>
      <c r="H146" s="155"/>
      <c r="I146" s="155"/>
      <c r="J146" s="155"/>
      <c r="K146" s="155"/>
      <c r="L146" s="155"/>
      <c r="M146" s="160"/>
    </row>
    <row r="147" spans="1:13">
      <c r="A147" s="159"/>
      <c r="B147" s="155"/>
      <c r="C147" s="155"/>
      <c r="D147" s="155"/>
      <c r="E147" s="155"/>
      <c r="F147" s="155"/>
      <c r="G147" s="155"/>
      <c r="H147" s="155"/>
      <c r="I147" s="155"/>
      <c r="J147" s="155"/>
      <c r="K147" s="155"/>
      <c r="L147" s="155"/>
      <c r="M147" s="160"/>
    </row>
    <row r="148" spans="1:13">
      <c r="A148" s="159"/>
      <c r="B148" s="155"/>
      <c r="C148" s="155"/>
      <c r="D148" s="155"/>
      <c r="E148" s="155"/>
      <c r="F148" s="155"/>
      <c r="G148" s="155"/>
      <c r="H148" s="155"/>
      <c r="I148" s="155"/>
      <c r="J148" s="155"/>
      <c r="K148" s="155"/>
      <c r="L148" s="155"/>
      <c r="M148" s="160"/>
    </row>
    <row r="149" spans="1:13">
      <c r="A149" s="159"/>
      <c r="B149" s="155"/>
      <c r="C149" s="155"/>
      <c r="D149" s="155"/>
      <c r="E149" s="155"/>
      <c r="F149" s="155"/>
      <c r="G149" s="155"/>
      <c r="H149" s="155"/>
      <c r="I149" s="155"/>
      <c r="J149" s="155"/>
      <c r="K149" s="155"/>
      <c r="L149" s="155"/>
      <c r="M149" s="160"/>
    </row>
    <row r="150" spans="1:13">
      <c r="A150" s="159"/>
      <c r="B150" s="155"/>
      <c r="C150" s="155"/>
      <c r="D150" s="155"/>
      <c r="E150" s="155"/>
      <c r="F150" s="155"/>
      <c r="G150" s="155"/>
      <c r="H150" s="155"/>
      <c r="I150" s="155"/>
      <c r="J150" s="155"/>
      <c r="K150" s="155"/>
      <c r="L150" s="155"/>
      <c r="M150" s="160"/>
    </row>
    <row r="151" spans="1:13">
      <c r="A151" s="159"/>
      <c r="B151" s="155"/>
      <c r="C151" s="155"/>
      <c r="D151" s="155"/>
      <c r="E151" s="155"/>
      <c r="F151" s="155"/>
      <c r="G151" s="155"/>
      <c r="H151" s="155"/>
      <c r="I151" s="155"/>
      <c r="J151" s="155"/>
      <c r="K151" s="155"/>
      <c r="L151" s="155"/>
      <c r="M151" s="160"/>
    </row>
    <row r="152" spans="1:13">
      <c r="A152" s="159"/>
      <c r="B152" s="155"/>
      <c r="C152" s="155"/>
      <c r="D152" s="155"/>
      <c r="E152" s="155"/>
      <c r="F152" s="155"/>
      <c r="G152" s="155"/>
      <c r="H152" s="155"/>
      <c r="I152" s="155"/>
      <c r="J152" s="155"/>
      <c r="K152" s="155"/>
      <c r="L152" s="155"/>
      <c r="M152" s="160"/>
    </row>
    <row r="153" spans="1:13">
      <c r="A153" s="159"/>
      <c r="B153" s="155"/>
      <c r="C153" s="155"/>
      <c r="D153" s="155"/>
      <c r="E153" s="155"/>
      <c r="F153" s="155"/>
      <c r="G153" s="155"/>
      <c r="H153" s="155"/>
      <c r="I153" s="155"/>
      <c r="J153" s="155"/>
      <c r="K153" s="155"/>
      <c r="L153" s="155"/>
      <c r="M153" s="160"/>
    </row>
    <row r="154" spans="1:13">
      <c r="A154" s="159"/>
      <c r="B154" s="155"/>
      <c r="C154" s="155"/>
      <c r="D154" s="155"/>
      <c r="E154" s="155"/>
      <c r="F154" s="155"/>
      <c r="G154" s="155"/>
      <c r="H154" s="155"/>
      <c r="I154" s="155"/>
      <c r="J154" s="155"/>
      <c r="K154" s="155"/>
      <c r="L154" s="155"/>
      <c r="M154" s="160"/>
    </row>
    <row r="155" spans="1:13">
      <c r="A155" s="159"/>
      <c r="B155" s="155"/>
      <c r="C155" s="155"/>
      <c r="D155" s="155"/>
      <c r="E155" s="155"/>
      <c r="F155" s="155"/>
      <c r="G155" s="155"/>
      <c r="H155" s="155"/>
      <c r="I155" s="155"/>
      <c r="J155" s="155"/>
      <c r="K155" s="155"/>
      <c r="L155" s="155"/>
      <c r="M155" s="160"/>
    </row>
    <row r="156" spans="1:13">
      <c r="A156" s="159"/>
      <c r="B156" s="155"/>
      <c r="C156" s="155"/>
      <c r="D156" s="155"/>
      <c r="E156" s="155"/>
      <c r="F156" s="155"/>
      <c r="G156" s="155"/>
      <c r="H156" s="155"/>
      <c r="I156" s="155"/>
      <c r="J156" s="155"/>
      <c r="K156" s="155"/>
      <c r="L156" s="155"/>
      <c r="M156" s="160"/>
    </row>
    <row r="157" spans="1:13">
      <c r="A157" s="159"/>
      <c r="B157" s="155"/>
      <c r="C157" s="155"/>
      <c r="D157" s="155"/>
      <c r="E157" s="155"/>
      <c r="F157" s="155"/>
      <c r="G157" s="155"/>
      <c r="H157" s="155"/>
      <c r="I157" s="155"/>
      <c r="J157" s="155"/>
      <c r="K157" s="155"/>
      <c r="L157" s="155"/>
      <c r="M157" s="160"/>
    </row>
    <row r="158" spans="1:13">
      <c r="A158" s="159"/>
      <c r="B158" s="155"/>
      <c r="C158" s="155"/>
      <c r="D158" s="155"/>
      <c r="E158" s="155"/>
      <c r="F158" s="155"/>
      <c r="G158" s="155"/>
      <c r="H158" s="155"/>
      <c r="I158" s="155"/>
      <c r="J158" s="155"/>
      <c r="K158" s="155"/>
      <c r="L158" s="155"/>
      <c r="M158" s="160"/>
    </row>
    <row r="159" spans="1:13">
      <c r="A159" s="159"/>
      <c r="B159" s="155"/>
      <c r="C159" s="155"/>
      <c r="D159" s="155"/>
      <c r="E159" s="155"/>
      <c r="F159" s="155"/>
      <c r="G159" s="155"/>
      <c r="H159" s="155"/>
      <c r="I159" s="155"/>
      <c r="J159" s="155"/>
      <c r="K159" s="155"/>
      <c r="L159" s="155"/>
      <c r="M159" s="160"/>
    </row>
    <row r="160" spans="1:13">
      <c r="A160" s="159"/>
      <c r="B160" s="155"/>
      <c r="C160" s="155"/>
      <c r="D160" s="155"/>
      <c r="E160" s="155"/>
      <c r="F160" s="155"/>
      <c r="G160" s="155"/>
      <c r="H160" s="155"/>
      <c r="I160" s="155"/>
      <c r="J160" s="155"/>
      <c r="K160" s="155"/>
      <c r="L160" s="155"/>
      <c r="M160" s="160"/>
    </row>
    <row r="161" spans="1:13">
      <c r="A161" s="159"/>
      <c r="B161" s="155"/>
      <c r="C161" s="155"/>
      <c r="D161" s="155"/>
      <c r="E161" s="155"/>
      <c r="F161" s="155"/>
      <c r="G161" s="155"/>
      <c r="H161" s="155"/>
      <c r="I161" s="155"/>
      <c r="J161" s="155"/>
      <c r="K161" s="155"/>
      <c r="L161" s="155"/>
      <c r="M161" s="160"/>
    </row>
    <row r="162" spans="1:13">
      <c r="A162" s="159"/>
      <c r="B162" s="155"/>
      <c r="C162" s="155"/>
      <c r="D162" s="155"/>
      <c r="E162" s="155"/>
      <c r="F162" s="155"/>
      <c r="G162" s="155"/>
      <c r="H162" s="155"/>
      <c r="I162" s="155"/>
      <c r="J162" s="155"/>
      <c r="K162" s="155"/>
      <c r="L162" s="155"/>
      <c r="M162" s="160"/>
    </row>
    <row r="163" spans="1:13">
      <c r="A163" s="159"/>
      <c r="B163" s="155"/>
      <c r="C163" s="155"/>
      <c r="D163" s="155"/>
      <c r="E163" s="155"/>
      <c r="F163" s="155"/>
      <c r="G163" s="155"/>
      <c r="H163" s="155"/>
      <c r="I163" s="155"/>
      <c r="J163" s="155"/>
      <c r="K163" s="155"/>
      <c r="L163" s="155"/>
      <c r="M163" s="160"/>
    </row>
    <row r="164" spans="1:13">
      <c r="A164" s="159"/>
      <c r="B164" s="155"/>
      <c r="C164" s="155"/>
      <c r="D164" s="155"/>
      <c r="E164" s="155"/>
      <c r="F164" s="155"/>
      <c r="G164" s="155"/>
      <c r="H164" s="155"/>
      <c r="I164" s="155"/>
      <c r="J164" s="155"/>
      <c r="K164" s="155"/>
      <c r="L164" s="155"/>
      <c r="M164" s="160"/>
    </row>
    <row r="165" spans="1:13">
      <c r="A165" s="159"/>
      <c r="B165" s="155"/>
      <c r="C165" s="155"/>
      <c r="D165" s="155"/>
      <c r="E165" s="155"/>
      <c r="F165" s="155"/>
      <c r="G165" s="155"/>
      <c r="H165" s="155"/>
      <c r="I165" s="155"/>
      <c r="J165" s="155"/>
      <c r="K165" s="155"/>
      <c r="L165" s="155"/>
      <c r="M165" s="160"/>
    </row>
    <row r="166" spans="1:13">
      <c r="A166" s="159"/>
      <c r="B166" s="155"/>
      <c r="C166" s="155"/>
      <c r="D166" s="155"/>
      <c r="E166" s="155"/>
      <c r="F166" s="155"/>
      <c r="G166" s="155"/>
      <c r="H166" s="155"/>
      <c r="I166" s="155"/>
      <c r="J166" s="155"/>
      <c r="K166" s="155"/>
      <c r="L166" s="155"/>
      <c r="M166" s="160"/>
    </row>
    <row r="167" spans="1:13">
      <c r="A167" s="159"/>
      <c r="B167" s="155"/>
      <c r="C167" s="155"/>
      <c r="D167" s="155"/>
      <c r="E167" s="155"/>
      <c r="F167" s="155"/>
      <c r="G167" s="155"/>
      <c r="H167" s="155"/>
      <c r="I167" s="155"/>
      <c r="J167" s="155"/>
      <c r="K167" s="155"/>
      <c r="L167" s="155"/>
      <c r="M167" s="160"/>
    </row>
    <row r="168" spans="1:13">
      <c r="A168" s="159"/>
      <c r="B168" s="155"/>
      <c r="C168" s="155"/>
      <c r="D168" s="155"/>
      <c r="E168" s="155"/>
      <c r="F168" s="155"/>
      <c r="G168" s="155"/>
      <c r="H168" s="155"/>
      <c r="I168" s="155"/>
      <c r="J168" s="155"/>
      <c r="K168" s="155"/>
      <c r="L168" s="155"/>
      <c r="M168" s="160"/>
    </row>
    <row r="169" spans="1:13">
      <c r="A169" s="159"/>
      <c r="B169" s="155"/>
      <c r="C169" s="155"/>
      <c r="D169" s="155"/>
      <c r="E169" s="155"/>
      <c r="F169" s="155"/>
      <c r="G169" s="155"/>
      <c r="H169" s="155"/>
      <c r="I169" s="155"/>
      <c r="J169" s="155"/>
      <c r="K169" s="155"/>
      <c r="L169" s="155"/>
      <c r="M169" s="160"/>
    </row>
    <row r="170" spans="1:13">
      <c r="A170" s="159"/>
      <c r="B170" s="155"/>
      <c r="C170" s="155"/>
      <c r="D170" s="155"/>
      <c r="E170" s="155"/>
      <c r="F170" s="155"/>
      <c r="G170" s="155"/>
      <c r="H170" s="155"/>
      <c r="I170" s="155"/>
      <c r="J170" s="155"/>
      <c r="K170" s="155"/>
      <c r="L170" s="155"/>
      <c r="M170" s="160"/>
    </row>
    <row r="171" spans="1:13">
      <c r="A171" s="159"/>
      <c r="B171" s="155"/>
      <c r="C171" s="155"/>
      <c r="D171" s="155"/>
      <c r="E171" s="155"/>
      <c r="F171" s="155"/>
      <c r="G171" s="155"/>
      <c r="H171" s="155"/>
      <c r="I171" s="155"/>
      <c r="J171" s="155"/>
      <c r="K171" s="155"/>
      <c r="L171" s="155"/>
      <c r="M171" s="160"/>
    </row>
    <row r="172" spans="1:13">
      <c r="A172" s="159"/>
      <c r="B172" s="155"/>
      <c r="C172" s="155"/>
      <c r="D172" s="155"/>
      <c r="E172" s="155"/>
      <c r="F172" s="155"/>
      <c r="G172" s="155"/>
      <c r="H172" s="155"/>
      <c r="I172" s="155"/>
      <c r="J172" s="155"/>
      <c r="K172" s="155"/>
      <c r="L172" s="155"/>
      <c r="M172" s="160"/>
    </row>
    <row r="173" spans="1:13">
      <c r="A173" s="159"/>
      <c r="B173" s="155"/>
      <c r="C173" s="155"/>
      <c r="D173" s="155"/>
      <c r="E173" s="155"/>
      <c r="F173" s="155"/>
      <c r="G173" s="155"/>
      <c r="H173" s="155"/>
      <c r="I173" s="155"/>
      <c r="J173" s="155"/>
      <c r="K173" s="155"/>
      <c r="L173" s="155"/>
      <c r="M173" s="160"/>
    </row>
    <row r="174" spans="1:13">
      <c r="A174" s="159"/>
      <c r="B174" s="155"/>
      <c r="C174" s="155"/>
      <c r="D174" s="155"/>
      <c r="E174" s="155"/>
      <c r="F174" s="155"/>
      <c r="G174" s="155"/>
      <c r="H174" s="155"/>
      <c r="I174" s="155"/>
      <c r="J174" s="155"/>
      <c r="K174" s="155"/>
      <c r="L174" s="155"/>
      <c r="M174" s="160"/>
    </row>
    <row r="175" spans="1:13">
      <c r="A175" s="159"/>
      <c r="B175" s="155"/>
      <c r="C175" s="155"/>
      <c r="D175" s="155"/>
      <c r="E175" s="155"/>
      <c r="F175" s="155"/>
      <c r="G175" s="155"/>
      <c r="H175" s="155"/>
      <c r="I175" s="155"/>
      <c r="J175" s="155"/>
      <c r="K175" s="155"/>
      <c r="L175" s="155"/>
      <c r="M175" s="160"/>
    </row>
    <row r="176" spans="1:13">
      <c r="A176" s="159"/>
      <c r="B176" s="155"/>
      <c r="C176" s="155"/>
      <c r="D176" s="155"/>
      <c r="E176" s="155"/>
      <c r="F176" s="155"/>
      <c r="G176" s="155"/>
      <c r="H176" s="155"/>
      <c r="I176" s="155"/>
      <c r="J176" s="155"/>
      <c r="K176" s="155"/>
      <c r="L176" s="155"/>
      <c r="M176" s="160"/>
    </row>
    <row r="177" spans="1:13">
      <c r="A177" s="159"/>
      <c r="B177" s="155"/>
      <c r="C177" s="155"/>
      <c r="D177" s="155"/>
      <c r="E177" s="155"/>
      <c r="F177" s="155"/>
      <c r="G177" s="155"/>
      <c r="H177" s="155"/>
      <c r="I177" s="155"/>
      <c r="J177" s="155"/>
      <c r="K177" s="155"/>
      <c r="L177" s="155"/>
      <c r="M177" s="160"/>
    </row>
    <row r="178" spans="1:13">
      <c r="A178" s="159"/>
      <c r="B178" s="155"/>
      <c r="C178" s="155"/>
      <c r="D178" s="155"/>
      <c r="E178" s="155"/>
      <c r="F178" s="155"/>
      <c r="G178" s="155"/>
      <c r="H178" s="155"/>
      <c r="I178" s="155"/>
      <c r="J178" s="155"/>
      <c r="K178" s="155"/>
      <c r="L178" s="155"/>
      <c r="M178" s="160"/>
    </row>
    <row r="179" spans="1:13">
      <c r="A179" s="159"/>
      <c r="B179" s="155"/>
      <c r="C179" s="155"/>
      <c r="D179" s="155"/>
      <c r="E179" s="155"/>
      <c r="F179" s="155"/>
      <c r="G179" s="155"/>
      <c r="H179" s="155"/>
      <c r="I179" s="155"/>
      <c r="J179" s="155"/>
      <c r="K179" s="155"/>
      <c r="L179" s="155"/>
      <c r="M179" s="160"/>
    </row>
    <row r="180" spans="1:13">
      <c r="A180" s="159"/>
      <c r="B180" s="155"/>
      <c r="C180" s="155"/>
      <c r="D180" s="155"/>
      <c r="E180" s="155"/>
      <c r="F180" s="155"/>
      <c r="G180" s="155"/>
      <c r="H180" s="155"/>
      <c r="I180" s="155"/>
      <c r="J180" s="155"/>
      <c r="K180" s="155"/>
      <c r="L180" s="155"/>
      <c r="M180" s="160"/>
    </row>
    <row r="181" spans="1:13">
      <c r="A181" s="159"/>
      <c r="B181" s="155"/>
      <c r="C181" s="155"/>
      <c r="D181" s="155"/>
      <c r="E181" s="155"/>
      <c r="F181" s="155"/>
      <c r="G181" s="155"/>
      <c r="H181" s="155"/>
      <c r="I181" s="155"/>
      <c r="J181" s="155"/>
      <c r="K181" s="155"/>
      <c r="L181" s="155"/>
      <c r="M181" s="160"/>
    </row>
    <row r="182" spans="1:13">
      <c r="A182" s="159"/>
      <c r="B182" s="155"/>
      <c r="C182" s="155"/>
      <c r="D182" s="155"/>
      <c r="E182" s="155"/>
      <c r="F182" s="155"/>
      <c r="G182" s="155"/>
      <c r="H182" s="155"/>
      <c r="I182" s="155"/>
      <c r="J182" s="155"/>
      <c r="K182" s="155"/>
      <c r="L182" s="155"/>
      <c r="M182" s="160"/>
    </row>
    <row r="183" spans="1:13">
      <c r="A183" s="159"/>
      <c r="B183" s="155"/>
      <c r="C183" s="155"/>
      <c r="D183" s="155"/>
      <c r="E183" s="155"/>
      <c r="F183" s="155"/>
      <c r="G183" s="155"/>
      <c r="H183" s="155"/>
      <c r="I183" s="155"/>
      <c r="J183" s="155"/>
      <c r="K183" s="155"/>
      <c r="L183" s="155"/>
      <c r="M183" s="160"/>
    </row>
    <row r="184" spans="1:13">
      <c r="A184" s="159"/>
      <c r="B184" s="155"/>
      <c r="C184" s="155"/>
      <c r="D184" s="155"/>
      <c r="E184" s="155"/>
      <c r="F184" s="155"/>
      <c r="G184" s="155"/>
      <c r="H184" s="155"/>
      <c r="I184" s="155"/>
      <c r="J184" s="155"/>
      <c r="K184" s="155"/>
      <c r="L184" s="155"/>
      <c r="M184" s="160"/>
    </row>
    <row r="185" spans="1:13">
      <c r="A185" s="159"/>
      <c r="B185" s="155"/>
      <c r="C185" s="155"/>
      <c r="D185" s="155"/>
      <c r="E185" s="155"/>
      <c r="F185" s="155"/>
      <c r="G185" s="155"/>
      <c r="H185" s="155"/>
      <c r="I185" s="155"/>
      <c r="J185" s="155"/>
      <c r="K185" s="155"/>
      <c r="L185" s="155"/>
      <c r="M185" s="160"/>
    </row>
    <row r="186" spans="1:13">
      <c r="A186" s="159"/>
      <c r="B186" s="155"/>
      <c r="C186" s="155"/>
      <c r="D186" s="155"/>
      <c r="E186" s="155"/>
      <c r="F186" s="155"/>
      <c r="G186" s="155"/>
      <c r="H186" s="155"/>
      <c r="I186" s="155"/>
      <c r="J186" s="155"/>
      <c r="K186" s="155"/>
      <c r="L186" s="155"/>
      <c r="M186" s="160"/>
    </row>
    <row r="187" spans="1:13">
      <c r="A187" s="159"/>
      <c r="B187" s="155"/>
      <c r="C187" s="155"/>
      <c r="D187" s="155"/>
      <c r="E187" s="155"/>
      <c r="F187" s="155"/>
      <c r="G187" s="155"/>
      <c r="H187" s="155"/>
      <c r="I187" s="155"/>
      <c r="J187" s="155"/>
      <c r="K187" s="155"/>
      <c r="L187" s="155"/>
      <c r="M187" s="160"/>
    </row>
    <row r="188" spans="1:13">
      <c r="A188" s="159"/>
      <c r="B188" s="155"/>
      <c r="C188" s="155"/>
      <c r="D188" s="155"/>
      <c r="E188" s="155"/>
      <c r="F188" s="155"/>
      <c r="G188" s="155"/>
      <c r="H188" s="155"/>
      <c r="I188" s="155"/>
      <c r="J188" s="155"/>
      <c r="K188" s="155"/>
      <c r="L188" s="155"/>
      <c r="M188" s="160"/>
    </row>
    <row r="189" spans="1:13">
      <c r="A189" s="159"/>
      <c r="B189" s="155"/>
      <c r="C189" s="155"/>
      <c r="D189" s="155"/>
      <c r="E189" s="155"/>
      <c r="F189" s="155"/>
      <c r="G189" s="155"/>
      <c r="H189" s="155"/>
      <c r="I189" s="155"/>
      <c r="J189" s="155"/>
      <c r="K189" s="155"/>
      <c r="L189" s="155"/>
      <c r="M189" s="160"/>
    </row>
    <row r="190" spans="1:13">
      <c r="A190" s="159"/>
      <c r="B190" s="155"/>
      <c r="C190" s="155"/>
      <c r="D190" s="155"/>
      <c r="E190" s="155"/>
      <c r="F190" s="155"/>
      <c r="G190" s="155"/>
      <c r="H190" s="155"/>
      <c r="I190" s="155"/>
      <c r="J190" s="155"/>
      <c r="K190" s="155"/>
      <c r="L190" s="155"/>
      <c r="M190" s="160"/>
    </row>
    <row r="191" spans="1:13">
      <c r="A191" s="159"/>
      <c r="B191" s="155"/>
      <c r="C191" s="155"/>
      <c r="D191" s="155"/>
      <c r="E191" s="155"/>
      <c r="F191" s="155"/>
      <c r="G191" s="155"/>
      <c r="H191" s="155"/>
      <c r="I191" s="155"/>
      <c r="J191" s="155"/>
      <c r="K191" s="155"/>
      <c r="L191" s="155"/>
      <c r="M191" s="160"/>
    </row>
    <row r="192" spans="1:13">
      <c r="A192" s="159"/>
      <c r="B192" s="155"/>
      <c r="C192" s="155"/>
      <c r="D192" s="155"/>
      <c r="E192" s="155"/>
      <c r="F192" s="155"/>
      <c r="G192" s="155"/>
      <c r="H192" s="155"/>
      <c r="I192" s="155"/>
      <c r="J192" s="155"/>
      <c r="K192" s="155"/>
      <c r="L192" s="155"/>
      <c r="M192" s="160"/>
    </row>
    <row r="193" spans="1:13">
      <c r="A193" s="159"/>
      <c r="B193" s="155"/>
      <c r="C193" s="155"/>
      <c r="D193" s="155"/>
      <c r="E193" s="155"/>
      <c r="F193" s="155"/>
      <c r="G193" s="155"/>
      <c r="H193" s="155"/>
      <c r="I193" s="155"/>
      <c r="J193" s="155"/>
      <c r="K193" s="155"/>
      <c r="L193" s="155"/>
      <c r="M193" s="160"/>
    </row>
    <row r="194" spans="1:13">
      <c r="A194" s="159"/>
      <c r="B194" s="155"/>
      <c r="C194" s="155"/>
      <c r="D194" s="155"/>
      <c r="E194" s="155"/>
      <c r="F194" s="155"/>
      <c r="G194" s="155"/>
      <c r="H194" s="155"/>
      <c r="I194" s="155"/>
      <c r="J194" s="155"/>
      <c r="K194" s="155"/>
      <c r="L194" s="155"/>
      <c r="M194" s="160"/>
    </row>
    <row r="195" spans="1:13">
      <c r="A195" s="159"/>
      <c r="B195" s="155"/>
      <c r="C195" s="155"/>
      <c r="D195" s="155"/>
      <c r="E195" s="155"/>
      <c r="F195" s="155"/>
      <c r="G195" s="155"/>
      <c r="H195" s="155"/>
      <c r="I195" s="155"/>
      <c r="J195" s="155"/>
      <c r="K195" s="155"/>
      <c r="L195" s="155"/>
      <c r="M195" s="160"/>
    </row>
    <row r="196" spans="1:13">
      <c r="A196" s="159"/>
      <c r="B196" s="155"/>
      <c r="C196" s="155"/>
      <c r="D196" s="155"/>
      <c r="E196" s="155"/>
      <c r="F196" s="155"/>
      <c r="G196" s="155"/>
      <c r="H196" s="155"/>
      <c r="I196" s="155"/>
      <c r="J196" s="155"/>
      <c r="K196" s="155"/>
      <c r="L196" s="155"/>
      <c r="M196" s="160"/>
    </row>
    <row r="197" spans="1:13">
      <c r="A197" s="159"/>
      <c r="B197" s="155"/>
      <c r="C197" s="155"/>
      <c r="D197" s="155"/>
      <c r="E197" s="155"/>
      <c r="F197" s="155"/>
      <c r="G197" s="155"/>
      <c r="H197" s="155"/>
      <c r="I197" s="155"/>
      <c r="J197" s="155"/>
      <c r="K197" s="155"/>
      <c r="L197" s="155"/>
      <c r="M197" s="160"/>
    </row>
    <row r="198" spans="1:13">
      <c r="A198" s="159"/>
      <c r="B198" s="155"/>
      <c r="C198" s="155"/>
      <c r="D198" s="155"/>
      <c r="E198" s="155"/>
      <c r="F198" s="155"/>
      <c r="G198" s="155"/>
      <c r="H198" s="155"/>
      <c r="I198" s="155"/>
      <c r="J198" s="155"/>
      <c r="K198" s="155"/>
      <c r="L198" s="155"/>
      <c r="M198" s="160"/>
    </row>
    <row r="199" spans="1:13">
      <c r="A199" s="159"/>
      <c r="B199" s="155"/>
      <c r="C199" s="155"/>
      <c r="D199" s="155"/>
      <c r="E199" s="155"/>
      <c r="F199" s="155"/>
      <c r="G199" s="155"/>
      <c r="H199" s="155"/>
      <c r="I199" s="155"/>
      <c r="J199" s="155"/>
      <c r="K199" s="155"/>
      <c r="L199" s="155"/>
      <c r="M199" s="160"/>
    </row>
    <row r="200" spans="1:13">
      <c r="A200" s="159"/>
      <c r="B200" s="155"/>
      <c r="C200" s="155"/>
      <c r="D200" s="155"/>
      <c r="E200" s="155"/>
      <c r="F200" s="155"/>
      <c r="G200" s="155"/>
      <c r="H200" s="155"/>
      <c r="I200" s="155"/>
      <c r="J200" s="155"/>
      <c r="K200" s="155"/>
      <c r="L200" s="155"/>
      <c r="M200" s="160"/>
    </row>
    <row r="201" spans="1:13">
      <c r="A201" s="159"/>
      <c r="B201" s="155"/>
      <c r="C201" s="155"/>
      <c r="D201" s="155"/>
      <c r="E201" s="155"/>
      <c r="F201" s="155"/>
      <c r="G201" s="155"/>
      <c r="H201" s="155"/>
      <c r="I201" s="155"/>
      <c r="J201" s="155"/>
      <c r="K201" s="155"/>
      <c r="L201" s="155"/>
      <c r="M201" s="160"/>
    </row>
    <row r="202" spans="1:13">
      <c r="A202" s="159"/>
      <c r="B202" s="155"/>
      <c r="C202" s="155"/>
      <c r="D202" s="155"/>
      <c r="E202" s="155"/>
      <c r="F202" s="155"/>
      <c r="G202" s="155"/>
      <c r="H202" s="155"/>
      <c r="I202" s="155"/>
      <c r="J202" s="155"/>
      <c r="K202" s="155"/>
      <c r="L202" s="155"/>
      <c r="M202" s="160"/>
    </row>
    <row r="203" spans="1:13">
      <c r="A203" s="159"/>
      <c r="B203" s="155"/>
      <c r="C203" s="155"/>
      <c r="D203" s="155"/>
      <c r="E203" s="155"/>
      <c r="F203" s="155"/>
      <c r="G203" s="155"/>
      <c r="H203" s="155"/>
      <c r="I203" s="155"/>
      <c r="J203" s="155"/>
      <c r="K203" s="155"/>
      <c r="L203" s="155"/>
      <c r="M203" s="160"/>
    </row>
    <row r="204" spans="1:13">
      <c r="A204" s="159"/>
      <c r="B204" s="155"/>
      <c r="C204" s="155"/>
      <c r="D204" s="155"/>
      <c r="E204" s="155"/>
      <c r="F204" s="155"/>
      <c r="G204" s="155"/>
      <c r="H204" s="155"/>
      <c r="I204" s="155"/>
      <c r="J204" s="155"/>
      <c r="K204" s="155"/>
      <c r="L204" s="155"/>
      <c r="M204" s="160"/>
    </row>
    <row r="205" spans="1:13">
      <c r="A205" s="159"/>
      <c r="B205" s="155"/>
      <c r="C205" s="155"/>
      <c r="D205" s="155"/>
      <c r="E205" s="155"/>
      <c r="F205" s="155"/>
      <c r="G205" s="155"/>
      <c r="H205" s="155"/>
      <c r="I205" s="155"/>
      <c r="J205" s="155"/>
      <c r="K205" s="155"/>
      <c r="L205" s="155"/>
      <c r="M205" s="160"/>
    </row>
    <row r="206" spans="1:13">
      <c r="A206" s="161"/>
      <c r="B206" s="162"/>
      <c r="C206" s="162"/>
      <c r="D206" s="162"/>
      <c r="E206" s="162"/>
      <c r="F206" s="162"/>
      <c r="G206" s="162"/>
      <c r="H206" s="162"/>
      <c r="I206" s="162"/>
      <c r="J206" s="162"/>
      <c r="K206" s="162"/>
      <c r="L206" s="162"/>
      <c r="M206" s="163"/>
    </row>
  </sheetData>
  <mergeCells count="2">
    <mergeCell ref="A1:M1"/>
    <mergeCell ref="A2:M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1A00-000000000000}">
          <x14:formula1>
            <xm:f>_LISTS!$L$2:$L$6</xm:f>
          </x14:formula1>
          <xm:sqref>E7:E206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206"/>
  <sheetViews>
    <sheetView workbookViewId="0"/>
  </sheetViews>
  <sheetFormatPr defaultRowHeight="14.25"/>
  <cols>
    <col min="1" max="1" width="18" customWidth="1"/>
    <col min="2" max="2" width="22" customWidth="1"/>
    <col min="3" max="3" width="16" customWidth="1"/>
    <col min="4" max="4" width="18" customWidth="1"/>
    <col min="5" max="5" width="28" customWidth="1"/>
    <col min="6" max="8" width="18" customWidth="1"/>
    <col min="9" max="9" width="16" customWidth="1"/>
    <col min="10" max="11" width="14" customWidth="1"/>
    <col min="12" max="13" width="18" customWidth="1"/>
    <col min="14" max="14" width="48" customWidth="1"/>
  </cols>
  <sheetData>
    <row r="1" spans="1:14" ht="24" customHeight="1">
      <c r="A1" s="268" t="s">
        <v>1329</v>
      </c>
      <c r="B1" s="268"/>
      <c r="C1" s="268"/>
      <c r="D1" s="268"/>
      <c r="E1" s="268"/>
      <c r="F1" s="268"/>
      <c r="G1" s="268"/>
      <c r="H1" s="268"/>
      <c r="I1" s="268"/>
      <c r="J1" s="268"/>
      <c r="K1" s="268"/>
      <c r="L1" s="268"/>
      <c r="M1" s="268"/>
      <c r="N1" s="268"/>
    </row>
    <row r="2" spans="1:14">
      <c r="A2" s="269" t="s">
        <v>1330</v>
      </c>
      <c r="B2" s="269"/>
      <c r="C2" s="269"/>
      <c r="D2" s="269"/>
      <c r="E2" s="269"/>
      <c r="F2" s="269"/>
      <c r="G2" s="269"/>
      <c r="H2" s="269"/>
      <c r="I2" s="269"/>
      <c r="J2" s="269"/>
      <c r="K2" s="269"/>
      <c r="L2" s="269"/>
      <c r="M2" s="269"/>
      <c r="N2" s="269"/>
    </row>
    <row r="6" spans="1:14">
      <c r="A6" s="171" t="s">
        <v>1331</v>
      </c>
      <c r="B6" s="172" t="s">
        <v>1319</v>
      </c>
      <c r="C6" s="172" t="s">
        <v>1332</v>
      </c>
      <c r="D6" s="172" t="s">
        <v>1333</v>
      </c>
      <c r="E6" s="172" t="s">
        <v>1334</v>
      </c>
      <c r="F6" s="172" t="s">
        <v>1335</v>
      </c>
      <c r="G6" s="172" t="s">
        <v>1336</v>
      </c>
      <c r="H6" s="172" t="s">
        <v>1157</v>
      </c>
      <c r="I6" s="172" t="s">
        <v>1337</v>
      </c>
      <c r="J6" s="172" t="s">
        <v>1338</v>
      </c>
      <c r="K6" s="172" t="s">
        <v>1339</v>
      </c>
      <c r="L6" s="172" t="s">
        <v>301</v>
      </c>
      <c r="M6" s="172" t="s">
        <v>429</v>
      </c>
      <c r="N6" s="173" t="s">
        <v>309</v>
      </c>
    </row>
    <row r="7" spans="1:14">
      <c r="A7" s="159"/>
      <c r="B7" s="155"/>
      <c r="C7" s="155"/>
      <c r="D7" s="155"/>
      <c r="E7" s="155"/>
      <c r="F7" s="155"/>
      <c r="G7" s="155"/>
      <c r="H7" s="155"/>
      <c r="I7" s="155" t="str">
        <f t="shared" ref="I7:I38" si="0">IF(OR(F7="",G7=""),"",IF(AND(ISNUMBER(F7),ISNUMBER(G7)),G7-F7,""))</f>
        <v/>
      </c>
      <c r="J7" s="174" t="str">
        <f t="shared" ref="J7:J38" si="1">IFERROR(I7/ABS(F7),"")</f>
        <v/>
      </c>
      <c r="K7" s="155"/>
      <c r="L7" s="155"/>
      <c r="M7" s="155"/>
      <c r="N7" s="160"/>
    </row>
    <row r="8" spans="1:14">
      <c r="A8" s="159"/>
      <c r="B8" s="155"/>
      <c r="C8" s="155"/>
      <c r="D8" s="155"/>
      <c r="E8" s="155"/>
      <c r="F8" s="155"/>
      <c r="G8" s="155"/>
      <c r="H8" s="155"/>
      <c r="I8" s="155" t="str">
        <f t="shared" si="0"/>
        <v/>
      </c>
      <c r="J8" s="174" t="str">
        <f t="shared" si="1"/>
        <v/>
      </c>
      <c r="K8" s="155"/>
      <c r="L8" s="155"/>
      <c r="M8" s="155"/>
      <c r="N8" s="160"/>
    </row>
    <row r="9" spans="1:14">
      <c r="A9" s="159"/>
      <c r="B9" s="155"/>
      <c r="C9" s="155"/>
      <c r="D9" s="155"/>
      <c r="E9" s="155"/>
      <c r="F9" s="155"/>
      <c r="G9" s="155"/>
      <c r="H9" s="155"/>
      <c r="I9" s="155" t="str">
        <f t="shared" si="0"/>
        <v/>
      </c>
      <c r="J9" s="174" t="str">
        <f t="shared" si="1"/>
        <v/>
      </c>
      <c r="K9" s="155"/>
      <c r="L9" s="155"/>
      <c r="M9" s="155"/>
      <c r="N9" s="160"/>
    </row>
    <row r="10" spans="1:14">
      <c r="A10" s="159"/>
      <c r="B10" s="155"/>
      <c r="C10" s="155"/>
      <c r="D10" s="155"/>
      <c r="E10" s="155"/>
      <c r="F10" s="155"/>
      <c r="G10" s="155"/>
      <c r="H10" s="155"/>
      <c r="I10" s="155" t="str">
        <f t="shared" si="0"/>
        <v/>
      </c>
      <c r="J10" s="174" t="str">
        <f t="shared" si="1"/>
        <v/>
      </c>
      <c r="K10" s="155"/>
      <c r="L10" s="155"/>
      <c r="M10" s="155"/>
      <c r="N10" s="160"/>
    </row>
    <row r="11" spans="1:14">
      <c r="A11" s="159"/>
      <c r="B11" s="155"/>
      <c r="C11" s="155"/>
      <c r="D11" s="155"/>
      <c r="E11" s="155"/>
      <c r="F11" s="155"/>
      <c r="G11" s="155"/>
      <c r="H11" s="155"/>
      <c r="I11" s="155" t="str">
        <f t="shared" si="0"/>
        <v/>
      </c>
      <c r="J11" s="174" t="str">
        <f t="shared" si="1"/>
        <v/>
      </c>
      <c r="K11" s="155"/>
      <c r="L11" s="155"/>
      <c r="M11" s="155"/>
      <c r="N11" s="160"/>
    </row>
    <row r="12" spans="1:14">
      <c r="A12" s="159"/>
      <c r="B12" s="155"/>
      <c r="C12" s="155"/>
      <c r="D12" s="155"/>
      <c r="E12" s="155"/>
      <c r="F12" s="155"/>
      <c r="G12" s="155"/>
      <c r="H12" s="155"/>
      <c r="I12" s="155" t="str">
        <f t="shared" si="0"/>
        <v/>
      </c>
      <c r="J12" s="174" t="str">
        <f t="shared" si="1"/>
        <v/>
      </c>
      <c r="K12" s="155"/>
      <c r="L12" s="155"/>
      <c r="M12" s="155"/>
      <c r="N12" s="160"/>
    </row>
    <row r="13" spans="1:14">
      <c r="A13" s="159"/>
      <c r="B13" s="155"/>
      <c r="C13" s="155"/>
      <c r="D13" s="155"/>
      <c r="E13" s="155"/>
      <c r="F13" s="155"/>
      <c r="G13" s="155"/>
      <c r="H13" s="155"/>
      <c r="I13" s="155" t="str">
        <f t="shared" si="0"/>
        <v/>
      </c>
      <c r="J13" s="174" t="str">
        <f t="shared" si="1"/>
        <v/>
      </c>
      <c r="K13" s="155"/>
      <c r="L13" s="155"/>
      <c r="M13" s="155"/>
      <c r="N13" s="160"/>
    </row>
    <row r="14" spans="1:14">
      <c r="A14" s="159"/>
      <c r="B14" s="155"/>
      <c r="C14" s="155"/>
      <c r="D14" s="155"/>
      <c r="E14" s="155"/>
      <c r="F14" s="155"/>
      <c r="G14" s="155"/>
      <c r="H14" s="155"/>
      <c r="I14" s="155" t="str">
        <f t="shared" si="0"/>
        <v/>
      </c>
      <c r="J14" s="174" t="str">
        <f t="shared" si="1"/>
        <v/>
      </c>
      <c r="K14" s="155"/>
      <c r="L14" s="155"/>
      <c r="M14" s="155"/>
      <c r="N14" s="160"/>
    </row>
    <row r="15" spans="1:14">
      <c r="A15" s="159"/>
      <c r="B15" s="155"/>
      <c r="C15" s="155"/>
      <c r="D15" s="155"/>
      <c r="E15" s="155"/>
      <c r="F15" s="155"/>
      <c r="G15" s="155"/>
      <c r="H15" s="155"/>
      <c r="I15" s="155" t="str">
        <f t="shared" si="0"/>
        <v/>
      </c>
      <c r="J15" s="174" t="str">
        <f t="shared" si="1"/>
        <v/>
      </c>
      <c r="K15" s="155"/>
      <c r="L15" s="155"/>
      <c r="M15" s="155"/>
      <c r="N15" s="160"/>
    </row>
    <row r="16" spans="1:14">
      <c r="A16" s="159"/>
      <c r="B16" s="155"/>
      <c r="C16" s="155"/>
      <c r="D16" s="155"/>
      <c r="E16" s="155"/>
      <c r="F16" s="155"/>
      <c r="G16" s="155"/>
      <c r="H16" s="155"/>
      <c r="I16" s="155" t="str">
        <f t="shared" si="0"/>
        <v/>
      </c>
      <c r="J16" s="174" t="str">
        <f t="shared" si="1"/>
        <v/>
      </c>
      <c r="K16" s="155"/>
      <c r="L16" s="155"/>
      <c r="M16" s="155"/>
      <c r="N16" s="160"/>
    </row>
    <row r="17" spans="1:14">
      <c r="A17" s="159"/>
      <c r="B17" s="155"/>
      <c r="C17" s="155"/>
      <c r="D17" s="155"/>
      <c r="E17" s="155"/>
      <c r="F17" s="155"/>
      <c r="G17" s="155"/>
      <c r="H17" s="155"/>
      <c r="I17" s="155" t="str">
        <f t="shared" si="0"/>
        <v/>
      </c>
      <c r="J17" s="174" t="str">
        <f t="shared" si="1"/>
        <v/>
      </c>
      <c r="K17" s="155"/>
      <c r="L17" s="155"/>
      <c r="M17" s="155"/>
      <c r="N17" s="160"/>
    </row>
    <row r="18" spans="1:14">
      <c r="A18" s="159"/>
      <c r="B18" s="155"/>
      <c r="C18" s="155"/>
      <c r="D18" s="155"/>
      <c r="E18" s="155"/>
      <c r="F18" s="155"/>
      <c r="G18" s="155"/>
      <c r="H18" s="155"/>
      <c r="I18" s="155" t="str">
        <f t="shared" si="0"/>
        <v/>
      </c>
      <c r="J18" s="174" t="str">
        <f t="shared" si="1"/>
        <v/>
      </c>
      <c r="K18" s="155"/>
      <c r="L18" s="155"/>
      <c r="M18" s="155"/>
      <c r="N18" s="160"/>
    </row>
    <row r="19" spans="1:14">
      <c r="A19" s="159"/>
      <c r="B19" s="155"/>
      <c r="C19" s="155"/>
      <c r="D19" s="155"/>
      <c r="E19" s="155"/>
      <c r="F19" s="155"/>
      <c r="G19" s="155"/>
      <c r="H19" s="155"/>
      <c r="I19" s="155" t="str">
        <f t="shared" si="0"/>
        <v/>
      </c>
      <c r="J19" s="174" t="str">
        <f t="shared" si="1"/>
        <v/>
      </c>
      <c r="K19" s="155"/>
      <c r="L19" s="155"/>
      <c r="M19" s="155"/>
      <c r="N19" s="160"/>
    </row>
    <row r="20" spans="1:14">
      <c r="A20" s="159"/>
      <c r="B20" s="155"/>
      <c r="C20" s="155"/>
      <c r="D20" s="155"/>
      <c r="E20" s="155"/>
      <c r="F20" s="155"/>
      <c r="G20" s="155"/>
      <c r="H20" s="155"/>
      <c r="I20" s="155" t="str">
        <f t="shared" si="0"/>
        <v/>
      </c>
      <c r="J20" s="174" t="str">
        <f t="shared" si="1"/>
        <v/>
      </c>
      <c r="K20" s="155"/>
      <c r="L20" s="155"/>
      <c r="M20" s="155"/>
      <c r="N20" s="160"/>
    </row>
    <row r="21" spans="1:14">
      <c r="A21" s="159"/>
      <c r="B21" s="155"/>
      <c r="C21" s="155"/>
      <c r="D21" s="155"/>
      <c r="E21" s="155"/>
      <c r="F21" s="155"/>
      <c r="G21" s="155"/>
      <c r="H21" s="155"/>
      <c r="I21" s="155" t="str">
        <f t="shared" si="0"/>
        <v/>
      </c>
      <c r="J21" s="174" t="str">
        <f t="shared" si="1"/>
        <v/>
      </c>
      <c r="K21" s="155"/>
      <c r="L21" s="155"/>
      <c r="M21" s="155"/>
      <c r="N21" s="160"/>
    </row>
    <row r="22" spans="1:14">
      <c r="A22" s="159"/>
      <c r="B22" s="155"/>
      <c r="C22" s="155"/>
      <c r="D22" s="155"/>
      <c r="E22" s="155"/>
      <c r="F22" s="155"/>
      <c r="G22" s="155"/>
      <c r="H22" s="155"/>
      <c r="I22" s="155" t="str">
        <f t="shared" si="0"/>
        <v/>
      </c>
      <c r="J22" s="174" t="str">
        <f t="shared" si="1"/>
        <v/>
      </c>
      <c r="K22" s="155"/>
      <c r="L22" s="155"/>
      <c r="M22" s="155"/>
      <c r="N22" s="160"/>
    </row>
    <row r="23" spans="1:14">
      <c r="A23" s="159"/>
      <c r="B23" s="155"/>
      <c r="C23" s="155"/>
      <c r="D23" s="155"/>
      <c r="E23" s="155"/>
      <c r="F23" s="155"/>
      <c r="G23" s="155"/>
      <c r="H23" s="155"/>
      <c r="I23" s="155" t="str">
        <f t="shared" si="0"/>
        <v/>
      </c>
      <c r="J23" s="174" t="str">
        <f t="shared" si="1"/>
        <v/>
      </c>
      <c r="K23" s="155"/>
      <c r="L23" s="155"/>
      <c r="M23" s="155"/>
      <c r="N23" s="160"/>
    </row>
    <row r="24" spans="1:14">
      <c r="A24" s="159"/>
      <c r="B24" s="155"/>
      <c r="C24" s="155"/>
      <c r="D24" s="155"/>
      <c r="E24" s="155"/>
      <c r="F24" s="155"/>
      <c r="G24" s="155"/>
      <c r="H24" s="155"/>
      <c r="I24" s="155" t="str">
        <f t="shared" si="0"/>
        <v/>
      </c>
      <c r="J24" s="174" t="str">
        <f t="shared" si="1"/>
        <v/>
      </c>
      <c r="K24" s="155"/>
      <c r="L24" s="155"/>
      <c r="M24" s="155"/>
      <c r="N24" s="160"/>
    </row>
    <row r="25" spans="1:14">
      <c r="A25" s="159"/>
      <c r="B25" s="155"/>
      <c r="C25" s="155"/>
      <c r="D25" s="155"/>
      <c r="E25" s="155"/>
      <c r="F25" s="155"/>
      <c r="G25" s="155"/>
      <c r="H25" s="155"/>
      <c r="I25" s="155" t="str">
        <f t="shared" si="0"/>
        <v/>
      </c>
      <c r="J25" s="174" t="str">
        <f t="shared" si="1"/>
        <v/>
      </c>
      <c r="K25" s="155"/>
      <c r="L25" s="155"/>
      <c r="M25" s="155"/>
      <c r="N25" s="160"/>
    </row>
    <row r="26" spans="1:14">
      <c r="A26" s="159"/>
      <c r="B26" s="155"/>
      <c r="C26" s="155"/>
      <c r="D26" s="155"/>
      <c r="E26" s="155"/>
      <c r="F26" s="155"/>
      <c r="G26" s="155"/>
      <c r="H26" s="155"/>
      <c r="I26" s="155" t="str">
        <f t="shared" si="0"/>
        <v/>
      </c>
      <c r="J26" s="174" t="str">
        <f t="shared" si="1"/>
        <v/>
      </c>
      <c r="K26" s="155"/>
      <c r="L26" s="155"/>
      <c r="M26" s="155"/>
      <c r="N26" s="160"/>
    </row>
    <row r="27" spans="1:14">
      <c r="A27" s="159"/>
      <c r="B27" s="155"/>
      <c r="C27" s="155"/>
      <c r="D27" s="155"/>
      <c r="E27" s="155"/>
      <c r="F27" s="155"/>
      <c r="G27" s="155"/>
      <c r="H27" s="155"/>
      <c r="I27" s="155" t="str">
        <f t="shared" si="0"/>
        <v/>
      </c>
      <c r="J27" s="174" t="str">
        <f t="shared" si="1"/>
        <v/>
      </c>
      <c r="K27" s="155"/>
      <c r="L27" s="155"/>
      <c r="M27" s="155"/>
      <c r="N27" s="160"/>
    </row>
    <row r="28" spans="1:14">
      <c r="A28" s="159"/>
      <c r="B28" s="155"/>
      <c r="C28" s="155"/>
      <c r="D28" s="155"/>
      <c r="E28" s="155"/>
      <c r="F28" s="155"/>
      <c r="G28" s="155"/>
      <c r="H28" s="155"/>
      <c r="I28" s="155" t="str">
        <f t="shared" si="0"/>
        <v/>
      </c>
      <c r="J28" s="174" t="str">
        <f t="shared" si="1"/>
        <v/>
      </c>
      <c r="K28" s="155"/>
      <c r="L28" s="155"/>
      <c r="M28" s="155"/>
      <c r="N28" s="160"/>
    </row>
    <row r="29" spans="1:14">
      <c r="A29" s="159"/>
      <c r="B29" s="155"/>
      <c r="C29" s="155"/>
      <c r="D29" s="155"/>
      <c r="E29" s="155"/>
      <c r="F29" s="155"/>
      <c r="G29" s="155"/>
      <c r="H29" s="155"/>
      <c r="I29" s="155" t="str">
        <f t="shared" si="0"/>
        <v/>
      </c>
      <c r="J29" s="174" t="str">
        <f t="shared" si="1"/>
        <v/>
      </c>
      <c r="K29" s="155"/>
      <c r="L29" s="155"/>
      <c r="M29" s="155"/>
      <c r="N29" s="160"/>
    </row>
    <row r="30" spans="1:14">
      <c r="A30" s="159"/>
      <c r="B30" s="155"/>
      <c r="C30" s="155"/>
      <c r="D30" s="155"/>
      <c r="E30" s="155"/>
      <c r="F30" s="155"/>
      <c r="G30" s="155"/>
      <c r="H30" s="155"/>
      <c r="I30" s="155" t="str">
        <f t="shared" si="0"/>
        <v/>
      </c>
      <c r="J30" s="174" t="str">
        <f t="shared" si="1"/>
        <v/>
      </c>
      <c r="K30" s="155"/>
      <c r="L30" s="155"/>
      <c r="M30" s="155"/>
      <c r="N30" s="160"/>
    </row>
    <row r="31" spans="1:14">
      <c r="A31" s="159"/>
      <c r="B31" s="155"/>
      <c r="C31" s="155"/>
      <c r="D31" s="155"/>
      <c r="E31" s="155"/>
      <c r="F31" s="155"/>
      <c r="G31" s="155"/>
      <c r="H31" s="155"/>
      <c r="I31" s="155" t="str">
        <f t="shared" si="0"/>
        <v/>
      </c>
      <c r="J31" s="174" t="str">
        <f t="shared" si="1"/>
        <v/>
      </c>
      <c r="K31" s="155"/>
      <c r="L31" s="155"/>
      <c r="M31" s="155"/>
      <c r="N31" s="160"/>
    </row>
    <row r="32" spans="1:14">
      <c r="A32" s="159"/>
      <c r="B32" s="155"/>
      <c r="C32" s="155"/>
      <c r="D32" s="155"/>
      <c r="E32" s="155"/>
      <c r="F32" s="155"/>
      <c r="G32" s="155"/>
      <c r="H32" s="155"/>
      <c r="I32" s="155" t="str">
        <f t="shared" si="0"/>
        <v/>
      </c>
      <c r="J32" s="174" t="str">
        <f t="shared" si="1"/>
        <v/>
      </c>
      <c r="K32" s="155"/>
      <c r="L32" s="155"/>
      <c r="M32" s="155"/>
      <c r="N32" s="160"/>
    </row>
    <row r="33" spans="1:14">
      <c r="A33" s="159"/>
      <c r="B33" s="155"/>
      <c r="C33" s="155"/>
      <c r="D33" s="155"/>
      <c r="E33" s="155"/>
      <c r="F33" s="155"/>
      <c r="G33" s="155"/>
      <c r="H33" s="155"/>
      <c r="I33" s="155" t="str">
        <f t="shared" si="0"/>
        <v/>
      </c>
      <c r="J33" s="174" t="str">
        <f t="shared" si="1"/>
        <v/>
      </c>
      <c r="K33" s="155"/>
      <c r="L33" s="155"/>
      <c r="M33" s="155"/>
      <c r="N33" s="160"/>
    </row>
    <row r="34" spans="1:14">
      <c r="A34" s="159"/>
      <c r="B34" s="155"/>
      <c r="C34" s="155"/>
      <c r="D34" s="155"/>
      <c r="E34" s="155"/>
      <c r="F34" s="155"/>
      <c r="G34" s="155"/>
      <c r="H34" s="155"/>
      <c r="I34" s="155" t="str">
        <f t="shared" si="0"/>
        <v/>
      </c>
      <c r="J34" s="174" t="str">
        <f t="shared" si="1"/>
        <v/>
      </c>
      <c r="K34" s="155"/>
      <c r="L34" s="155"/>
      <c r="M34" s="155"/>
      <c r="N34" s="160"/>
    </row>
    <row r="35" spans="1:14">
      <c r="A35" s="159"/>
      <c r="B35" s="155"/>
      <c r="C35" s="155"/>
      <c r="D35" s="155"/>
      <c r="E35" s="155"/>
      <c r="F35" s="155"/>
      <c r="G35" s="155"/>
      <c r="H35" s="155"/>
      <c r="I35" s="155" t="str">
        <f t="shared" si="0"/>
        <v/>
      </c>
      <c r="J35" s="174" t="str">
        <f t="shared" si="1"/>
        <v/>
      </c>
      <c r="K35" s="155"/>
      <c r="L35" s="155"/>
      <c r="M35" s="155"/>
      <c r="N35" s="160"/>
    </row>
    <row r="36" spans="1:14">
      <c r="A36" s="159"/>
      <c r="B36" s="155"/>
      <c r="C36" s="155"/>
      <c r="D36" s="155"/>
      <c r="E36" s="155"/>
      <c r="F36" s="155"/>
      <c r="G36" s="155"/>
      <c r="H36" s="155"/>
      <c r="I36" s="155" t="str">
        <f t="shared" si="0"/>
        <v/>
      </c>
      <c r="J36" s="174" t="str">
        <f t="shared" si="1"/>
        <v/>
      </c>
      <c r="K36" s="155"/>
      <c r="L36" s="155"/>
      <c r="M36" s="155"/>
      <c r="N36" s="160"/>
    </row>
    <row r="37" spans="1:14">
      <c r="A37" s="159"/>
      <c r="B37" s="155"/>
      <c r="C37" s="155"/>
      <c r="D37" s="155"/>
      <c r="E37" s="155"/>
      <c r="F37" s="155"/>
      <c r="G37" s="155"/>
      <c r="H37" s="155"/>
      <c r="I37" s="155" t="str">
        <f t="shared" si="0"/>
        <v/>
      </c>
      <c r="J37" s="174" t="str">
        <f t="shared" si="1"/>
        <v/>
      </c>
      <c r="K37" s="155"/>
      <c r="L37" s="155"/>
      <c r="M37" s="155"/>
      <c r="N37" s="160"/>
    </row>
    <row r="38" spans="1:14">
      <c r="A38" s="159"/>
      <c r="B38" s="155"/>
      <c r="C38" s="155"/>
      <c r="D38" s="155"/>
      <c r="E38" s="155"/>
      <c r="F38" s="155"/>
      <c r="G38" s="155"/>
      <c r="H38" s="155"/>
      <c r="I38" s="155" t="str">
        <f t="shared" si="0"/>
        <v/>
      </c>
      <c r="J38" s="174" t="str">
        <f t="shared" si="1"/>
        <v/>
      </c>
      <c r="K38" s="155"/>
      <c r="L38" s="155"/>
      <c r="M38" s="155"/>
      <c r="N38" s="160"/>
    </row>
    <row r="39" spans="1:14">
      <c r="A39" s="159"/>
      <c r="B39" s="155"/>
      <c r="C39" s="155"/>
      <c r="D39" s="155"/>
      <c r="E39" s="155"/>
      <c r="F39" s="155"/>
      <c r="G39" s="155"/>
      <c r="H39" s="155"/>
      <c r="I39" s="155" t="str">
        <f t="shared" ref="I39:I70" si="2">IF(OR(F39="",G39=""),"",IF(AND(ISNUMBER(F39),ISNUMBER(G39)),G39-F39,""))</f>
        <v/>
      </c>
      <c r="J39" s="174" t="str">
        <f t="shared" ref="J39:J70" si="3">IFERROR(I39/ABS(F39),"")</f>
        <v/>
      </c>
      <c r="K39" s="155"/>
      <c r="L39" s="155"/>
      <c r="M39" s="155"/>
      <c r="N39" s="160"/>
    </row>
    <row r="40" spans="1:14">
      <c r="A40" s="159"/>
      <c r="B40" s="155"/>
      <c r="C40" s="155"/>
      <c r="D40" s="155"/>
      <c r="E40" s="155"/>
      <c r="F40" s="155"/>
      <c r="G40" s="155"/>
      <c r="H40" s="155"/>
      <c r="I40" s="155" t="str">
        <f t="shared" si="2"/>
        <v/>
      </c>
      <c r="J40" s="174" t="str">
        <f t="shared" si="3"/>
        <v/>
      </c>
      <c r="K40" s="155"/>
      <c r="L40" s="155"/>
      <c r="M40" s="155"/>
      <c r="N40" s="160"/>
    </row>
    <row r="41" spans="1:14">
      <c r="A41" s="159"/>
      <c r="B41" s="155"/>
      <c r="C41" s="155"/>
      <c r="D41" s="155"/>
      <c r="E41" s="155"/>
      <c r="F41" s="155"/>
      <c r="G41" s="155"/>
      <c r="H41" s="155"/>
      <c r="I41" s="155" t="str">
        <f t="shared" si="2"/>
        <v/>
      </c>
      <c r="J41" s="174" t="str">
        <f t="shared" si="3"/>
        <v/>
      </c>
      <c r="K41" s="155"/>
      <c r="L41" s="155"/>
      <c r="M41" s="155"/>
      <c r="N41" s="160"/>
    </row>
    <row r="42" spans="1:14">
      <c r="A42" s="159"/>
      <c r="B42" s="155"/>
      <c r="C42" s="155"/>
      <c r="D42" s="155"/>
      <c r="E42" s="155"/>
      <c r="F42" s="155"/>
      <c r="G42" s="155"/>
      <c r="H42" s="155"/>
      <c r="I42" s="155" t="str">
        <f t="shared" si="2"/>
        <v/>
      </c>
      <c r="J42" s="174" t="str">
        <f t="shared" si="3"/>
        <v/>
      </c>
      <c r="K42" s="155"/>
      <c r="L42" s="155"/>
      <c r="M42" s="155"/>
      <c r="N42" s="160"/>
    </row>
    <row r="43" spans="1:14">
      <c r="A43" s="159"/>
      <c r="B43" s="155"/>
      <c r="C43" s="155"/>
      <c r="D43" s="155"/>
      <c r="E43" s="155"/>
      <c r="F43" s="155"/>
      <c r="G43" s="155"/>
      <c r="H43" s="155"/>
      <c r="I43" s="155" t="str">
        <f t="shared" si="2"/>
        <v/>
      </c>
      <c r="J43" s="174" t="str">
        <f t="shared" si="3"/>
        <v/>
      </c>
      <c r="K43" s="155"/>
      <c r="L43" s="155"/>
      <c r="M43" s="155"/>
      <c r="N43" s="160"/>
    </row>
    <row r="44" spans="1:14">
      <c r="A44" s="159"/>
      <c r="B44" s="155"/>
      <c r="C44" s="155"/>
      <c r="D44" s="155"/>
      <c r="E44" s="155"/>
      <c r="F44" s="155"/>
      <c r="G44" s="155"/>
      <c r="H44" s="155"/>
      <c r="I44" s="155" t="str">
        <f t="shared" si="2"/>
        <v/>
      </c>
      <c r="J44" s="174" t="str">
        <f t="shared" si="3"/>
        <v/>
      </c>
      <c r="K44" s="155"/>
      <c r="L44" s="155"/>
      <c r="M44" s="155"/>
      <c r="N44" s="160"/>
    </row>
    <row r="45" spans="1:14">
      <c r="A45" s="159"/>
      <c r="B45" s="155"/>
      <c r="C45" s="155"/>
      <c r="D45" s="155"/>
      <c r="E45" s="155"/>
      <c r="F45" s="155"/>
      <c r="G45" s="155"/>
      <c r="H45" s="155"/>
      <c r="I45" s="155" t="str">
        <f t="shared" si="2"/>
        <v/>
      </c>
      <c r="J45" s="174" t="str">
        <f t="shared" si="3"/>
        <v/>
      </c>
      <c r="K45" s="155"/>
      <c r="L45" s="155"/>
      <c r="M45" s="155"/>
      <c r="N45" s="160"/>
    </row>
    <row r="46" spans="1:14">
      <c r="A46" s="159"/>
      <c r="B46" s="155"/>
      <c r="C46" s="155"/>
      <c r="D46" s="155"/>
      <c r="E46" s="155"/>
      <c r="F46" s="155"/>
      <c r="G46" s="155"/>
      <c r="H46" s="155"/>
      <c r="I46" s="155" t="str">
        <f t="shared" si="2"/>
        <v/>
      </c>
      <c r="J46" s="174" t="str">
        <f t="shared" si="3"/>
        <v/>
      </c>
      <c r="K46" s="155"/>
      <c r="L46" s="155"/>
      <c r="M46" s="155"/>
      <c r="N46" s="160"/>
    </row>
    <row r="47" spans="1:14">
      <c r="A47" s="159"/>
      <c r="B47" s="155"/>
      <c r="C47" s="155"/>
      <c r="D47" s="155"/>
      <c r="E47" s="155"/>
      <c r="F47" s="155"/>
      <c r="G47" s="155"/>
      <c r="H47" s="155"/>
      <c r="I47" s="155" t="str">
        <f t="shared" si="2"/>
        <v/>
      </c>
      <c r="J47" s="174" t="str">
        <f t="shared" si="3"/>
        <v/>
      </c>
      <c r="K47" s="155"/>
      <c r="L47" s="155"/>
      <c r="M47" s="155"/>
      <c r="N47" s="160"/>
    </row>
    <row r="48" spans="1:14">
      <c r="A48" s="159"/>
      <c r="B48" s="155"/>
      <c r="C48" s="155"/>
      <c r="D48" s="155"/>
      <c r="E48" s="155"/>
      <c r="F48" s="155"/>
      <c r="G48" s="155"/>
      <c r="H48" s="155"/>
      <c r="I48" s="155" t="str">
        <f t="shared" si="2"/>
        <v/>
      </c>
      <c r="J48" s="174" t="str">
        <f t="shared" si="3"/>
        <v/>
      </c>
      <c r="K48" s="155"/>
      <c r="L48" s="155"/>
      <c r="M48" s="155"/>
      <c r="N48" s="160"/>
    </row>
    <row r="49" spans="1:14">
      <c r="A49" s="159"/>
      <c r="B49" s="155"/>
      <c r="C49" s="155"/>
      <c r="D49" s="155"/>
      <c r="E49" s="155"/>
      <c r="F49" s="155"/>
      <c r="G49" s="155"/>
      <c r="H49" s="155"/>
      <c r="I49" s="155" t="str">
        <f t="shared" si="2"/>
        <v/>
      </c>
      <c r="J49" s="174" t="str">
        <f t="shared" si="3"/>
        <v/>
      </c>
      <c r="K49" s="155"/>
      <c r="L49" s="155"/>
      <c r="M49" s="155"/>
      <c r="N49" s="160"/>
    </row>
    <row r="50" spans="1:14">
      <c r="A50" s="159"/>
      <c r="B50" s="155"/>
      <c r="C50" s="155"/>
      <c r="D50" s="155"/>
      <c r="E50" s="155"/>
      <c r="F50" s="155"/>
      <c r="G50" s="155"/>
      <c r="H50" s="155"/>
      <c r="I50" s="155" t="str">
        <f t="shared" si="2"/>
        <v/>
      </c>
      <c r="J50" s="174" t="str">
        <f t="shared" si="3"/>
        <v/>
      </c>
      <c r="K50" s="155"/>
      <c r="L50" s="155"/>
      <c r="M50" s="155"/>
      <c r="N50" s="160"/>
    </row>
    <row r="51" spans="1:14">
      <c r="A51" s="159"/>
      <c r="B51" s="155"/>
      <c r="C51" s="155"/>
      <c r="D51" s="155"/>
      <c r="E51" s="155"/>
      <c r="F51" s="155"/>
      <c r="G51" s="155"/>
      <c r="H51" s="155"/>
      <c r="I51" s="155" t="str">
        <f t="shared" si="2"/>
        <v/>
      </c>
      <c r="J51" s="174" t="str">
        <f t="shared" si="3"/>
        <v/>
      </c>
      <c r="K51" s="155"/>
      <c r="L51" s="155"/>
      <c r="M51" s="155"/>
      <c r="N51" s="160"/>
    </row>
    <row r="52" spans="1:14">
      <c r="A52" s="159"/>
      <c r="B52" s="155"/>
      <c r="C52" s="155"/>
      <c r="D52" s="155"/>
      <c r="E52" s="155"/>
      <c r="F52" s="155"/>
      <c r="G52" s="155"/>
      <c r="H52" s="155"/>
      <c r="I52" s="155" t="str">
        <f t="shared" si="2"/>
        <v/>
      </c>
      <c r="J52" s="174" t="str">
        <f t="shared" si="3"/>
        <v/>
      </c>
      <c r="K52" s="155"/>
      <c r="L52" s="155"/>
      <c r="M52" s="155"/>
      <c r="N52" s="160"/>
    </row>
    <row r="53" spans="1:14">
      <c r="A53" s="159"/>
      <c r="B53" s="155"/>
      <c r="C53" s="155"/>
      <c r="D53" s="155"/>
      <c r="E53" s="155"/>
      <c r="F53" s="155"/>
      <c r="G53" s="155"/>
      <c r="H53" s="155"/>
      <c r="I53" s="155" t="str">
        <f t="shared" si="2"/>
        <v/>
      </c>
      <c r="J53" s="174" t="str">
        <f t="shared" si="3"/>
        <v/>
      </c>
      <c r="K53" s="155"/>
      <c r="L53" s="155"/>
      <c r="M53" s="155"/>
      <c r="N53" s="160"/>
    </row>
    <row r="54" spans="1:14">
      <c r="A54" s="159"/>
      <c r="B54" s="155"/>
      <c r="C54" s="155"/>
      <c r="D54" s="155"/>
      <c r="E54" s="155"/>
      <c r="F54" s="155"/>
      <c r="G54" s="155"/>
      <c r="H54" s="155"/>
      <c r="I54" s="155" t="str">
        <f t="shared" si="2"/>
        <v/>
      </c>
      <c r="J54" s="174" t="str">
        <f t="shared" si="3"/>
        <v/>
      </c>
      <c r="K54" s="155"/>
      <c r="L54" s="155"/>
      <c r="M54" s="155"/>
      <c r="N54" s="160"/>
    </row>
    <row r="55" spans="1:14">
      <c r="A55" s="159"/>
      <c r="B55" s="155"/>
      <c r="C55" s="155"/>
      <c r="D55" s="155"/>
      <c r="E55" s="155"/>
      <c r="F55" s="155"/>
      <c r="G55" s="155"/>
      <c r="H55" s="155"/>
      <c r="I55" s="155" t="str">
        <f t="shared" si="2"/>
        <v/>
      </c>
      <c r="J55" s="174" t="str">
        <f t="shared" si="3"/>
        <v/>
      </c>
      <c r="K55" s="155"/>
      <c r="L55" s="155"/>
      <c r="M55" s="155"/>
      <c r="N55" s="160"/>
    </row>
    <row r="56" spans="1:14">
      <c r="A56" s="159"/>
      <c r="B56" s="155"/>
      <c r="C56" s="155"/>
      <c r="D56" s="155"/>
      <c r="E56" s="155"/>
      <c r="F56" s="155"/>
      <c r="G56" s="155"/>
      <c r="H56" s="155"/>
      <c r="I56" s="155" t="str">
        <f t="shared" si="2"/>
        <v/>
      </c>
      <c r="J56" s="174" t="str">
        <f t="shared" si="3"/>
        <v/>
      </c>
      <c r="K56" s="155"/>
      <c r="L56" s="155"/>
      <c r="M56" s="155"/>
      <c r="N56" s="160"/>
    </row>
    <row r="57" spans="1:14">
      <c r="A57" s="159"/>
      <c r="B57" s="155"/>
      <c r="C57" s="155"/>
      <c r="D57" s="155"/>
      <c r="E57" s="155"/>
      <c r="F57" s="155"/>
      <c r="G57" s="155"/>
      <c r="H57" s="155"/>
      <c r="I57" s="155" t="str">
        <f t="shared" si="2"/>
        <v/>
      </c>
      <c r="J57" s="174" t="str">
        <f t="shared" si="3"/>
        <v/>
      </c>
      <c r="K57" s="155"/>
      <c r="L57" s="155"/>
      <c r="M57" s="155"/>
      <c r="N57" s="160"/>
    </row>
    <row r="58" spans="1:14">
      <c r="A58" s="159"/>
      <c r="B58" s="155"/>
      <c r="C58" s="155"/>
      <c r="D58" s="155"/>
      <c r="E58" s="155"/>
      <c r="F58" s="155"/>
      <c r="G58" s="155"/>
      <c r="H58" s="155"/>
      <c r="I58" s="155" t="str">
        <f t="shared" si="2"/>
        <v/>
      </c>
      <c r="J58" s="174" t="str">
        <f t="shared" si="3"/>
        <v/>
      </c>
      <c r="K58" s="155"/>
      <c r="L58" s="155"/>
      <c r="M58" s="155"/>
      <c r="N58" s="160"/>
    </row>
    <row r="59" spans="1:14">
      <c r="A59" s="159"/>
      <c r="B59" s="155"/>
      <c r="C59" s="155"/>
      <c r="D59" s="155"/>
      <c r="E59" s="155"/>
      <c r="F59" s="155"/>
      <c r="G59" s="155"/>
      <c r="H59" s="155"/>
      <c r="I59" s="155" t="str">
        <f t="shared" si="2"/>
        <v/>
      </c>
      <c r="J59" s="174" t="str">
        <f t="shared" si="3"/>
        <v/>
      </c>
      <c r="K59" s="155"/>
      <c r="L59" s="155"/>
      <c r="M59" s="155"/>
      <c r="N59" s="160"/>
    </row>
    <row r="60" spans="1:14">
      <c r="A60" s="159"/>
      <c r="B60" s="155"/>
      <c r="C60" s="155"/>
      <c r="D60" s="155"/>
      <c r="E60" s="155"/>
      <c r="F60" s="155"/>
      <c r="G60" s="155"/>
      <c r="H60" s="155"/>
      <c r="I60" s="155" t="str">
        <f t="shared" si="2"/>
        <v/>
      </c>
      <c r="J60" s="174" t="str">
        <f t="shared" si="3"/>
        <v/>
      </c>
      <c r="K60" s="155"/>
      <c r="L60" s="155"/>
      <c r="M60" s="155"/>
      <c r="N60" s="160"/>
    </row>
    <row r="61" spans="1:14">
      <c r="A61" s="159"/>
      <c r="B61" s="155"/>
      <c r="C61" s="155"/>
      <c r="D61" s="155"/>
      <c r="E61" s="155"/>
      <c r="F61" s="155"/>
      <c r="G61" s="155"/>
      <c r="H61" s="155"/>
      <c r="I61" s="155" t="str">
        <f t="shared" si="2"/>
        <v/>
      </c>
      <c r="J61" s="174" t="str">
        <f t="shared" si="3"/>
        <v/>
      </c>
      <c r="K61" s="155"/>
      <c r="L61" s="155"/>
      <c r="M61" s="155"/>
      <c r="N61" s="160"/>
    </row>
    <row r="62" spans="1:14">
      <c r="A62" s="159"/>
      <c r="B62" s="155"/>
      <c r="C62" s="155"/>
      <c r="D62" s="155"/>
      <c r="E62" s="155"/>
      <c r="F62" s="155"/>
      <c r="G62" s="155"/>
      <c r="H62" s="155"/>
      <c r="I62" s="155" t="str">
        <f t="shared" si="2"/>
        <v/>
      </c>
      <c r="J62" s="174" t="str">
        <f t="shared" si="3"/>
        <v/>
      </c>
      <c r="K62" s="155"/>
      <c r="L62" s="155"/>
      <c r="M62" s="155"/>
      <c r="N62" s="160"/>
    </row>
    <row r="63" spans="1:14">
      <c r="A63" s="159"/>
      <c r="B63" s="155"/>
      <c r="C63" s="155"/>
      <c r="D63" s="155"/>
      <c r="E63" s="155"/>
      <c r="F63" s="155"/>
      <c r="G63" s="155"/>
      <c r="H63" s="155"/>
      <c r="I63" s="155" t="str">
        <f t="shared" si="2"/>
        <v/>
      </c>
      <c r="J63" s="174" t="str">
        <f t="shared" si="3"/>
        <v/>
      </c>
      <c r="K63" s="155"/>
      <c r="L63" s="155"/>
      <c r="M63" s="155"/>
      <c r="N63" s="160"/>
    </row>
    <row r="64" spans="1:14">
      <c r="A64" s="159"/>
      <c r="B64" s="155"/>
      <c r="C64" s="155"/>
      <c r="D64" s="155"/>
      <c r="E64" s="155"/>
      <c r="F64" s="155"/>
      <c r="G64" s="155"/>
      <c r="H64" s="155"/>
      <c r="I64" s="155" t="str">
        <f t="shared" si="2"/>
        <v/>
      </c>
      <c r="J64" s="174" t="str">
        <f t="shared" si="3"/>
        <v/>
      </c>
      <c r="K64" s="155"/>
      <c r="L64" s="155"/>
      <c r="M64" s="155"/>
      <c r="N64" s="160"/>
    </row>
    <row r="65" spans="1:14">
      <c r="A65" s="159"/>
      <c r="B65" s="155"/>
      <c r="C65" s="155"/>
      <c r="D65" s="155"/>
      <c r="E65" s="155"/>
      <c r="F65" s="155"/>
      <c r="G65" s="155"/>
      <c r="H65" s="155"/>
      <c r="I65" s="155" t="str">
        <f t="shared" si="2"/>
        <v/>
      </c>
      <c r="J65" s="174" t="str">
        <f t="shared" si="3"/>
        <v/>
      </c>
      <c r="K65" s="155"/>
      <c r="L65" s="155"/>
      <c r="M65" s="155"/>
      <c r="N65" s="160"/>
    </row>
    <row r="66" spans="1:14">
      <c r="A66" s="159"/>
      <c r="B66" s="155"/>
      <c r="C66" s="155"/>
      <c r="D66" s="155"/>
      <c r="E66" s="155"/>
      <c r="F66" s="155"/>
      <c r="G66" s="155"/>
      <c r="H66" s="155"/>
      <c r="I66" s="155" t="str">
        <f t="shared" si="2"/>
        <v/>
      </c>
      <c r="J66" s="174" t="str">
        <f t="shared" si="3"/>
        <v/>
      </c>
      <c r="K66" s="155"/>
      <c r="L66" s="155"/>
      <c r="M66" s="155"/>
      <c r="N66" s="160"/>
    </row>
    <row r="67" spans="1:14">
      <c r="A67" s="159"/>
      <c r="B67" s="155"/>
      <c r="C67" s="155"/>
      <c r="D67" s="155"/>
      <c r="E67" s="155"/>
      <c r="F67" s="155"/>
      <c r="G67" s="155"/>
      <c r="H67" s="155"/>
      <c r="I67" s="155" t="str">
        <f t="shared" si="2"/>
        <v/>
      </c>
      <c r="J67" s="174" t="str">
        <f t="shared" si="3"/>
        <v/>
      </c>
      <c r="K67" s="155"/>
      <c r="L67" s="155"/>
      <c r="M67" s="155"/>
      <c r="N67" s="160"/>
    </row>
    <row r="68" spans="1:14">
      <c r="A68" s="159"/>
      <c r="B68" s="155"/>
      <c r="C68" s="155"/>
      <c r="D68" s="155"/>
      <c r="E68" s="155"/>
      <c r="F68" s="155"/>
      <c r="G68" s="155"/>
      <c r="H68" s="155"/>
      <c r="I68" s="155" t="str">
        <f t="shared" si="2"/>
        <v/>
      </c>
      <c r="J68" s="174" t="str">
        <f t="shared" si="3"/>
        <v/>
      </c>
      <c r="K68" s="155"/>
      <c r="L68" s="155"/>
      <c r="M68" s="155"/>
      <c r="N68" s="160"/>
    </row>
    <row r="69" spans="1:14">
      <c r="A69" s="159"/>
      <c r="B69" s="155"/>
      <c r="C69" s="155"/>
      <c r="D69" s="155"/>
      <c r="E69" s="155"/>
      <c r="F69" s="155"/>
      <c r="G69" s="155"/>
      <c r="H69" s="155"/>
      <c r="I69" s="155" t="str">
        <f t="shared" si="2"/>
        <v/>
      </c>
      <c r="J69" s="174" t="str">
        <f t="shared" si="3"/>
        <v/>
      </c>
      <c r="K69" s="155"/>
      <c r="L69" s="155"/>
      <c r="M69" s="155"/>
      <c r="N69" s="160"/>
    </row>
    <row r="70" spans="1:14">
      <c r="A70" s="159"/>
      <c r="B70" s="155"/>
      <c r="C70" s="155"/>
      <c r="D70" s="155"/>
      <c r="E70" s="155"/>
      <c r="F70" s="155"/>
      <c r="G70" s="155"/>
      <c r="H70" s="155"/>
      <c r="I70" s="155" t="str">
        <f t="shared" si="2"/>
        <v/>
      </c>
      <c r="J70" s="174" t="str">
        <f t="shared" si="3"/>
        <v/>
      </c>
      <c r="K70" s="155"/>
      <c r="L70" s="155"/>
      <c r="M70" s="155"/>
      <c r="N70" s="160"/>
    </row>
    <row r="71" spans="1:14">
      <c r="A71" s="159"/>
      <c r="B71" s="155"/>
      <c r="C71" s="155"/>
      <c r="D71" s="155"/>
      <c r="E71" s="155"/>
      <c r="F71" s="155"/>
      <c r="G71" s="155"/>
      <c r="H71" s="155"/>
      <c r="I71" s="155" t="str">
        <f t="shared" ref="I71:I102" si="4">IF(OR(F71="",G71=""),"",IF(AND(ISNUMBER(F71),ISNUMBER(G71)),G71-F71,""))</f>
        <v/>
      </c>
      <c r="J71" s="174" t="str">
        <f t="shared" ref="J71:J102" si="5">IFERROR(I71/ABS(F71),"")</f>
        <v/>
      </c>
      <c r="K71" s="155"/>
      <c r="L71" s="155"/>
      <c r="M71" s="155"/>
      <c r="N71" s="160"/>
    </row>
    <row r="72" spans="1:14">
      <c r="A72" s="159"/>
      <c r="B72" s="155"/>
      <c r="C72" s="155"/>
      <c r="D72" s="155"/>
      <c r="E72" s="155"/>
      <c r="F72" s="155"/>
      <c r="G72" s="155"/>
      <c r="H72" s="155"/>
      <c r="I72" s="155" t="str">
        <f t="shared" si="4"/>
        <v/>
      </c>
      <c r="J72" s="174" t="str">
        <f t="shared" si="5"/>
        <v/>
      </c>
      <c r="K72" s="155"/>
      <c r="L72" s="155"/>
      <c r="M72" s="155"/>
      <c r="N72" s="160"/>
    </row>
    <row r="73" spans="1:14">
      <c r="A73" s="159"/>
      <c r="B73" s="155"/>
      <c r="C73" s="155"/>
      <c r="D73" s="155"/>
      <c r="E73" s="155"/>
      <c r="F73" s="155"/>
      <c r="G73" s="155"/>
      <c r="H73" s="155"/>
      <c r="I73" s="155" t="str">
        <f t="shared" si="4"/>
        <v/>
      </c>
      <c r="J73" s="174" t="str">
        <f t="shared" si="5"/>
        <v/>
      </c>
      <c r="K73" s="155"/>
      <c r="L73" s="155"/>
      <c r="M73" s="155"/>
      <c r="N73" s="160"/>
    </row>
    <row r="74" spans="1:14">
      <c r="A74" s="159"/>
      <c r="B74" s="155"/>
      <c r="C74" s="155"/>
      <c r="D74" s="155"/>
      <c r="E74" s="155"/>
      <c r="F74" s="155"/>
      <c r="G74" s="155"/>
      <c r="H74" s="155"/>
      <c r="I74" s="155" t="str">
        <f t="shared" si="4"/>
        <v/>
      </c>
      <c r="J74" s="174" t="str">
        <f t="shared" si="5"/>
        <v/>
      </c>
      <c r="K74" s="155"/>
      <c r="L74" s="155"/>
      <c r="M74" s="155"/>
      <c r="N74" s="160"/>
    </row>
    <row r="75" spans="1:14">
      <c r="A75" s="159"/>
      <c r="B75" s="155"/>
      <c r="C75" s="155"/>
      <c r="D75" s="155"/>
      <c r="E75" s="155"/>
      <c r="F75" s="155"/>
      <c r="G75" s="155"/>
      <c r="H75" s="155"/>
      <c r="I75" s="155" t="str">
        <f t="shared" si="4"/>
        <v/>
      </c>
      <c r="J75" s="174" t="str">
        <f t="shared" si="5"/>
        <v/>
      </c>
      <c r="K75" s="155"/>
      <c r="L75" s="155"/>
      <c r="M75" s="155"/>
      <c r="N75" s="160"/>
    </row>
    <row r="76" spans="1:14">
      <c r="A76" s="159"/>
      <c r="B76" s="155"/>
      <c r="C76" s="155"/>
      <c r="D76" s="155"/>
      <c r="E76" s="155"/>
      <c r="F76" s="155"/>
      <c r="G76" s="155"/>
      <c r="H76" s="155"/>
      <c r="I76" s="155" t="str">
        <f t="shared" si="4"/>
        <v/>
      </c>
      <c r="J76" s="174" t="str">
        <f t="shared" si="5"/>
        <v/>
      </c>
      <c r="K76" s="155"/>
      <c r="L76" s="155"/>
      <c r="M76" s="155"/>
      <c r="N76" s="160"/>
    </row>
    <row r="77" spans="1:14">
      <c r="A77" s="159"/>
      <c r="B77" s="155"/>
      <c r="C77" s="155"/>
      <c r="D77" s="155"/>
      <c r="E77" s="155"/>
      <c r="F77" s="155"/>
      <c r="G77" s="155"/>
      <c r="H77" s="155"/>
      <c r="I77" s="155" t="str">
        <f t="shared" si="4"/>
        <v/>
      </c>
      <c r="J77" s="174" t="str">
        <f t="shared" si="5"/>
        <v/>
      </c>
      <c r="K77" s="155"/>
      <c r="L77" s="155"/>
      <c r="M77" s="155"/>
      <c r="N77" s="160"/>
    </row>
    <row r="78" spans="1:14">
      <c r="A78" s="159"/>
      <c r="B78" s="155"/>
      <c r="C78" s="155"/>
      <c r="D78" s="155"/>
      <c r="E78" s="155"/>
      <c r="F78" s="155"/>
      <c r="G78" s="155"/>
      <c r="H78" s="155"/>
      <c r="I78" s="155" t="str">
        <f t="shared" si="4"/>
        <v/>
      </c>
      <c r="J78" s="174" t="str">
        <f t="shared" si="5"/>
        <v/>
      </c>
      <c r="K78" s="155"/>
      <c r="L78" s="155"/>
      <c r="M78" s="155"/>
      <c r="N78" s="160"/>
    </row>
    <row r="79" spans="1:14">
      <c r="A79" s="159"/>
      <c r="B79" s="155"/>
      <c r="C79" s="155"/>
      <c r="D79" s="155"/>
      <c r="E79" s="155"/>
      <c r="F79" s="155"/>
      <c r="G79" s="155"/>
      <c r="H79" s="155"/>
      <c r="I79" s="155" t="str">
        <f t="shared" si="4"/>
        <v/>
      </c>
      <c r="J79" s="174" t="str">
        <f t="shared" si="5"/>
        <v/>
      </c>
      <c r="K79" s="155"/>
      <c r="L79" s="155"/>
      <c r="M79" s="155"/>
      <c r="N79" s="160"/>
    </row>
    <row r="80" spans="1:14">
      <c r="A80" s="159"/>
      <c r="B80" s="155"/>
      <c r="C80" s="155"/>
      <c r="D80" s="155"/>
      <c r="E80" s="155"/>
      <c r="F80" s="155"/>
      <c r="G80" s="155"/>
      <c r="H80" s="155"/>
      <c r="I80" s="155" t="str">
        <f t="shared" si="4"/>
        <v/>
      </c>
      <c r="J80" s="174" t="str">
        <f t="shared" si="5"/>
        <v/>
      </c>
      <c r="K80" s="155"/>
      <c r="L80" s="155"/>
      <c r="M80" s="155"/>
      <c r="N80" s="160"/>
    </row>
    <row r="81" spans="1:14">
      <c r="A81" s="159"/>
      <c r="B81" s="155"/>
      <c r="C81" s="155"/>
      <c r="D81" s="155"/>
      <c r="E81" s="155"/>
      <c r="F81" s="155"/>
      <c r="G81" s="155"/>
      <c r="H81" s="155"/>
      <c r="I81" s="155" t="str">
        <f t="shared" si="4"/>
        <v/>
      </c>
      <c r="J81" s="174" t="str">
        <f t="shared" si="5"/>
        <v/>
      </c>
      <c r="K81" s="155"/>
      <c r="L81" s="155"/>
      <c r="M81" s="155"/>
      <c r="N81" s="160"/>
    </row>
    <row r="82" spans="1:14">
      <c r="A82" s="159"/>
      <c r="B82" s="155"/>
      <c r="C82" s="155"/>
      <c r="D82" s="155"/>
      <c r="E82" s="155"/>
      <c r="F82" s="155"/>
      <c r="G82" s="155"/>
      <c r="H82" s="155"/>
      <c r="I82" s="155" t="str">
        <f t="shared" si="4"/>
        <v/>
      </c>
      <c r="J82" s="174" t="str">
        <f t="shared" si="5"/>
        <v/>
      </c>
      <c r="K82" s="155"/>
      <c r="L82" s="155"/>
      <c r="M82" s="155"/>
      <c r="N82" s="160"/>
    </row>
    <row r="83" spans="1:14">
      <c r="A83" s="159"/>
      <c r="B83" s="155"/>
      <c r="C83" s="155"/>
      <c r="D83" s="155"/>
      <c r="E83" s="155"/>
      <c r="F83" s="155"/>
      <c r="G83" s="155"/>
      <c r="H83" s="155"/>
      <c r="I83" s="155" t="str">
        <f t="shared" si="4"/>
        <v/>
      </c>
      <c r="J83" s="174" t="str">
        <f t="shared" si="5"/>
        <v/>
      </c>
      <c r="K83" s="155"/>
      <c r="L83" s="155"/>
      <c r="M83" s="155"/>
      <c r="N83" s="160"/>
    </row>
    <row r="84" spans="1:14">
      <c r="A84" s="159"/>
      <c r="B84" s="155"/>
      <c r="C84" s="155"/>
      <c r="D84" s="155"/>
      <c r="E84" s="155"/>
      <c r="F84" s="155"/>
      <c r="G84" s="155"/>
      <c r="H84" s="155"/>
      <c r="I84" s="155" t="str">
        <f t="shared" si="4"/>
        <v/>
      </c>
      <c r="J84" s="174" t="str">
        <f t="shared" si="5"/>
        <v/>
      </c>
      <c r="K84" s="155"/>
      <c r="L84" s="155"/>
      <c r="M84" s="155"/>
      <c r="N84" s="160"/>
    </row>
    <row r="85" spans="1:14">
      <c r="A85" s="159"/>
      <c r="B85" s="155"/>
      <c r="C85" s="155"/>
      <c r="D85" s="155"/>
      <c r="E85" s="155"/>
      <c r="F85" s="155"/>
      <c r="G85" s="155"/>
      <c r="H85" s="155"/>
      <c r="I85" s="155" t="str">
        <f t="shared" si="4"/>
        <v/>
      </c>
      <c r="J85" s="174" t="str">
        <f t="shared" si="5"/>
        <v/>
      </c>
      <c r="K85" s="155"/>
      <c r="L85" s="155"/>
      <c r="M85" s="155"/>
      <c r="N85" s="160"/>
    </row>
    <row r="86" spans="1:14">
      <c r="A86" s="159"/>
      <c r="B86" s="155"/>
      <c r="C86" s="155"/>
      <c r="D86" s="155"/>
      <c r="E86" s="155"/>
      <c r="F86" s="155"/>
      <c r="G86" s="155"/>
      <c r="H86" s="155"/>
      <c r="I86" s="155" t="str">
        <f t="shared" si="4"/>
        <v/>
      </c>
      <c r="J86" s="174" t="str">
        <f t="shared" si="5"/>
        <v/>
      </c>
      <c r="K86" s="155"/>
      <c r="L86" s="155"/>
      <c r="M86" s="155"/>
      <c r="N86" s="160"/>
    </row>
    <row r="87" spans="1:14">
      <c r="A87" s="159"/>
      <c r="B87" s="155"/>
      <c r="C87" s="155"/>
      <c r="D87" s="155"/>
      <c r="E87" s="155"/>
      <c r="F87" s="155"/>
      <c r="G87" s="155"/>
      <c r="H87" s="155"/>
      <c r="I87" s="155" t="str">
        <f t="shared" si="4"/>
        <v/>
      </c>
      <c r="J87" s="174" t="str">
        <f t="shared" si="5"/>
        <v/>
      </c>
      <c r="K87" s="155"/>
      <c r="L87" s="155"/>
      <c r="M87" s="155"/>
      <c r="N87" s="160"/>
    </row>
    <row r="88" spans="1:14">
      <c r="A88" s="159"/>
      <c r="B88" s="155"/>
      <c r="C88" s="155"/>
      <c r="D88" s="155"/>
      <c r="E88" s="155"/>
      <c r="F88" s="155"/>
      <c r="G88" s="155"/>
      <c r="H88" s="155"/>
      <c r="I88" s="155" t="str">
        <f t="shared" si="4"/>
        <v/>
      </c>
      <c r="J88" s="174" t="str">
        <f t="shared" si="5"/>
        <v/>
      </c>
      <c r="K88" s="155"/>
      <c r="L88" s="155"/>
      <c r="M88" s="155"/>
      <c r="N88" s="160"/>
    </row>
    <row r="89" spans="1:14">
      <c r="A89" s="159"/>
      <c r="B89" s="155"/>
      <c r="C89" s="155"/>
      <c r="D89" s="155"/>
      <c r="E89" s="155"/>
      <c r="F89" s="155"/>
      <c r="G89" s="155"/>
      <c r="H89" s="155"/>
      <c r="I89" s="155" t="str">
        <f t="shared" si="4"/>
        <v/>
      </c>
      <c r="J89" s="174" t="str">
        <f t="shared" si="5"/>
        <v/>
      </c>
      <c r="K89" s="155"/>
      <c r="L89" s="155"/>
      <c r="M89" s="155"/>
      <c r="N89" s="160"/>
    </row>
    <row r="90" spans="1:14">
      <c r="A90" s="159"/>
      <c r="B90" s="155"/>
      <c r="C90" s="155"/>
      <c r="D90" s="155"/>
      <c r="E90" s="155"/>
      <c r="F90" s="155"/>
      <c r="G90" s="155"/>
      <c r="H90" s="155"/>
      <c r="I90" s="155" t="str">
        <f t="shared" si="4"/>
        <v/>
      </c>
      <c r="J90" s="174" t="str">
        <f t="shared" si="5"/>
        <v/>
      </c>
      <c r="K90" s="155"/>
      <c r="L90" s="155"/>
      <c r="M90" s="155"/>
      <c r="N90" s="160"/>
    </row>
    <row r="91" spans="1:14">
      <c r="A91" s="159"/>
      <c r="B91" s="155"/>
      <c r="C91" s="155"/>
      <c r="D91" s="155"/>
      <c r="E91" s="155"/>
      <c r="F91" s="155"/>
      <c r="G91" s="155"/>
      <c r="H91" s="155"/>
      <c r="I91" s="155" t="str">
        <f t="shared" si="4"/>
        <v/>
      </c>
      <c r="J91" s="174" t="str">
        <f t="shared" si="5"/>
        <v/>
      </c>
      <c r="K91" s="155"/>
      <c r="L91" s="155"/>
      <c r="M91" s="155"/>
      <c r="N91" s="160"/>
    </row>
    <row r="92" spans="1:14">
      <c r="A92" s="159"/>
      <c r="B92" s="155"/>
      <c r="C92" s="155"/>
      <c r="D92" s="155"/>
      <c r="E92" s="155"/>
      <c r="F92" s="155"/>
      <c r="G92" s="155"/>
      <c r="H92" s="155"/>
      <c r="I92" s="155" t="str">
        <f t="shared" si="4"/>
        <v/>
      </c>
      <c r="J92" s="174" t="str">
        <f t="shared" si="5"/>
        <v/>
      </c>
      <c r="K92" s="155"/>
      <c r="L92" s="155"/>
      <c r="M92" s="155"/>
      <c r="N92" s="160"/>
    </row>
    <row r="93" spans="1:14">
      <c r="A93" s="159"/>
      <c r="B93" s="155"/>
      <c r="C93" s="155"/>
      <c r="D93" s="155"/>
      <c r="E93" s="155"/>
      <c r="F93" s="155"/>
      <c r="G93" s="155"/>
      <c r="H93" s="155"/>
      <c r="I93" s="155" t="str">
        <f t="shared" si="4"/>
        <v/>
      </c>
      <c r="J93" s="174" t="str">
        <f t="shared" si="5"/>
        <v/>
      </c>
      <c r="K93" s="155"/>
      <c r="L93" s="155"/>
      <c r="M93" s="155"/>
      <c r="N93" s="160"/>
    </row>
    <row r="94" spans="1:14">
      <c r="A94" s="159"/>
      <c r="B94" s="155"/>
      <c r="C94" s="155"/>
      <c r="D94" s="155"/>
      <c r="E94" s="155"/>
      <c r="F94" s="155"/>
      <c r="G94" s="155"/>
      <c r="H94" s="155"/>
      <c r="I94" s="155" t="str">
        <f t="shared" si="4"/>
        <v/>
      </c>
      <c r="J94" s="174" t="str">
        <f t="shared" si="5"/>
        <v/>
      </c>
      <c r="K94" s="155"/>
      <c r="L94" s="155"/>
      <c r="M94" s="155"/>
      <c r="N94" s="160"/>
    </row>
    <row r="95" spans="1:14">
      <c r="A95" s="159"/>
      <c r="B95" s="155"/>
      <c r="C95" s="155"/>
      <c r="D95" s="155"/>
      <c r="E95" s="155"/>
      <c r="F95" s="155"/>
      <c r="G95" s="155"/>
      <c r="H95" s="155"/>
      <c r="I95" s="155" t="str">
        <f t="shared" si="4"/>
        <v/>
      </c>
      <c r="J95" s="174" t="str">
        <f t="shared" si="5"/>
        <v/>
      </c>
      <c r="K95" s="155"/>
      <c r="L95" s="155"/>
      <c r="M95" s="155"/>
      <c r="N95" s="160"/>
    </row>
    <row r="96" spans="1:14">
      <c r="A96" s="159"/>
      <c r="B96" s="155"/>
      <c r="C96" s="155"/>
      <c r="D96" s="155"/>
      <c r="E96" s="155"/>
      <c r="F96" s="155"/>
      <c r="G96" s="155"/>
      <c r="H96" s="155"/>
      <c r="I96" s="155" t="str">
        <f t="shared" si="4"/>
        <v/>
      </c>
      <c r="J96" s="174" t="str">
        <f t="shared" si="5"/>
        <v/>
      </c>
      <c r="K96" s="155"/>
      <c r="L96" s="155"/>
      <c r="M96" s="155"/>
      <c r="N96" s="160"/>
    </row>
    <row r="97" spans="1:14">
      <c r="A97" s="159"/>
      <c r="B97" s="155"/>
      <c r="C97" s="155"/>
      <c r="D97" s="155"/>
      <c r="E97" s="155"/>
      <c r="F97" s="155"/>
      <c r="G97" s="155"/>
      <c r="H97" s="155"/>
      <c r="I97" s="155" t="str">
        <f t="shared" si="4"/>
        <v/>
      </c>
      <c r="J97" s="174" t="str">
        <f t="shared" si="5"/>
        <v/>
      </c>
      <c r="K97" s="155"/>
      <c r="L97" s="155"/>
      <c r="M97" s="155"/>
      <c r="N97" s="160"/>
    </row>
    <row r="98" spans="1:14">
      <c r="A98" s="159"/>
      <c r="B98" s="155"/>
      <c r="C98" s="155"/>
      <c r="D98" s="155"/>
      <c r="E98" s="155"/>
      <c r="F98" s="155"/>
      <c r="G98" s="155"/>
      <c r="H98" s="155"/>
      <c r="I98" s="155" t="str">
        <f t="shared" si="4"/>
        <v/>
      </c>
      <c r="J98" s="174" t="str">
        <f t="shared" si="5"/>
        <v/>
      </c>
      <c r="K98" s="155"/>
      <c r="L98" s="155"/>
      <c r="M98" s="155"/>
      <c r="N98" s="160"/>
    </row>
    <row r="99" spans="1:14">
      <c r="A99" s="159"/>
      <c r="B99" s="155"/>
      <c r="C99" s="155"/>
      <c r="D99" s="155"/>
      <c r="E99" s="155"/>
      <c r="F99" s="155"/>
      <c r="G99" s="155"/>
      <c r="H99" s="155"/>
      <c r="I99" s="155" t="str">
        <f t="shared" si="4"/>
        <v/>
      </c>
      <c r="J99" s="174" t="str">
        <f t="shared" si="5"/>
        <v/>
      </c>
      <c r="K99" s="155"/>
      <c r="L99" s="155"/>
      <c r="M99" s="155"/>
      <c r="N99" s="160"/>
    </row>
    <row r="100" spans="1:14">
      <c r="A100" s="159"/>
      <c r="B100" s="155"/>
      <c r="C100" s="155"/>
      <c r="D100" s="155"/>
      <c r="E100" s="155"/>
      <c r="F100" s="155"/>
      <c r="G100" s="155"/>
      <c r="H100" s="155"/>
      <c r="I100" s="155" t="str">
        <f t="shared" si="4"/>
        <v/>
      </c>
      <c r="J100" s="174" t="str">
        <f t="shared" si="5"/>
        <v/>
      </c>
      <c r="K100" s="155"/>
      <c r="L100" s="155"/>
      <c r="M100" s="155"/>
      <c r="N100" s="160"/>
    </row>
    <row r="101" spans="1:14">
      <c r="A101" s="159"/>
      <c r="B101" s="155"/>
      <c r="C101" s="155"/>
      <c r="D101" s="155"/>
      <c r="E101" s="155"/>
      <c r="F101" s="155"/>
      <c r="G101" s="155"/>
      <c r="H101" s="155"/>
      <c r="I101" s="155" t="str">
        <f t="shared" si="4"/>
        <v/>
      </c>
      <c r="J101" s="174" t="str">
        <f t="shared" si="5"/>
        <v/>
      </c>
      <c r="K101" s="155"/>
      <c r="L101" s="155"/>
      <c r="M101" s="155"/>
      <c r="N101" s="160"/>
    </row>
    <row r="102" spans="1:14">
      <c r="A102" s="159"/>
      <c r="B102" s="155"/>
      <c r="C102" s="155"/>
      <c r="D102" s="155"/>
      <c r="E102" s="155"/>
      <c r="F102" s="155"/>
      <c r="G102" s="155"/>
      <c r="H102" s="155"/>
      <c r="I102" s="155" t="str">
        <f t="shared" si="4"/>
        <v/>
      </c>
      <c r="J102" s="174" t="str">
        <f t="shared" si="5"/>
        <v/>
      </c>
      <c r="K102" s="155"/>
      <c r="L102" s="155"/>
      <c r="M102" s="155"/>
      <c r="N102" s="160"/>
    </row>
    <row r="103" spans="1:14">
      <c r="A103" s="159"/>
      <c r="B103" s="155"/>
      <c r="C103" s="155"/>
      <c r="D103" s="155"/>
      <c r="E103" s="155"/>
      <c r="F103" s="155"/>
      <c r="G103" s="155"/>
      <c r="H103" s="155"/>
      <c r="I103" s="155" t="str">
        <f t="shared" ref="I103:I134" si="6">IF(OR(F103="",G103=""),"",IF(AND(ISNUMBER(F103),ISNUMBER(G103)),G103-F103,""))</f>
        <v/>
      </c>
      <c r="J103" s="174" t="str">
        <f t="shared" ref="J103:J134" si="7">IFERROR(I103/ABS(F103),"")</f>
        <v/>
      </c>
      <c r="K103" s="155"/>
      <c r="L103" s="155"/>
      <c r="M103" s="155"/>
      <c r="N103" s="160"/>
    </row>
    <row r="104" spans="1:14">
      <c r="A104" s="159"/>
      <c r="B104" s="155"/>
      <c r="C104" s="155"/>
      <c r="D104" s="155"/>
      <c r="E104" s="155"/>
      <c r="F104" s="155"/>
      <c r="G104" s="155"/>
      <c r="H104" s="155"/>
      <c r="I104" s="155" t="str">
        <f t="shared" si="6"/>
        <v/>
      </c>
      <c r="J104" s="174" t="str">
        <f t="shared" si="7"/>
        <v/>
      </c>
      <c r="K104" s="155"/>
      <c r="L104" s="155"/>
      <c r="M104" s="155"/>
      <c r="N104" s="160"/>
    </row>
    <row r="105" spans="1:14">
      <c r="A105" s="159"/>
      <c r="B105" s="155"/>
      <c r="C105" s="155"/>
      <c r="D105" s="155"/>
      <c r="E105" s="155"/>
      <c r="F105" s="155"/>
      <c r="G105" s="155"/>
      <c r="H105" s="155"/>
      <c r="I105" s="155" t="str">
        <f t="shared" si="6"/>
        <v/>
      </c>
      <c r="J105" s="174" t="str">
        <f t="shared" si="7"/>
        <v/>
      </c>
      <c r="K105" s="155"/>
      <c r="L105" s="155"/>
      <c r="M105" s="155"/>
      <c r="N105" s="160"/>
    </row>
    <row r="106" spans="1:14">
      <c r="A106" s="159"/>
      <c r="B106" s="155"/>
      <c r="C106" s="155"/>
      <c r="D106" s="155"/>
      <c r="E106" s="155"/>
      <c r="F106" s="155"/>
      <c r="G106" s="155"/>
      <c r="H106" s="155"/>
      <c r="I106" s="155" t="str">
        <f t="shared" si="6"/>
        <v/>
      </c>
      <c r="J106" s="174" t="str">
        <f t="shared" si="7"/>
        <v/>
      </c>
      <c r="K106" s="155"/>
      <c r="L106" s="155"/>
      <c r="M106" s="155"/>
      <c r="N106" s="160"/>
    </row>
    <row r="107" spans="1:14">
      <c r="A107" s="159"/>
      <c r="B107" s="155"/>
      <c r="C107" s="155"/>
      <c r="D107" s="155"/>
      <c r="E107" s="155"/>
      <c r="F107" s="155"/>
      <c r="G107" s="155"/>
      <c r="H107" s="155"/>
      <c r="I107" s="155" t="str">
        <f t="shared" si="6"/>
        <v/>
      </c>
      <c r="J107" s="174" t="str">
        <f t="shared" si="7"/>
        <v/>
      </c>
      <c r="K107" s="155"/>
      <c r="L107" s="155"/>
      <c r="M107" s="155"/>
      <c r="N107" s="160"/>
    </row>
    <row r="108" spans="1:14">
      <c r="A108" s="159"/>
      <c r="B108" s="155"/>
      <c r="C108" s="155"/>
      <c r="D108" s="155"/>
      <c r="E108" s="155"/>
      <c r="F108" s="155"/>
      <c r="G108" s="155"/>
      <c r="H108" s="155"/>
      <c r="I108" s="155" t="str">
        <f t="shared" si="6"/>
        <v/>
      </c>
      <c r="J108" s="174" t="str">
        <f t="shared" si="7"/>
        <v/>
      </c>
      <c r="K108" s="155"/>
      <c r="L108" s="155"/>
      <c r="M108" s="155"/>
      <c r="N108" s="160"/>
    </row>
    <row r="109" spans="1:14">
      <c r="A109" s="159"/>
      <c r="B109" s="155"/>
      <c r="C109" s="155"/>
      <c r="D109" s="155"/>
      <c r="E109" s="155"/>
      <c r="F109" s="155"/>
      <c r="G109" s="155"/>
      <c r="H109" s="155"/>
      <c r="I109" s="155" t="str">
        <f t="shared" si="6"/>
        <v/>
      </c>
      <c r="J109" s="174" t="str">
        <f t="shared" si="7"/>
        <v/>
      </c>
      <c r="K109" s="155"/>
      <c r="L109" s="155"/>
      <c r="M109" s="155"/>
      <c r="N109" s="160"/>
    </row>
    <row r="110" spans="1:14">
      <c r="A110" s="159"/>
      <c r="B110" s="155"/>
      <c r="C110" s="155"/>
      <c r="D110" s="155"/>
      <c r="E110" s="155"/>
      <c r="F110" s="155"/>
      <c r="G110" s="155"/>
      <c r="H110" s="155"/>
      <c r="I110" s="155" t="str">
        <f t="shared" si="6"/>
        <v/>
      </c>
      <c r="J110" s="174" t="str">
        <f t="shared" si="7"/>
        <v/>
      </c>
      <c r="K110" s="155"/>
      <c r="L110" s="155"/>
      <c r="M110" s="155"/>
      <c r="N110" s="160"/>
    </row>
    <row r="111" spans="1:14">
      <c r="A111" s="159"/>
      <c r="B111" s="155"/>
      <c r="C111" s="155"/>
      <c r="D111" s="155"/>
      <c r="E111" s="155"/>
      <c r="F111" s="155"/>
      <c r="G111" s="155"/>
      <c r="H111" s="155"/>
      <c r="I111" s="155" t="str">
        <f t="shared" si="6"/>
        <v/>
      </c>
      <c r="J111" s="174" t="str">
        <f t="shared" si="7"/>
        <v/>
      </c>
      <c r="K111" s="155"/>
      <c r="L111" s="155"/>
      <c r="M111" s="155"/>
      <c r="N111" s="160"/>
    </row>
    <row r="112" spans="1:14">
      <c r="A112" s="159"/>
      <c r="B112" s="155"/>
      <c r="C112" s="155"/>
      <c r="D112" s="155"/>
      <c r="E112" s="155"/>
      <c r="F112" s="155"/>
      <c r="G112" s="155"/>
      <c r="H112" s="155"/>
      <c r="I112" s="155" t="str">
        <f t="shared" si="6"/>
        <v/>
      </c>
      <c r="J112" s="174" t="str">
        <f t="shared" si="7"/>
        <v/>
      </c>
      <c r="K112" s="155"/>
      <c r="L112" s="155"/>
      <c r="M112" s="155"/>
      <c r="N112" s="160"/>
    </row>
    <row r="113" spans="1:14">
      <c r="A113" s="159"/>
      <c r="B113" s="155"/>
      <c r="C113" s="155"/>
      <c r="D113" s="155"/>
      <c r="E113" s="155"/>
      <c r="F113" s="155"/>
      <c r="G113" s="155"/>
      <c r="H113" s="155"/>
      <c r="I113" s="155" t="str">
        <f t="shared" si="6"/>
        <v/>
      </c>
      <c r="J113" s="174" t="str">
        <f t="shared" si="7"/>
        <v/>
      </c>
      <c r="K113" s="155"/>
      <c r="L113" s="155"/>
      <c r="M113" s="155"/>
      <c r="N113" s="160"/>
    </row>
    <row r="114" spans="1:14">
      <c r="A114" s="159"/>
      <c r="B114" s="155"/>
      <c r="C114" s="155"/>
      <c r="D114" s="155"/>
      <c r="E114" s="155"/>
      <c r="F114" s="155"/>
      <c r="G114" s="155"/>
      <c r="H114" s="155"/>
      <c r="I114" s="155" t="str">
        <f t="shared" si="6"/>
        <v/>
      </c>
      <c r="J114" s="174" t="str">
        <f t="shared" si="7"/>
        <v/>
      </c>
      <c r="K114" s="155"/>
      <c r="L114" s="155"/>
      <c r="M114" s="155"/>
      <c r="N114" s="160"/>
    </row>
    <row r="115" spans="1:14">
      <c r="A115" s="159"/>
      <c r="B115" s="155"/>
      <c r="C115" s="155"/>
      <c r="D115" s="155"/>
      <c r="E115" s="155"/>
      <c r="F115" s="155"/>
      <c r="G115" s="155"/>
      <c r="H115" s="155"/>
      <c r="I115" s="155" t="str">
        <f t="shared" si="6"/>
        <v/>
      </c>
      <c r="J115" s="174" t="str">
        <f t="shared" si="7"/>
        <v/>
      </c>
      <c r="K115" s="155"/>
      <c r="L115" s="155"/>
      <c r="M115" s="155"/>
      <c r="N115" s="160"/>
    </row>
    <row r="116" spans="1:14">
      <c r="A116" s="159"/>
      <c r="B116" s="155"/>
      <c r="C116" s="155"/>
      <c r="D116" s="155"/>
      <c r="E116" s="155"/>
      <c r="F116" s="155"/>
      <c r="G116" s="155"/>
      <c r="H116" s="155"/>
      <c r="I116" s="155" t="str">
        <f t="shared" si="6"/>
        <v/>
      </c>
      <c r="J116" s="174" t="str">
        <f t="shared" si="7"/>
        <v/>
      </c>
      <c r="K116" s="155"/>
      <c r="L116" s="155"/>
      <c r="M116" s="155"/>
      <c r="N116" s="160"/>
    </row>
    <row r="117" spans="1:14">
      <c r="A117" s="159"/>
      <c r="B117" s="155"/>
      <c r="C117" s="155"/>
      <c r="D117" s="155"/>
      <c r="E117" s="155"/>
      <c r="F117" s="155"/>
      <c r="G117" s="155"/>
      <c r="H117" s="155"/>
      <c r="I117" s="155" t="str">
        <f t="shared" si="6"/>
        <v/>
      </c>
      <c r="J117" s="174" t="str">
        <f t="shared" si="7"/>
        <v/>
      </c>
      <c r="K117" s="155"/>
      <c r="L117" s="155"/>
      <c r="M117" s="155"/>
      <c r="N117" s="160"/>
    </row>
    <row r="118" spans="1:14">
      <c r="A118" s="159"/>
      <c r="B118" s="155"/>
      <c r="C118" s="155"/>
      <c r="D118" s="155"/>
      <c r="E118" s="155"/>
      <c r="F118" s="155"/>
      <c r="G118" s="155"/>
      <c r="H118" s="155"/>
      <c r="I118" s="155" t="str">
        <f t="shared" si="6"/>
        <v/>
      </c>
      <c r="J118" s="174" t="str">
        <f t="shared" si="7"/>
        <v/>
      </c>
      <c r="K118" s="155"/>
      <c r="L118" s="155"/>
      <c r="M118" s="155"/>
      <c r="N118" s="160"/>
    </row>
    <row r="119" spans="1:14">
      <c r="A119" s="159"/>
      <c r="B119" s="155"/>
      <c r="C119" s="155"/>
      <c r="D119" s="155"/>
      <c r="E119" s="155"/>
      <c r="F119" s="155"/>
      <c r="G119" s="155"/>
      <c r="H119" s="155"/>
      <c r="I119" s="155" t="str">
        <f t="shared" si="6"/>
        <v/>
      </c>
      <c r="J119" s="174" t="str">
        <f t="shared" si="7"/>
        <v/>
      </c>
      <c r="K119" s="155"/>
      <c r="L119" s="155"/>
      <c r="M119" s="155"/>
      <c r="N119" s="160"/>
    </row>
    <row r="120" spans="1:14">
      <c r="A120" s="159"/>
      <c r="B120" s="155"/>
      <c r="C120" s="155"/>
      <c r="D120" s="155"/>
      <c r="E120" s="155"/>
      <c r="F120" s="155"/>
      <c r="G120" s="155"/>
      <c r="H120" s="155"/>
      <c r="I120" s="155" t="str">
        <f t="shared" si="6"/>
        <v/>
      </c>
      <c r="J120" s="174" t="str">
        <f t="shared" si="7"/>
        <v/>
      </c>
      <c r="K120" s="155"/>
      <c r="L120" s="155"/>
      <c r="M120" s="155"/>
      <c r="N120" s="160"/>
    </row>
    <row r="121" spans="1:14">
      <c r="A121" s="159"/>
      <c r="B121" s="155"/>
      <c r="C121" s="155"/>
      <c r="D121" s="155"/>
      <c r="E121" s="155"/>
      <c r="F121" s="155"/>
      <c r="G121" s="155"/>
      <c r="H121" s="155"/>
      <c r="I121" s="155" t="str">
        <f t="shared" si="6"/>
        <v/>
      </c>
      <c r="J121" s="174" t="str">
        <f t="shared" si="7"/>
        <v/>
      </c>
      <c r="K121" s="155"/>
      <c r="L121" s="155"/>
      <c r="M121" s="155"/>
      <c r="N121" s="160"/>
    </row>
    <row r="122" spans="1:14">
      <c r="A122" s="159"/>
      <c r="B122" s="155"/>
      <c r="C122" s="155"/>
      <c r="D122" s="155"/>
      <c r="E122" s="155"/>
      <c r="F122" s="155"/>
      <c r="G122" s="155"/>
      <c r="H122" s="155"/>
      <c r="I122" s="155" t="str">
        <f t="shared" si="6"/>
        <v/>
      </c>
      <c r="J122" s="174" t="str">
        <f t="shared" si="7"/>
        <v/>
      </c>
      <c r="K122" s="155"/>
      <c r="L122" s="155"/>
      <c r="M122" s="155"/>
      <c r="N122" s="160"/>
    </row>
    <row r="123" spans="1:14">
      <c r="A123" s="159"/>
      <c r="B123" s="155"/>
      <c r="C123" s="155"/>
      <c r="D123" s="155"/>
      <c r="E123" s="155"/>
      <c r="F123" s="155"/>
      <c r="G123" s="155"/>
      <c r="H123" s="155"/>
      <c r="I123" s="155" t="str">
        <f t="shared" si="6"/>
        <v/>
      </c>
      <c r="J123" s="174" t="str">
        <f t="shared" si="7"/>
        <v/>
      </c>
      <c r="K123" s="155"/>
      <c r="L123" s="155"/>
      <c r="M123" s="155"/>
      <c r="N123" s="160"/>
    </row>
    <row r="124" spans="1:14">
      <c r="A124" s="159"/>
      <c r="B124" s="155"/>
      <c r="C124" s="155"/>
      <c r="D124" s="155"/>
      <c r="E124" s="155"/>
      <c r="F124" s="155"/>
      <c r="G124" s="155"/>
      <c r="H124" s="155"/>
      <c r="I124" s="155" t="str">
        <f t="shared" si="6"/>
        <v/>
      </c>
      <c r="J124" s="174" t="str">
        <f t="shared" si="7"/>
        <v/>
      </c>
      <c r="K124" s="155"/>
      <c r="L124" s="155"/>
      <c r="M124" s="155"/>
      <c r="N124" s="160"/>
    </row>
    <row r="125" spans="1:14">
      <c r="A125" s="159"/>
      <c r="B125" s="155"/>
      <c r="C125" s="155"/>
      <c r="D125" s="155"/>
      <c r="E125" s="155"/>
      <c r="F125" s="155"/>
      <c r="G125" s="155"/>
      <c r="H125" s="155"/>
      <c r="I125" s="155" t="str">
        <f t="shared" si="6"/>
        <v/>
      </c>
      <c r="J125" s="174" t="str">
        <f t="shared" si="7"/>
        <v/>
      </c>
      <c r="K125" s="155"/>
      <c r="L125" s="155"/>
      <c r="M125" s="155"/>
      <c r="N125" s="160"/>
    </row>
    <row r="126" spans="1:14">
      <c r="A126" s="159"/>
      <c r="B126" s="155"/>
      <c r="C126" s="155"/>
      <c r="D126" s="155"/>
      <c r="E126" s="155"/>
      <c r="F126" s="155"/>
      <c r="G126" s="155"/>
      <c r="H126" s="155"/>
      <c r="I126" s="155" t="str">
        <f t="shared" si="6"/>
        <v/>
      </c>
      <c r="J126" s="174" t="str">
        <f t="shared" si="7"/>
        <v/>
      </c>
      <c r="K126" s="155"/>
      <c r="L126" s="155"/>
      <c r="M126" s="155"/>
      <c r="N126" s="160"/>
    </row>
    <row r="127" spans="1:14">
      <c r="A127" s="159"/>
      <c r="B127" s="155"/>
      <c r="C127" s="155"/>
      <c r="D127" s="155"/>
      <c r="E127" s="155"/>
      <c r="F127" s="155"/>
      <c r="G127" s="155"/>
      <c r="H127" s="155"/>
      <c r="I127" s="155" t="str">
        <f t="shared" si="6"/>
        <v/>
      </c>
      <c r="J127" s="174" t="str">
        <f t="shared" si="7"/>
        <v/>
      </c>
      <c r="K127" s="155"/>
      <c r="L127" s="155"/>
      <c r="M127" s="155"/>
      <c r="N127" s="160"/>
    </row>
    <row r="128" spans="1:14">
      <c r="A128" s="159"/>
      <c r="B128" s="155"/>
      <c r="C128" s="155"/>
      <c r="D128" s="155"/>
      <c r="E128" s="155"/>
      <c r="F128" s="155"/>
      <c r="G128" s="155"/>
      <c r="H128" s="155"/>
      <c r="I128" s="155" t="str">
        <f t="shared" si="6"/>
        <v/>
      </c>
      <c r="J128" s="174" t="str">
        <f t="shared" si="7"/>
        <v/>
      </c>
      <c r="K128" s="155"/>
      <c r="L128" s="155"/>
      <c r="M128" s="155"/>
      <c r="N128" s="160"/>
    </row>
    <row r="129" spans="1:14">
      <c r="A129" s="159"/>
      <c r="B129" s="155"/>
      <c r="C129" s="155"/>
      <c r="D129" s="155"/>
      <c r="E129" s="155"/>
      <c r="F129" s="155"/>
      <c r="G129" s="155"/>
      <c r="H129" s="155"/>
      <c r="I129" s="155" t="str">
        <f t="shared" si="6"/>
        <v/>
      </c>
      <c r="J129" s="174" t="str">
        <f t="shared" si="7"/>
        <v/>
      </c>
      <c r="K129" s="155"/>
      <c r="L129" s="155"/>
      <c r="M129" s="155"/>
      <c r="N129" s="160"/>
    </row>
    <row r="130" spans="1:14">
      <c r="A130" s="159"/>
      <c r="B130" s="155"/>
      <c r="C130" s="155"/>
      <c r="D130" s="155"/>
      <c r="E130" s="155"/>
      <c r="F130" s="155"/>
      <c r="G130" s="155"/>
      <c r="H130" s="155"/>
      <c r="I130" s="155" t="str">
        <f t="shared" si="6"/>
        <v/>
      </c>
      <c r="J130" s="174" t="str">
        <f t="shared" si="7"/>
        <v/>
      </c>
      <c r="K130" s="155"/>
      <c r="L130" s="155"/>
      <c r="M130" s="155"/>
      <c r="N130" s="160"/>
    </row>
    <row r="131" spans="1:14">
      <c r="A131" s="159"/>
      <c r="B131" s="155"/>
      <c r="C131" s="155"/>
      <c r="D131" s="155"/>
      <c r="E131" s="155"/>
      <c r="F131" s="155"/>
      <c r="G131" s="155"/>
      <c r="H131" s="155"/>
      <c r="I131" s="155" t="str">
        <f t="shared" si="6"/>
        <v/>
      </c>
      <c r="J131" s="174" t="str">
        <f t="shared" si="7"/>
        <v/>
      </c>
      <c r="K131" s="155"/>
      <c r="L131" s="155"/>
      <c r="M131" s="155"/>
      <c r="N131" s="160"/>
    </row>
    <row r="132" spans="1:14">
      <c r="A132" s="159"/>
      <c r="B132" s="155"/>
      <c r="C132" s="155"/>
      <c r="D132" s="155"/>
      <c r="E132" s="155"/>
      <c r="F132" s="155"/>
      <c r="G132" s="155"/>
      <c r="H132" s="155"/>
      <c r="I132" s="155" t="str">
        <f t="shared" si="6"/>
        <v/>
      </c>
      <c r="J132" s="174" t="str">
        <f t="shared" si="7"/>
        <v/>
      </c>
      <c r="K132" s="155"/>
      <c r="L132" s="155"/>
      <c r="M132" s="155"/>
      <c r="N132" s="160"/>
    </row>
    <row r="133" spans="1:14">
      <c r="A133" s="159"/>
      <c r="B133" s="155"/>
      <c r="C133" s="155"/>
      <c r="D133" s="155"/>
      <c r="E133" s="155"/>
      <c r="F133" s="155"/>
      <c r="G133" s="155"/>
      <c r="H133" s="155"/>
      <c r="I133" s="155" t="str">
        <f t="shared" si="6"/>
        <v/>
      </c>
      <c r="J133" s="174" t="str">
        <f t="shared" si="7"/>
        <v/>
      </c>
      <c r="K133" s="155"/>
      <c r="L133" s="155"/>
      <c r="M133" s="155"/>
      <c r="N133" s="160"/>
    </row>
    <row r="134" spans="1:14">
      <c r="A134" s="159"/>
      <c r="B134" s="155"/>
      <c r="C134" s="155"/>
      <c r="D134" s="155"/>
      <c r="E134" s="155"/>
      <c r="F134" s="155"/>
      <c r="G134" s="155"/>
      <c r="H134" s="155"/>
      <c r="I134" s="155" t="str">
        <f t="shared" si="6"/>
        <v/>
      </c>
      <c r="J134" s="174" t="str">
        <f t="shared" si="7"/>
        <v/>
      </c>
      <c r="K134" s="155"/>
      <c r="L134" s="155"/>
      <c r="M134" s="155"/>
      <c r="N134" s="160"/>
    </row>
    <row r="135" spans="1:14">
      <c r="A135" s="159"/>
      <c r="B135" s="155"/>
      <c r="C135" s="155"/>
      <c r="D135" s="155"/>
      <c r="E135" s="155"/>
      <c r="F135" s="155"/>
      <c r="G135" s="155"/>
      <c r="H135" s="155"/>
      <c r="I135" s="155" t="str">
        <f t="shared" ref="I135:I166" si="8">IF(OR(F135="",G135=""),"",IF(AND(ISNUMBER(F135),ISNUMBER(G135)),G135-F135,""))</f>
        <v/>
      </c>
      <c r="J135" s="174" t="str">
        <f t="shared" ref="J135:J166" si="9">IFERROR(I135/ABS(F135),"")</f>
        <v/>
      </c>
      <c r="K135" s="155"/>
      <c r="L135" s="155"/>
      <c r="M135" s="155"/>
      <c r="N135" s="160"/>
    </row>
    <row r="136" spans="1:14">
      <c r="A136" s="159"/>
      <c r="B136" s="155"/>
      <c r="C136" s="155"/>
      <c r="D136" s="155"/>
      <c r="E136" s="155"/>
      <c r="F136" s="155"/>
      <c r="G136" s="155"/>
      <c r="H136" s="155"/>
      <c r="I136" s="155" t="str">
        <f t="shared" si="8"/>
        <v/>
      </c>
      <c r="J136" s="174" t="str">
        <f t="shared" si="9"/>
        <v/>
      </c>
      <c r="K136" s="155"/>
      <c r="L136" s="155"/>
      <c r="M136" s="155"/>
      <c r="N136" s="160"/>
    </row>
    <row r="137" spans="1:14">
      <c r="A137" s="159"/>
      <c r="B137" s="155"/>
      <c r="C137" s="155"/>
      <c r="D137" s="155"/>
      <c r="E137" s="155"/>
      <c r="F137" s="155"/>
      <c r="G137" s="155"/>
      <c r="H137" s="155"/>
      <c r="I137" s="155" t="str">
        <f t="shared" si="8"/>
        <v/>
      </c>
      <c r="J137" s="174" t="str">
        <f t="shared" si="9"/>
        <v/>
      </c>
      <c r="K137" s="155"/>
      <c r="L137" s="155"/>
      <c r="M137" s="155"/>
      <c r="N137" s="160"/>
    </row>
    <row r="138" spans="1:14">
      <c r="A138" s="159"/>
      <c r="B138" s="155"/>
      <c r="C138" s="155"/>
      <c r="D138" s="155"/>
      <c r="E138" s="155"/>
      <c r="F138" s="155"/>
      <c r="G138" s="155"/>
      <c r="H138" s="155"/>
      <c r="I138" s="155" t="str">
        <f t="shared" si="8"/>
        <v/>
      </c>
      <c r="J138" s="174" t="str">
        <f t="shared" si="9"/>
        <v/>
      </c>
      <c r="K138" s="155"/>
      <c r="L138" s="155"/>
      <c r="M138" s="155"/>
      <c r="N138" s="160"/>
    </row>
    <row r="139" spans="1:14">
      <c r="A139" s="159"/>
      <c r="B139" s="155"/>
      <c r="C139" s="155"/>
      <c r="D139" s="155"/>
      <c r="E139" s="155"/>
      <c r="F139" s="155"/>
      <c r="G139" s="155"/>
      <c r="H139" s="155"/>
      <c r="I139" s="155" t="str">
        <f t="shared" si="8"/>
        <v/>
      </c>
      <c r="J139" s="174" t="str">
        <f t="shared" si="9"/>
        <v/>
      </c>
      <c r="K139" s="155"/>
      <c r="L139" s="155"/>
      <c r="M139" s="155"/>
      <c r="N139" s="160"/>
    </row>
    <row r="140" spans="1:14">
      <c r="A140" s="159"/>
      <c r="B140" s="155"/>
      <c r="C140" s="155"/>
      <c r="D140" s="155"/>
      <c r="E140" s="155"/>
      <c r="F140" s="155"/>
      <c r="G140" s="155"/>
      <c r="H140" s="155"/>
      <c r="I140" s="155" t="str">
        <f t="shared" si="8"/>
        <v/>
      </c>
      <c r="J140" s="174" t="str">
        <f t="shared" si="9"/>
        <v/>
      </c>
      <c r="K140" s="155"/>
      <c r="L140" s="155"/>
      <c r="M140" s="155"/>
      <c r="N140" s="160"/>
    </row>
    <row r="141" spans="1:14">
      <c r="A141" s="159"/>
      <c r="B141" s="155"/>
      <c r="C141" s="155"/>
      <c r="D141" s="155"/>
      <c r="E141" s="155"/>
      <c r="F141" s="155"/>
      <c r="G141" s="155"/>
      <c r="H141" s="155"/>
      <c r="I141" s="155" t="str">
        <f t="shared" si="8"/>
        <v/>
      </c>
      <c r="J141" s="174" t="str">
        <f t="shared" si="9"/>
        <v/>
      </c>
      <c r="K141" s="155"/>
      <c r="L141" s="155"/>
      <c r="M141" s="155"/>
      <c r="N141" s="160"/>
    </row>
    <row r="142" spans="1:14">
      <c r="A142" s="159"/>
      <c r="B142" s="155"/>
      <c r="C142" s="155"/>
      <c r="D142" s="155"/>
      <c r="E142" s="155"/>
      <c r="F142" s="155"/>
      <c r="G142" s="155"/>
      <c r="H142" s="155"/>
      <c r="I142" s="155" t="str">
        <f t="shared" si="8"/>
        <v/>
      </c>
      <c r="J142" s="174" t="str">
        <f t="shared" si="9"/>
        <v/>
      </c>
      <c r="K142" s="155"/>
      <c r="L142" s="155"/>
      <c r="M142" s="155"/>
      <c r="N142" s="160"/>
    </row>
    <row r="143" spans="1:14">
      <c r="A143" s="159"/>
      <c r="B143" s="155"/>
      <c r="C143" s="155"/>
      <c r="D143" s="155"/>
      <c r="E143" s="155"/>
      <c r="F143" s="155"/>
      <c r="G143" s="155"/>
      <c r="H143" s="155"/>
      <c r="I143" s="155" t="str">
        <f t="shared" si="8"/>
        <v/>
      </c>
      <c r="J143" s="174" t="str">
        <f t="shared" si="9"/>
        <v/>
      </c>
      <c r="K143" s="155"/>
      <c r="L143" s="155"/>
      <c r="M143" s="155"/>
      <c r="N143" s="160"/>
    </row>
    <row r="144" spans="1:14">
      <c r="A144" s="159"/>
      <c r="B144" s="155"/>
      <c r="C144" s="155"/>
      <c r="D144" s="155"/>
      <c r="E144" s="155"/>
      <c r="F144" s="155"/>
      <c r="G144" s="155"/>
      <c r="H144" s="155"/>
      <c r="I144" s="155" t="str">
        <f t="shared" si="8"/>
        <v/>
      </c>
      <c r="J144" s="174" t="str">
        <f t="shared" si="9"/>
        <v/>
      </c>
      <c r="K144" s="155"/>
      <c r="L144" s="155"/>
      <c r="M144" s="155"/>
      <c r="N144" s="160"/>
    </row>
    <row r="145" spans="1:14">
      <c r="A145" s="159"/>
      <c r="B145" s="155"/>
      <c r="C145" s="155"/>
      <c r="D145" s="155"/>
      <c r="E145" s="155"/>
      <c r="F145" s="155"/>
      <c r="G145" s="155"/>
      <c r="H145" s="155"/>
      <c r="I145" s="155" t="str">
        <f t="shared" si="8"/>
        <v/>
      </c>
      <c r="J145" s="174" t="str">
        <f t="shared" si="9"/>
        <v/>
      </c>
      <c r="K145" s="155"/>
      <c r="L145" s="155"/>
      <c r="M145" s="155"/>
      <c r="N145" s="160"/>
    </row>
    <row r="146" spans="1:14">
      <c r="A146" s="159"/>
      <c r="B146" s="155"/>
      <c r="C146" s="155"/>
      <c r="D146" s="155"/>
      <c r="E146" s="155"/>
      <c r="F146" s="155"/>
      <c r="G146" s="155"/>
      <c r="H146" s="155"/>
      <c r="I146" s="155" t="str">
        <f t="shared" si="8"/>
        <v/>
      </c>
      <c r="J146" s="174" t="str">
        <f t="shared" si="9"/>
        <v/>
      </c>
      <c r="K146" s="155"/>
      <c r="L146" s="155"/>
      <c r="M146" s="155"/>
      <c r="N146" s="160"/>
    </row>
    <row r="147" spans="1:14">
      <c r="A147" s="159"/>
      <c r="B147" s="155"/>
      <c r="C147" s="155"/>
      <c r="D147" s="155"/>
      <c r="E147" s="155"/>
      <c r="F147" s="155"/>
      <c r="G147" s="155"/>
      <c r="H147" s="155"/>
      <c r="I147" s="155" t="str">
        <f t="shared" si="8"/>
        <v/>
      </c>
      <c r="J147" s="174" t="str">
        <f t="shared" si="9"/>
        <v/>
      </c>
      <c r="K147" s="155"/>
      <c r="L147" s="155"/>
      <c r="M147" s="155"/>
      <c r="N147" s="160"/>
    </row>
    <row r="148" spans="1:14">
      <c r="A148" s="159"/>
      <c r="B148" s="155"/>
      <c r="C148" s="155"/>
      <c r="D148" s="155"/>
      <c r="E148" s="155"/>
      <c r="F148" s="155"/>
      <c r="G148" s="155"/>
      <c r="H148" s="155"/>
      <c r="I148" s="155" t="str">
        <f t="shared" si="8"/>
        <v/>
      </c>
      <c r="J148" s="174" t="str">
        <f t="shared" si="9"/>
        <v/>
      </c>
      <c r="K148" s="155"/>
      <c r="L148" s="155"/>
      <c r="M148" s="155"/>
      <c r="N148" s="160"/>
    </row>
    <row r="149" spans="1:14">
      <c r="A149" s="159"/>
      <c r="B149" s="155"/>
      <c r="C149" s="155"/>
      <c r="D149" s="155"/>
      <c r="E149" s="155"/>
      <c r="F149" s="155"/>
      <c r="G149" s="155"/>
      <c r="H149" s="155"/>
      <c r="I149" s="155" t="str">
        <f t="shared" si="8"/>
        <v/>
      </c>
      <c r="J149" s="174" t="str">
        <f t="shared" si="9"/>
        <v/>
      </c>
      <c r="K149" s="155"/>
      <c r="L149" s="155"/>
      <c r="M149" s="155"/>
      <c r="N149" s="160"/>
    </row>
    <row r="150" spans="1:14">
      <c r="A150" s="159"/>
      <c r="B150" s="155"/>
      <c r="C150" s="155"/>
      <c r="D150" s="155"/>
      <c r="E150" s="155"/>
      <c r="F150" s="155"/>
      <c r="G150" s="155"/>
      <c r="H150" s="155"/>
      <c r="I150" s="155" t="str">
        <f t="shared" si="8"/>
        <v/>
      </c>
      <c r="J150" s="174" t="str">
        <f t="shared" si="9"/>
        <v/>
      </c>
      <c r="K150" s="155"/>
      <c r="L150" s="155"/>
      <c r="M150" s="155"/>
      <c r="N150" s="160"/>
    </row>
    <row r="151" spans="1:14">
      <c r="A151" s="159"/>
      <c r="B151" s="155"/>
      <c r="C151" s="155"/>
      <c r="D151" s="155"/>
      <c r="E151" s="155"/>
      <c r="F151" s="155"/>
      <c r="G151" s="155"/>
      <c r="H151" s="155"/>
      <c r="I151" s="155" t="str">
        <f t="shared" si="8"/>
        <v/>
      </c>
      <c r="J151" s="174" t="str">
        <f t="shared" si="9"/>
        <v/>
      </c>
      <c r="K151" s="155"/>
      <c r="L151" s="155"/>
      <c r="M151" s="155"/>
      <c r="N151" s="160"/>
    </row>
    <row r="152" spans="1:14">
      <c r="A152" s="159"/>
      <c r="B152" s="155"/>
      <c r="C152" s="155"/>
      <c r="D152" s="155"/>
      <c r="E152" s="155"/>
      <c r="F152" s="155"/>
      <c r="G152" s="155"/>
      <c r="H152" s="155"/>
      <c r="I152" s="155" t="str">
        <f t="shared" si="8"/>
        <v/>
      </c>
      <c r="J152" s="174" t="str">
        <f t="shared" si="9"/>
        <v/>
      </c>
      <c r="K152" s="155"/>
      <c r="L152" s="155"/>
      <c r="M152" s="155"/>
      <c r="N152" s="160"/>
    </row>
    <row r="153" spans="1:14">
      <c r="A153" s="159"/>
      <c r="B153" s="155"/>
      <c r="C153" s="155"/>
      <c r="D153" s="155"/>
      <c r="E153" s="155"/>
      <c r="F153" s="155"/>
      <c r="G153" s="155"/>
      <c r="H153" s="155"/>
      <c r="I153" s="155" t="str">
        <f t="shared" si="8"/>
        <v/>
      </c>
      <c r="J153" s="174" t="str">
        <f t="shared" si="9"/>
        <v/>
      </c>
      <c r="K153" s="155"/>
      <c r="L153" s="155"/>
      <c r="M153" s="155"/>
      <c r="N153" s="160"/>
    </row>
    <row r="154" spans="1:14">
      <c r="A154" s="159"/>
      <c r="B154" s="155"/>
      <c r="C154" s="155"/>
      <c r="D154" s="155"/>
      <c r="E154" s="155"/>
      <c r="F154" s="155"/>
      <c r="G154" s="155"/>
      <c r="H154" s="155"/>
      <c r="I154" s="155" t="str">
        <f t="shared" si="8"/>
        <v/>
      </c>
      <c r="J154" s="174" t="str">
        <f t="shared" si="9"/>
        <v/>
      </c>
      <c r="K154" s="155"/>
      <c r="L154" s="155"/>
      <c r="M154" s="155"/>
      <c r="N154" s="160"/>
    </row>
    <row r="155" spans="1:14">
      <c r="A155" s="159"/>
      <c r="B155" s="155"/>
      <c r="C155" s="155"/>
      <c r="D155" s="155"/>
      <c r="E155" s="155"/>
      <c r="F155" s="155"/>
      <c r="G155" s="155"/>
      <c r="H155" s="155"/>
      <c r="I155" s="155" t="str">
        <f t="shared" si="8"/>
        <v/>
      </c>
      <c r="J155" s="174" t="str">
        <f t="shared" si="9"/>
        <v/>
      </c>
      <c r="K155" s="155"/>
      <c r="L155" s="155"/>
      <c r="M155" s="155"/>
      <c r="N155" s="160"/>
    </row>
    <row r="156" spans="1:14">
      <c r="A156" s="159"/>
      <c r="B156" s="155"/>
      <c r="C156" s="155"/>
      <c r="D156" s="155"/>
      <c r="E156" s="155"/>
      <c r="F156" s="155"/>
      <c r="G156" s="155"/>
      <c r="H156" s="155"/>
      <c r="I156" s="155" t="str">
        <f t="shared" si="8"/>
        <v/>
      </c>
      <c r="J156" s="174" t="str">
        <f t="shared" si="9"/>
        <v/>
      </c>
      <c r="K156" s="155"/>
      <c r="L156" s="155"/>
      <c r="M156" s="155"/>
      <c r="N156" s="160"/>
    </row>
    <row r="157" spans="1:14">
      <c r="A157" s="159"/>
      <c r="B157" s="155"/>
      <c r="C157" s="155"/>
      <c r="D157" s="155"/>
      <c r="E157" s="155"/>
      <c r="F157" s="155"/>
      <c r="G157" s="155"/>
      <c r="H157" s="155"/>
      <c r="I157" s="155" t="str">
        <f t="shared" si="8"/>
        <v/>
      </c>
      <c r="J157" s="174" t="str">
        <f t="shared" si="9"/>
        <v/>
      </c>
      <c r="K157" s="155"/>
      <c r="L157" s="155"/>
      <c r="M157" s="155"/>
      <c r="N157" s="160"/>
    </row>
    <row r="158" spans="1:14">
      <c r="A158" s="159"/>
      <c r="B158" s="155"/>
      <c r="C158" s="155"/>
      <c r="D158" s="155"/>
      <c r="E158" s="155"/>
      <c r="F158" s="155"/>
      <c r="G158" s="155"/>
      <c r="H158" s="155"/>
      <c r="I158" s="155" t="str">
        <f t="shared" si="8"/>
        <v/>
      </c>
      <c r="J158" s="174" t="str">
        <f t="shared" si="9"/>
        <v/>
      </c>
      <c r="K158" s="155"/>
      <c r="L158" s="155"/>
      <c r="M158" s="155"/>
      <c r="N158" s="160"/>
    </row>
    <row r="159" spans="1:14">
      <c r="A159" s="159"/>
      <c r="B159" s="155"/>
      <c r="C159" s="155"/>
      <c r="D159" s="155"/>
      <c r="E159" s="155"/>
      <c r="F159" s="155"/>
      <c r="G159" s="155"/>
      <c r="H159" s="155"/>
      <c r="I159" s="155" t="str">
        <f t="shared" si="8"/>
        <v/>
      </c>
      <c r="J159" s="174" t="str">
        <f t="shared" si="9"/>
        <v/>
      </c>
      <c r="K159" s="155"/>
      <c r="L159" s="155"/>
      <c r="M159" s="155"/>
      <c r="N159" s="160"/>
    </row>
    <row r="160" spans="1:14">
      <c r="A160" s="159"/>
      <c r="B160" s="155"/>
      <c r="C160" s="155"/>
      <c r="D160" s="155"/>
      <c r="E160" s="155"/>
      <c r="F160" s="155"/>
      <c r="G160" s="155"/>
      <c r="H160" s="155"/>
      <c r="I160" s="155" t="str">
        <f t="shared" si="8"/>
        <v/>
      </c>
      <c r="J160" s="174" t="str">
        <f t="shared" si="9"/>
        <v/>
      </c>
      <c r="K160" s="155"/>
      <c r="L160" s="155"/>
      <c r="M160" s="155"/>
      <c r="N160" s="160"/>
    </row>
    <row r="161" spans="1:14">
      <c r="A161" s="159"/>
      <c r="B161" s="155"/>
      <c r="C161" s="155"/>
      <c r="D161" s="155"/>
      <c r="E161" s="155"/>
      <c r="F161" s="155"/>
      <c r="G161" s="155"/>
      <c r="H161" s="155"/>
      <c r="I161" s="155" t="str">
        <f t="shared" si="8"/>
        <v/>
      </c>
      <c r="J161" s="174" t="str">
        <f t="shared" si="9"/>
        <v/>
      </c>
      <c r="K161" s="155"/>
      <c r="L161" s="155"/>
      <c r="M161" s="155"/>
      <c r="N161" s="160"/>
    </row>
    <row r="162" spans="1:14">
      <c r="A162" s="159"/>
      <c r="B162" s="155"/>
      <c r="C162" s="155"/>
      <c r="D162" s="155"/>
      <c r="E162" s="155"/>
      <c r="F162" s="155"/>
      <c r="G162" s="155"/>
      <c r="H162" s="155"/>
      <c r="I162" s="155" t="str">
        <f t="shared" si="8"/>
        <v/>
      </c>
      <c r="J162" s="174" t="str">
        <f t="shared" si="9"/>
        <v/>
      </c>
      <c r="K162" s="155"/>
      <c r="L162" s="155"/>
      <c r="M162" s="155"/>
      <c r="N162" s="160"/>
    </row>
    <row r="163" spans="1:14">
      <c r="A163" s="159"/>
      <c r="B163" s="155"/>
      <c r="C163" s="155"/>
      <c r="D163" s="155"/>
      <c r="E163" s="155"/>
      <c r="F163" s="155"/>
      <c r="G163" s="155"/>
      <c r="H163" s="155"/>
      <c r="I163" s="155" t="str">
        <f t="shared" si="8"/>
        <v/>
      </c>
      <c r="J163" s="174" t="str">
        <f t="shared" si="9"/>
        <v/>
      </c>
      <c r="K163" s="155"/>
      <c r="L163" s="155"/>
      <c r="M163" s="155"/>
      <c r="N163" s="160"/>
    </row>
    <row r="164" spans="1:14">
      <c r="A164" s="159"/>
      <c r="B164" s="155"/>
      <c r="C164" s="155"/>
      <c r="D164" s="155"/>
      <c r="E164" s="155"/>
      <c r="F164" s="155"/>
      <c r="G164" s="155"/>
      <c r="H164" s="155"/>
      <c r="I164" s="155" t="str">
        <f t="shared" si="8"/>
        <v/>
      </c>
      <c r="J164" s="174" t="str">
        <f t="shared" si="9"/>
        <v/>
      </c>
      <c r="K164" s="155"/>
      <c r="L164" s="155"/>
      <c r="M164" s="155"/>
      <c r="N164" s="160"/>
    </row>
    <row r="165" spans="1:14">
      <c r="A165" s="159"/>
      <c r="B165" s="155"/>
      <c r="C165" s="155"/>
      <c r="D165" s="155"/>
      <c r="E165" s="155"/>
      <c r="F165" s="155"/>
      <c r="G165" s="155"/>
      <c r="H165" s="155"/>
      <c r="I165" s="155" t="str">
        <f t="shared" si="8"/>
        <v/>
      </c>
      <c r="J165" s="174" t="str">
        <f t="shared" si="9"/>
        <v/>
      </c>
      <c r="K165" s="155"/>
      <c r="L165" s="155"/>
      <c r="M165" s="155"/>
      <c r="N165" s="160"/>
    </row>
    <row r="166" spans="1:14">
      <c r="A166" s="159"/>
      <c r="B166" s="155"/>
      <c r="C166" s="155"/>
      <c r="D166" s="155"/>
      <c r="E166" s="155"/>
      <c r="F166" s="155"/>
      <c r="G166" s="155"/>
      <c r="H166" s="155"/>
      <c r="I166" s="155" t="str">
        <f t="shared" si="8"/>
        <v/>
      </c>
      <c r="J166" s="174" t="str">
        <f t="shared" si="9"/>
        <v/>
      </c>
      <c r="K166" s="155"/>
      <c r="L166" s="155"/>
      <c r="M166" s="155"/>
      <c r="N166" s="160"/>
    </row>
    <row r="167" spans="1:14">
      <c r="A167" s="159"/>
      <c r="B167" s="155"/>
      <c r="C167" s="155"/>
      <c r="D167" s="155"/>
      <c r="E167" s="155"/>
      <c r="F167" s="155"/>
      <c r="G167" s="155"/>
      <c r="H167" s="155"/>
      <c r="I167" s="155" t="str">
        <f t="shared" ref="I167:I198" si="10">IF(OR(F167="",G167=""),"",IF(AND(ISNUMBER(F167),ISNUMBER(G167)),G167-F167,""))</f>
        <v/>
      </c>
      <c r="J167" s="174" t="str">
        <f t="shared" ref="J167:J198" si="11">IFERROR(I167/ABS(F167),"")</f>
        <v/>
      </c>
      <c r="K167" s="155"/>
      <c r="L167" s="155"/>
      <c r="M167" s="155"/>
      <c r="N167" s="160"/>
    </row>
    <row r="168" spans="1:14">
      <c r="A168" s="159"/>
      <c r="B168" s="155"/>
      <c r="C168" s="155"/>
      <c r="D168" s="155"/>
      <c r="E168" s="155"/>
      <c r="F168" s="155"/>
      <c r="G168" s="155"/>
      <c r="H168" s="155"/>
      <c r="I168" s="155" t="str">
        <f t="shared" si="10"/>
        <v/>
      </c>
      <c r="J168" s="174" t="str">
        <f t="shared" si="11"/>
        <v/>
      </c>
      <c r="K168" s="155"/>
      <c r="L168" s="155"/>
      <c r="M168" s="155"/>
      <c r="N168" s="160"/>
    </row>
    <row r="169" spans="1:14">
      <c r="A169" s="159"/>
      <c r="B169" s="155"/>
      <c r="C169" s="155"/>
      <c r="D169" s="155"/>
      <c r="E169" s="155"/>
      <c r="F169" s="155"/>
      <c r="G169" s="155"/>
      <c r="H169" s="155"/>
      <c r="I169" s="155" t="str">
        <f t="shared" si="10"/>
        <v/>
      </c>
      <c r="J169" s="174" t="str">
        <f t="shared" si="11"/>
        <v/>
      </c>
      <c r="K169" s="155"/>
      <c r="L169" s="155"/>
      <c r="M169" s="155"/>
      <c r="N169" s="160"/>
    </row>
    <row r="170" spans="1:14">
      <c r="A170" s="159"/>
      <c r="B170" s="155"/>
      <c r="C170" s="155"/>
      <c r="D170" s="155"/>
      <c r="E170" s="155"/>
      <c r="F170" s="155"/>
      <c r="G170" s="155"/>
      <c r="H170" s="155"/>
      <c r="I170" s="155" t="str">
        <f t="shared" si="10"/>
        <v/>
      </c>
      <c r="J170" s="174" t="str">
        <f t="shared" si="11"/>
        <v/>
      </c>
      <c r="K170" s="155"/>
      <c r="L170" s="155"/>
      <c r="M170" s="155"/>
      <c r="N170" s="160"/>
    </row>
    <row r="171" spans="1:14">
      <c r="A171" s="159"/>
      <c r="B171" s="155"/>
      <c r="C171" s="155"/>
      <c r="D171" s="155"/>
      <c r="E171" s="155"/>
      <c r="F171" s="155"/>
      <c r="G171" s="155"/>
      <c r="H171" s="155"/>
      <c r="I171" s="155" t="str">
        <f t="shared" si="10"/>
        <v/>
      </c>
      <c r="J171" s="174" t="str">
        <f t="shared" si="11"/>
        <v/>
      </c>
      <c r="K171" s="155"/>
      <c r="L171" s="155"/>
      <c r="M171" s="155"/>
      <c r="N171" s="160"/>
    </row>
    <row r="172" spans="1:14">
      <c r="A172" s="159"/>
      <c r="B172" s="155"/>
      <c r="C172" s="155"/>
      <c r="D172" s="155"/>
      <c r="E172" s="155"/>
      <c r="F172" s="155"/>
      <c r="G172" s="155"/>
      <c r="H172" s="155"/>
      <c r="I172" s="155" t="str">
        <f t="shared" si="10"/>
        <v/>
      </c>
      <c r="J172" s="174" t="str">
        <f t="shared" si="11"/>
        <v/>
      </c>
      <c r="K172" s="155"/>
      <c r="L172" s="155"/>
      <c r="M172" s="155"/>
      <c r="N172" s="160"/>
    </row>
    <row r="173" spans="1:14">
      <c r="A173" s="159"/>
      <c r="B173" s="155"/>
      <c r="C173" s="155"/>
      <c r="D173" s="155"/>
      <c r="E173" s="155"/>
      <c r="F173" s="155"/>
      <c r="G173" s="155"/>
      <c r="H173" s="155"/>
      <c r="I173" s="155" t="str">
        <f t="shared" si="10"/>
        <v/>
      </c>
      <c r="J173" s="174" t="str">
        <f t="shared" si="11"/>
        <v/>
      </c>
      <c r="K173" s="155"/>
      <c r="L173" s="155"/>
      <c r="M173" s="155"/>
      <c r="N173" s="160"/>
    </row>
    <row r="174" spans="1:14">
      <c r="A174" s="159"/>
      <c r="B174" s="155"/>
      <c r="C174" s="155"/>
      <c r="D174" s="155"/>
      <c r="E174" s="155"/>
      <c r="F174" s="155"/>
      <c r="G174" s="155"/>
      <c r="H174" s="155"/>
      <c r="I174" s="155" t="str">
        <f t="shared" si="10"/>
        <v/>
      </c>
      <c r="J174" s="174" t="str">
        <f t="shared" si="11"/>
        <v/>
      </c>
      <c r="K174" s="155"/>
      <c r="L174" s="155"/>
      <c r="M174" s="155"/>
      <c r="N174" s="160"/>
    </row>
    <row r="175" spans="1:14">
      <c r="A175" s="159"/>
      <c r="B175" s="155"/>
      <c r="C175" s="155"/>
      <c r="D175" s="155"/>
      <c r="E175" s="155"/>
      <c r="F175" s="155"/>
      <c r="G175" s="155"/>
      <c r="H175" s="155"/>
      <c r="I175" s="155" t="str">
        <f t="shared" si="10"/>
        <v/>
      </c>
      <c r="J175" s="174" t="str">
        <f t="shared" si="11"/>
        <v/>
      </c>
      <c r="K175" s="155"/>
      <c r="L175" s="155"/>
      <c r="M175" s="155"/>
      <c r="N175" s="160"/>
    </row>
    <row r="176" spans="1:14">
      <c r="A176" s="159"/>
      <c r="B176" s="155"/>
      <c r="C176" s="155"/>
      <c r="D176" s="155"/>
      <c r="E176" s="155"/>
      <c r="F176" s="155"/>
      <c r="G176" s="155"/>
      <c r="H176" s="155"/>
      <c r="I176" s="155" t="str">
        <f t="shared" si="10"/>
        <v/>
      </c>
      <c r="J176" s="174" t="str">
        <f t="shared" si="11"/>
        <v/>
      </c>
      <c r="K176" s="155"/>
      <c r="L176" s="155"/>
      <c r="M176" s="155"/>
      <c r="N176" s="160"/>
    </row>
    <row r="177" spans="1:14">
      <c r="A177" s="159"/>
      <c r="B177" s="155"/>
      <c r="C177" s="155"/>
      <c r="D177" s="155"/>
      <c r="E177" s="155"/>
      <c r="F177" s="155"/>
      <c r="G177" s="155"/>
      <c r="H177" s="155"/>
      <c r="I177" s="155" t="str">
        <f t="shared" si="10"/>
        <v/>
      </c>
      <c r="J177" s="174" t="str">
        <f t="shared" si="11"/>
        <v/>
      </c>
      <c r="K177" s="155"/>
      <c r="L177" s="155"/>
      <c r="M177" s="155"/>
      <c r="N177" s="160"/>
    </row>
    <row r="178" spans="1:14">
      <c r="A178" s="159"/>
      <c r="B178" s="155"/>
      <c r="C178" s="155"/>
      <c r="D178" s="155"/>
      <c r="E178" s="155"/>
      <c r="F178" s="155"/>
      <c r="G178" s="155"/>
      <c r="H178" s="155"/>
      <c r="I178" s="155" t="str">
        <f t="shared" si="10"/>
        <v/>
      </c>
      <c r="J178" s="174" t="str">
        <f t="shared" si="11"/>
        <v/>
      </c>
      <c r="K178" s="155"/>
      <c r="L178" s="155"/>
      <c r="M178" s="155"/>
      <c r="N178" s="160"/>
    </row>
    <row r="179" spans="1:14">
      <c r="A179" s="159"/>
      <c r="B179" s="155"/>
      <c r="C179" s="155"/>
      <c r="D179" s="155"/>
      <c r="E179" s="155"/>
      <c r="F179" s="155"/>
      <c r="G179" s="155"/>
      <c r="H179" s="155"/>
      <c r="I179" s="155" t="str">
        <f t="shared" si="10"/>
        <v/>
      </c>
      <c r="J179" s="174" t="str">
        <f t="shared" si="11"/>
        <v/>
      </c>
      <c r="K179" s="155"/>
      <c r="L179" s="155"/>
      <c r="M179" s="155"/>
      <c r="N179" s="160"/>
    </row>
    <row r="180" spans="1:14">
      <c r="A180" s="159"/>
      <c r="B180" s="155"/>
      <c r="C180" s="155"/>
      <c r="D180" s="155"/>
      <c r="E180" s="155"/>
      <c r="F180" s="155"/>
      <c r="G180" s="155"/>
      <c r="H180" s="155"/>
      <c r="I180" s="155" t="str">
        <f t="shared" si="10"/>
        <v/>
      </c>
      <c r="J180" s="174" t="str">
        <f t="shared" si="11"/>
        <v/>
      </c>
      <c r="K180" s="155"/>
      <c r="L180" s="155"/>
      <c r="M180" s="155"/>
      <c r="N180" s="160"/>
    </row>
    <row r="181" spans="1:14">
      <c r="A181" s="159"/>
      <c r="B181" s="155"/>
      <c r="C181" s="155"/>
      <c r="D181" s="155"/>
      <c r="E181" s="155"/>
      <c r="F181" s="155"/>
      <c r="G181" s="155"/>
      <c r="H181" s="155"/>
      <c r="I181" s="155" t="str">
        <f t="shared" si="10"/>
        <v/>
      </c>
      <c r="J181" s="174" t="str">
        <f t="shared" si="11"/>
        <v/>
      </c>
      <c r="K181" s="155"/>
      <c r="L181" s="155"/>
      <c r="M181" s="155"/>
      <c r="N181" s="160"/>
    </row>
    <row r="182" spans="1:14">
      <c r="A182" s="159"/>
      <c r="B182" s="155"/>
      <c r="C182" s="155"/>
      <c r="D182" s="155"/>
      <c r="E182" s="155"/>
      <c r="F182" s="155"/>
      <c r="G182" s="155"/>
      <c r="H182" s="155"/>
      <c r="I182" s="155" t="str">
        <f t="shared" si="10"/>
        <v/>
      </c>
      <c r="J182" s="174" t="str">
        <f t="shared" si="11"/>
        <v/>
      </c>
      <c r="K182" s="155"/>
      <c r="L182" s="155"/>
      <c r="M182" s="155"/>
      <c r="N182" s="160"/>
    </row>
    <row r="183" spans="1:14">
      <c r="A183" s="159"/>
      <c r="B183" s="155"/>
      <c r="C183" s="155"/>
      <c r="D183" s="155"/>
      <c r="E183" s="155"/>
      <c r="F183" s="155"/>
      <c r="G183" s="155"/>
      <c r="H183" s="155"/>
      <c r="I183" s="155" t="str">
        <f t="shared" si="10"/>
        <v/>
      </c>
      <c r="J183" s="174" t="str">
        <f t="shared" si="11"/>
        <v/>
      </c>
      <c r="K183" s="155"/>
      <c r="L183" s="155"/>
      <c r="M183" s="155"/>
      <c r="N183" s="160"/>
    </row>
    <row r="184" spans="1:14">
      <c r="A184" s="159"/>
      <c r="B184" s="155"/>
      <c r="C184" s="155"/>
      <c r="D184" s="155"/>
      <c r="E184" s="155"/>
      <c r="F184" s="155"/>
      <c r="G184" s="155"/>
      <c r="H184" s="155"/>
      <c r="I184" s="155" t="str">
        <f t="shared" si="10"/>
        <v/>
      </c>
      <c r="J184" s="174" t="str">
        <f t="shared" si="11"/>
        <v/>
      </c>
      <c r="K184" s="155"/>
      <c r="L184" s="155"/>
      <c r="M184" s="155"/>
      <c r="N184" s="160"/>
    </row>
    <row r="185" spans="1:14">
      <c r="A185" s="159"/>
      <c r="B185" s="155"/>
      <c r="C185" s="155"/>
      <c r="D185" s="155"/>
      <c r="E185" s="155"/>
      <c r="F185" s="155"/>
      <c r="G185" s="155"/>
      <c r="H185" s="155"/>
      <c r="I185" s="155" t="str">
        <f t="shared" si="10"/>
        <v/>
      </c>
      <c r="J185" s="174" t="str">
        <f t="shared" si="11"/>
        <v/>
      </c>
      <c r="K185" s="155"/>
      <c r="L185" s="155"/>
      <c r="M185" s="155"/>
      <c r="N185" s="160"/>
    </row>
    <row r="186" spans="1:14">
      <c r="A186" s="159"/>
      <c r="B186" s="155"/>
      <c r="C186" s="155"/>
      <c r="D186" s="155"/>
      <c r="E186" s="155"/>
      <c r="F186" s="155"/>
      <c r="G186" s="155"/>
      <c r="H186" s="155"/>
      <c r="I186" s="155" t="str">
        <f t="shared" si="10"/>
        <v/>
      </c>
      <c r="J186" s="174" t="str">
        <f t="shared" si="11"/>
        <v/>
      </c>
      <c r="K186" s="155"/>
      <c r="L186" s="155"/>
      <c r="M186" s="155"/>
      <c r="N186" s="160"/>
    </row>
    <row r="187" spans="1:14">
      <c r="A187" s="159"/>
      <c r="B187" s="155"/>
      <c r="C187" s="155"/>
      <c r="D187" s="155"/>
      <c r="E187" s="155"/>
      <c r="F187" s="155"/>
      <c r="G187" s="155"/>
      <c r="H187" s="155"/>
      <c r="I187" s="155" t="str">
        <f t="shared" si="10"/>
        <v/>
      </c>
      <c r="J187" s="174" t="str">
        <f t="shared" si="11"/>
        <v/>
      </c>
      <c r="K187" s="155"/>
      <c r="L187" s="155"/>
      <c r="M187" s="155"/>
      <c r="N187" s="160"/>
    </row>
    <row r="188" spans="1:14">
      <c r="A188" s="159"/>
      <c r="B188" s="155"/>
      <c r="C188" s="155"/>
      <c r="D188" s="155"/>
      <c r="E188" s="155"/>
      <c r="F188" s="155"/>
      <c r="G188" s="155"/>
      <c r="H188" s="155"/>
      <c r="I188" s="155" t="str">
        <f t="shared" si="10"/>
        <v/>
      </c>
      <c r="J188" s="174" t="str">
        <f t="shared" si="11"/>
        <v/>
      </c>
      <c r="K188" s="155"/>
      <c r="L188" s="155"/>
      <c r="M188" s="155"/>
      <c r="N188" s="160"/>
    </row>
    <row r="189" spans="1:14">
      <c r="A189" s="159"/>
      <c r="B189" s="155"/>
      <c r="C189" s="155"/>
      <c r="D189" s="155"/>
      <c r="E189" s="155"/>
      <c r="F189" s="155"/>
      <c r="G189" s="155"/>
      <c r="H189" s="155"/>
      <c r="I189" s="155" t="str">
        <f t="shared" si="10"/>
        <v/>
      </c>
      <c r="J189" s="174" t="str">
        <f t="shared" si="11"/>
        <v/>
      </c>
      <c r="K189" s="155"/>
      <c r="L189" s="155"/>
      <c r="M189" s="155"/>
      <c r="N189" s="160"/>
    </row>
    <row r="190" spans="1:14">
      <c r="A190" s="159"/>
      <c r="B190" s="155"/>
      <c r="C190" s="155"/>
      <c r="D190" s="155"/>
      <c r="E190" s="155"/>
      <c r="F190" s="155"/>
      <c r="G190" s="155"/>
      <c r="H190" s="155"/>
      <c r="I190" s="155" t="str">
        <f t="shared" si="10"/>
        <v/>
      </c>
      <c r="J190" s="174" t="str">
        <f t="shared" si="11"/>
        <v/>
      </c>
      <c r="K190" s="155"/>
      <c r="L190" s="155"/>
      <c r="M190" s="155"/>
      <c r="N190" s="160"/>
    </row>
    <row r="191" spans="1:14">
      <c r="A191" s="159"/>
      <c r="B191" s="155"/>
      <c r="C191" s="155"/>
      <c r="D191" s="155"/>
      <c r="E191" s="155"/>
      <c r="F191" s="155"/>
      <c r="G191" s="155"/>
      <c r="H191" s="155"/>
      <c r="I191" s="155" t="str">
        <f t="shared" si="10"/>
        <v/>
      </c>
      <c r="J191" s="174" t="str">
        <f t="shared" si="11"/>
        <v/>
      </c>
      <c r="K191" s="155"/>
      <c r="L191" s="155"/>
      <c r="M191" s="155"/>
      <c r="N191" s="160"/>
    </row>
    <row r="192" spans="1:14">
      <c r="A192" s="159"/>
      <c r="B192" s="155"/>
      <c r="C192" s="155"/>
      <c r="D192" s="155"/>
      <c r="E192" s="155"/>
      <c r="F192" s="155"/>
      <c r="G192" s="155"/>
      <c r="H192" s="155"/>
      <c r="I192" s="155" t="str">
        <f t="shared" si="10"/>
        <v/>
      </c>
      <c r="J192" s="174" t="str">
        <f t="shared" si="11"/>
        <v/>
      </c>
      <c r="K192" s="155"/>
      <c r="L192" s="155"/>
      <c r="M192" s="155"/>
      <c r="N192" s="160"/>
    </row>
    <row r="193" spans="1:14">
      <c r="A193" s="159"/>
      <c r="B193" s="155"/>
      <c r="C193" s="155"/>
      <c r="D193" s="155"/>
      <c r="E193" s="155"/>
      <c r="F193" s="155"/>
      <c r="G193" s="155"/>
      <c r="H193" s="155"/>
      <c r="I193" s="155" t="str">
        <f t="shared" si="10"/>
        <v/>
      </c>
      <c r="J193" s="174" t="str">
        <f t="shared" si="11"/>
        <v/>
      </c>
      <c r="K193" s="155"/>
      <c r="L193" s="155"/>
      <c r="M193" s="155"/>
      <c r="N193" s="160"/>
    </row>
    <row r="194" spans="1:14">
      <c r="A194" s="159"/>
      <c r="B194" s="155"/>
      <c r="C194" s="155"/>
      <c r="D194" s="155"/>
      <c r="E194" s="155"/>
      <c r="F194" s="155"/>
      <c r="G194" s="155"/>
      <c r="H194" s="155"/>
      <c r="I194" s="155" t="str">
        <f t="shared" si="10"/>
        <v/>
      </c>
      <c r="J194" s="174" t="str">
        <f t="shared" si="11"/>
        <v/>
      </c>
      <c r="K194" s="155"/>
      <c r="L194" s="155"/>
      <c r="M194" s="155"/>
      <c r="N194" s="160"/>
    </row>
    <row r="195" spans="1:14">
      <c r="A195" s="159"/>
      <c r="B195" s="155"/>
      <c r="C195" s="155"/>
      <c r="D195" s="155"/>
      <c r="E195" s="155"/>
      <c r="F195" s="155"/>
      <c r="G195" s="155"/>
      <c r="H195" s="155"/>
      <c r="I195" s="155" t="str">
        <f t="shared" si="10"/>
        <v/>
      </c>
      <c r="J195" s="174" t="str">
        <f t="shared" si="11"/>
        <v/>
      </c>
      <c r="K195" s="155"/>
      <c r="L195" s="155"/>
      <c r="M195" s="155"/>
      <c r="N195" s="160"/>
    </row>
    <row r="196" spans="1:14">
      <c r="A196" s="159"/>
      <c r="B196" s="155"/>
      <c r="C196" s="155"/>
      <c r="D196" s="155"/>
      <c r="E196" s="155"/>
      <c r="F196" s="155"/>
      <c r="G196" s="155"/>
      <c r="H196" s="155"/>
      <c r="I196" s="155" t="str">
        <f t="shared" si="10"/>
        <v/>
      </c>
      <c r="J196" s="174" t="str">
        <f t="shared" si="11"/>
        <v/>
      </c>
      <c r="K196" s="155"/>
      <c r="L196" s="155"/>
      <c r="M196" s="155"/>
      <c r="N196" s="160"/>
    </row>
    <row r="197" spans="1:14">
      <c r="A197" s="159"/>
      <c r="B197" s="155"/>
      <c r="C197" s="155"/>
      <c r="D197" s="155"/>
      <c r="E197" s="155"/>
      <c r="F197" s="155"/>
      <c r="G197" s="155"/>
      <c r="H197" s="155"/>
      <c r="I197" s="155" t="str">
        <f t="shared" si="10"/>
        <v/>
      </c>
      <c r="J197" s="174" t="str">
        <f t="shared" si="11"/>
        <v/>
      </c>
      <c r="K197" s="155"/>
      <c r="L197" s="155"/>
      <c r="M197" s="155"/>
      <c r="N197" s="160"/>
    </row>
    <row r="198" spans="1:14">
      <c r="A198" s="159"/>
      <c r="B198" s="155"/>
      <c r="C198" s="155"/>
      <c r="D198" s="155"/>
      <c r="E198" s="155"/>
      <c r="F198" s="155"/>
      <c r="G198" s="155"/>
      <c r="H198" s="155"/>
      <c r="I198" s="155" t="str">
        <f t="shared" si="10"/>
        <v/>
      </c>
      <c r="J198" s="174" t="str">
        <f t="shared" si="11"/>
        <v/>
      </c>
      <c r="K198" s="155"/>
      <c r="L198" s="155"/>
      <c r="M198" s="155"/>
      <c r="N198" s="160"/>
    </row>
    <row r="199" spans="1:14">
      <c r="A199" s="159"/>
      <c r="B199" s="155"/>
      <c r="C199" s="155"/>
      <c r="D199" s="155"/>
      <c r="E199" s="155"/>
      <c r="F199" s="155"/>
      <c r="G199" s="155"/>
      <c r="H199" s="155"/>
      <c r="I199" s="155" t="str">
        <f t="shared" ref="I199:I206" si="12">IF(OR(F199="",G199=""),"",IF(AND(ISNUMBER(F199),ISNUMBER(G199)),G199-F199,""))</f>
        <v/>
      </c>
      <c r="J199" s="174" t="str">
        <f t="shared" ref="J199:J230" si="13">IFERROR(I199/ABS(F199),"")</f>
        <v/>
      </c>
      <c r="K199" s="155"/>
      <c r="L199" s="155"/>
      <c r="M199" s="155"/>
      <c r="N199" s="160"/>
    </row>
    <row r="200" spans="1:14">
      <c r="A200" s="159"/>
      <c r="B200" s="155"/>
      <c r="C200" s="155"/>
      <c r="D200" s="155"/>
      <c r="E200" s="155"/>
      <c r="F200" s="155"/>
      <c r="G200" s="155"/>
      <c r="H200" s="155"/>
      <c r="I200" s="155" t="str">
        <f t="shared" si="12"/>
        <v/>
      </c>
      <c r="J200" s="174" t="str">
        <f t="shared" si="13"/>
        <v/>
      </c>
      <c r="K200" s="155"/>
      <c r="L200" s="155"/>
      <c r="M200" s="155"/>
      <c r="N200" s="160"/>
    </row>
    <row r="201" spans="1:14">
      <c r="A201" s="159"/>
      <c r="B201" s="155"/>
      <c r="C201" s="155"/>
      <c r="D201" s="155"/>
      <c r="E201" s="155"/>
      <c r="F201" s="155"/>
      <c r="G201" s="155"/>
      <c r="H201" s="155"/>
      <c r="I201" s="155" t="str">
        <f t="shared" si="12"/>
        <v/>
      </c>
      <c r="J201" s="174" t="str">
        <f t="shared" si="13"/>
        <v/>
      </c>
      <c r="K201" s="155"/>
      <c r="L201" s="155"/>
      <c r="M201" s="155"/>
      <c r="N201" s="160"/>
    </row>
    <row r="202" spans="1:14">
      <c r="A202" s="159"/>
      <c r="B202" s="155"/>
      <c r="C202" s="155"/>
      <c r="D202" s="155"/>
      <c r="E202" s="155"/>
      <c r="F202" s="155"/>
      <c r="G202" s="155"/>
      <c r="H202" s="155"/>
      <c r="I202" s="155" t="str">
        <f t="shared" si="12"/>
        <v/>
      </c>
      <c r="J202" s="174" t="str">
        <f t="shared" si="13"/>
        <v/>
      </c>
      <c r="K202" s="155"/>
      <c r="L202" s="155"/>
      <c r="M202" s="155"/>
      <c r="N202" s="160"/>
    </row>
    <row r="203" spans="1:14">
      <c r="A203" s="159"/>
      <c r="B203" s="155"/>
      <c r="C203" s="155"/>
      <c r="D203" s="155"/>
      <c r="E203" s="155"/>
      <c r="F203" s="155"/>
      <c r="G203" s="155"/>
      <c r="H203" s="155"/>
      <c r="I203" s="155" t="str">
        <f t="shared" si="12"/>
        <v/>
      </c>
      <c r="J203" s="174" t="str">
        <f t="shared" si="13"/>
        <v/>
      </c>
      <c r="K203" s="155"/>
      <c r="L203" s="155"/>
      <c r="M203" s="155"/>
      <c r="N203" s="160"/>
    </row>
    <row r="204" spans="1:14">
      <c r="A204" s="159"/>
      <c r="B204" s="155"/>
      <c r="C204" s="155"/>
      <c r="D204" s="155"/>
      <c r="E204" s="155"/>
      <c r="F204" s="155"/>
      <c r="G204" s="155"/>
      <c r="H204" s="155"/>
      <c r="I204" s="155" t="str">
        <f t="shared" si="12"/>
        <v/>
      </c>
      <c r="J204" s="174" t="str">
        <f t="shared" si="13"/>
        <v/>
      </c>
      <c r="K204" s="155"/>
      <c r="L204" s="155"/>
      <c r="M204" s="155"/>
      <c r="N204" s="160"/>
    </row>
    <row r="205" spans="1:14">
      <c r="A205" s="159"/>
      <c r="B205" s="155"/>
      <c r="C205" s="155"/>
      <c r="D205" s="155"/>
      <c r="E205" s="155"/>
      <c r="F205" s="155"/>
      <c r="G205" s="155"/>
      <c r="H205" s="155"/>
      <c r="I205" s="155" t="str">
        <f t="shared" si="12"/>
        <v/>
      </c>
      <c r="J205" s="174" t="str">
        <f t="shared" si="13"/>
        <v/>
      </c>
      <c r="K205" s="155"/>
      <c r="L205" s="155"/>
      <c r="M205" s="155"/>
      <c r="N205" s="160"/>
    </row>
    <row r="206" spans="1:14">
      <c r="A206" s="161"/>
      <c r="B206" s="162"/>
      <c r="C206" s="162"/>
      <c r="D206" s="162"/>
      <c r="E206" s="162"/>
      <c r="F206" s="162"/>
      <c r="G206" s="162"/>
      <c r="H206" s="162"/>
      <c r="I206" s="162" t="str">
        <f t="shared" si="12"/>
        <v/>
      </c>
      <c r="J206" s="175" t="str">
        <f t="shared" si="13"/>
        <v/>
      </c>
      <c r="K206" s="162"/>
      <c r="L206" s="162"/>
      <c r="M206" s="162"/>
      <c r="N206" s="163"/>
    </row>
  </sheetData>
  <mergeCells count="2">
    <mergeCell ref="A1:N1"/>
    <mergeCell ref="A2:N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06"/>
  <sheetViews>
    <sheetView workbookViewId="0"/>
  </sheetViews>
  <sheetFormatPr defaultRowHeight="14.25"/>
  <cols>
    <col min="1" max="1" width="18" customWidth="1"/>
    <col min="2" max="2" width="22" customWidth="1"/>
    <col min="3" max="3" width="16" customWidth="1"/>
    <col min="4" max="4" width="18" customWidth="1"/>
    <col min="5" max="5" width="24" customWidth="1"/>
    <col min="6" max="6" width="28" customWidth="1"/>
    <col min="7" max="8" width="18" customWidth="1"/>
    <col min="9" max="10" width="14" customWidth="1"/>
    <col min="11" max="11" width="42" customWidth="1"/>
    <col min="12" max="13" width="18" customWidth="1"/>
    <col min="14" max="14" width="48" customWidth="1"/>
  </cols>
  <sheetData>
    <row r="1" spans="1:14" ht="24" customHeight="1">
      <c r="A1" s="268" t="s">
        <v>1340</v>
      </c>
      <c r="B1" s="268"/>
      <c r="C1" s="268"/>
      <c r="D1" s="268"/>
      <c r="E1" s="268"/>
      <c r="F1" s="268"/>
      <c r="G1" s="268"/>
      <c r="H1" s="268"/>
      <c r="I1" s="268"/>
      <c r="J1" s="268"/>
      <c r="K1" s="268"/>
      <c r="L1" s="268"/>
      <c r="M1" s="268"/>
      <c r="N1" s="268"/>
    </row>
    <row r="2" spans="1:14">
      <c r="A2" s="269" t="s">
        <v>1341</v>
      </c>
      <c r="B2" s="269"/>
      <c r="C2" s="269"/>
      <c r="D2" s="269"/>
      <c r="E2" s="269"/>
      <c r="F2" s="269"/>
      <c r="G2" s="269"/>
      <c r="H2" s="269"/>
      <c r="I2" s="269"/>
      <c r="J2" s="269"/>
      <c r="K2" s="269"/>
      <c r="L2" s="269"/>
      <c r="M2" s="269"/>
      <c r="N2" s="269"/>
    </row>
    <row r="6" spans="1:14">
      <c r="A6" s="171" t="s">
        <v>1342</v>
      </c>
      <c r="B6" s="172" t="s">
        <v>1319</v>
      </c>
      <c r="C6" s="172" t="s">
        <v>1332</v>
      </c>
      <c r="D6" s="172" t="s">
        <v>1333</v>
      </c>
      <c r="E6" s="172" t="s">
        <v>1343</v>
      </c>
      <c r="F6" s="172" t="s">
        <v>1344</v>
      </c>
      <c r="G6" s="172" t="s">
        <v>1335</v>
      </c>
      <c r="H6" s="172" t="s">
        <v>1336</v>
      </c>
      <c r="I6" s="172" t="s">
        <v>1345</v>
      </c>
      <c r="J6" s="172" t="s">
        <v>1158</v>
      </c>
      <c r="K6" s="172" t="s">
        <v>1346</v>
      </c>
      <c r="L6" s="172" t="s">
        <v>301</v>
      </c>
      <c r="M6" s="172" t="s">
        <v>94</v>
      </c>
      <c r="N6" s="173" t="s">
        <v>309</v>
      </c>
    </row>
    <row r="7" spans="1:14">
      <c r="A7" s="159"/>
      <c r="B7" s="155"/>
      <c r="C7" s="155"/>
      <c r="D7" s="155"/>
      <c r="E7" s="155"/>
      <c r="F7" s="155"/>
      <c r="G7" s="155"/>
      <c r="H7" s="155"/>
      <c r="I7" s="155"/>
      <c r="J7" s="155"/>
      <c r="K7" s="155"/>
      <c r="L7" s="155"/>
      <c r="M7" s="155"/>
      <c r="N7" s="160"/>
    </row>
    <row r="8" spans="1:14">
      <c r="A8" s="159"/>
      <c r="B8" s="155"/>
      <c r="C8" s="155"/>
      <c r="D8" s="155"/>
      <c r="E8" s="155"/>
      <c r="F8" s="155"/>
      <c r="G8" s="155"/>
      <c r="H8" s="155"/>
      <c r="I8" s="155"/>
      <c r="J8" s="155"/>
      <c r="K8" s="155"/>
      <c r="L8" s="155"/>
      <c r="M8" s="155"/>
      <c r="N8" s="160"/>
    </row>
    <row r="9" spans="1:14">
      <c r="A9" s="159"/>
      <c r="B9" s="155"/>
      <c r="C9" s="155"/>
      <c r="D9" s="155"/>
      <c r="E9" s="155"/>
      <c r="F9" s="155"/>
      <c r="G9" s="155"/>
      <c r="H9" s="155"/>
      <c r="I9" s="155"/>
      <c r="J9" s="155"/>
      <c r="K9" s="155"/>
      <c r="L9" s="155"/>
      <c r="M9" s="155"/>
      <c r="N9" s="160"/>
    </row>
    <row r="10" spans="1:14">
      <c r="A10" s="159"/>
      <c r="B10" s="155"/>
      <c r="C10" s="155"/>
      <c r="D10" s="155"/>
      <c r="E10" s="155"/>
      <c r="F10" s="155"/>
      <c r="G10" s="155"/>
      <c r="H10" s="155"/>
      <c r="I10" s="155"/>
      <c r="J10" s="155"/>
      <c r="K10" s="155"/>
      <c r="L10" s="155"/>
      <c r="M10" s="155"/>
      <c r="N10" s="160"/>
    </row>
    <row r="11" spans="1:14">
      <c r="A11" s="159"/>
      <c r="B11" s="155"/>
      <c r="C11" s="155"/>
      <c r="D11" s="155"/>
      <c r="E11" s="155"/>
      <c r="F11" s="155"/>
      <c r="G11" s="155"/>
      <c r="H11" s="155"/>
      <c r="I11" s="155"/>
      <c r="J11" s="155"/>
      <c r="K11" s="155"/>
      <c r="L11" s="155"/>
      <c r="M11" s="155"/>
      <c r="N11" s="160"/>
    </row>
    <row r="12" spans="1:14">
      <c r="A12" s="159"/>
      <c r="B12" s="155"/>
      <c r="C12" s="155"/>
      <c r="D12" s="155"/>
      <c r="E12" s="155"/>
      <c r="F12" s="155"/>
      <c r="G12" s="155"/>
      <c r="H12" s="155"/>
      <c r="I12" s="155"/>
      <c r="J12" s="155"/>
      <c r="K12" s="155"/>
      <c r="L12" s="155"/>
      <c r="M12" s="155"/>
      <c r="N12" s="160"/>
    </row>
    <row r="13" spans="1:14">
      <c r="A13" s="159"/>
      <c r="B13" s="155"/>
      <c r="C13" s="155"/>
      <c r="D13" s="155"/>
      <c r="E13" s="155"/>
      <c r="F13" s="155"/>
      <c r="G13" s="155"/>
      <c r="H13" s="155"/>
      <c r="I13" s="155"/>
      <c r="J13" s="155"/>
      <c r="K13" s="155"/>
      <c r="L13" s="155"/>
      <c r="M13" s="155"/>
      <c r="N13" s="160"/>
    </row>
    <row r="14" spans="1:14">
      <c r="A14" s="159"/>
      <c r="B14" s="155"/>
      <c r="C14" s="155"/>
      <c r="D14" s="155"/>
      <c r="E14" s="155"/>
      <c r="F14" s="155"/>
      <c r="G14" s="155"/>
      <c r="H14" s="155"/>
      <c r="I14" s="155"/>
      <c r="J14" s="155"/>
      <c r="K14" s="155"/>
      <c r="L14" s="155"/>
      <c r="M14" s="155"/>
      <c r="N14" s="160"/>
    </row>
    <row r="15" spans="1:14">
      <c r="A15" s="159"/>
      <c r="B15" s="155"/>
      <c r="C15" s="155"/>
      <c r="D15" s="155"/>
      <c r="E15" s="155"/>
      <c r="F15" s="155"/>
      <c r="G15" s="155"/>
      <c r="H15" s="155"/>
      <c r="I15" s="155"/>
      <c r="J15" s="155"/>
      <c r="K15" s="155"/>
      <c r="L15" s="155"/>
      <c r="M15" s="155"/>
      <c r="N15" s="160"/>
    </row>
    <row r="16" spans="1:14">
      <c r="A16" s="159"/>
      <c r="B16" s="155"/>
      <c r="C16" s="155"/>
      <c r="D16" s="155"/>
      <c r="E16" s="155"/>
      <c r="F16" s="155"/>
      <c r="G16" s="155"/>
      <c r="H16" s="155"/>
      <c r="I16" s="155"/>
      <c r="J16" s="155"/>
      <c r="K16" s="155"/>
      <c r="L16" s="155"/>
      <c r="M16" s="155"/>
      <c r="N16" s="160"/>
    </row>
    <row r="17" spans="1:14">
      <c r="A17" s="159"/>
      <c r="B17" s="155"/>
      <c r="C17" s="155"/>
      <c r="D17" s="155"/>
      <c r="E17" s="155"/>
      <c r="F17" s="155"/>
      <c r="G17" s="155"/>
      <c r="H17" s="155"/>
      <c r="I17" s="155"/>
      <c r="J17" s="155"/>
      <c r="K17" s="155"/>
      <c r="L17" s="155"/>
      <c r="M17" s="155"/>
      <c r="N17" s="160"/>
    </row>
    <row r="18" spans="1:14">
      <c r="A18" s="159"/>
      <c r="B18" s="155"/>
      <c r="C18" s="155"/>
      <c r="D18" s="155"/>
      <c r="E18" s="155"/>
      <c r="F18" s="155"/>
      <c r="G18" s="155"/>
      <c r="H18" s="155"/>
      <c r="I18" s="155"/>
      <c r="J18" s="155"/>
      <c r="K18" s="155"/>
      <c r="L18" s="155"/>
      <c r="M18" s="155"/>
      <c r="N18" s="160"/>
    </row>
    <row r="19" spans="1:14">
      <c r="A19" s="159"/>
      <c r="B19" s="155"/>
      <c r="C19" s="155"/>
      <c r="D19" s="155"/>
      <c r="E19" s="155"/>
      <c r="F19" s="155"/>
      <c r="G19" s="155"/>
      <c r="H19" s="155"/>
      <c r="I19" s="155"/>
      <c r="J19" s="155"/>
      <c r="K19" s="155"/>
      <c r="L19" s="155"/>
      <c r="M19" s="155"/>
      <c r="N19" s="160"/>
    </row>
    <row r="20" spans="1:14">
      <c r="A20" s="159"/>
      <c r="B20" s="155"/>
      <c r="C20" s="155"/>
      <c r="D20" s="155"/>
      <c r="E20" s="155"/>
      <c r="F20" s="155"/>
      <c r="G20" s="155"/>
      <c r="H20" s="155"/>
      <c r="I20" s="155"/>
      <c r="J20" s="155"/>
      <c r="K20" s="155"/>
      <c r="L20" s="155"/>
      <c r="M20" s="155"/>
      <c r="N20" s="160"/>
    </row>
    <row r="21" spans="1:14">
      <c r="A21" s="159"/>
      <c r="B21" s="155"/>
      <c r="C21" s="155"/>
      <c r="D21" s="155"/>
      <c r="E21" s="155"/>
      <c r="F21" s="155"/>
      <c r="G21" s="155"/>
      <c r="H21" s="155"/>
      <c r="I21" s="155"/>
      <c r="J21" s="155"/>
      <c r="K21" s="155"/>
      <c r="L21" s="155"/>
      <c r="M21" s="155"/>
      <c r="N21" s="160"/>
    </row>
    <row r="22" spans="1:14">
      <c r="A22" s="159"/>
      <c r="B22" s="155"/>
      <c r="C22" s="155"/>
      <c r="D22" s="155"/>
      <c r="E22" s="155"/>
      <c r="F22" s="155"/>
      <c r="G22" s="155"/>
      <c r="H22" s="155"/>
      <c r="I22" s="155"/>
      <c r="J22" s="155"/>
      <c r="K22" s="155"/>
      <c r="L22" s="155"/>
      <c r="M22" s="155"/>
      <c r="N22" s="160"/>
    </row>
    <row r="23" spans="1:14">
      <c r="A23" s="159"/>
      <c r="B23" s="155"/>
      <c r="C23" s="155"/>
      <c r="D23" s="155"/>
      <c r="E23" s="155"/>
      <c r="F23" s="155"/>
      <c r="G23" s="155"/>
      <c r="H23" s="155"/>
      <c r="I23" s="155"/>
      <c r="J23" s="155"/>
      <c r="K23" s="155"/>
      <c r="L23" s="155"/>
      <c r="M23" s="155"/>
      <c r="N23" s="160"/>
    </row>
    <row r="24" spans="1:14">
      <c r="A24" s="159"/>
      <c r="B24" s="155"/>
      <c r="C24" s="155"/>
      <c r="D24" s="155"/>
      <c r="E24" s="155"/>
      <c r="F24" s="155"/>
      <c r="G24" s="155"/>
      <c r="H24" s="155"/>
      <c r="I24" s="155"/>
      <c r="J24" s="155"/>
      <c r="K24" s="155"/>
      <c r="L24" s="155"/>
      <c r="M24" s="155"/>
      <c r="N24" s="160"/>
    </row>
    <row r="25" spans="1:14">
      <c r="A25" s="159"/>
      <c r="B25" s="155"/>
      <c r="C25" s="155"/>
      <c r="D25" s="155"/>
      <c r="E25" s="155"/>
      <c r="F25" s="155"/>
      <c r="G25" s="155"/>
      <c r="H25" s="155"/>
      <c r="I25" s="155"/>
      <c r="J25" s="155"/>
      <c r="K25" s="155"/>
      <c r="L25" s="155"/>
      <c r="M25" s="155"/>
      <c r="N25" s="160"/>
    </row>
    <row r="26" spans="1:14">
      <c r="A26" s="159"/>
      <c r="B26" s="155"/>
      <c r="C26" s="155"/>
      <c r="D26" s="155"/>
      <c r="E26" s="155"/>
      <c r="F26" s="155"/>
      <c r="G26" s="155"/>
      <c r="H26" s="155"/>
      <c r="I26" s="155"/>
      <c r="J26" s="155"/>
      <c r="K26" s="155"/>
      <c r="L26" s="155"/>
      <c r="M26" s="155"/>
      <c r="N26" s="160"/>
    </row>
    <row r="27" spans="1:14">
      <c r="A27" s="159"/>
      <c r="B27" s="155"/>
      <c r="C27" s="155"/>
      <c r="D27" s="155"/>
      <c r="E27" s="155"/>
      <c r="F27" s="155"/>
      <c r="G27" s="155"/>
      <c r="H27" s="155"/>
      <c r="I27" s="155"/>
      <c r="J27" s="155"/>
      <c r="K27" s="155"/>
      <c r="L27" s="155"/>
      <c r="M27" s="155"/>
      <c r="N27" s="160"/>
    </row>
    <row r="28" spans="1:14">
      <c r="A28" s="159"/>
      <c r="B28" s="155"/>
      <c r="C28" s="155"/>
      <c r="D28" s="155"/>
      <c r="E28" s="155"/>
      <c r="F28" s="155"/>
      <c r="G28" s="155"/>
      <c r="H28" s="155"/>
      <c r="I28" s="155"/>
      <c r="J28" s="155"/>
      <c r="K28" s="155"/>
      <c r="L28" s="155"/>
      <c r="M28" s="155"/>
      <c r="N28" s="160"/>
    </row>
    <row r="29" spans="1:14">
      <c r="A29" s="159"/>
      <c r="B29" s="155"/>
      <c r="C29" s="155"/>
      <c r="D29" s="155"/>
      <c r="E29" s="155"/>
      <c r="F29" s="155"/>
      <c r="G29" s="155"/>
      <c r="H29" s="155"/>
      <c r="I29" s="155"/>
      <c r="J29" s="155"/>
      <c r="K29" s="155"/>
      <c r="L29" s="155"/>
      <c r="M29" s="155"/>
      <c r="N29" s="160"/>
    </row>
    <row r="30" spans="1:14">
      <c r="A30" s="159"/>
      <c r="B30" s="155"/>
      <c r="C30" s="155"/>
      <c r="D30" s="155"/>
      <c r="E30" s="155"/>
      <c r="F30" s="155"/>
      <c r="G30" s="155"/>
      <c r="H30" s="155"/>
      <c r="I30" s="155"/>
      <c r="J30" s="155"/>
      <c r="K30" s="155"/>
      <c r="L30" s="155"/>
      <c r="M30" s="155"/>
      <c r="N30" s="160"/>
    </row>
    <row r="31" spans="1:14">
      <c r="A31" s="159"/>
      <c r="B31" s="155"/>
      <c r="C31" s="155"/>
      <c r="D31" s="155"/>
      <c r="E31" s="155"/>
      <c r="F31" s="155"/>
      <c r="G31" s="155"/>
      <c r="H31" s="155"/>
      <c r="I31" s="155"/>
      <c r="J31" s="155"/>
      <c r="K31" s="155"/>
      <c r="L31" s="155"/>
      <c r="M31" s="155"/>
      <c r="N31" s="160"/>
    </row>
    <row r="32" spans="1:14">
      <c r="A32" s="159"/>
      <c r="B32" s="155"/>
      <c r="C32" s="155"/>
      <c r="D32" s="155"/>
      <c r="E32" s="155"/>
      <c r="F32" s="155"/>
      <c r="G32" s="155"/>
      <c r="H32" s="155"/>
      <c r="I32" s="155"/>
      <c r="J32" s="155"/>
      <c r="K32" s="155"/>
      <c r="L32" s="155"/>
      <c r="M32" s="155"/>
      <c r="N32" s="160"/>
    </row>
    <row r="33" spans="1:14">
      <c r="A33" s="159"/>
      <c r="B33" s="155"/>
      <c r="C33" s="155"/>
      <c r="D33" s="155"/>
      <c r="E33" s="155"/>
      <c r="F33" s="155"/>
      <c r="G33" s="155"/>
      <c r="H33" s="155"/>
      <c r="I33" s="155"/>
      <c r="J33" s="155"/>
      <c r="K33" s="155"/>
      <c r="L33" s="155"/>
      <c r="M33" s="155"/>
      <c r="N33" s="160"/>
    </row>
    <row r="34" spans="1:14">
      <c r="A34" s="159"/>
      <c r="B34" s="155"/>
      <c r="C34" s="155"/>
      <c r="D34" s="155"/>
      <c r="E34" s="155"/>
      <c r="F34" s="155"/>
      <c r="G34" s="155"/>
      <c r="H34" s="155"/>
      <c r="I34" s="155"/>
      <c r="J34" s="155"/>
      <c r="K34" s="155"/>
      <c r="L34" s="155"/>
      <c r="M34" s="155"/>
      <c r="N34" s="160"/>
    </row>
    <row r="35" spans="1:14">
      <c r="A35" s="159"/>
      <c r="B35" s="155"/>
      <c r="C35" s="155"/>
      <c r="D35" s="155"/>
      <c r="E35" s="155"/>
      <c r="F35" s="155"/>
      <c r="G35" s="155"/>
      <c r="H35" s="155"/>
      <c r="I35" s="155"/>
      <c r="J35" s="155"/>
      <c r="K35" s="155"/>
      <c r="L35" s="155"/>
      <c r="M35" s="155"/>
      <c r="N35" s="160"/>
    </row>
    <row r="36" spans="1:14">
      <c r="A36" s="159"/>
      <c r="B36" s="155"/>
      <c r="C36" s="155"/>
      <c r="D36" s="155"/>
      <c r="E36" s="155"/>
      <c r="F36" s="155"/>
      <c r="G36" s="155"/>
      <c r="H36" s="155"/>
      <c r="I36" s="155"/>
      <c r="J36" s="155"/>
      <c r="K36" s="155"/>
      <c r="L36" s="155"/>
      <c r="M36" s="155"/>
      <c r="N36" s="160"/>
    </row>
    <row r="37" spans="1:14">
      <c r="A37" s="159"/>
      <c r="B37" s="155"/>
      <c r="C37" s="155"/>
      <c r="D37" s="155"/>
      <c r="E37" s="155"/>
      <c r="F37" s="155"/>
      <c r="G37" s="155"/>
      <c r="H37" s="155"/>
      <c r="I37" s="155"/>
      <c r="J37" s="155"/>
      <c r="K37" s="155"/>
      <c r="L37" s="155"/>
      <c r="M37" s="155"/>
      <c r="N37" s="160"/>
    </row>
    <row r="38" spans="1:14">
      <c r="A38" s="159"/>
      <c r="B38" s="155"/>
      <c r="C38" s="155"/>
      <c r="D38" s="155"/>
      <c r="E38" s="155"/>
      <c r="F38" s="155"/>
      <c r="G38" s="155"/>
      <c r="H38" s="155"/>
      <c r="I38" s="155"/>
      <c r="J38" s="155"/>
      <c r="K38" s="155"/>
      <c r="L38" s="155"/>
      <c r="M38" s="155"/>
      <c r="N38" s="160"/>
    </row>
    <row r="39" spans="1:14">
      <c r="A39" s="159"/>
      <c r="B39" s="155"/>
      <c r="C39" s="155"/>
      <c r="D39" s="155"/>
      <c r="E39" s="155"/>
      <c r="F39" s="155"/>
      <c r="G39" s="155"/>
      <c r="H39" s="155"/>
      <c r="I39" s="155"/>
      <c r="J39" s="155"/>
      <c r="K39" s="155"/>
      <c r="L39" s="155"/>
      <c r="M39" s="155"/>
      <c r="N39" s="160"/>
    </row>
    <row r="40" spans="1:14">
      <c r="A40" s="159"/>
      <c r="B40" s="155"/>
      <c r="C40" s="155"/>
      <c r="D40" s="155"/>
      <c r="E40" s="155"/>
      <c r="F40" s="155"/>
      <c r="G40" s="155"/>
      <c r="H40" s="155"/>
      <c r="I40" s="155"/>
      <c r="J40" s="155"/>
      <c r="K40" s="155"/>
      <c r="L40" s="155"/>
      <c r="M40" s="155"/>
      <c r="N40" s="160"/>
    </row>
    <row r="41" spans="1:14">
      <c r="A41" s="159"/>
      <c r="B41" s="155"/>
      <c r="C41" s="155"/>
      <c r="D41" s="155"/>
      <c r="E41" s="155"/>
      <c r="F41" s="155"/>
      <c r="G41" s="155"/>
      <c r="H41" s="155"/>
      <c r="I41" s="155"/>
      <c r="J41" s="155"/>
      <c r="K41" s="155"/>
      <c r="L41" s="155"/>
      <c r="M41" s="155"/>
      <c r="N41" s="160"/>
    </row>
    <row r="42" spans="1:14">
      <c r="A42" s="159"/>
      <c r="B42" s="155"/>
      <c r="C42" s="155"/>
      <c r="D42" s="155"/>
      <c r="E42" s="155"/>
      <c r="F42" s="155"/>
      <c r="G42" s="155"/>
      <c r="H42" s="155"/>
      <c r="I42" s="155"/>
      <c r="J42" s="155"/>
      <c r="K42" s="155"/>
      <c r="L42" s="155"/>
      <c r="M42" s="155"/>
      <c r="N42" s="160"/>
    </row>
    <row r="43" spans="1:14">
      <c r="A43" s="159"/>
      <c r="B43" s="155"/>
      <c r="C43" s="155"/>
      <c r="D43" s="155"/>
      <c r="E43" s="155"/>
      <c r="F43" s="155"/>
      <c r="G43" s="155"/>
      <c r="H43" s="155"/>
      <c r="I43" s="155"/>
      <c r="J43" s="155"/>
      <c r="K43" s="155"/>
      <c r="L43" s="155"/>
      <c r="M43" s="155"/>
      <c r="N43" s="160"/>
    </row>
    <row r="44" spans="1:14">
      <c r="A44" s="159"/>
      <c r="B44" s="155"/>
      <c r="C44" s="155"/>
      <c r="D44" s="155"/>
      <c r="E44" s="155"/>
      <c r="F44" s="155"/>
      <c r="G44" s="155"/>
      <c r="H44" s="155"/>
      <c r="I44" s="155"/>
      <c r="J44" s="155"/>
      <c r="K44" s="155"/>
      <c r="L44" s="155"/>
      <c r="M44" s="155"/>
      <c r="N44" s="160"/>
    </row>
    <row r="45" spans="1:14">
      <c r="A45" s="159"/>
      <c r="B45" s="155"/>
      <c r="C45" s="155"/>
      <c r="D45" s="155"/>
      <c r="E45" s="155"/>
      <c r="F45" s="155"/>
      <c r="G45" s="155"/>
      <c r="H45" s="155"/>
      <c r="I45" s="155"/>
      <c r="J45" s="155"/>
      <c r="K45" s="155"/>
      <c r="L45" s="155"/>
      <c r="M45" s="155"/>
      <c r="N45" s="160"/>
    </row>
    <row r="46" spans="1:14">
      <c r="A46" s="159"/>
      <c r="B46" s="155"/>
      <c r="C46" s="155"/>
      <c r="D46" s="155"/>
      <c r="E46" s="155"/>
      <c r="F46" s="155"/>
      <c r="G46" s="155"/>
      <c r="H46" s="155"/>
      <c r="I46" s="155"/>
      <c r="J46" s="155"/>
      <c r="K46" s="155"/>
      <c r="L46" s="155"/>
      <c r="M46" s="155"/>
      <c r="N46" s="160"/>
    </row>
    <row r="47" spans="1:14">
      <c r="A47" s="159"/>
      <c r="B47" s="155"/>
      <c r="C47" s="155"/>
      <c r="D47" s="155"/>
      <c r="E47" s="155"/>
      <c r="F47" s="155"/>
      <c r="G47" s="155"/>
      <c r="H47" s="155"/>
      <c r="I47" s="155"/>
      <c r="J47" s="155"/>
      <c r="K47" s="155"/>
      <c r="L47" s="155"/>
      <c r="M47" s="155"/>
      <c r="N47" s="160"/>
    </row>
    <row r="48" spans="1:14">
      <c r="A48" s="159"/>
      <c r="B48" s="155"/>
      <c r="C48" s="155"/>
      <c r="D48" s="155"/>
      <c r="E48" s="155"/>
      <c r="F48" s="155"/>
      <c r="G48" s="155"/>
      <c r="H48" s="155"/>
      <c r="I48" s="155"/>
      <c r="J48" s="155"/>
      <c r="K48" s="155"/>
      <c r="L48" s="155"/>
      <c r="M48" s="155"/>
      <c r="N48" s="160"/>
    </row>
    <row r="49" spans="1:14">
      <c r="A49" s="159"/>
      <c r="B49" s="155"/>
      <c r="C49" s="155"/>
      <c r="D49" s="155"/>
      <c r="E49" s="155"/>
      <c r="F49" s="155"/>
      <c r="G49" s="155"/>
      <c r="H49" s="155"/>
      <c r="I49" s="155"/>
      <c r="J49" s="155"/>
      <c r="K49" s="155"/>
      <c r="L49" s="155"/>
      <c r="M49" s="155"/>
      <c r="N49" s="160"/>
    </row>
    <row r="50" spans="1:14">
      <c r="A50" s="159"/>
      <c r="B50" s="155"/>
      <c r="C50" s="155"/>
      <c r="D50" s="155"/>
      <c r="E50" s="155"/>
      <c r="F50" s="155"/>
      <c r="G50" s="155"/>
      <c r="H50" s="155"/>
      <c r="I50" s="155"/>
      <c r="J50" s="155"/>
      <c r="K50" s="155"/>
      <c r="L50" s="155"/>
      <c r="M50" s="155"/>
      <c r="N50" s="160"/>
    </row>
    <row r="51" spans="1:14">
      <c r="A51" s="159"/>
      <c r="B51" s="155"/>
      <c r="C51" s="155"/>
      <c r="D51" s="155"/>
      <c r="E51" s="155"/>
      <c r="F51" s="155"/>
      <c r="G51" s="155"/>
      <c r="H51" s="155"/>
      <c r="I51" s="155"/>
      <c r="J51" s="155"/>
      <c r="K51" s="155"/>
      <c r="L51" s="155"/>
      <c r="M51" s="155"/>
      <c r="N51" s="160"/>
    </row>
    <row r="52" spans="1:14">
      <c r="A52" s="159"/>
      <c r="B52" s="155"/>
      <c r="C52" s="155"/>
      <c r="D52" s="155"/>
      <c r="E52" s="155"/>
      <c r="F52" s="155"/>
      <c r="G52" s="155"/>
      <c r="H52" s="155"/>
      <c r="I52" s="155"/>
      <c r="J52" s="155"/>
      <c r="K52" s="155"/>
      <c r="L52" s="155"/>
      <c r="M52" s="155"/>
      <c r="N52" s="160"/>
    </row>
    <row r="53" spans="1:14">
      <c r="A53" s="159"/>
      <c r="B53" s="155"/>
      <c r="C53" s="155"/>
      <c r="D53" s="155"/>
      <c r="E53" s="155"/>
      <c r="F53" s="155"/>
      <c r="G53" s="155"/>
      <c r="H53" s="155"/>
      <c r="I53" s="155"/>
      <c r="J53" s="155"/>
      <c r="K53" s="155"/>
      <c r="L53" s="155"/>
      <c r="M53" s="155"/>
      <c r="N53" s="160"/>
    </row>
    <row r="54" spans="1:14">
      <c r="A54" s="159"/>
      <c r="B54" s="155"/>
      <c r="C54" s="155"/>
      <c r="D54" s="155"/>
      <c r="E54" s="155"/>
      <c r="F54" s="155"/>
      <c r="G54" s="155"/>
      <c r="H54" s="155"/>
      <c r="I54" s="155"/>
      <c r="J54" s="155"/>
      <c r="K54" s="155"/>
      <c r="L54" s="155"/>
      <c r="M54" s="155"/>
      <c r="N54" s="160"/>
    </row>
    <row r="55" spans="1:14">
      <c r="A55" s="159"/>
      <c r="B55" s="155"/>
      <c r="C55" s="155"/>
      <c r="D55" s="155"/>
      <c r="E55" s="155"/>
      <c r="F55" s="155"/>
      <c r="G55" s="155"/>
      <c r="H55" s="155"/>
      <c r="I55" s="155"/>
      <c r="J55" s="155"/>
      <c r="K55" s="155"/>
      <c r="L55" s="155"/>
      <c r="M55" s="155"/>
      <c r="N55" s="160"/>
    </row>
    <row r="56" spans="1:14">
      <c r="A56" s="159"/>
      <c r="B56" s="155"/>
      <c r="C56" s="155"/>
      <c r="D56" s="155"/>
      <c r="E56" s="155"/>
      <c r="F56" s="155"/>
      <c r="G56" s="155"/>
      <c r="H56" s="155"/>
      <c r="I56" s="155"/>
      <c r="J56" s="155"/>
      <c r="K56" s="155"/>
      <c r="L56" s="155"/>
      <c r="M56" s="155"/>
      <c r="N56" s="160"/>
    </row>
    <row r="57" spans="1:14">
      <c r="A57" s="159"/>
      <c r="B57" s="155"/>
      <c r="C57" s="155"/>
      <c r="D57" s="155"/>
      <c r="E57" s="155"/>
      <c r="F57" s="155"/>
      <c r="G57" s="155"/>
      <c r="H57" s="155"/>
      <c r="I57" s="155"/>
      <c r="J57" s="155"/>
      <c r="K57" s="155"/>
      <c r="L57" s="155"/>
      <c r="M57" s="155"/>
      <c r="N57" s="160"/>
    </row>
    <row r="58" spans="1:14">
      <c r="A58" s="159"/>
      <c r="B58" s="155"/>
      <c r="C58" s="155"/>
      <c r="D58" s="155"/>
      <c r="E58" s="155"/>
      <c r="F58" s="155"/>
      <c r="G58" s="155"/>
      <c r="H58" s="155"/>
      <c r="I58" s="155"/>
      <c r="J58" s="155"/>
      <c r="K58" s="155"/>
      <c r="L58" s="155"/>
      <c r="M58" s="155"/>
      <c r="N58" s="160"/>
    </row>
    <row r="59" spans="1:14">
      <c r="A59" s="159"/>
      <c r="B59" s="155"/>
      <c r="C59" s="155"/>
      <c r="D59" s="155"/>
      <c r="E59" s="155"/>
      <c r="F59" s="155"/>
      <c r="G59" s="155"/>
      <c r="H59" s="155"/>
      <c r="I59" s="155"/>
      <c r="J59" s="155"/>
      <c r="K59" s="155"/>
      <c r="L59" s="155"/>
      <c r="M59" s="155"/>
      <c r="N59" s="160"/>
    </row>
    <row r="60" spans="1:14">
      <c r="A60" s="159"/>
      <c r="B60" s="155"/>
      <c r="C60" s="155"/>
      <c r="D60" s="155"/>
      <c r="E60" s="155"/>
      <c r="F60" s="155"/>
      <c r="G60" s="155"/>
      <c r="H60" s="155"/>
      <c r="I60" s="155"/>
      <c r="J60" s="155"/>
      <c r="K60" s="155"/>
      <c r="L60" s="155"/>
      <c r="M60" s="155"/>
      <c r="N60" s="160"/>
    </row>
    <row r="61" spans="1:14">
      <c r="A61" s="159"/>
      <c r="B61" s="155"/>
      <c r="C61" s="155"/>
      <c r="D61" s="155"/>
      <c r="E61" s="155"/>
      <c r="F61" s="155"/>
      <c r="G61" s="155"/>
      <c r="H61" s="155"/>
      <c r="I61" s="155"/>
      <c r="J61" s="155"/>
      <c r="K61" s="155"/>
      <c r="L61" s="155"/>
      <c r="M61" s="155"/>
      <c r="N61" s="160"/>
    </row>
    <row r="62" spans="1:14">
      <c r="A62" s="159"/>
      <c r="B62" s="155"/>
      <c r="C62" s="155"/>
      <c r="D62" s="155"/>
      <c r="E62" s="155"/>
      <c r="F62" s="155"/>
      <c r="G62" s="155"/>
      <c r="H62" s="155"/>
      <c r="I62" s="155"/>
      <c r="J62" s="155"/>
      <c r="K62" s="155"/>
      <c r="L62" s="155"/>
      <c r="M62" s="155"/>
      <c r="N62" s="160"/>
    </row>
    <row r="63" spans="1:14">
      <c r="A63" s="159"/>
      <c r="B63" s="155"/>
      <c r="C63" s="155"/>
      <c r="D63" s="155"/>
      <c r="E63" s="155"/>
      <c r="F63" s="155"/>
      <c r="G63" s="155"/>
      <c r="H63" s="155"/>
      <c r="I63" s="155"/>
      <c r="J63" s="155"/>
      <c r="K63" s="155"/>
      <c r="L63" s="155"/>
      <c r="M63" s="155"/>
      <c r="N63" s="160"/>
    </row>
    <row r="64" spans="1:14">
      <c r="A64" s="159"/>
      <c r="B64" s="155"/>
      <c r="C64" s="155"/>
      <c r="D64" s="155"/>
      <c r="E64" s="155"/>
      <c r="F64" s="155"/>
      <c r="G64" s="155"/>
      <c r="H64" s="155"/>
      <c r="I64" s="155"/>
      <c r="J64" s="155"/>
      <c r="K64" s="155"/>
      <c r="L64" s="155"/>
      <c r="M64" s="155"/>
      <c r="N64" s="160"/>
    </row>
    <row r="65" spans="1:14">
      <c r="A65" s="159"/>
      <c r="B65" s="155"/>
      <c r="C65" s="155"/>
      <c r="D65" s="155"/>
      <c r="E65" s="155"/>
      <c r="F65" s="155"/>
      <c r="G65" s="155"/>
      <c r="H65" s="155"/>
      <c r="I65" s="155"/>
      <c r="J65" s="155"/>
      <c r="K65" s="155"/>
      <c r="L65" s="155"/>
      <c r="M65" s="155"/>
      <c r="N65" s="160"/>
    </row>
    <row r="66" spans="1:14">
      <c r="A66" s="159"/>
      <c r="B66" s="155"/>
      <c r="C66" s="155"/>
      <c r="D66" s="155"/>
      <c r="E66" s="155"/>
      <c r="F66" s="155"/>
      <c r="G66" s="155"/>
      <c r="H66" s="155"/>
      <c r="I66" s="155"/>
      <c r="J66" s="155"/>
      <c r="K66" s="155"/>
      <c r="L66" s="155"/>
      <c r="M66" s="155"/>
      <c r="N66" s="160"/>
    </row>
    <row r="67" spans="1:14">
      <c r="A67" s="159"/>
      <c r="B67" s="155"/>
      <c r="C67" s="155"/>
      <c r="D67" s="155"/>
      <c r="E67" s="155"/>
      <c r="F67" s="155"/>
      <c r="G67" s="155"/>
      <c r="H67" s="155"/>
      <c r="I67" s="155"/>
      <c r="J67" s="155"/>
      <c r="K67" s="155"/>
      <c r="L67" s="155"/>
      <c r="M67" s="155"/>
      <c r="N67" s="160"/>
    </row>
    <row r="68" spans="1:14">
      <c r="A68" s="159"/>
      <c r="B68" s="155"/>
      <c r="C68" s="155"/>
      <c r="D68" s="155"/>
      <c r="E68" s="155"/>
      <c r="F68" s="155"/>
      <c r="G68" s="155"/>
      <c r="H68" s="155"/>
      <c r="I68" s="155"/>
      <c r="J68" s="155"/>
      <c r="K68" s="155"/>
      <c r="L68" s="155"/>
      <c r="M68" s="155"/>
      <c r="N68" s="160"/>
    </row>
    <row r="69" spans="1:14">
      <c r="A69" s="159"/>
      <c r="B69" s="155"/>
      <c r="C69" s="155"/>
      <c r="D69" s="155"/>
      <c r="E69" s="155"/>
      <c r="F69" s="155"/>
      <c r="G69" s="155"/>
      <c r="H69" s="155"/>
      <c r="I69" s="155"/>
      <c r="J69" s="155"/>
      <c r="K69" s="155"/>
      <c r="L69" s="155"/>
      <c r="M69" s="155"/>
      <c r="N69" s="160"/>
    </row>
    <row r="70" spans="1:14">
      <c r="A70" s="159"/>
      <c r="B70" s="155"/>
      <c r="C70" s="155"/>
      <c r="D70" s="155"/>
      <c r="E70" s="155"/>
      <c r="F70" s="155"/>
      <c r="G70" s="155"/>
      <c r="H70" s="155"/>
      <c r="I70" s="155"/>
      <c r="J70" s="155"/>
      <c r="K70" s="155"/>
      <c r="L70" s="155"/>
      <c r="M70" s="155"/>
      <c r="N70" s="160"/>
    </row>
    <row r="71" spans="1:14">
      <c r="A71" s="159"/>
      <c r="B71" s="155"/>
      <c r="C71" s="155"/>
      <c r="D71" s="155"/>
      <c r="E71" s="155"/>
      <c r="F71" s="155"/>
      <c r="G71" s="155"/>
      <c r="H71" s="155"/>
      <c r="I71" s="155"/>
      <c r="J71" s="155"/>
      <c r="K71" s="155"/>
      <c r="L71" s="155"/>
      <c r="M71" s="155"/>
      <c r="N71" s="160"/>
    </row>
    <row r="72" spans="1:14">
      <c r="A72" s="159"/>
      <c r="B72" s="155"/>
      <c r="C72" s="155"/>
      <c r="D72" s="155"/>
      <c r="E72" s="155"/>
      <c r="F72" s="155"/>
      <c r="G72" s="155"/>
      <c r="H72" s="155"/>
      <c r="I72" s="155"/>
      <c r="J72" s="155"/>
      <c r="K72" s="155"/>
      <c r="L72" s="155"/>
      <c r="M72" s="155"/>
      <c r="N72" s="160"/>
    </row>
    <row r="73" spans="1:14">
      <c r="A73" s="159"/>
      <c r="B73" s="155"/>
      <c r="C73" s="155"/>
      <c r="D73" s="155"/>
      <c r="E73" s="155"/>
      <c r="F73" s="155"/>
      <c r="G73" s="155"/>
      <c r="H73" s="155"/>
      <c r="I73" s="155"/>
      <c r="J73" s="155"/>
      <c r="K73" s="155"/>
      <c r="L73" s="155"/>
      <c r="M73" s="155"/>
      <c r="N73" s="160"/>
    </row>
    <row r="74" spans="1:14">
      <c r="A74" s="159"/>
      <c r="B74" s="155"/>
      <c r="C74" s="155"/>
      <c r="D74" s="155"/>
      <c r="E74" s="155"/>
      <c r="F74" s="155"/>
      <c r="G74" s="155"/>
      <c r="H74" s="155"/>
      <c r="I74" s="155"/>
      <c r="J74" s="155"/>
      <c r="K74" s="155"/>
      <c r="L74" s="155"/>
      <c r="M74" s="155"/>
      <c r="N74" s="160"/>
    </row>
    <row r="75" spans="1:14">
      <c r="A75" s="159"/>
      <c r="B75" s="155"/>
      <c r="C75" s="155"/>
      <c r="D75" s="155"/>
      <c r="E75" s="155"/>
      <c r="F75" s="155"/>
      <c r="G75" s="155"/>
      <c r="H75" s="155"/>
      <c r="I75" s="155"/>
      <c r="J75" s="155"/>
      <c r="K75" s="155"/>
      <c r="L75" s="155"/>
      <c r="M75" s="155"/>
      <c r="N75" s="160"/>
    </row>
    <row r="76" spans="1:14">
      <c r="A76" s="159"/>
      <c r="B76" s="155"/>
      <c r="C76" s="155"/>
      <c r="D76" s="155"/>
      <c r="E76" s="155"/>
      <c r="F76" s="155"/>
      <c r="G76" s="155"/>
      <c r="H76" s="155"/>
      <c r="I76" s="155"/>
      <c r="J76" s="155"/>
      <c r="K76" s="155"/>
      <c r="L76" s="155"/>
      <c r="M76" s="155"/>
      <c r="N76" s="160"/>
    </row>
    <row r="77" spans="1:14">
      <c r="A77" s="159"/>
      <c r="B77" s="155"/>
      <c r="C77" s="155"/>
      <c r="D77" s="155"/>
      <c r="E77" s="155"/>
      <c r="F77" s="155"/>
      <c r="G77" s="155"/>
      <c r="H77" s="155"/>
      <c r="I77" s="155"/>
      <c r="J77" s="155"/>
      <c r="K77" s="155"/>
      <c r="L77" s="155"/>
      <c r="M77" s="155"/>
      <c r="N77" s="160"/>
    </row>
    <row r="78" spans="1:14">
      <c r="A78" s="159"/>
      <c r="B78" s="155"/>
      <c r="C78" s="155"/>
      <c r="D78" s="155"/>
      <c r="E78" s="155"/>
      <c r="F78" s="155"/>
      <c r="G78" s="155"/>
      <c r="H78" s="155"/>
      <c r="I78" s="155"/>
      <c r="J78" s="155"/>
      <c r="K78" s="155"/>
      <c r="L78" s="155"/>
      <c r="M78" s="155"/>
      <c r="N78" s="160"/>
    </row>
    <row r="79" spans="1:14">
      <c r="A79" s="159"/>
      <c r="B79" s="155"/>
      <c r="C79" s="155"/>
      <c r="D79" s="155"/>
      <c r="E79" s="155"/>
      <c r="F79" s="155"/>
      <c r="G79" s="155"/>
      <c r="H79" s="155"/>
      <c r="I79" s="155"/>
      <c r="J79" s="155"/>
      <c r="K79" s="155"/>
      <c r="L79" s="155"/>
      <c r="M79" s="155"/>
      <c r="N79" s="160"/>
    </row>
    <row r="80" spans="1:14">
      <c r="A80" s="159"/>
      <c r="B80" s="155"/>
      <c r="C80" s="155"/>
      <c r="D80" s="155"/>
      <c r="E80" s="155"/>
      <c r="F80" s="155"/>
      <c r="G80" s="155"/>
      <c r="H80" s="155"/>
      <c r="I80" s="155"/>
      <c r="J80" s="155"/>
      <c r="K80" s="155"/>
      <c r="L80" s="155"/>
      <c r="M80" s="155"/>
      <c r="N80" s="160"/>
    </row>
    <row r="81" spans="1:14">
      <c r="A81" s="159"/>
      <c r="B81" s="155"/>
      <c r="C81" s="155"/>
      <c r="D81" s="155"/>
      <c r="E81" s="155"/>
      <c r="F81" s="155"/>
      <c r="G81" s="155"/>
      <c r="H81" s="155"/>
      <c r="I81" s="155"/>
      <c r="J81" s="155"/>
      <c r="K81" s="155"/>
      <c r="L81" s="155"/>
      <c r="M81" s="155"/>
      <c r="N81" s="160"/>
    </row>
    <row r="82" spans="1:14">
      <c r="A82" s="159"/>
      <c r="B82" s="155"/>
      <c r="C82" s="155"/>
      <c r="D82" s="155"/>
      <c r="E82" s="155"/>
      <c r="F82" s="155"/>
      <c r="G82" s="155"/>
      <c r="H82" s="155"/>
      <c r="I82" s="155"/>
      <c r="J82" s="155"/>
      <c r="K82" s="155"/>
      <c r="L82" s="155"/>
      <c r="M82" s="155"/>
      <c r="N82" s="160"/>
    </row>
    <row r="83" spans="1:14">
      <c r="A83" s="159"/>
      <c r="B83" s="155"/>
      <c r="C83" s="155"/>
      <c r="D83" s="155"/>
      <c r="E83" s="155"/>
      <c r="F83" s="155"/>
      <c r="G83" s="155"/>
      <c r="H83" s="155"/>
      <c r="I83" s="155"/>
      <c r="J83" s="155"/>
      <c r="K83" s="155"/>
      <c r="L83" s="155"/>
      <c r="M83" s="155"/>
      <c r="N83" s="160"/>
    </row>
    <row r="84" spans="1:14">
      <c r="A84" s="159"/>
      <c r="B84" s="155"/>
      <c r="C84" s="155"/>
      <c r="D84" s="155"/>
      <c r="E84" s="155"/>
      <c r="F84" s="155"/>
      <c r="G84" s="155"/>
      <c r="H84" s="155"/>
      <c r="I84" s="155"/>
      <c r="J84" s="155"/>
      <c r="K84" s="155"/>
      <c r="L84" s="155"/>
      <c r="M84" s="155"/>
      <c r="N84" s="160"/>
    </row>
    <row r="85" spans="1:14">
      <c r="A85" s="159"/>
      <c r="B85" s="155"/>
      <c r="C85" s="155"/>
      <c r="D85" s="155"/>
      <c r="E85" s="155"/>
      <c r="F85" s="155"/>
      <c r="G85" s="155"/>
      <c r="H85" s="155"/>
      <c r="I85" s="155"/>
      <c r="J85" s="155"/>
      <c r="K85" s="155"/>
      <c r="L85" s="155"/>
      <c r="M85" s="155"/>
      <c r="N85" s="160"/>
    </row>
    <row r="86" spans="1:14">
      <c r="A86" s="159"/>
      <c r="B86" s="155"/>
      <c r="C86" s="155"/>
      <c r="D86" s="155"/>
      <c r="E86" s="155"/>
      <c r="F86" s="155"/>
      <c r="G86" s="155"/>
      <c r="H86" s="155"/>
      <c r="I86" s="155"/>
      <c r="J86" s="155"/>
      <c r="K86" s="155"/>
      <c r="L86" s="155"/>
      <c r="M86" s="155"/>
      <c r="N86" s="160"/>
    </row>
    <row r="87" spans="1:14">
      <c r="A87" s="159"/>
      <c r="B87" s="155"/>
      <c r="C87" s="155"/>
      <c r="D87" s="155"/>
      <c r="E87" s="155"/>
      <c r="F87" s="155"/>
      <c r="G87" s="155"/>
      <c r="H87" s="155"/>
      <c r="I87" s="155"/>
      <c r="J87" s="155"/>
      <c r="K87" s="155"/>
      <c r="L87" s="155"/>
      <c r="M87" s="155"/>
      <c r="N87" s="160"/>
    </row>
    <row r="88" spans="1:14">
      <c r="A88" s="159"/>
      <c r="B88" s="155"/>
      <c r="C88" s="155"/>
      <c r="D88" s="155"/>
      <c r="E88" s="155"/>
      <c r="F88" s="155"/>
      <c r="G88" s="155"/>
      <c r="H88" s="155"/>
      <c r="I88" s="155"/>
      <c r="J88" s="155"/>
      <c r="K88" s="155"/>
      <c r="L88" s="155"/>
      <c r="M88" s="155"/>
      <c r="N88" s="160"/>
    </row>
    <row r="89" spans="1:14">
      <c r="A89" s="159"/>
      <c r="B89" s="155"/>
      <c r="C89" s="155"/>
      <c r="D89" s="155"/>
      <c r="E89" s="155"/>
      <c r="F89" s="155"/>
      <c r="G89" s="155"/>
      <c r="H89" s="155"/>
      <c r="I89" s="155"/>
      <c r="J89" s="155"/>
      <c r="K89" s="155"/>
      <c r="L89" s="155"/>
      <c r="M89" s="155"/>
      <c r="N89" s="160"/>
    </row>
    <row r="90" spans="1:14">
      <c r="A90" s="159"/>
      <c r="B90" s="155"/>
      <c r="C90" s="155"/>
      <c r="D90" s="155"/>
      <c r="E90" s="155"/>
      <c r="F90" s="155"/>
      <c r="G90" s="155"/>
      <c r="H90" s="155"/>
      <c r="I90" s="155"/>
      <c r="J90" s="155"/>
      <c r="K90" s="155"/>
      <c r="L90" s="155"/>
      <c r="M90" s="155"/>
      <c r="N90" s="160"/>
    </row>
    <row r="91" spans="1:14">
      <c r="A91" s="159"/>
      <c r="B91" s="155"/>
      <c r="C91" s="155"/>
      <c r="D91" s="155"/>
      <c r="E91" s="155"/>
      <c r="F91" s="155"/>
      <c r="G91" s="155"/>
      <c r="H91" s="155"/>
      <c r="I91" s="155"/>
      <c r="J91" s="155"/>
      <c r="K91" s="155"/>
      <c r="L91" s="155"/>
      <c r="M91" s="155"/>
      <c r="N91" s="160"/>
    </row>
    <row r="92" spans="1:14">
      <c r="A92" s="159"/>
      <c r="B92" s="155"/>
      <c r="C92" s="155"/>
      <c r="D92" s="155"/>
      <c r="E92" s="155"/>
      <c r="F92" s="155"/>
      <c r="G92" s="155"/>
      <c r="H92" s="155"/>
      <c r="I92" s="155"/>
      <c r="J92" s="155"/>
      <c r="K92" s="155"/>
      <c r="L92" s="155"/>
      <c r="M92" s="155"/>
      <c r="N92" s="160"/>
    </row>
    <row r="93" spans="1:14">
      <c r="A93" s="159"/>
      <c r="B93" s="155"/>
      <c r="C93" s="155"/>
      <c r="D93" s="155"/>
      <c r="E93" s="155"/>
      <c r="F93" s="155"/>
      <c r="G93" s="155"/>
      <c r="H93" s="155"/>
      <c r="I93" s="155"/>
      <c r="J93" s="155"/>
      <c r="K93" s="155"/>
      <c r="L93" s="155"/>
      <c r="M93" s="155"/>
      <c r="N93" s="160"/>
    </row>
    <row r="94" spans="1:14">
      <c r="A94" s="159"/>
      <c r="B94" s="155"/>
      <c r="C94" s="155"/>
      <c r="D94" s="155"/>
      <c r="E94" s="155"/>
      <c r="F94" s="155"/>
      <c r="G94" s="155"/>
      <c r="H94" s="155"/>
      <c r="I94" s="155"/>
      <c r="J94" s="155"/>
      <c r="K94" s="155"/>
      <c r="L94" s="155"/>
      <c r="M94" s="155"/>
      <c r="N94" s="160"/>
    </row>
    <row r="95" spans="1:14">
      <c r="A95" s="159"/>
      <c r="B95" s="155"/>
      <c r="C95" s="155"/>
      <c r="D95" s="155"/>
      <c r="E95" s="155"/>
      <c r="F95" s="155"/>
      <c r="G95" s="155"/>
      <c r="H95" s="155"/>
      <c r="I95" s="155"/>
      <c r="J95" s="155"/>
      <c r="K95" s="155"/>
      <c r="L95" s="155"/>
      <c r="M95" s="155"/>
      <c r="N95" s="160"/>
    </row>
    <row r="96" spans="1:14">
      <c r="A96" s="159"/>
      <c r="B96" s="155"/>
      <c r="C96" s="155"/>
      <c r="D96" s="155"/>
      <c r="E96" s="155"/>
      <c r="F96" s="155"/>
      <c r="G96" s="155"/>
      <c r="H96" s="155"/>
      <c r="I96" s="155"/>
      <c r="J96" s="155"/>
      <c r="K96" s="155"/>
      <c r="L96" s="155"/>
      <c r="M96" s="155"/>
      <c r="N96" s="160"/>
    </row>
    <row r="97" spans="1:14">
      <c r="A97" s="159"/>
      <c r="B97" s="155"/>
      <c r="C97" s="155"/>
      <c r="D97" s="155"/>
      <c r="E97" s="155"/>
      <c r="F97" s="155"/>
      <c r="G97" s="155"/>
      <c r="H97" s="155"/>
      <c r="I97" s="155"/>
      <c r="J97" s="155"/>
      <c r="K97" s="155"/>
      <c r="L97" s="155"/>
      <c r="M97" s="155"/>
      <c r="N97" s="160"/>
    </row>
    <row r="98" spans="1:14">
      <c r="A98" s="159"/>
      <c r="B98" s="155"/>
      <c r="C98" s="155"/>
      <c r="D98" s="155"/>
      <c r="E98" s="155"/>
      <c r="F98" s="155"/>
      <c r="G98" s="155"/>
      <c r="H98" s="155"/>
      <c r="I98" s="155"/>
      <c r="J98" s="155"/>
      <c r="K98" s="155"/>
      <c r="L98" s="155"/>
      <c r="M98" s="155"/>
      <c r="N98" s="160"/>
    </row>
    <row r="99" spans="1:14">
      <c r="A99" s="159"/>
      <c r="B99" s="155"/>
      <c r="C99" s="155"/>
      <c r="D99" s="155"/>
      <c r="E99" s="155"/>
      <c r="F99" s="155"/>
      <c r="G99" s="155"/>
      <c r="H99" s="155"/>
      <c r="I99" s="155"/>
      <c r="J99" s="155"/>
      <c r="K99" s="155"/>
      <c r="L99" s="155"/>
      <c r="M99" s="155"/>
      <c r="N99" s="160"/>
    </row>
    <row r="100" spans="1:14">
      <c r="A100" s="159"/>
      <c r="B100" s="155"/>
      <c r="C100" s="155"/>
      <c r="D100" s="155"/>
      <c r="E100" s="155"/>
      <c r="F100" s="155"/>
      <c r="G100" s="155"/>
      <c r="H100" s="155"/>
      <c r="I100" s="155"/>
      <c r="J100" s="155"/>
      <c r="K100" s="155"/>
      <c r="L100" s="155"/>
      <c r="M100" s="155"/>
      <c r="N100" s="160"/>
    </row>
    <row r="101" spans="1:14">
      <c r="A101" s="159"/>
      <c r="B101" s="155"/>
      <c r="C101" s="155"/>
      <c r="D101" s="155"/>
      <c r="E101" s="155"/>
      <c r="F101" s="155"/>
      <c r="G101" s="155"/>
      <c r="H101" s="155"/>
      <c r="I101" s="155"/>
      <c r="J101" s="155"/>
      <c r="K101" s="155"/>
      <c r="L101" s="155"/>
      <c r="M101" s="155"/>
      <c r="N101" s="160"/>
    </row>
    <row r="102" spans="1:14">
      <c r="A102" s="159"/>
      <c r="B102" s="155"/>
      <c r="C102" s="155"/>
      <c r="D102" s="155"/>
      <c r="E102" s="155"/>
      <c r="F102" s="155"/>
      <c r="G102" s="155"/>
      <c r="H102" s="155"/>
      <c r="I102" s="155"/>
      <c r="J102" s="155"/>
      <c r="K102" s="155"/>
      <c r="L102" s="155"/>
      <c r="M102" s="155"/>
      <c r="N102" s="160"/>
    </row>
    <row r="103" spans="1:14">
      <c r="A103" s="159"/>
      <c r="B103" s="155"/>
      <c r="C103" s="155"/>
      <c r="D103" s="155"/>
      <c r="E103" s="155"/>
      <c r="F103" s="155"/>
      <c r="G103" s="155"/>
      <c r="H103" s="155"/>
      <c r="I103" s="155"/>
      <c r="J103" s="155"/>
      <c r="K103" s="155"/>
      <c r="L103" s="155"/>
      <c r="M103" s="155"/>
      <c r="N103" s="160"/>
    </row>
    <row r="104" spans="1:14">
      <c r="A104" s="159"/>
      <c r="B104" s="155"/>
      <c r="C104" s="155"/>
      <c r="D104" s="155"/>
      <c r="E104" s="155"/>
      <c r="F104" s="155"/>
      <c r="G104" s="155"/>
      <c r="H104" s="155"/>
      <c r="I104" s="155"/>
      <c r="J104" s="155"/>
      <c r="K104" s="155"/>
      <c r="L104" s="155"/>
      <c r="M104" s="155"/>
      <c r="N104" s="160"/>
    </row>
    <row r="105" spans="1:14">
      <c r="A105" s="159"/>
      <c r="B105" s="155"/>
      <c r="C105" s="155"/>
      <c r="D105" s="155"/>
      <c r="E105" s="155"/>
      <c r="F105" s="155"/>
      <c r="G105" s="155"/>
      <c r="H105" s="155"/>
      <c r="I105" s="155"/>
      <c r="J105" s="155"/>
      <c r="K105" s="155"/>
      <c r="L105" s="155"/>
      <c r="M105" s="155"/>
      <c r="N105" s="160"/>
    </row>
    <row r="106" spans="1:14">
      <c r="A106" s="159"/>
      <c r="B106" s="155"/>
      <c r="C106" s="155"/>
      <c r="D106" s="155"/>
      <c r="E106" s="155"/>
      <c r="F106" s="155"/>
      <c r="G106" s="155"/>
      <c r="H106" s="155"/>
      <c r="I106" s="155"/>
      <c r="J106" s="155"/>
      <c r="K106" s="155"/>
      <c r="L106" s="155"/>
      <c r="M106" s="155"/>
      <c r="N106" s="160"/>
    </row>
    <row r="107" spans="1:14">
      <c r="A107" s="159"/>
      <c r="B107" s="155"/>
      <c r="C107" s="155"/>
      <c r="D107" s="155"/>
      <c r="E107" s="155"/>
      <c r="F107" s="155"/>
      <c r="G107" s="155"/>
      <c r="H107" s="155"/>
      <c r="I107" s="155"/>
      <c r="J107" s="155"/>
      <c r="K107" s="155"/>
      <c r="L107" s="155"/>
      <c r="M107" s="155"/>
      <c r="N107" s="160"/>
    </row>
    <row r="108" spans="1:14">
      <c r="A108" s="159"/>
      <c r="B108" s="155"/>
      <c r="C108" s="155"/>
      <c r="D108" s="155"/>
      <c r="E108" s="155"/>
      <c r="F108" s="155"/>
      <c r="G108" s="155"/>
      <c r="H108" s="155"/>
      <c r="I108" s="155"/>
      <c r="J108" s="155"/>
      <c r="K108" s="155"/>
      <c r="L108" s="155"/>
      <c r="M108" s="155"/>
      <c r="N108" s="160"/>
    </row>
    <row r="109" spans="1:14">
      <c r="A109" s="159"/>
      <c r="B109" s="155"/>
      <c r="C109" s="155"/>
      <c r="D109" s="155"/>
      <c r="E109" s="155"/>
      <c r="F109" s="155"/>
      <c r="G109" s="155"/>
      <c r="H109" s="155"/>
      <c r="I109" s="155"/>
      <c r="J109" s="155"/>
      <c r="K109" s="155"/>
      <c r="L109" s="155"/>
      <c r="M109" s="155"/>
      <c r="N109" s="160"/>
    </row>
    <row r="110" spans="1:14">
      <c r="A110" s="159"/>
      <c r="B110" s="155"/>
      <c r="C110" s="155"/>
      <c r="D110" s="155"/>
      <c r="E110" s="155"/>
      <c r="F110" s="155"/>
      <c r="G110" s="155"/>
      <c r="H110" s="155"/>
      <c r="I110" s="155"/>
      <c r="J110" s="155"/>
      <c r="K110" s="155"/>
      <c r="L110" s="155"/>
      <c r="M110" s="155"/>
      <c r="N110" s="160"/>
    </row>
    <row r="111" spans="1:14">
      <c r="A111" s="159"/>
      <c r="B111" s="155"/>
      <c r="C111" s="155"/>
      <c r="D111" s="155"/>
      <c r="E111" s="155"/>
      <c r="F111" s="155"/>
      <c r="G111" s="155"/>
      <c r="H111" s="155"/>
      <c r="I111" s="155"/>
      <c r="J111" s="155"/>
      <c r="K111" s="155"/>
      <c r="L111" s="155"/>
      <c r="M111" s="155"/>
      <c r="N111" s="160"/>
    </row>
    <row r="112" spans="1:14">
      <c r="A112" s="159"/>
      <c r="B112" s="155"/>
      <c r="C112" s="155"/>
      <c r="D112" s="155"/>
      <c r="E112" s="155"/>
      <c r="F112" s="155"/>
      <c r="G112" s="155"/>
      <c r="H112" s="155"/>
      <c r="I112" s="155"/>
      <c r="J112" s="155"/>
      <c r="K112" s="155"/>
      <c r="L112" s="155"/>
      <c r="M112" s="155"/>
      <c r="N112" s="160"/>
    </row>
    <row r="113" spans="1:14">
      <c r="A113" s="159"/>
      <c r="B113" s="155"/>
      <c r="C113" s="155"/>
      <c r="D113" s="155"/>
      <c r="E113" s="155"/>
      <c r="F113" s="155"/>
      <c r="G113" s="155"/>
      <c r="H113" s="155"/>
      <c r="I113" s="155"/>
      <c r="J113" s="155"/>
      <c r="K113" s="155"/>
      <c r="L113" s="155"/>
      <c r="M113" s="155"/>
      <c r="N113" s="160"/>
    </row>
    <row r="114" spans="1:14">
      <c r="A114" s="159"/>
      <c r="B114" s="155"/>
      <c r="C114" s="155"/>
      <c r="D114" s="155"/>
      <c r="E114" s="155"/>
      <c r="F114" s="155"/>
      <c r="G114" s="155"/>
      <c r="H114" s="155"/>
      <c r="I114" s="155"/>
      <c r="J114" s="155"/>
      <c r="K114" s="155"/>
      <c r="L114" s="155"/>
      <c r="M114" s="155"/>
      <c r="N114" s="160"/>
    </row>
    <row r="115" spans="1:14">
      <c r="A115" s="159"/>
      <c r="B115" s="155"/>
      <c r="C115" s="155"/>
      <c r="D115" s="155"/>
      <c r="E115" s="155"/>
      <c r="F115" s="155"/>
      <c r="G115" s="155"/>
      <c r="H115" s="155"/>
      <c r="I115" s="155"/>
      <c r="J115" s="155"/>
      <c r="K115" s="155"/>
      <c r="L115" s="155"/>
      <c r="M115" s="155"/>
      <c r="N115" s="160"/>
    </row>
    <row r="116" spans="1:14">
      <c r="A116" s="159"/>
      <c r="B116" s="155"/>
      <c r="C116" s="155"/>
      <c r="D116" s="155"/>
      <c r="E116" s="155"/>
      <c r="F116" s="155"/>
      <c r="G116" s="155"/>
      <c r="H116" s="155"/>
      <c r="I116" s="155"/>
      <c r="J116" s="155"/>
      <c r="K116" s="155"/>
      <c r="L116" s="155"/>
      <c r="M116" s="155"/>
      <c r="N116" s="160"/>
    </row>
    <row r="117" spans="1:14">
      <c r="A117" s="159"/>
      <c r="B117" s="155"/>
      <c r="C117" s="155"/>
      <c r="D117" s="155"/>
      <c r="E117" s="155"/>
      <c r="F117" s="155"/>
      <c r="G117" s="155"/>
      <c r="H117" s="155"/>
      <c r="I117" s="155"/>
      <c r="J117" s="155"/>
      <c r="K117" s="155"/>
      <c r="L117" s="155"/>
      <c r="M117" s="155"/>
      <c r="N117" s="160"/>
    </row>
    <row r="118" spans="1:14">
      <c r="A118" s="159"/>
      <c r="B118" s="155"/>
      <c r="C118" s="155"/>
      <c r="D118" s="155"/>
      <c r="E118" s="155"/>
      <c r="F118" s="155"/>
      <c r="G118" s="155"/>
      <c r="H118" s="155"/>
      <c r="I118" s="155"/>
      <c r="J118" s="155"/>
      <c r="K118" s="155"/>
      <c r="L118" s="155"/>
      <c r="M118" s="155"/>
      <c r="N118" s="160"/>
    </row>
    <row r="119" spans="1:14">
      <c r="A119" s="159"/>
      <c r="B119" s="155"/>
      <c r="C119" s="155"/>
      <c r="D119" s="155"/>
      <c r="E119" s="155"/>
      <c r="F119" s="155"/>
      <c r="G119" s="155"/>
      <c r="H119" s="155"/>
      <c r="I119" s="155"/>
      <c r="J119" s="155"/>
      <c r="K119" s="155"/>
      <c r="L119" s="155"/>
      <c r="M119" s="155"/>
      <c r="N119" s="160"/>
    </row>
    <row r="120" spans="1:14">
      <c r="A120" s="159"/>
      <c r="B120" s="155"/>
      <c r="C120" s="155"/>
      <c r="D120" s="155"/>
      <c r="E120" s="155"/>
      <c r="F120" s="155"/>
      <c r="G120" s="155"/>
      <c r="H120" s="155"/>
      <c r="I120" s="155"/>
      <c r="J120" s="155"/>
      <c r="K120" s="155"/>
      <c r="L120" s="155"/>
      <c r="M120" s="155"/>
      <c r="N120" s="160"/>
    </row>
    <row r="121" spans="1:14">
      <c r="A121" s="159"/>
      <c r="B121" s="155"/>
      <c r="C121" s="155"/>
      <c r="D121" s="155"/>
      <c r="E121" s="155"/>
      <c r="F121" s="155"/>
      <c r="G121" s="155"/>
      <c r="H121" s="155"/>
      <c r="I121" s="155"/>
      <c r="J121" s="155"/>
      <c r="K121" s="155"/>
      <c r="L121" s="155"/>
      <c r="M121" s="155"/>
      <c r="N121" s="160"/>
    </row>
    <row r="122" spans="1:14">
      <c r="A122" s="159"/>
      <c r="B122" s="155"/>
      <c r="C122" s="155"/>
      <c r="D122" s="155"/>
      <c r="E122" s="155"/>
      <c r="F122" s="155"/>
      <c r="G122" s="155"/>
      <c r="H122" s="155"/>
      <c r="I122" s="155"/>
      <c r="J122" s="155"/>
      <c r="K122" s="155"/>
      <c r="L122" s="155"/>
      <c r="M122" s="155"/>
      <c r="N122" s="160"/>
    </row>
    <row r="123" spans="1:14">
      <c r="A123" s="159"/>
      <c r="B123" s="155"/>
      <c r="C123" s="155"/>
      <c r="D123" s="155"/>
      <c r="E123" s="155"/>
      <c r="F123" s="155"/>
      <c r="G123" s="155"/>
      <c r="H123" s="155"/>
      <c r="I123" s="155"/>
      <c r="J123" s="155"/>
      <c r="K123" s="155"/>
      <c r="L123" s="155"/>
      <c r="M123" s="155"/>
      <c r="N123" s="160"/>
    </row>
    <row r="124" spans="1:14">
      <c r="A124" s="159"/>
      <c r="B124" s="155"/>
      <c r="C124" s="155"/>
      <c r="D124" s="155"/>
      <c r="E124" s="155"/>
      <c r="F124" s="155"/>
      <c r="G124" s="155"/>
      <c r="H124" s="155"/>
      <c r="I124" s="155"/>
      <c r="J124" s="155"/>
      <c r="K124" s="155"/>
      <c r="L124" s="155"/>
      <c r="M124" s="155"/>
      <c r="N124" s="160"/>
    </row>
    <row r="125" spans="1:14">
      <c r="A125" s="159"/>
      <c r="B125" s="155"/>
      <c r="C125" s="155"/>
      <c r="D125" s="155"/>
      <c r="E125" s="155"/>
      <c r="F125" s="155"/>
      <c r="G125" s="155"/>
      <c r="H125" s="155"/>
      <c r="I125" s="155"/>
      <c r="J125" s="155"/>
      <c r="K125" s="155"/>
      <c r="L125" s="155"/>
      <c r="M125" s="155"/>
      <c r="N125" s="160"/>
    </row>
    <row r="126" spans="1:14">
      <c r="A126" s="159"/>
      <c r="B126" s="155"/>
      <c r="C126" s="155"/>
      <c r="D126" s="155"/>
      <c r="E126" s="155"/>
      <c r="F126" s="155"/>
      <c r="G126" s="155"/>
      <c r="H126" s="155"/>
      <c r="I126" s="155"/>
      <c r="J126" s="155"/>
      <c r="K126" s="155"/>
      <c r="L126" s="155"/>
      <c r="M126" s="155"/>
      <c r="N126" s="160"/>
    </row>
    <row r="127" spans="1:14">
      <c r="A127" s="159"/>
      <c r="B127" s="155"/>
      <c r="C127" s="155"/>
      <c r="D127" s="155"/>
      <c r="E127" s="155"/>
      <c r="F127" s="155"/>
      <c r="G127" s="155"/>
      <c r="H127" s="155"/>
      <c r="I127" s="155"/>
      <c r="J127" s="155"/>
      <c r="K127" s="155"/>
      <c r="L127" s="155"/>
      <c r="M127" s="155"/>
      <c r="N127" s="160"/>
    </row>
    <row r="128" spans="1:14">
      <c r="A128" s="159"/>
      <c r="B128" s="155"/>
      <c r="C128" s="155"/>
      <c r="D128" s="155"/>
      <c r="E128" s="155"/>
      <c r="F128" s="155"/>
      <c r="G128" s="155"/>
      <c r="H128" s="155"/>
      <c r="I128" s="155"/>
      <c r="J128" s="155"/>
      <c r="K128" s="155"/>
      <c r="L128" s="155"/>
      <c r="M128" s="155"/>
      <c r="N128" s="160"/>
    </row>
    <row r="129" spans="1:14">
      <c r="A129" s="159"/>
      <c r="B129" s="155"/>
      <c r="C129" s="155"/>
      <c r="D129" s="155"/>
      <c r="E129" s="155"/>
      <c r="F129" s="155"/>
      <c r="G129" s="155"/>
      <c r="H129" s="155"/>
      <c r="I129" s="155"/>
      <c r="J129" s="155"/>
      <c r="K129" s="155"/>
      <c r="L129" s="155"/>
      <c r="M129" s="155"/>
      <c r="N129" s="160"/>
    </row>
    <row r="130" spans="1:14">
      <c r="A130" s="159"/>
      <c r="B130" s="155"/>
      <c r="C130" s="155"/>
      <c r="D130" s="155"/>
      <c r="E130" s="155"/>
      <c r="F130" s="155"/>
      <c r="G130" s="155"/>
      <c r="H130" s="155"/>
      <c r="I130" s="155"/>
      <c r="J130" s="155"/>
      <c r="K130" s="155"/>
      <c r="L130" s="155"/>
      <c r="M130" s="155"/>
      <c r="N130" s="160"/>
    </row>
    <row r="131" spans="1:14">
      <c r="A131" s="159"/>
      <c r="B131" s="155"/>
      <c r="C131" s="155"/>
      <c r="D131" s="155"/>
      <c r="E131" s="155"/>
      <c r="F131" s="155"/>
      <c r="G131" s="155"/>
      <c r="H131" s="155"/>
      <c r="I131" s="155"/>
      <c r="J131" s="155"/>
      <c r="K131" s="155"/>
      <c r="L131" s="155"/>
      <c r="M131" s="155"/>
      <c r="N131" s="160"/>
    </row>
    <row r="132" spans="1:14">
      <c r="A132" s="159"/>
      <c r="B132" s="155"/>
      <c r="C132" s="155"/>
      <c r="D132" s="155"/>
      <c r="E132" s="155"/>
      <c r="F132" s="155"/>
      <c r="G132" s="155"/>
      <c r="H132" s="155"/>
      <c r="I132" s="155"/>
      <c r="J132" s="155"/>
      <c r="K132" s="155"/>
      <c r="L132" s="155"/>
      <c r="M132" s="155"/>
      <c r="N132" s="160"/>
    </row>
    <row r="133" spans="1:14">
      <c r="A133" s="159"/>
      <c r="B133" s="155"/>
      <c r="C133" s="155"/>
      <c r="D133" s="155"/>
      <c r="E133" s="155"/>
      <c r="F133" s="155"/>
      <c r="G133" s="155"/>
      <c r="H133" s="155"/>
      <c r="I133" s="155"/>
      <c r="J133" s="155"/>
      <c r="K133" s="155"/>
      <c r="L133" s="155"/>
      <c r="M133" s="155"/>
      <c r="N133" s="160"/>
    </row>
    <row r="134" spans="1:14">
      <c r="A134" s="159"/>
      <c r="B134" s="155"/>
      <c r="C134" s="155"/>
      <c r="D134" s="155"/>
      <c r="E134" s="155"/>
      <c r="F134" s="155"/>
      <c r="G134" s="155"/>
      <c r="H134" s="155"/>
      <c r="I134" s="155"/>
      <c r="J134" s="155"/>
      <c r="K134" s="155"/>
      <c r="L134" s="155"/>
      <c r="M134" s="155"/>
      <c r="N134" s="160"/>
    </row>
    <row r="135" spans="1:14">
      <c r="A135" s="159"/>
      <c r="B135" s="155"/>
      <c r="C135" s="155"/>
      <c r="D135" s="155"/>
      <c r="E135" s="155"/>
      <c r="F135" s="155"/>
      <c r="G135" s="155"/>
      <c r="H135" s="155"/>
      <c r="I135" s="155"/>
      <c r="J135" s="155"/>
      <c r="K135" s="155"/>
      <c r="L135" s="155"/>
      <c r="M135" s="155"/>
      <c r="N135" s="160"/>
    </row>
    <row r="136" spans="1:14">
      <c r="A136" s="159"/>
      <c r="B136" s="155"/>
      <c r="C136" s="155"/>
      <c r="D136" s="155"/>
      <c r="E136" s="155"/>
      <c r="F136" s="155"/>
      <c r="G136" s="155"/>
      <c r="H136" s="155"/>
      <c r="I136" s="155"/>
      <c r="J136" s="155"/>
      <c r="K136" s="155"/>
      <c r="L136" s="155"/>
      <c r="M136" s="155"/>
      <c r="N136" s="160"/>
    </row>
    <row r="137" spans="1:14">
      <c r="A137" s="159"/>
      <c r="B137" s="155"/>
      <c r="C137" s="155"/>
      <c r="D137" s="155"/>
      <c r="E137" s="155"/>
      <c r="F137" s="155"/>
      <c r="G137" s="155"/>
      <c r="H137" s="155"/>
      <c r="I137" s="155"/>
      <c r="J137" s="155"/>
      <c r="K137" s="155"/>
      <c r="L137" s="155"/>
      <c r="M137" s="155"/>
      <c r="N137" s="160"/>
    </row>
    <row r="138" spans="1:14">
      <c r="A138" s="159"/>
      <c r="B138" s="155"/>
      <c r="C138" s="155"/>
      <c r="D138" s="155"/>
      <c r="E138" s="155"/>
      <c r="F138" s="155"/>
      <c r="G138" s="155"/>
      <c r="H138" s="155"/>
      <c r="I138" s="155"/>
      <c r="J138" s="155"/>
      <c r="K138" s="155"/>
      <c r="L138" s="155"/>
      <c r="M138" s="155"/>
      <c r="N138" s="160"/>
    </row>
    <row r="139" spans="1:14">
      <c r="A139" s="159"/>
      <c r="B139" s="155"/>
      <c r="C139" s="155"/>
      <c r="D139" s="155"/>
      <c r="E139" s="155"/>
      <c r="F139" s="155"/>
      <c r="G139" s="155"/>
      <c r="H139" s="155"/>
      <c r="I139" s="155"/>
      <c r="J139" s="155"/>
      <c r="K139" s="155"/>
      <c r="L139" s="155"/>
      <c r="M139" s="155"/>
      <c r="N139" s="160"/>
    </row>
    <row r="140" spans="1:14">
      <c r="A140" s="159"/>
      <c r="B140" s="155"/>
      <c r="C140" s="155"/>
      <c r="D140" s="155"/>
      <c r="E140" s="155"/>
      <c r="F140" s="155"/>
      <c r="G140" s="155"/>
      <c r="H140" s="155"/>
      <c r="I140" s="155"/>
      <c r="J140" s="155"/>
      <c r="K140" s="155"/>
      <c r="L140" s="155"/>
      <c r="M140" s="155"/>
      <c r="N140" s="160"/>
    </row>
    <row r="141" spans="1:14">
      <c r="A141" s="159"/>
      <c r="B141" s="155"/>
      <c r="C141" s="155"/>
      <c r="D141" s="155"/>
      <c r="E141" s="155"/>
      <c r="F141" s="155"/>
      <c r="G141" s="155"/>
      <c r="H141" s="155"/>
      <c r="I141" s="155"/>
      <c r="J141" s="155"/>
      <c r="K141" s="155"/>
      <c r="L141" s="155"/>
      <c r="M141" s="155"/>
      <c r="N141" s="160"/>
    </row>
    <row r="142" spans="1:14">
      <c r="A142" s="159"/>
      <c r="B142" s="155"/>
      <c r="C142" s="155"/>
      <c r="D142" s="155"/>
      <c r="E142" s="155"/>
      <c r="F142" s="155"/>
      <c r="G142" s="155"/>
      <c r="H142" s="155"/>
      <c r="I142" s="155"/>
      <c r="J142" s="155"/>
      <c r="K142" s="155"/>
      <c r="L142" s="155"/>
      <c r="M142" s="155"/>
      <c r="N142" s="160"/>
    </row>
    <row r="143" spans="1:14">
      <c r="A143" s="159"/>
      <c r="B143" s="155"/>
      <c r="C143" s="155"/>
      <c r="D143" s="155"/>
      <c r="E143" s="155"/>
      <c r="F143" s="155"/>
      <c r="G143" s="155"/>
      <c r="H143" s="155"/>
      <c r="I143" s="155"/>
      <c r="J143" s="155"/>
      <c r="K143" s="155"/>
      <c r="L143" s="155"/>
      <c r="M143" s="155"/>
      <c r="N143" s="160"/>
    </row>
    <row r="144" spans="1:14">
      <c r="A144" s="159"/>
      <c r="B144" s="155"/>
      <c r="C144" s="155"/>
      <c r="D144" s="155"/>
      <c r="E144" s="155"/>
      <c r="F144" s="155"/>
      <c r="G144" s="155"/>
      <c r="H144" s="155"/>
      <c r="I144" s="155"/>
      <c r="J144" s="155"/>
      <c r="K144" s="155"/>
      <c r="L144" s="155"/>
      <c r="M144" s="155"/>
      <c r="N144" s="160"/>
    </row>
    <row r="145" spans="1:14">
      <c r="A145" s="159"/>
      <c r="B145" s="155"/>
      <c r="C145" s="155"/>
      <c r="D145" s="155"/>
      <c r="E145" s="155"/>
      <c r="F145" s="155"/>
      <c r="G145" s="155"/>
      <c r="H145" s="155"/>
      <c r="I145" s="155"/>
      <c r="J145" s="155"/>
      <c r="K145" s="155"/>
      <c r="L145" s="155"/>
      <c r="M145" s="155"/>
      <c r="N145" s="160"/>
    </row>
    <row r="146" spans="1:14">
      <c r="A146" s="159"/>
      <c r="B146" s="155"/>
      <c r="C146" s="155"/>
      <c r="D146" s="155"/>
      <c r="E146" s="155"/>
      <c r="F146" s="155"/>
      <c r="G146" s="155"/>
      <c r="H146" s="155"/>
      <c r="I146" s="155"/>
      <c r="J146" s="155"/>
      <c r="K146" s="155"/>
      <c r="L146" s="155"/>
      <c r="M146" s="155"/>
      <c r="N146" s="160"/>
    </row>
    <row r="147" spans="1:14">
      <c r="A147" s="159"/>
      <c r="B147" s="155"/>
      <c r="C147" s="155"/>
      <c r="D147" s="155"/>
      <c r="E147" s="155"/>
      <c r="F147" s="155"/>
      <c r="G147" s="155"/>
      <c r="H147" s="155"/>
      <c r="I147" s="155"/>
      <c r="J147" s="155"/>
      <c r="K147" s="155"/>
      <c r="L147" s="155"/>
      <c r="M147" s="155"/>
      <c r="N147" s="160"/>
    </row>
    <row r="148" spans="1:14">
      <c r="A148" s="159"/>
      <c r="B148" s="155"/>
      <c r="C148" s="155"/>
      <c r="D148" s="155"/>
      <c r="E148" s="155"/>
      <c r="F148" s="155"/>
      <c r="G148" s="155"/>
      <c r="H148" s="155"/>
      <c r="I148" s="155"/>
      <c r="J148" s="155"/>
      <c r="K148" s="155"/>
      <c r="L148" s="155"/>
      <c r="M148" s="155"/>
      <c r="N148" s="160"/>
    </row>
    <row r="149" spans="1:14">
      <c r="A149" s="159"/>
      <c r="B149" s="155"/>
      <c r="C149" s="155"/>
      <c r="D149" s="155"/>
      <c r="E149" s="155"/>
      <c r="F149" s="155"/>
      <c r="G149" s="155"/>
      <c r="H149" s="155"/>
      <c r="I149" s="155"/>
      <c r="J149" s="155"/>
      <c r="K149" s="155"/>
      <c r="L149" s="155"/>
      <c r="M149" s="155"/>
      <c r="N149" s="160"/>
    </row>
    <row r="150" spans="1:14">
      <c r="A150" s="159"/>
      <c r="B150" s="155"/>
      <c r="C150" s="155"/>
      <c r="D150" s="155"/>
      <c r="E150" s="155"/>
      <c r="F150" s="155"/>
      <c r="G150" s="155"/>
      <c r="H150" s="155"/>
      <c r="I150" s="155"/>
      <c r="J150" s="155"/>
      <c r="K150" s="155"/>
      <c r="L150" s="155"/>
      <c r="M150" s="155"/>
      <c r="N150" s="160"/>
    </row>
    <row r="151" spans="1:14">
      <c r="A151" s="159"/>
      <c r="B151" s="155"/>
      <c r="C151" s="155"/>
      <c r="D151" s="155"/>
      <c r="E151" s="155"/>
      <c r="F151" s="155"/>
      <c r="G151" s="155"/>
      <c r="H151" s="155"/>
      <c r="I151" s="155"/>
      <c r="J151" s="155"/>
      <c r="K151" s="155"/>
      <c r="L151" s="155"/>
      <c r="M151" s="155"/>
      <c r="N151" s="160"/>
    </row>
    <row r="152" spans="1:14">
      <c r="A152" s="159"/>
      <c r="B152" s="155"/>
      <c r="C152" s="155"/>
      <c r="D152" s="155"/>
      <c r="E152" s="155"/>
      <c r="F152" s="155"/>
      <c r="G152" s="155"/>
      <c r="H152" s="155"/>
      <c r="I152" s="155"/>
      <c r="J152" s="155"/>
      <c r="K152" s="155"/>
      <c r="L152" s="155"/>
      <c r="M152" s="155"/>
      <c r="N152" s="160"/>
    </row>
    <row r="153" spans="1:14">
      <c r="A153" s="159"/>
      <c r="B153" s="155"/>
      <c r="C153" s="155"/>
      <c r="D153" s="155"/>
      <c r="E153" s="155"/>
      <c r="F153" s="155"/>
      <c r="G153" s="155"/>
      <c r="H153" s="155"/>
      <c r="I153" s="155"/>
      <c r="J153" s="155"/>
      <c r="K153" s="155"/>
      <c r="L153" s="155"/>
      <c r="M153" s="155"/>
      <c r="N153" s="160"/>
    </row>
    <row r="154" spans="1:14">
      <c r="A154" s="159"/>
      <c r="B154" s="155"/>
      <c r="C154" s="155"/>
      <c r="D154" s="155"/>
      <c r="E154" s="155"/>
      <c r="F154" s="155"/>
      <c r="G154" s="155"/>
      <c r="H154" s="155"/>
      <c r="I154" s="155"/>
      <c r="J154" s="155"/>
      <c r="K154" s="155"/>
      <c r="L154" s="155"/>
      <c r="M154" s="155"/>
      <c r="N154" s="160"/>
    </row>
    <row r="155" spans="1:14">
      <c r="A155" s="159"/>
      <c r="B155" s="155"/>
      <c r="C155" s="155"/>
      <c r="D155" s="155"/>
      <c r="E155" s="155"/>
      <c r="F155" s="155"/>
      <c r="G155" s="155"/>
      <c r="H155" s="155"/>
      <c r="I155" s="155"/>
      <c r="J155" s="155"/>
      <c r="K155" s="155"/>
      <c r="L155" s="155"/>
      <c r="M155" s="155"/>
      <c r="N155" s="160"/>
    </row>
    <row r="156" spans="1:14">
      <c r="A156" s="159"/>
      <c r="B156" s="155"/>
      <c r="C156" s="155"/>
      <c r="D156" s="155"/>
      <c r="E156" s="155"/>
      <c r="F156" s="155"/>
      <c r="G156" s="155"/>
      <c r="H156" s="155"/>
      <c r="I156" s="155"/>
      <c r="J156" s="155"/>
      <c r="K156" s="155"/>
      <c r="L156" s="155"/>
      <c r="M156" s="155"/>
      <c r="N156" s="160"/>
    </row>
    <row r="157" spans="1:14">
      <c r="A157" s="159"/>
      <c r="B157" s="155"/>
      <c r="C157" s="155"/>
      <c r="D157" s="155"/>
      <c r="E157" s="155"/>
      <c r="F157" s="155"/>
      <c r="G157" s="155"/>
      <c r="H157" s="155"/>
      <c r="I157" s="155"/>
      <c r="J157" s="155"/>
      <c r="K157" s="155"/>
      <c r="L157" s="155"/>
      <c r="M157" s="155"/>
      <c r="N157" s="160"/>
    </row>
    <row r="158" spans="1:14">
      <c r="A158" s="159"/>
      <c r="B158" s="155"/>
      <c r="C158" s="155"/>
      <c r="D158" s="155"/>
      <c r="E158" s="155"/>
      <c r="F158" s="155"/>
      <c r="G158" s="155"/>
      <c r="H158" s="155"/>
      <c r="I158" s="155"/>
      <c r="J158" s="155"/>
      <c r="K158" s="155"/>
      <c r="L158" s="155"/>
      <c r="M158" s="155"/>
      <c r="N158" s="160"/>
    </row>
    <row r="159" spans="1:14">
      <c r="A159" s="159"/>
      <c r="B159" s="155"/>
      <c r="C159" s="155"/>
      <c r="D159" s="155"/>
      <c r="E159" s="155"/>
      <c r="F159" s="155"/>
      <c r="G159" s="155"/>
      <c r="H159" s="155"/>
      <c r="I159" s="155"/>
      <c r="J159" s="155"/>
      <c r="K159" s="155"/>
      <c r="L159" s="155"/>
      <c r="M159" s="155"/>
      <c r="N159" s="160"/>
    </row>
    <row r="160" spans="1:14">
      <c r="A160" s="159"/>
      <c r="B160" s="155"/>
      <c r="C160" s="155"/>
      <c r="D160" s="155"/>
      <c r="E160" s="155"/>
      <c r="F160" s="155"/>
      <c r="G160" s="155"/>
      <c r="H160" s="155"/>
      <c r="I160" s="155"/>
      <c r="J160" s="155"/>
      <c r="K160" s="155"/>
      <c r="L160" s="155"/>
      <c r="M160" s="155"/>
      <c r="N160" s="160"/>
    </row>
    <row r="161" spans="1:14">
      <c r="A161" s="159"/>
      <c r="B161" s="155"/>
      <c r="C161" s="155"/>
      <c r="D161" s="155"/>
      <c r="E161" s="155"/>
      <c r="F161" s="155"/>
      <c r="G161" s="155"/>
      <c r="H161" s="155"/>
      <c r="I161" s="155"/>
      <c r="J161" s="155"/>
      <c r="K161" s="155"/>
      <c r="L161" s="155"/>
      <c r="M161" s="155"/>
      <c r="N161" s="160"/>
    </row>
    <row r="162" spans="1:14">
      <c r="A162" s="159"/>
      <c r="B162" s="155"/>
      <c r="C162" s="155"/>
      <c r="D162" s="155"/>
      <c r="E162" s="155"/>
      <c r="F162" s="155"/>
      <c r="G162" s="155"/>
      <c r="H162" s="155"/>
      <c r="I162" s="155"/>
      <c r="J162" s="155"/>
      <c r="K162" s="155"/>
      <c r="L162" s="155"/>
      <c r="M162" s="155"/>
      <c r="N162" s="160"/>
    </row>
    <row r="163" spans="1:14">
      <c r="A163" s="159"/>
      <c r="B163" s="155"/>
      <c r="C163" s="155"/>
      <c r="D163" s="155"/>
      <c r="E163" s="155"/>
      <c r="F163" s="155"/>
      <c r="G163" s="155"/>
      <c r="H163" s="155"/>
      <c r="I163" s="155"/>
      <c r="J163" s="155"/>
      <c r="K163" s="155"/>
      <c r="L163" s="155"/>
      <c r="M163" s="155"/>
      <c r="N163" s="160"/>
    </row>
    <row r="164" spans="1:14">
      <c r="A164" s="159"/>
      <c r="B164" s="155"/>
      <c r="C164" s="155"/>
      <c r="D164" s="155"/>
      <c r="E164" s="155"/>
      <c r="F164" s="155"/>
      <c r="G164" s="155"/>
      <c r="H164" s="155"/>
      <c r="I164" s="155"/>
      <c r="J164" s="155"/>
      <c r="K164" s="155"/>
      <c r="L164" s="155"/>
      <c r="M164" s="155"/>
      <c r="N164" s="160"/>
    </row>
    <row r="165" spans="1:14">
      <c r="A165" s="159"/>
      <c r="B165" s="155"/>
      <c r="C165" s="155"/>
      <c r="D165" s="155"/>
      <c r="E165" s="155"/>
      <c r="F165" s="155"/>
      <c r="G165" s="155"/>
      <c r="H165" s="155"/>
      <c r="I165" s="155"/>
      <c r="J165" s="155"/>
      <c r="K165" s="155"/>
      <c r="L165" s="155"/>
      <c r="M165" s="155"/>
      <c r="N165" s="160"/>
    </row>
    <row r="166" spans="1:14">
      <c r="A166" s="159"/>
      <c r="B166" s="155"/>
      <c r="C166" s="155"/>
      <c r="D166" s="155"/>
      <c r="E166" s="155"/>
      <c r="F166" s="155"/>
      <c r="G166" s="155"/>
      <c r="H166" s="155"/>
      <c r="I166" s="155"/>
      <c r="J166" s="155"/>
      <c r="K166" s="155"/>
      <c r="L166" s="155"/>
      <c r="M166" s="155"/>
      <c r="N166" s="160"/>
    </row>
    <row r="167" spans="1:14">
      <c r="A167" s="159"/>
      <c r="B167" s="155"/>
      <c r="C167" s="155"/>
      <c r="D167" s="155"/>
      <c r="E167" s="155"/>
      <c r="F167" s="155"/>
      <c r="G167" s="155"/>
      <c r="H167" s="155"/>
      <c r="I167" s="155"/>
      <c r="J167" s="155"/>
      <c r="K167" s="155"/>
      <c r="L167" s="155"/>
      <c r="M167" s="155"/>
      <c r="N167" s="160"/>
    </row>
    <row r="168" spans="1:14">
      <c r="A168" s="159"/>
      <c r="B168" s="155"/>
      <c r="C168" s="155"/>
      <c r="D168" s="155"/>
      <c r="E168" s="155"/>
      <c r="F168" s="155"/>
      <c r="G168" s="155"/>
      <c r="H168" s="155"/>
      <c r="I168" s="155"/>
      <c r="J168" s="155"/>
      <c r="K168" s="155"/>
      <c r="L168" s="155"/>
      <c r="M168" s="155"/>
      <c r="N168" s="160"/>
    </row>
    <row r="169" spans="1:14">
      <c r="A169" s="159"/>
      <c r="B169" s="155"/>
      <c r="C169" s="155"/>
      <c r="D169" s="155"/>
      <c r="E169" s="155"/>
      <c r="F169" s="155"/>
      <c r="G169" s="155"/>
      <c r="H169" s="155"/>
      <c r="I169" s="155"/>
      <c r="J169" s="155"/>
      <c r="K169" s="155"/>
      <c r="L169" s="155"/>
      <c r="M169" s="155"/>
      <c r="N169" s="160"/>
    </row>
    <row r="170" spans="1:14">
      <c r="A170" s="159"/>
      <c r="B170" s="155"/>
      <c r="C170" s="155"/>
      <c r="D170" s="155"/>
      <c r="E170" s="155"/>
      <c r="F170" s="155"/>
      <c r="G170" s="155"/>
      <c r="H170" s="155"/>
      <c r="I170" s="155"/>
      <c r="J170" s="155"/>
      <c r="K170" s="155"/>
      <c r="L170" s="155"/>
      <c r="M170" s="155"/>
      <c r="N170" s="160"/>
    </row>
    <row r="171" spans="1:14">
      <c r="A171" s="159"/>
      <c r="B171" s="155"/>
      <c r="C171" s="155"/>
      <c r="D171" s="155"/>
      <c r="E171" s="155"/>
      <c r="F171" s="155"/>
      <c r="G171" s="155"/>
      <c r="H171" s="155"/>
      <c r="I171" s="155"/>
      <c r="J171" s="155"/>
      <c r="K171" s="155"/>
      <c r="L171" s="155"/>
      <c r="M171" s="155"/>
      <c r="N171" s="160"/>
    </row>
    <row r="172" spans="1:14">
      <c r="A172" s="159"/>
      <c r="B172" s="155"/>
      <c r="C172" s="155"/>
      <c r="D172" s="155"/>
      <c r="E172" s="155"/>
      <c r="F172" s="155"/>
      <c r="G172" s="155"/>
      <c r="H172" s="155"/>
      <c r="I172" s="155"/>
      <c r="J172" s="155"/>
      <c r="K172" s="155"/>
      <c r="L172" s="155"/>
      <c r="M172" s="155"/>
      <c r="N172" s="160"/>
    </row>
    <row r="173" spans="1:14">
      <c r="A173" s="159"/>
      <c r="B173" s="155"/>
      <c r="C173" s="155"/>
      <c r="D173" s="155"/>
      <c r="E173" s="155"/>
      <c r="F173" s="155"/>
      <c r="G173" s="155"/>
      <c r="H173" s="155"/>
      <c r="I173" s="155"/>
      <c r="J173" s="155"/>
      <c r="K173" s="155"/>
      <c r="L173" s="155"/>
      <c r="M173" s="155"/>
      <c r="N173" s="160"/>
    </row>
    <row r="174" spans="1:14">
      <c r="A174" s="159"/>
      <c r="B174" s="155"/>
      <c r="C174" s="155"/>
      <c r="D174" s="155"/>
      <c r="E174" s="155"/>
      <c r="F174" s="155"/>
      <c r="G174" s="155"/>
      <c r="H174" s="155"/>
      <c r="I174" s="155"/>
      <c r="J174" s="155"/>
      <c r="K174" s="155"/>
      <c r="L174" s="155"/>
      <c r="M174" s="155"/>
      <c r="N174" s="160"/>
    </row>
    <row r="175" spans="1:14">
      <c r="A175" s="159"/>
      <c r="B175" s="155"/>
      <c r="C175" s="155"/>
      <c r="D175" s="155"/>
      <c r="E175" s="155"/>
      <c r="F175" s="155"/>
      <c r="G175" s="155"/>
      <c r="H175" s="155"/>
      <c r="I175" s="155"/>
      <c r="J175" s="155"/>
      <c r="K175" s="155"/>
      <c r="L175" s="155"/>
      <c r="M175" s="155"/>
      <c r="N175" s="160"/>
    </row>
    <row r="176" spans="1:14">
      <c r="A176" s="159"/>
      <c r="B176" s="155"/>
      <c r="C176" s="155"/>
      <c r="D176" s="155"/>
      <c r="E176" s="155"/>
      <c r="F176" s="155"/>
      <c r="G176" s="155"/>
      <c r="H176" s="155"/>
      <c r="I176" s="155"/>
      <c r="J176" s="155"/>
      <c r="K176" s="155"/>
      <c r="L176" s="155"/>
      <c r="M176" s="155"/>
      <c r="N176" s="160"/>
    </row>
    <row r="177" spans="1:14">
      <c r="A177" s="159"/>
      <c r="B177" s="155"/>
      <c r="C177" s="155"/>
      <c r="D177" s="155"/>
      <c r="E177" s="155"/>
      <c r="F177" s="155"/>
      <c r="G177" s="155"/>
      <c r="H177" s="155"/>
      <c r="I177" s="155"/>
      <c r="J177" s="155"/>
      <c r="K177" s="155"/>
      <c r="L177" s="155"/>
      <c r="M177" s="155"/>
      <c r="N177" s="160"/>
    </row>
    <row r="178" spans="1:14">
      <c r="A178" s="159"/>
      <c r="B178" s="155"/>
      <c r="C178" s="155"/>
      <c r="D178" s="155"/>
      <c r="E178" s="155"/>
      <c r="F178" s="155"/>
      <c r="G178" s="155"/>
      <c r="H178" s="155"/>
      <c r="I178" s="155"/>
      <c r="J178" s="155"/>
      <c r="K178" s="155"/>
      <c r="L178" s="155"/>
      <c r="M178" s="155"/>
      <c r="N178" s="160"/>
    </row>
    <row r="179" spans="1:14">
      <c r="A179" s="159"/>
      <c r="B179" s="155"/>
      <c r="C179" s="155"/>
      <c r="D179" s="155"/>
      <c r="E179" s="155"/>
      <c r="F179" s="155"/>
      <c r="G179" s="155"/>
      <c r="H179" s="155"/>
      <c r="I179" s="155"/>
      <c r="J179" s="155"/>
      <c r="K179" s="155"/>
      <c r="L179" s="155"/>
      <c r="M179" s="155"/>
      <c r="N179" s="160"/>
    </row>
    <row r="180" spans="1:14">
      <c r="A180" s="159"/>
      <c r="B180" s="155"/>
      <c r="C180" s="155"/>
      <c r="D180" s="155"/>
      <c r="E180" s="155"/>
      <c r="F180" s="155"/>
      <c r="G180" s="155"/>
      <c r="H180" s="155"/>
      <c r="I180" s="155"/>
      <c r="J180" s="155"/>
      <c r="K180" s="155"/>
      <c r="L180" s="155"/>
      <c r="M180" s="155"/>
      <c r="N180" s="160"/>
    </row>
    <row r="181" spans="1:14">
      <c r="A181" s="159"/>
      <c r="B181" s="155"/>
      <c r="C181" s="155"/>
      <c r="D181" s="155"/>
      <c r="E181" s="155"/>
      <c r="F181" s="155"/>
      <c r="G181" s="155"/>
      <c r="H181" s="155"/>
      <c r="I181" s="155"/>
      <c r="J181" s="155"/>
      <c r="K181" s="155"/>
      <c r="L181" s="155"/>
      <c r="M181" s="155"/>
      <c r="N181" s="160"/>
    </row>
    <row r="182" spans="1:14">
      <c r="A182" s="159"/>
      <c r="B182" s="155"/>
      <c r="C182" s="155"/>
      <c r="D182" s="155"/>
      <c r="E182" s="155"/>
      <c r="F182" s="155"/>
      <c r="G182" s="155"/>
      <c r="H182" s="155"/>
      <c r="I182" s="155"/>
      <c r="J182" s="155"/>
      <c r="K182" s="155"/>
      <c r="L182" s="155"/>
      <c r="M182" s="155"/>
      <c r="N182" s="160"/>
    </row>
    <row r="183" spans="1:14">
      <c r="A183" s="159"/>
      <c r="B183" s="155"/>
      <c r="C183" s="155"/>
      <c r="D183" s="155"/>
      <c r="E183" s="155"/>
      <c r="F183" s="155"/>
      <c r="G183" s="155"/>
      <c r="H183" s="155"/>
      <c r="I183" s="155"/>
      <c r="J183" s="155"/>
      <c r="K183" s="155"/>
      <c r="L183" s="155"/>
      <c r="M183" s="155"/>
      <c r="N183" s="160"/>
    </row>
    <row r="184" spans="1:14">
      <c r="A184" s="159"/>
      <c r="B184" s="155"/>
      <c r="C184" s="155"/>
      <c r="D184" s="155"/>
      <c r="E184" s="155"/>
      <c r="F184" s="155"/>
      <c r="G184" s="155"/>
      <c r="H184" s="155"/>
      <c r="I184" s="155"/>
      <c r="J184" s="155"/>
      <c r="K184" s="155"/>
      <c r="L184" s="155"/>
      <c r="M184" s="155"/>
      <c r="N184" s="160"/>
    </row>
    <row r="185" spans="1:14">
      <c r="A185" s="159"/>
      <c r="B185" s="155"/>
      <c r="C185" s="155"/>
      <c r="D185" s="155"/>
      <c r="E185" s="155"/>
      <c r="F185" s="155"/>
      <c r="G185" s="155"/>
      <c r="H185" s="155"/>
      <c r="I185" s="155"/>
      <c r="J185" s="155"/>
      <c r="K185" s="155"/>
      <c r="L185" s="155"/>
      <c r="M185" s="155"/>
      <c r="N185" s="160"/>
    </row>
    <row r="186" spans="1:14">
      <c r="A186" s="159"/>
      <c r="B186" s="155"/>
      <c r="C186" s="155"/>
      <c r="D186" s="155"/>
      <c r="E186" s="155"/>
      <c r="F186" s="155"/>
      <c r="G186" s="155"/>
      <c r="H186" s="155"/>
      <c r="I186" s="155"/>
      <c r="J186" s="155"/>
      <c r="K186" s="155"/>
      <c r="L186" s="155"/>
      <c r="M186" s="155"/>
      <c r="N186" s="160"/>
    </row>
    <row r="187" spans="1:14">
      <c r="A187" s="159"/>
      <c r="B187" s="155"/>
      <c r="C187" s="155"/>
      <c r="D187" s="155"/>
      <c r="E187" s="155"/>
      <c r="F187" s="155"/>
      <c r="G187" s="155"/>
      <c r="H187" s="155"/>
      <c r="I187" s="155"/>
      <c r="J187" s="155"/>
      <c r="K187" s="155"/>
      <c r="L187" s="155"/>
      <c r="M187" s="155"/>
      <c r="N187" s="160"/>
    </row>
    <row r="188" spans="1:14">
      <c r="A188" s="159"/>
      <c r="B188" s="155"/>
      <c r="C188" s="155"/>
      <c r="D188" s="155"/>
      <c r="E188" s="155"/>
      <c r="F188" s="155"/>
      <c r="G188" s="155"/>
      <c r="H188" s="155"/>
      <c r="I188" s="155"/>
      <c r="J188" s="155"/>
      <c r="K188" s="155"/>
      <c r="L188" s="155"/>
      <c r="M188" s="155"/>
      <c r="N188" s="160"/>
    </row>
    <row r="189" spans="1:14">
      <c r="A189" s="159"/>
      <c r="B189" s="155"/>
      <c r="C189" s="155"/>
      <c r="D189" s="155"/>
      <c r="E189" s="155"/>
      <c r="F189" s="155"/>
      <c r="G189" s="155"/>
      <c r="H189" s="155"/>
      <c r="I189" s="155"/>
      <c r="J189" s="155"/>
      <c r="K189" s="155"/>
      <c r="L189" s="155"/>
      <c r="M189" s="155"/>
      <c r="N189" s="160"/>
    </row>
    <row r="190" spans="1:14">
      <c r="A190" s="159"/>
      <c r="B190" s="155"/>
      <c r="C190" s="155"/>
      <c r="D190" s="155"/>
      <c r="E190" s="155"/>
      <c r="F190" s="155"/>
      <c r="G190" s="155"/>
      <c r="H190" s="155"/>
      <c r="I190" s="155"/>
      <c r="J190" s="155"/>
      <c r="K190" s="155"/>
      <c r="L190" s="155"/>
      <c r="M190" s="155"/>
      <c r="N190" s="160"/>
    </row>
    <row r="191" spans="1:14">
      <c r="A191" s="159"/>
      <c r="B191" s="155"/>
      <c r="C191" s="155"/>
      <c r="D191" s="155"/>
      <c r="E191" s="155"/>
      <c r="F191" s="155"/>
      <c r="G191" s="155"/>
      <c r="H191" s="155"/>
      <c r="I191" s="155"/>
      <c r="J191" s="155"/>
      <c r="K191" s="155"/>
      <c r="L191" s="155"/>
      <c r="M191" s="155"/>
      <c r="N191" s="160"/>
    </row>
    <row r="192" spans="1:14">
      <c r="A192" s="159"/>
      <c r="B192" s="155"/>
      <c r="C192" s="155"/>
      <c r="D192" s="155"/>
      <c r="E192" s="155"/>
      <c r="F192" s="155"/>
      <c r="G192" s="155"/>
      <c r="H192" s="155"/>
      <c r="I192" s="155"/>
      <c r="J192" s="155"/>
      <c r="K192" s="155"/>
      <c r="L192" s="155"/>
      <c r="M192" s="155"/>
      <c r="N192" s="160"/>
    </row>
    <row r="193" spans="1:14">
      <c r="A193" s="159"/>
      <c r="B193" s="155"/>
      <c r="C193" s="155"/>
      <c r="D193" s="155"/>
      <c r="E193" s="155"/>
      <c r="F193" s="155"/>
      <c r="G193" s="155"/>
      <c r="H193" s="155"/>
      <c r="I193" s="155"/>
      <c r="J193" s="155"/>
      <c r="K193" s="155"/>
      <c r="L193" s="155"/>
      <c r="M193" s="155"/>
      <c r="N193" s="160"/>
    </row>
    <row r="194" spans="1:14">
      <c r="A194" s="159"/>
      <c r="B194" s="155"/>
      <c r="C194" s="155"/>
      <c r="D194" s="155"/>
      <c r="E194" s="155"/>
      <c r="F194" s="155"/>
      <c r="G194" s="155"/>
      <c r="H194" s="155"/>
      <c r="I194" s="155"/>
      <c r="J194" s="155"/>
      <c r="K194" s="155"/>
      <c r="L194" s="155"/>
      <c r="M194" s="155"/>
      <c r="N194" s="160"/>
    </row>
    <row r="195" spans="1:14">
      <c r="A195" s="159"/>
      <c r="B195" s="155"/>
      <c r="C195" s="155"/>
      <c r="D195" s="155"/>
      <c r="E195" s="155"/>
      <c r="F195" s="155"/>
      <c r="G195" s="155"/>
      <c r="H195" s="155"/>
      <c r="I195" s="155"/>
      <c r="J195" s="155"/>
      <c r="K195" s="155"/>
      <c r="L195" s="155"/>
      <c r="M195" s="155"/>
      <c r="N195" s="160"/>
    </row>
    <row r="196" spans="1:14">
      <c r="A196" s="159"/>
      <c r="B196" s="155"/>
      <c r="C196" s="155"/>
      <c r="D196" s="155"/>
      <c r="E196" s="155"/>
      <c r="F196" s="155"/>
      <c r="G196" s="155"/>
      <c r="H196" s="155"/>
      <c r="I196" s="155"/>
      <c r="J196" s="155"/>
      <c r="K196" s="155"/>
      <c r="L196" s="155"/>
      <c r="M196" s="155"/>
      <c r="N196" s="160"/>
    </row>
    <row r="197" spans="1:14">
      <c r="A197" s="159"/>
      <c r="B197" s="155"/>
      <c r="C197" s="155"/>
      <c r="D197" s="155"/>
      <c r="E197" s="155"/>
      <c r="F197" s="155"/>
      <c r="G197" s="155"/>
      <c r="H197" s="155"/>
      <c r="I197" s="155"/>
      <c r="J197" s="155"/>
      <c r="K197" s="155"/>
      <c r="L197" s="155"/>
      <c r="M197" s="155"/>
      <c r="N197" s="160"/>
    </row>
    <row r="198" spans="1:14">
      <c r="A198" s="159"/>
      <c r="B198" s="155"/>
      <c r="C198" s="155"/>
      <c r="D198" s="155"/>
      <c r="E198" s="155"/>
      <c r="F198" s="155"/>
      <c r="G198" s="155"/>
      <c r="H198" s="155"/>
      <c r="I198" s="155"/>
      <c r="J198" s="155"/>
      <c r="K198" s="155"/>
      <c r="L198" s="155"/>
      <c r="M198" s="155"/>
      <c r="N198" s="160"/>
    </row>
    <row r="199" spans="1:14">
      <c r="A199" s="159"/>
      <c r="B199" s="155"/>
      <c r="C199" s="155"/>
      <c r="D199" s="155"/>
      <c r="E199" s="155"/>
      <c r="F199" s="155"/>
      <c r="G199" s="155"/>
      <c r="H199" s="155"/>
      <c r="I199" s="155"/>
      <c r="J199" s="155"/>
      <c r="K199" s="155"/>
      <c r="L199" s="155"/>
      <c r="M199" s="155"/>
      <c r="N199" s="160"/>
    </row>
    <row r="200" spans="1:14">
      <c r="A200" s="159"/>
      <c r="B200" s="155"/>
      <c r="C200" s="155"/>
      <c r="D200" s="155"/>
      <c r="E200" s="155"/>
      <c r="F200" s="155"/>
      <c r="G200" s="155"/>
      <c r="H200" s="155"/>
      <c r="I200" s="155"/>
      <c r="J200" s="155"/>
      <c r="K200" s="155"/>
      <c r="L200" s="155"/>
      <c r="M200" s="155"/>
      <c r="N200" s="160"/>
    </row>
    <row r="201" spans="1:14">
      <c r="A201" s="159"/>
      <c r="B201" s="155"/>
      <c r="C201" s="155"/>
      <c r="D201" s="155"/>
      <c r="E201" s="155"/>
      <c r="F201" s="155"/>
      <c r="G201" s="155"/>
      <c r="H201" s="155"/>
      <c r="I201" s="155"/>
      <c r="J201" s="155"/>
      <c r="K201" s="155"/>
      <c r="L201" s="155"/>
      <c r="M201" s="155"/>
      <c r="N201" s="160"/>
    </row>
    <row r="202" spans="1:14">
      <c r="A202" s="159"/>
      <c r="B202" s="155"/>
      <c r="C202" s="155"/>
      <c r="D202" s="155"/>
      <c r="E202" s="155"/>
      <c r="F202" s="155"/>
      <c r="G202" s="155"/>
      <c r="H202" s="155"/>
      <c r="I202" s="155"/>
      <c r="J202" s="155"/>
      <c r="K202" s="155"/>
      <c r="L202" s="155"/>
      <c r="M202" s="155"/>
      <c r="N202" s="160"/>
    </row>
    <row r="203" spans="1:14">
      <c r="A203" s="159"/>
      <c r="B203" s="155"/>
      <c r="C203" s="155"/>
      <c r="D203" s="155"/>
      <c r="E203" s="155"/>
      <c r="F203" s="155"/>
      <c r="G203" s="155"/>
      <c r="H203" s="155"/>
      <c r="I203" s="155"/>
      <c r="J203" s="155"/>
      <c r="K203" s="155"/>
      <c r="L203" s="155"/>
      <c r="M203" s="155"/>
      <c r="N203" s="160"/>
    </row>
    <row r="204" spans="1:14">
      <c r="A204" s="159"/>
      <c r="B204" s="155"/>
      <c r="C204" s="155"/>
      <c r="D204" s="155"/>
      <c r="E204" s="155"/>
      <c r="F204" s="155"/>
      <c r="G204" s="155"/>
      <c r="H204" s="155"/>
      <c r="I204" s="155"/>
      <c r="J204" s="155"/>
      <c r="K204" s="155"/>
      <c r="L204" s="155"/>
      <c r="M204" s="155"/>
      <c r="N204" s="160"/>
    </row>
    <row r="205" spans="1:14">
      <c r="A205" s="159"/>
      <c r="B205" s="155"/>
      <c r="C205" s="155"/>
      <c r="D205" s="155"/>
      <c r="E205" s="155"/>
      <c r="F205" s="155"/>
      <c r="G205" s="155"/>
      <c r="H205" s="155"/>
      <c r="I205" s="155"/>
      <c r="J205" s="155"/>
      <c r="K205" s="155"/>
      <c r="L205" s="155"/>
      <c r="M205" s="155"/>
      <c r="N205" s="160"/>
    </row>
    <row r="206" spans="1:14">
      <c r="A206" s="161"/>
      <c r="B206" s="162"/>
      <c r="C206" s="162"/>
      <c r="D206" s="162"/>
      <c r="E206" s="162"/>
      <c r="F206" s="162"/>
      <c r="G206" s="162"/>
      <c r="H206" s="162"/>
      <c r="I206" s="162"/>
      <c r="J206" s="162"/>
      <c r="K206" s="162"/>
      <c r="L206" s="162"/>
      <c r="M206" s="162"/>
      <c r="N206" s="163"/>
    </row>
  </sheetData>
  <mergeCells count="2">
    <mergeCell ref="A1:N1"/>
    <mergeCell ref="A2:N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1C00-000000000000}">
          <x14:formula1>
            <xm:f>_LISTS!$N$2:$N$7</xm:f>
          </x14:formula1>
          <xm:sqref>H7:H206</xm:sqref>
        </x14:dataValidation>
        <x14:dataValidation type="list" xr:uid="{00000000-0002-0000-1C00-000001000000}">
          <x14:formula1>
            <xm:f>_LISTS!$O$2:$O$5</xm:f>
          </x14:formula1>
          <xm:sqref>J7:J206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206"/>
  <sheetViews>
    <sheetView workbookViewId="0"/>
  </sheetViews>
  <sheetFormatPr defaultRowHeight="14.25"/>
  <cols>
    <col min="1" max="1" width="16" customWidth="1"/>
    <col min="2" max="2" width="22" customWidth="1"/>
    <col min="3" max="4" width="18" customWidth="1"/>
    <col min="5" max="5" width="16" customWidth="1"/>
    <col min="6" max="6" width="20" customWidth="1"/>
    <col min="7" max="7" width="46" customWidth="1"/>
    <col min="8" max="8" width="22" customWidth="1"/>
    <col min="9" max="9" width="20" customWidth="1"/>
    <col min="10" max="11" width="18" customWidth="1"/>
    <col min="12" max="12" width="22" customWidth="1"/>
    <col min="13" max="13" width="14" customWidth="1"/>
    <col min="14" max="14" width="18" customWidth="1"/>
    <col min="15" max="15" width="42" customWidth="1"/>
    <col min="16" max="17" width="18" customWidth="1"/>
    <col min="18" max="18" width="48" customWidth="1"/>
  </cols>
  <sheetData>
    <row r="1" spans="1:18" ht="24" customHeight="1">
      <c r="A1" s="268" t="s">
        <v>1347</v>
      </c>
      <c r="B1" s="268"/>
      <c r="C1" s="268"/>
      <c r="D1" s="268"/>
      <c r="E1" s="268"/>
      <c r="F1" s="268"/>
      <c r="G1" s="268"/>
      <c r="H1" s="268"/>
      <c r="I1" s="268"/>
      <c r="J1" s="268"/>
      <c r="K1" s="268"/>
      <c r="L1" s="268"/>
      <c r="M1" s="268"/>
      <c r="N1" s="268"/>
      <c r="O1" s="268"/>
      <c r="P1" s="268"/>
      <c r="Q1" s="268"/>
      <c r="R1" s="268"/>
    </row>
    <row r="2" spans="1:18">
      <c r="A2" s="269" t="s">
        <v>1348</v>
      </c>
      <c r="B2" s="269"/>
      <c r="C2" s="269"/>
      <c r="D2" s="269"/>
      <c r="E2" s="269"/>
      <c r="F2" s="269"/>
      <c r="G2" s="269"/>
      <c r="H2" s="269"/>
      <c r="I2" s="269"/>
      <c r="J2" s="269"/>
      <c r="K2" s="269"/>
      <c r="L2" s="269"/>
      <c r="M2" s="269"/>
      <c r="N2" s="269"/>
      <c r="O2" s="269"/>
      <c r="P2" s="269"/>
      <c r="Q2" s="269"/>
      <c r="R2" s="269"/>
    </row>
    <row r="6" spans="1:18">
      <c r="A6" s="171" t="s">
        <v>1349</v>
      </c>
      <c r="B6" s="172" t="s">
        <v>1319</v>
      </c>
      <c r="C6" s="172" t="s">
        <v>435</v>
      </c>
      <c r="D6" s="172" t="s">
        <v>328</v>
      </c>
      <c r="E6" s="172" t="s">
        <v>1350</v>
      </c>
      <c r="F6" s="172" t="s">
        <v>1160</v>
      </c>
      <c r="G6" s="172" t="s">
        <v>1351</v>
      </c>
      <c r="H6" s="172" t="s">
        <v>308</v>
      </c>
      <c r="I6" s="172" t="s">
        <v>1352</v>
      </c>
      <c r="J6" s="172" t="s">
        <v>1353</v>
      </c>
      <c r="K6" s="172" t="s">
        <v>1354</v>
      </c>
      <c r="L6" s="172" t="s">
        <v>94</v>
      </c>
      <c r="M6" s="172" t="s">
        <v>305</v>
      </c>
      <c r="N6" s="172" t="s">
        <v>1355</v>
      </c>
      <c r="O6" s="172" t="s">
        <v>550</v>
      </c>
      <c r="P6" s="172" t="s">
        <v>1356</v>
      </c>
      <c r="Q6" s="172" t="s">
        <v>1357</v>
      </c>
      <c r="R6" s="173" t="s">
        <v>309</v>
      </c>
    </row>
    <row r="7" spans="1:18">
      <c r="A7" s="159"/>
      <c r="B7" s="155"/>
      <c r="C7" s="155"/>
      <c r="D7" s="155"/>
      <c r="E7" s="155"/>
      <c r="F7" s="155"/>
      <c r="G7" s="155"/>
      <c r="H7" s="155"/>
      <c r="I7" s="155"/>
      <c r="J7" s="155"/>
      <c r="K7" s="155"/>
      <c r="L7" s="155"/>
      <c r="M7" s="155"/>
      <c r="N7" s="155"/>
      <c r="O7" s="155"/>
      <c r="P7" s="155"/>
      <c r="Q7" s="155"/>
      <c r="R7" s="160"/>
    </row>
    <row r="8" spans="1:18">
      <c r="A8" s="159"/>
      <c r="B8" s="155"/>
      <c r="C8" s="155"/>
      <c r="D8" s="155"/>
      <c r="E8" s="155"/>
      <c r="F8" s="155"/>
      <c r="G8" s="155"/>
      <c r="H8" s="155"/>
      <c r="I8" s="155"/>
      <c r="J8" s="155"/>
      <c r="K8" s="155"/>
      <c r="L8" s="155"/>
      <c r="M8" s="155"/>
      <c r="N8" s="155"/>
      <c r="O8" s="155"/>
      <c r="P8" s="155"/>
      <c r="Q8" s="155"/>
      <c r="R8" s="160"/>
    </row>
    <row r="9" spans="1:18">
      <c r="A9" s="159"/>
      <c r="B9" s="155"/>
      <c r="C9" s="155"/>
      <c r="D9" s="155"/>
      <c r="E9" s="155"/>
      <c r="F9" s="155"/>
      <c r="G9" s="155"/>
      <c r="H9" s="155"/>
      <c r="I9" s="155"/>
      <c r="J9" s="155"/>
      <c r="K9" s="155"/>
      <c r="L9" s="155"/>
      <c r="M9" s="155"/>
      <c r="N9" s="155"/>
      <c r="O9" s="155"/>
      <c r="P9" s="155"/>
      <c r="Q9" s="155"/>
      <c r="R9" s="160"/>
    </row>
    <row r="10" spans="1:18">
      <c r="A10" s="159"/>
      <c r="B10" s="155"/>
      <c r="C10" s="155"/>
      <c r="D10" s="155"/>
      <c r="E10" s="155"/>
      <c r="F10" s="155"/>
      <c r="G10" s="155"/>
      <c r="H10" s="155"/>
      <c r="I10" s="155"/>
      <c r="J10" s="155"/>
      <c r="K10" s="155"/>
      <c r="L10" s="155"/>
      <c r="M10" s="155"/>
      <c r="N10" s="155"/>
      <c r="O10" s="155"/>
      <c r="P10" s="155"/>
      <c r="Q10" s="155"/>
      <c r="R10" s="160"/>
    </row>
    <row r="11" spans="1:18">
      <c r="A11" s="159"/>
      <c r="B11" s="155"/>
      <c r="C11" s="155"/>
      <c r="D11" s="155"/>
      <c r="E11" s="155"/>
      <c r="F11" s="155"/>
      <c r="G11" s="155"/>
      <c r="H11" s="155"/>
      <c r="I11" s="155"/>
      <c r="J11" s="155"/>
      <c r="K11" s="155"/>
      <c r="L11" s="155"/>
      <c r="M11" s="155"/>
      <c r="N11" s="155"/>
      <c r="O11" s="155"/>
      <c r="P11" s="155"/>
      <c r="Q11" s="155"/>
      <c r="R11" s="160"/>
    </row>
    <row r="12" spans="1:18">
      <c r="A12" s="159"/>
      <c r="B12" s="155"/>
      <c r="C12" s="155"/>
      <c r="D12" s="155"/>
      <c r="E12" s="155"/>
      <c r="F12" s="155"/>
      <c r="G12" s="155"/>
      <c r="H12" s="155"/>
      <c r="I12" s="155"/>
      <c r="J12" s="155"/>
      <c r="K12" s="155"/>
      <c r="L12" s="155"/>
      <c r="M12" s="155"/>
      <c r="N12" s="155"/>
      <c r="O12" s="155"/>
      <c r="P12" s="155"/>
      <c r="Q12" s="155"/>
      <c r="R12" s="160"/>
    </row>
    <row r="13" spans="1:18">
      <c r="A13" s="159"/>
      <c r="B13" s="155"/>
      <c r="C13" s="155"/>
      <c r="D13" s="155"/>
      <c r="E13" s="155"/>
      <c r="F13" s="155"/>
      <c r="G13" s="155"/>
      <c r="H13" s="155"/>
      <c r="I13" s="155"/>
      <c r="J13" s="155"/>
      <c r="K13" s="155"/>
      <c r="L13" s="155"/>
      <c r="M13" s="155"/>
      <c r="N13" s="155"/>
      <c r="O13" s="155"/>
      <c r="P13" s="155"/>
      <c r="Q13" s="155"/>
      <c r="R13" s="160"/>
    </row>
    <row r="14" spans="1:18">
      <c r="A14" s="159"/>
      <c r="B14" s="155"/>
      <c r="C14" s="155"/>
      <c r="D14" s="155"/>
      <c r="E14" s="155"/>
      <c r="F14" s="155"/>
      <c r="G14" s="155"/>
      <c r="H14" s="155"/>
      <c r="I14" s="155"/>
      <c r="J14" s="155"/>
      <c r="K14" s="155"/>
      <c r="L14" s="155"/>
      <c r="M14" s="155"/>
      <c r="N14" s="155"/>
      <c r="O14" s="155"/>
      <c r="P14" s="155"/>
      <c r="Q14" s="155"/>
      <c r="R14" s="160"/>
    </row>
    <row r="15" spans="1:18">
      <c r="A15" s="159"/>
      <c r="B15" s="155"/>
      <c r="C15" s="155"/>
      <c r="D15" s="155"/>
      <c r="E15" s="155"/>
      <c r="F15" s="155"/>
      <c r="G15" s="155"/>
      <c r="H15" s="155"/>
      <c r="I15" s="155"/>
      <c r="J15" s="155"/>
      <c r="K15" s="155"/>
      <c r="L15" s="155"/>
      <c r="M15" s="155"/>
      <c r="N15" s="155"/>
      <c r="O15" s="155"/>
      <c r="P15" s="155"/>
      <c r="Q15" s="155"/>
      <c r="R15" s="160"/>
    </row>
    <row r="16" spans="1:18">
      <c r="A16" s="159"/>
      <c r="B16" s="155"/>
      <c r="C16" s="155"/>
      <c r="D16" s="155"/>
      <c r="E16" s="155"/>
      <c r="F16" s="155"/>
      <c r="G16" s="155"/>
      <c r="H16" s="155"/>
      <c r="I16" s="155"/>
      <c r="J16" s="155"/>
      <c r="K16" s="155"/>
      <c r="L16" s="155"/>
      <c r="M16" s="155"/>
      <c r="N16" s="155"/>
      <c r="O16" s="155"/>
      <c r="P16" s="155"/>
      <c r="Q16" s="155"/>
      <c r="R16" s="160"/>
    </row>
    <row r="17" spans="1:18">
      <c r="A17" s="159"/>
      <c r="B17" s="155"/>
      <c r="C17" s="155"/>
      <c r="D17" s="155"/>
      <c r="E17" s="155"/>
      <c r="F17" s="155"/>
      <c r="G17" s="155"/>
      <c r="H17" s="155"/>
      <c r="I17" s="155"/>
      <c r="J17" s="155"/>
      <c r="K17" s="155"/>
      <c r="L17" s="155"/>
      <c r="M17" s="155"/>
      <c r="N17" s="155"/>
      <c r="O17" s="155"/>
      <c r="P17" s="155"/>
      <c r="Q17" s="155"/>
      <c r="R17" s="160"/>
    </row>
    <row r="18" spans="1:18">
      <c r="A18" s="159"/>
      <c r="B18" s="155"/>
      <c r="C18" s="155"/>
      <c r="D18" s="155"/>
      <c r="E18" s="155"/>
      <c r="F18" s="155"/>
      <c r="G18" s="155"/>
      <c r="H18" s="155"/>
      <c r="I18" s="155"/>
      <c r="J18" s="155"/>
      <c r="K18" s="155"/>
      <c r="L18" s="155"/>
      <c r="M18" s="155"/>
      <c r="N18" s="155"/>
      <c r="O18" s="155"/>
      <c r="P18" s="155"/>
      <c r="Q18" s="155"/>
      <c r="R18" s="160"/>
    </row>
    <row r="19" spans="1:18">
      <c r="A19" s="159"/>
      <c r="B19" s="155"/>
      <c r="C19" s="155"/>
      <c r="D19" s="155"/>
      <c r="E19" s="155"/>
      <c r="F19" s="155"/>
      <c r="G19" s="155"/>
      <c r="H19" s="155"/>
      <c r="I19" s="155"/>
      <c r="J19" s="155"/>
      <c r="K19" s="155"/>
      <c r="L19" s="155"/>
      <c r="M19" s="155"/>
      <c r="N19" s="155"/>
      <c r="O19" s="155"/>
      <c r="P19" s="155"/>
      <c r="Q19" s="155"/>
      <c r="R19" s="160"/>
    </row>
    <row r="20" spans="1:18">
      <c r="A20" s="159"/>
      <c r="B20" s="155"/>
      <c r="C20" s="155"/>
      <c r="D20" s="155"/>
      <c r="E20" s="155"/>
      <c r="F20" s="155"/>
      <c r="G20" s="155"/>
      <c r="H20" s="155"/>
      <c r="I20" s="155"/>
      <c r="J20" s="155"/>
      <c r="K20" s="155"/>
      <c r="L20" s="155"/>
      <c r="M20" s="155"/>
      <c r="N20" s="155"/>
      <c r="O20" s="155"/>
      <c r="P20" s="155"/>
      <c r="Q20" s="155"/>
      <c r="R20" s="160"/>
    </row>
    <row r="21" spans="1:18">
      <c r="A21" s="159"/>
      <c r="B21" s="155"/>
      <c r="C21" s="155"/>
      <c r="D21" s="155"/>
      <c r="E21" s="155"/>
      <c r="F21" s="155"/>
      <c r="G21" s="155"/>
      <c r="H21" s="155"/>
      <c r="I21" s="155"/>
      <c r="J21" s="155"/>
      <c r="K21" s="155"/>
      <c r="L21" s="155"/>
      <c r="M21" s="155"/>
      <c r="N21" s="155"/>
      <c r="O21" s="155"/>
      <c r="P21" s="155"/>
      <c r="Q21" s="155"/>
      <c r="R21" s="160"/>
    </row>
    <row r="22" spans="1:18">
      <c r="A22" s="159"/>
      <c r="B22" s="155"/>
      <c r="C22" s="155"/>
      <c r="D22" s="155"/>
      <c r="E22" s="155"/>
      <c r="F22" s="155"/>
      <c r="G22" s="155"/>
      <c r="H22" s="155"/>
      <c r="I22" s="155"/>
      <c r="J22" s="155"/>
      <c r="K22" s="155"/>
      <c r="L22" s="155"/>
      <c r="M22" s="155"/>
      <c r="N22" s="155"/>
      <c r="O22" s="155"/>
      <c r="P22" s="155"/>
      <c r="Q22" s="155"/>
      <c r="R22" s="160"/>
    </row>
    <row r="23" spans="1:18">
      <c r="A23" s="159"/>
      <c r="B23" s="155"/>
      <c r="C23" s="155"/>
      <c r="D23" s="155"/>
      <c r="E23" s="155"/>
      <c r="F23" s="155"/>
      <c r="G23" s="155"/>
      <c r="H23" s="155"/>
      <c r="I23" s="155"/>
      <c r="J23" s="155"/>
      <c r="K23" s="155"/>
      <c r="L23" s="155"/>
      <c r="M23" s="155"/>
      <c r="N23" s="155"/>
      <c r="O23" s="155"/>
      <c r="P23" s="155"/>
      <c r="Q23" s="155"/>
      <c r="R23" s="160"/>
    </row>
    <row r="24" spans="1:18">
      <c r="A24" s="159"/>
      <c r="B24" s="155"/>
      <c r="C24" s="155"/>
      <c r="D24" s="155"/>
      <c r="E24" s="155"/>
      <c r="F24" s="155"/>
      <c r="G24" s="155"/>
      <c r="H24" s="155"/>
      <c r="I24" s="155"/>
      <c r="J24" s="155"/>
      <c r="K24" s="155"/>
      <c r="L24" s="155"/>
      <c r="M24" s="155"/>
      <c r="N24" s="155"/>
      <c r="O24" s="155"/>
      <c r="P24" s="155"/>
      <c r="Q24" s="155"/>
      <c r="R24" s="160"/>
    </row>
    <row r="25" spans="1:18">
      <c r="A25" s="159"/>
      <c r="B25" s="155"/>
      <c r="C25" s="155"/>
      <c r="D25" s="155"/>
      <c r="E25" s="155"/>
      <c r="F25" s="155"/>
      <c r="G25" s="155"/>
      <c r="H25" s="155"/>
      <c r="I25" s="155"/>
      <c r="J25" s="155"/>
      <c r="K25" s="155"/>
      <c r="L25" s="155"/>
      <c r="M25" s="155"/>
      <c r="N25" s="155"/>
      <c r="O25" s="155"/>
      <c r="P25" s="155"/>
      <c r="Q25" s="155"/>
      <c r="R25" s="160"/>
    </row>
    <row r="26" spans="1:18">
      <c r="A26" s="159"/>
      <c r="B26" s="155"/>
      <c r="C26" s="155"/>
      <c r="D26" s="155"/>
      <c r="E26" s="155"/>
      <c r="F26" s="155"/>
      <c r="G26" s="155"/>
      <c r="H26" s="155"/>
      <c r="I26" s="155"/>
      <c r="J26" s="155"/>
      <c r="K26" s="155"/>
      <c r="L26" s="155"/>
      <c r="M26" s="155"/>
      <c r="N26" s="155"/>
      <c r="O26" s="155"/>
      <c r="P26" s="155"/>
      <c r="Q26" s="155"/>
      <c r="R26" s="160"/>
    </row>
    <row r="27" spans="1:18">
      <c r="A27" s="159"/>
      <c r="B27" s="155"/>
      <c r="C27" s="155"/>
      <c r="D27" s="155"/>
      <c r="E27" s="155"/>
      <c r="F27" s="155"/>
      <c r="G27" s="155"/>
      <c r="H27" s="155"/>
      <c r="I27" s="155"/>
      <c r="J27" s="155"/>
      <c r="K27" s="155"/>
      <c r="L27" s="155"/>
      <c r="M27" s="155"/>
      <c r="N27" s="155"/>
      <c r="O27" s="155"/>
      <c r="P27" s="155"/>
      <c r="Q27" s="155"/>
      <c r="R27" s="160"/>
    </row>
    <row r="28" spans="1:18">
      <c r="A28" s="159"/>
      <c r="B28" s="155"/>
      <c r="C28" s="155"/>
      <c r="D28" s="155"/>
      <c r="E28" s="155"/>
      <c r="F28" s="155"/>
      <c r="G28" s="155"/>
      <c r="H28" s="155"/>
      <c r="I28" s="155"/>
      <c r="J28" s="155"/>
      <c r="K28" s="155"/>
      <c r="L28" s="155"/>
      <c r="M28" s="155"/>
      <c r="N28" s="155"/>
      <c r="O28" s="155"/>
      <c r="P28" s="155"/>
      <c r="Q28" s="155"/>
      <c r="R28" s="160"/>
    </row>
    <row r="29" spans="1:18">
      <c r="A29" s="159"/>
      <c r="B29" s="155"/>
      <c r="C29" s="155"/>
      <c r="D29" s="155"/>
      <c r="E29" s="155"/>
      <c r="F29" s="155"/>
      <c r="G29" s="155"/>
      <c r="H29" s="155"/>
      <c r="I29" s="155"/>
      <c r="J29" s="155"/>
      <c r="K29" s="155"/>
      <c r="L29" s="155"/>
      <c r="M29" s="155"/>
      <c r="N29" s="155"/>
      <c r="O29" s="155"/>
      <c r="P29" s="155"/>
      <c r="Q29" s="155"/>
      <c r="R29" s="160"/>
    </row>
    <row r="30" spans="1:18">
      <c r="A30" s="159"/>
      <c r="B30" s="155"/>
      <c r="C30" s="155"/>
      <c r="D30" s="155"/>
      <c r="E30" s="155"/>
      <c r="F30" s="155"/>
      <c r="G30" s="155"/>
      <c r="H30" s="155"/>
      <c r="I30" s="155"/>
      <c r="J30" s="155"/>
      <c r="K30" s="155"/>
      <c r="L30" s="155"/>
      <c r="M30" s="155"/>
      <c r="N30" s="155"/>
      <c r="O30" s="155"/>
      <c r="P30" s="155"/>
      <c r="Q30" s="155"/>
      <c r="R30" s="160"/>
    </row>
    <row r="31" spans="1:18">
      <c r="A31" s="159"/>
      <c r="B31" s="155"/>
      <c r="C31" s="155"/>
      <c r="D31" s="155"/>
      <c r="E31" s="155"/>
      <c r="F31" s="155"/>
      <c r="G31" s="155"/>
      <c r="H31" s="155"/>
      <c r="I31" s="155"/>
      <c r="J31" s="155"/>
      <c r="K31" s="155"/>
      <c r="L31" s="155"/>
      <c r="M31" s="155"/>
      <c r="N31" s="155"/>
      <c r="O31" s="155"/>
      <c r="P31" s="155"/>
      <c r="Q31" s="155"/>
      <c r="R31" s="160"/>
    </row>
    <row r="32" spans="1:18">
      <c r="A32" s="159"/>
      <c r="B32" s="155"/>
      <c r="C32" s="155"/>
      <c r="D32" s="155"/>
      <c r="E32" s="155"/>
      <c r="F32" s="155"/>
      <c r="G32" s="155"/>
      <c r="H32" s="155"/>
      <c r="I32" s="155"/>
      <c r="J32" s="155"/>
      <c r="K32" s="155"/>
      <c r="L32" s="155"/>
      <c r="M32" s="155"/>
      <c r="N32" s="155"/>
      <c r="O32" s="155"/>
      <c r="P32" s="155"/>
      <c r="Q32" s="155"/>
      <c r="R32" s="160"/>
    </row>
    <row r="33" spans="1:18">
      <c r="A33" s="159"/>
      <c r="B33" s="155"/>
      <c r="C33" s="155"/>
      <c r="D33" s="155"/>
      <c r="E33" s="155"/>
      <c r="F33" s="155"/>
      <c r="G33" s="155"/>
      <c r="H33" s="155"/>
      <c r="I33" s="155"/>
      <c r="J33" s="155"/>
      <c r="K33" s="155"/>
      <c r="L33" s="155"/>
      <c r="M33" s="155"/>
      <c r="N33" s="155"/>
      <c r="O33" s="155"/>
      <c r="P33" s="155"/>
      <c r="Q33" s="155"/>
      <c r="R33" s="160"/>
    </row>
    <row r="34" spans="1:18">
      <c r="A34" s="159"/>
      <c r="B34" s="155"/>
      <c r="C34" s="155"/>
      <c r="D34" s="155"/>
      <c r="E34" s="155"/>
      <c r="F34" s="155"/>
      <c r="G34" s="155"/>
      <c r="H34" s="155"/>
      <c r="I34" s="155"/>
      <c r="J34" s="155"/>
      <c r="K34" s="155"/>
      <c r="L34" s="155"/>
      <c r="M34" s="155"/>
      <c r="N34" s="155"/>
      <c r="O34" s="155"/>
      <c r="P34" s="155"/>
      <c r="Q34" s="155"/>
      <c r="R34" s="160"/>
    </row>
    <row r="35" spans="1:18">
      <c r="A35" s="159"/>
      <c r="B35" s="155"/>
      <c r="C35" s="155"/>
      <c r="D35" s="155"/>
      <c r="E35" s="155"/>
      <c r="F35" s="155"/>
      <c r="G35" s="155"/>
      <c r="H35" s="155"/>
      <c r="I35" s="155"/>
      <c r="J35" s="155"/>
      <c r="K35" s="155"/>
      <c r="L35" s="155"/>
      <c r="M35" s="155"/>
      <c r="N35" s="155"/>
      <c r="O35" s="155"/>
      <c r="P35" s="155"/>
      <c r="Q35" s="155"/>
      <c r="R35" s="160"/>
    </row>
    <row r="36" spans="1:18">
      <c r="A36" s="159"/>
      <c r="B36" s="155"/>
      <c r="C36" s="155"/>
      <c r="D36" s="155"/>
      <c r="E36" s="155"/>
      <c r="F36" s="155"/>
      <c r="G36" s="155"/>
      <c r="H36" s="155"/>
      <c r="I36" s="155"/>
      <c r="J36" s="155"/>
      <c r="K36" s="155"/>
      <c r="L36" s="155"/>
      <c r="M36" s="155"/>
      <c r="N36" s="155"/>
      <c r="O36" s="155"/>
      <c r="P36" s="155"/>
      <c r="Q36" s="155"/>
      <c r="R36" s="160"/>
    </row>
    <row r="37" spans="1:18">
      <c r="A37" s="159"/>
      <c r="B37" s="155"/>
      <c r="C37" s="155"/>
      <c r="D37" s="155"/>
      <c r="E37" s="155"/>
      <c r="F37" s="155"/>
      <c r="G37" s="155"/>
      <c r="H37" s="155"/>
      <c r="I37" s="155"/>
      <c r="J37" s="155"/>
      <c r="K37" s="155"/>
      <c r="L37" s="155"/>
      <c r="M37" s="155"/>
      <c r="N37" s="155"/>
      <c r="O37" s="155"/>
      <c r="P37" s="155"/>
      <c r="Q37" s="155"/>
      <c r="R37" s="160"/>
    </row>
    <row r="38" spans="1:18">
      <c r="A38" s="159"/>
      <c r="B38" s="155"/>
      <c r="C38" s="155"/>
      <c r="D38" s="155"/>
      <c r="E38" s="155"/>
      <c r="F38" s="155"/>
      <c r="G38" s="155"/>
      <c r="H38" s="155"/>
      <c r="I38" s="155"/>
      <c r="J38" s="155"/>
      <c r="K38" s="155"/>
      <c r="L38" s="155"/>
      <c r="M38" s="155"/>
      <c r="N38" s="155"/>
      <c r="O38" s="155"/>
      <c r="P38" s="155"/>
      <c r="Q38" s="155"/>
      <c r="R38" s="160"/>
    </row>
    <row r="39" spans="1:18">
      <c r="A39" s="159"/>
      <c r="B39" s="155"/>
      <c r="C39" s="155"/>
      <c r="D39" s="155"/>
      <c r="E39" s="155"/>
      <c r="F39" s="155"/>
      <c r="G39" s="155"/>
      <c r="H39" s="155"/>
      <c r="I39" s="155"/>
      <c r="J39" s="155"/>
      <c r="K39" s="155"/>
      <c r="L39" s="155"/>
      <c r="M39" s="155"/>
      <c r="N39" s="155"/>
      <c r="O39" s="155"/>
      <c r="P39" s="155"/>
      <c r="Q39" s="155"/>
      <c r="R39" s="160"/>
    </row>
    <row r="40" spans="1:18">
      <c r="A40" s="159"/>
      <c r="B40" s="155"/>
      <c r="C40" s="155"/>
      <c r="D40" s="155"/>
      <c r="E40" s="155"/>
      <c r="F40" s="155"/>
      <c r="G40" s="155"/>
      <c r="H40" s="155"/>
      <c r="I40" s="155"/>
      <c r="J40" s="155"/>
      <c r="K40" s="155"/>
      <c r="L40" s="155"/>
      <c r="M40" s="155"/>
      <c r="N40" s="155"/>
      <c r="O40" s="155"/>
      <c r="P40" s="155"/>
      <c r="Q40" s="155"/>
      <c r="R40" s="160"/>
    </row>
    <row r="41" spans="1:18">
      <c r="A41" s="159"/>
      <c r="B41" s="155"/>
      <c r="C41" s="155"/>
      <c r="D41" s="155"/>
      <c r="E41" s="155"/>
      <c r="F41" s="155"/>
      <c r="G41" s="155"/>
      <c r="H41" s="155"/>
      <c r="I41" s="155"/>
      <c r="J41" s="155"/>
      <c r="K41" s="155"/>
      <c r="L41" s="155"/>
      <c r="M41" s="155"/>
      <c r="N41" s="155"/>
      <c r="O41" s="155"/>
      <c r="P41" s="155"/>
      <c r="Q41" s="155"/>
      <c r="R41" s="160"/>
    </row>
    <row r="42" spans="1:18">
      <c r="A42" s="159"/>
      <c r="B42" s="155"/>
      <c r="C42" s="155"/>
      <c r="D42" s="155"/>
      <c r="E42" s="155"/>
      <c r="F42" s="155"/>
      <c r="G42" s="155"/>
      <c r="H42" s="155"/>
      <c r="I42" s="155"/>
      <c r="J42" s="155"/>
      <c r="K42" s="155"/>
      <c r="L42" s="155"/>
      <c r="M42" s="155"/>
      <c r="N42" s="155"/>
      <c r="O42" s="155"/>
      <c r="P42" s="155"/>
      <c r="Q42" s="155"/>
      <c r="R42" s="160"/>
    </row>
    <row r="43" spans="1:18">
      <c r="A43" s="159"/>
      <c r="B43" s="155"/>
      <c r="C43" s="155"/>
      <c r="D43" s="155"/>
      <c r="E43" s="155"/>
      <c r="F43" s="155"/>
      <c r="G43" s="155"/>
      <c r="H43" s="155"/>
      <c r="I43" s="155"/>
      <c r="J43" s="155"/>
      <c r="K43" s="155"/>
      <c r="L43" s="155"/>
      <c r="M43" s="155"/>
      <c r="N43" s="155"/>
      <c r="O43" s="155"/>
      <c r="P43" s="155"/>
      <c r="Q43" s="155"/>
      <c r="R43" s="160"/>
    </row>
    <row r="44" spans="1:18">
      <c r="A44" s="159"/>
      <c r="B44" s="155"/>
      <c r="C44" s="155"/>
      <c r="D44" s="155"/>
      <c r="E44" s="155"/>
      <c r="F44" s="155"/>
      <c r="G44" s="155"/>
      <c r="H44" s="155"/>
      <c r="I44" s="155"/>
      <c r="J44" s="155"/>
      <c r="K44" s="155"/>
      <c r="L44" s="155"/>
      <c r="M44" s="155"/>
      <c r="N44" s="155"/>
      <c r="O44" s="155"/>
      <c r="P44" s="155"/>
      <c r="Q44" s="155"/>
      <c r="R44" s="160"/>
    </row>
    <row r="45" spans="1:18">
      <c r="A45" s="159"/>
      <c r="B45" s="155"/>
      <c r="C45" s="155"/>
      <c r="D45" s="155"/>
      <c r="E45" s="155"/>
      <c r="F45" s="155"/>
      <c r="G45" s="155"/>
      <c r="H45" s="155"/>
      <c r="I45" s="155"/>
      <c r="J45" s="155"/>
      <c r="K45" s="155"/>
      <c r="L45" s="155"/>
      <c r="M45" s="155"/>
      <c r="N45" s="155"/>
      <c r="O45" s="155"/>
      <c r="P45" s="155"/>
      <c r="Q45" s="155"/>
      <c r="R45" s="160"/>
    </row>
    <row r="46" spans="1:18">
      <c r="A46" s="159"/>
      <c r="B46" s="155"/>
      <c r="C46" s="155"/>
      <c r="D46" s="155"/>
      <c r="E46" s="155"/>
      <c r="F46" s="155"/>
      <c r="G46" s="155"/>
      <c r="H46" s="155"/>
      <c r="I46" s="155"/>
      <c r="J46" s="155"/>
      <c r="K46" s="155"/>
      <c r="L46" s="155"/>
      <c r="M46" s="155"/>
      <c r="N46" s="155"/>
      <c r="O46" s="155"/>
      <c r="P46" s="155"/>
      <c r="Q46" s="155"/>
      <c r="R46" s="160"/>
    </row>
    <row r="47" spans="1:18">
      <c r="A47" s="159"/>
      <c r="B47" s="155"/>
      <c r="C47" s="155"/>
      <c r="D47" s="155"/>
      <c r="E47" s="155"/>
      <c r="F47" s="155"/>
      <c r="G47" s="155"/>
      <c r="H47" s="155"/>
      <c r="I47" s="155"/>
      <c r="J47" s="155"/>
      <c r="K47" s="155"/>
      <c r="L47" s="155"/>
      <c r="M47" s="155"/>
      <c r="N47" s="155"/>
      <c r="O47" s="155"/>
      <c r="P47" s="155"/>
      <c r="Q47" s="155"/>
      <c r="R47" s="160"/>
    </row>
    <row r="48" spans="1:18">
      <c r="A48" s="159"/>
      <c r="B48" s="155"/>
      <c r="C48" s="155"/>
      <c r="D48" s="155"/>
      <c r="E48" s="155"/>
      <c r="F48" s="155"/>
      <c r="G48" s="155"/>
      <c r="H48" s="155"/>
      <c r="I48" s="155"/>
      <c r="J48" s="155"/>
      <c r="K48" s="155"/>
      <c r="L48" s="155"/>
      <c r="M48" s="155"/>
      <c r="N48" s="155"/>
      <c r="O48" s="155"/>
      <c r="P48" s="155"/>
      <c r="Q48" s="155"/>
      <c r="R48" s="160"/>
    </row>
    <row r="49" spans="1:18">
      <c r="A49" s="159"/>
      <c r="B49" s="155"/>
      <c r="C49" s="155"/>
      <c r="D49" s="155"/>
      <c r="E49" s="155"/>
      <c r="F49" s="155"/>
      <c r="G49" s="155"/>
      <c r="H49" s="155"/>
      <c r="I49" s="155"/>
      <c r="J49" s="155"/>
      <c r="K49" s="155"/>
      <c r="L49" s="155"/>
      <c r="M49" s="155"/>
      <c r="N49" s="155"/>
      <c r="O49" s="155"/>
      <c r="P49" s="155"/>
      <c r="Q49" s="155"/>
      <c r="R49" s="160"/>
    </row>
    <row r="50" spans="1:18">
      <c r="A50" s="159"/>
      <c r="B50" s="155"/>
      <c r="C50" s="155"/>
      <c r="D50" s="155"/>
      <c r="E50" s="155"/>
      <c r="F50" s="155"/>
      <c r="G50" s="155"/>
      <c r="H50" s="155"/>
      <c r="I50" s="155"/>
      <c r="J50" s="155"/>
      <c r="K50" s="155"/>
      <c r="L50" s="155"/>
      <c r="M50" s="155"/>
      <c r="N50" s="155"/>
      <c r="O50" s="155"/>
      <c r="P50" s="155"/>
      <c r="Q50" s="155"/>
      <c r="R50" s="160"/>
    </row>
    <row r="51" spans="1:18">
      <c r="A51" s="159"/>
      <c r="B51" s="155"/>
      <c r="C51" s="155"/>
      <c r="D51" s="155"/>
      <c r="E51" s="155"/>
      <c r="F51" s="155"/>
      <c r="G51" s="155"/>
      <c r="H51" s="155"/>
      <c r="I51" s="155"/>
      <c r="J51" s="155"/>
      <c r="K51" s="155"/>
      <c r="L51" s="155"/>
      <c r="M51" s="155"/>
      <c r="N51" s="155"/>
      <c r="O51" s="155"/>
      <c r="P51" s="155"/>
      <c r="Q51" s="155"/>
      <c r="R51" s="160"/>
    </row>
    <row r="52" spans="1:18">
      <c r="A52" s="159"/>
      <c r="B52" s="155"/>
      <c r="C52" s="155"/>
      <c r="D52" s="155"/>
      <c r="E52" s="155"/>
      <c r="F52" s="155"/>
      <c r="G52" s="155"/>
      <c r="H52" s="155"/>
      <c r="I52" s="155"/>
      <c r="J52" s="155"/>
      <c r="K52" s="155"/>
      <c r="L52" s="155"/>
      <c r="M52" s="155"/>
      <c r="N52" s="155"/>
      <c r="O52" s="155"/>
      <c r="P52" s="155"/>
      <c r="Q52" s="155"/>
      <c r="R52" s="160"/>
    </row>
    <row r="53" spans="1:18">
      <c r="A53" s="159"/>
      <c r="B53" s="155"/>
      <c r="C53" s="155"/>
      <c r="D53" s="155"/>
      <c r="E53" s="155"/>
      <c r="F53" s="155"/>
      <c r="G53" s="155"/>
      <c r="H53" s="155"/>
      <c r="I53" s="155"/>
      <c r="J53" s="155"/>
      <c r="K53" s="155"/>
      <c r="L53" s="155"/>
      <c r="M53" s="155"/>
      <c r="N53" s="155"/>
      <c r="O53" s="155"/>
      <c r="P53" s="155"/>
      <c r="Q53" s="155"/>
      <c r="R53" s="160"/>
    </row>
    <row r="54" spans="1:18">
      <c r="A54" s="159"/>
      <c r="B54" s="155"/>
      <c r="C54" s="155"/>
      <c r="D54" s="155"/>
      <c r="E54" s="155"/>
      <c r="F54" s="155"/>
      <c r="G54" s="155"/>
      <c r="H54" s="155"/>
      <c r="I54" s="155"/>
      <c r="J54" s="155"/>
      <c r="K54" s="155"/>
      <c r="L54" s="155"/>
      <c r="M54" s="155"/>
      <c r="N54" s="155"/>
      <c r="O54" s="155"/>
      <c r="P54" s="155"/>
      <c r="Q54" s="155"/>
      <c r="R54" s="160"/>
    </row>
    <row r="55" spans="1:18">
      <c r="A55" s="159"/>
      <c r="B55" s="155"/>
      <c r="C55" s="155"/>
      <c r="D55" s="155"/>
      <c r="E55" s="155"/>
      <c r="F55" s="155"/>
      <c r="G55" s="155"/>
      <c r="H55" s="155"/>
      <c r="I55" s="155"/>
      <c r="J55" s="155"/>
      <c r="K55" s="155"/>
      <c r="L55" s="155"/>
      <c r="M55" s="155"/>
      <c r="N55" s="155"/>
      <c r="O55" s="155"/>
      <c r="P55" s="155"/>
      <c r="Q55" s="155"/>
      <c r="R55" s="160"/>
    </row>
    <row r="56" spans="1:18">
      <c r="A56" s="159"/>
      <c r="B56" s="155"/>
      <c r="C56" s="155"/>
      <c r="D56" s="155"/>
      <c r="E56" s="155"/>
      <c r="F56" s="155"/>
      <c r="G56" s="155"/>
      <c r="H56" s="155"/>
      <c r="I56" s="155"/>
      <c r="J56" s="155"/>
      <c r="K56" s="155"/>
      <c r="L56" s="155"/>
      <c r="M56" s="155"/>
      <c r="N56" s="155"/>
      <c r="O56" s="155"/>
      <c r="P56" s="155"/>
      <c r="Q56" s="155"/>
      <c r="R56" s="160"/>
    </row>
    <row r="57" spans="1:18">
      <c r="A57" s="159"/>
      <c r="B57" s="155"/>
      <c r="C57" s="155"/>
      <c r="D57" s="155"/>
      <c r="E57" s="155"/>
      <c r="F57" s="155"/>
      <c r="G57" s="155"/>
      <c r="H57" s="155"/>
      <c r="I57" s="155"/>
      <c r="J57" s="155"/>
      <c r="K57" s="155"/>
      <c r="L57" s="155"/>
      <c r="M57" s="155"/>
      <c r="N57" s="155"/>
      <c r="O57" s="155"/>
      <c r="P57" s="155"/>
      <c r="Q57" s="155"/>
      <c r="R57" s="160"/>
    </row>
    <row r="58" spans="1:18">
      <c r="A58" s="159"/>
      <c r="B58" s="155"/>
      <c r="C58" s="155"/>
      <c r="D58" s="155"/>
      <c r="E58" s="155"/>
      <c r="F58" s="155"/>
      <c r="G58" s="155"/>
      <c r="H58" s="155"/>
      <c r="I58" s="155"/>
      <c r="J58" s="155"/>
      <c r="K58" s="155"/>
      <c r="L58" s="155"/>
      <c r="M58" s="155"/>
      <c r="N58" s="155"/>
      <c r="O58" s="155"/>
      <c r="P58" s="155"/>
      <c r="Q58" s="155"/>
      <c r="R58" s="160"/>
    </row>
    <row r="59" spans="1:18">
      <c r="A59" s="159"/>
      <c r="B59" s="155"/>
      <c r="C59" s="155"/>
      <c r="D59" s="155"/>
      <c r="E59" s="155"/>
      <c r="F59" s="155"/>
      <c r="G59" s="155"/>
      <c r="H59" s="155"/>
      <c r="I59" s="155"/>
      <c r="J59" s="155"/>
      <c r="K59" s="155"/>
      <c r="L59" s="155"/>
      <c r="M59" s="155"/>
      <c r="N59" s="155"/>
      <c r="O59" s="155"/>
      <c r="P59" s="155"/>
      <c r="Q59" s="155"/>
      <c r="R59" s="160"/>
    </row>
    <row r="60" spans="1:18">
      <c r="A60" s="159"/>
      <c r="B60" s="155"/>
      <c r="C60" s="155"/>
      <c r="D60" s="155"/>
      <c r="E60" s="155"/>
      <c r="F60" s="155"/>
      <c r="G60" s="155"/>
      <c r="H60" s="155"/>
      <c r="I60" s="155"/>
      <c r="J60" s="155"/>
      <c r="K60" s="155"/>
      <c r="L60" s="155"/>
      <c r="M60" s="155"/>
      <c r="N60" s="155"/>
      <c r="O60" s="155"/>
      <c r="P60" s="155"/>
      <c r="Q60" s="155"/>
      <c r="R60" s="160"/>
    </row>
    <row r="61" spans="1:18">
      <c r="A61" s="159"/>
      <c r="B61" s="155"/>
      <c r="C61" s="155"/>
      <c r="D61" s="155"/>
      <c r="E61" s="155"/>
      <c r="F61" s="155"/>
      <c r="G61" s="155"/>
      <c r="H61" s="155"/>
      <c r="I61" s="155"/>
      <c r="J61" s="155"/>
      <c r="K61" s="155"/>
      <c r="L61" s="155"/>
      <c r="M61" s="155"/>
      <c r="N61" s="155"/>
      <c r="O61" s="155"/>
      <c r="P61" s="155"/>
      <c r="Q61" s="155"/>
      <c r="R61" s="160"/>
    </row>
    <row r="62" spans="1:18">
      <c r="A62" s="159"/>
      <c r="B62" s="155"/>
      <c r="C62" s="155"/>
      <c r="D62" s="155"/>
      <c r="E62" s="155"/>
      <c r="F62" s="155"/>
      <c r="G62" s="155"/>
      <c r="H62" s="155"/>
      <c r="I62" s="155"/>
      <c r="J62" s="155"/>
      <c r="K62" s="155"/>
      <c r="L62" s="155"/>
      <c r="M62" s="155"/>
      <c r="N62" s="155"/>
      <c r="O62" s="155"/>
      <c r="P62" s="155"/>
      <c r="Q62" s="155"/>
      <c r="R62" s="160"/>
    </row>
    <row r="63" spans="1:18">
      <c r="A63" s="159"/>
      <c r="B63" s="155"/>
      <c r="C63" s="155"/>
      <c r="D63" s="155"/>
      <c r="E63" s="155"/>
      <c r="F63" s="155"/>
      <c r="G63" s="155"/>
      <c r="H63" s="155"/>
      <c r="I63" s="155"/>
      <c r="J63" s="155"/>
      <c r="K63" s="155"/>
      <c r="L63" s="155"/>
      <c r="M63" s="155"/>
      <c r="N63" s="155"/>
      <c r="O63" s="155"/>
      <c r="P63" s="155"/>
      <c r="Q63" s="155"/>
      <c r="R63" s="160"/>
    </row>
    <row r="64" spans="1:18">
      <c r="A64" s="159"/>
      <c r="B64" s="155"/>
      <c r="C64" s="155"/>
      <c r="D64" s="155"/>
      <c r="E64" s="155"/>
      <c r="F64" s="155"/>
      <c r="G64" s="155"/>
      <c r="H64" s="155"/>
      <c r="I64" s="155"/>
      <c r="J64" s="155"/>
      <c r="K64" s="155"/>
      <c r="L64" s="155"/>
      <c r="M64" s="155"/>
      <c r="N64" s="155"/>
      <c r="O64" s="155"/>
      <c r="P64" s="155"/>
      <c r="Q64" s="155"/>
      <c r="R64" s="160"/>
    </row>
    <row r="65" spans="1:18">
      <c r="A65" s="159"/>
      <c r="B65" s="155"/>
      <c r="C65" s="155"/>
      <c r="D65" s="155"/>
      <c r="E65" s="155"/>
      <c r="F65" s="155"/>
      <c r="G65" s="155"/>
      <c r="H65" s="155"/>
      <c r="I65" s="155"/>
      <c r="J65" s="155"/>
      <c r="K65" s="155"/>
      <c r="L65" s="155"/>
      <c r="M65" s="155"/>
      <c r="N65" s="155"/>
      <c r="O65" s="155"/>
      <c r="P65" s="155"/>
      <c r="Q65" s="155"/>
      <c r="R65" s="160"/>
    </row>
    <row r="66" spans="1:18">
      <c r="A66" s="159"/>
      <c r="B66" s="155"/>
      <c r="C66" s="155"/>
      <c r="D66" s="155"/>
      <c r="E66" s="155"/>
      <c r="F66" s="155"/>
      <c r="G66" s="155"/>
      <c r="H66" s="155"/>
      <c r="I66" s="155"/>
      <c r="J66" s="155"/>
      <c r="K66" s="155"/>
      <c r="L66" s="155"/>
      <c r="M66" s="155"/>
      <c r="N66" s="155"/>
      <c r="O66" s="155"/>
      <c r="P66" s="155"/>
      <c r="Q66" s="155"/>
      <c r="R66" s="160"/>
    </row>
    <row r="67" spans="1:18">
      <c r="A67" s="159"/>
      <c r="B67" s="155"/>
      <c r="C67" s="155"/>
      <c r="D67" s="155"/>
      <c r="E67" s="155"/>
      <c r="F67" s="155"/>
      <c r="G67" s="155"/>
      <c r="H67" s="155"/>
      <c r="I67" s="155"/>
      <c r="J67" s="155"/>
      <c r="K67" s="155"/>
      <c r="L67" s="155"/>
      <c r="M67" s="155"/>
      <c r="N67" s="155"/>
      <c r="O67" s="155"/>
      <c r="P67" s="155"/>
      <c r="Q67" s="155"/>
      <c r="R67" s="160"/>
    </row>
    <row r="68" spans="1:18">
      <c r="A68" s="159"/>
      <c r="B68" s="155"/>
      <c r="C68" s="155"/>
      <c r="D68" s="155"/>
      <c r="E68" s="155"/>
      <c r="F68" s="155"/>
      <c r="G68" s="155"/>
      <c r="H68" s="155"/>
      <c r="I68" s="155"/>
      <c r="J68" s="155"/>
      <c r="K68" s="155"/>
      <c r="L68" s="155"/>
      <c r="M68" s="155"/>
      <c r="N68" s="155"/>
      <c r="O68" s="155"/>
      <c r="P68" s="155"/>
      <c r="Q68" s="155"/>
      <c r="R68" s="160"/>
    </row>
    <row r="69" spans="1:18">
      <c r="A69" s="159"/>
      <c r="B69" s="155"/>
      <c r="C69" s="155"/>
      <c r="D69" s="155"/>
      <c r="E69" s="155"/>
      <c r="F69" s="155"/>
      <c r="G69" s="155"/>
      <c r="H69" s="155"/>
      <c r="I69" s="155"/>
      <c r="J69" s="155"/>
      <c r="K69" s="155"/>
      <c r="L69" s="155"/>
      <c r="M69" s="155"/>
      <c r="N69" s="155"/>
      <c r="O69" s="155"/>
      <c r="P69" s="155"/>
      <c r="Q69" s="155"/>
      <c r="R69" s="160"/>
    </row>
    <row r="70" spans="1:18">
      <c r="A70" s="159"/>
      <c r="B70" s="155"/>
      <c r="C70" s="155"/>
      <c r="D70" s="155"/>
      <c r="E70" s="155"/>
      <c r="F70" s="155"/>
      <c r="G70" s="155"/>
      <c r="H70" s="155"/>
      <c r="I70" s="155"/>
      <c r="J70" s="155"/>
      <c r="K70" s="155"/>
      <c r="L70" s="155"/>
      <c r="M70" s="155"/>
      <c r="N70" s="155"/>
      <c r="O70" s="155"/>
      <c r="P70" s="155"/>
      <c r="Q70" s="155"/>
      <c r="R70" s="160"/>
    </row>
    <row r="71" spans="1:18">
      <c r="A71" s="159"/>
      <c r="B71" s="155"/>
      <c r="C71" s="155"/>
      <c r="D71" s="155"/>
      <c r="E71" s="155"/>
      <c r="F71" s="155"/>
      <c r="G71" s="155"/>
      <c r="H71" s="155"/>
      <c r="I71" s="155"/>
      <c r="J71" s="155"/>
      <c r="K71" s="155"/>
      <c r="L71" s="155"/>
      <c r="M71" s="155"/>
      <c r="N71" s="155"/>
      <c r="O71" s="155"/>
      <c r="P71" s="155"/>
      <c r="Q71" s="155"/>
      <c r="R71" s="160"/>
    </row>
    <row r="72" spans="1:18">
      <c r="A72" s="159"/>
      <c r="B72" s="155"/>
      <c r="C72" s="155"/>
      <c r="D72" s="155"/>
      <c r="E72" s="155"/>
      <c r="F72" s="155"/>
      <c r="G72" s="155"/>
      <c r="H72" s="155"/>
      <c r="I72" s="155"/>
      <c r="J72" s="155"/>
      <c r="K72" s="155"/>
      <c r="L72" s="155"/>
      <c r="M72" s="155"/>
      <c r="N72" s="155"/>
      <c r="O72" s="155"/>
      <c r="P72" s="155"/>
      <c r="Q72" s="155"/>
      <c r="R72" s="160"/>
    </row>
    <row r="73" spans="1:18">
      <c r="A73" s="159"/>
      <c r="B73" s="155"/>
      <c r="C73" s="155"/>
      <c r="D73" s="155"/>
      <c r="E73" s="155"/>
      <c r="F73" s="155"/>
      <c r="G73" s="155"/>
      <c r="H73" s="155"/>
      <c r="I73" s="155"/>
      <c r="J73" s="155"/>
      <c r="K73" s="155"/>
      <c r="L73" s="155"/>
      <c r="M73" s="155"/>
      <c r="N73" s="155"/>
      <c r="O73" s="155"/>
      <c r="P73" s="155"/>
      <c r="Q73" s="155"/>
      <c r="R73" s="160"/>
    </row>
    <row r="74" spans="1:18">
      <c r="A74" s="159"/>
      <c r="B74" s="155"/>
      <c r="C74" s="155"/>
      <c r="D74" s="155"/>
      <c r="E74" s="155"/>
      <c r="F74" s="155"/>
      <c r="G74" s="155"/>
      <c r="H74" s="155"/>
      <c r="I74" s="155"/>
      <c r="J74" s="155"/>
      <c r="K74" s="155"/>
      <c r="L74" s="155"/>
      <c r="M74" s="155"/>
      <c r="N74" s="155"/>
      <c r="O74" s="155"/>
      <c r="P74" s="155"/>
      <c r="Q74" s="155"/>
      <c r="R74" s="160"/>
    </row>
    <row r="75" spans="1:18">
      <c r="A75" s="159"/>
      <c r="B75" s="155"/>
      <c r="C75" s="155"/>
      <c r="D75" s="155"/>
      <c r="E75" s="155"/>
      <c r="F75" s="155"/>
      <c r="G75" s="155"/>
      <c r="H75" s="155"/>
      <c r="I75" s="155"/>
      <c r="J75" s="155"/>
      <c r="K75" s="155"/>
      <c r="L75" s="155"/>
      <c r="M75" s="155"/>
      <c r="N75" s="155"/>
      <c r="O75" s="155"/>
      <c r="P75" s="155"/>
      <c r="Q75" s="155"/>
      <c r="R75" s="160"/>
    </row>
    <row r="76" spans="1:18">
      <c r="A76" s="159"/>
      <c r="B76" s="155"/>
      <c r="C76" s="155"/>
      <c r="D76" s="155"/>
      <c r="E76" s="155"/>
      <c r="F76" s="155"/>
      <c r="G76" s="155"/>
      <c r="H76" s="155"/>
      <c r="I76" s="155"/>
      <c r="J76" s="155"/>
      <c r="K76" s="155"/>
      <c r="L76" s="155"/>
      <c r="M76" s="155"/>
      <c r="N76" s="155"/>
      <c r="O76" s="155"/>
      <c r="P76" s="155"/>
      <c r="Q76" s="155"/>
      <c r="R76" s="160"/>
    </row>
    <row r="77" spans="1:18">
      <c r="A77" s="159"/>
      <c r="B77" s="155"/>
      <c r="C77" s="155"/>
      <c r="D77" s="155"/>
      <c r="E77" s="155"/>
      <c r="F77" s="155"/>
      <c r="G77" s="155"/>
      <c r="H77" s="155"/>
      <c r="I77" s="155"/>
      <c r="J77" s="155"/>
      <c r="K77" s="155"/>
      <c r="L77" s="155"/>
      <c r="M77" s="155"/>
      <c r="N77" s="155"/>
      <c r="O77" s="155"/>
      <c r="P77" s="155"/>
      <c r="Q77" s="155"/>
      <c r="R77" s="160"/>
    </row>
    <row r="78" spans="1:18">
      <c r="A78" s="159"/>
      <c r="B78" s="155"/>
      <c r="C78" s="155"/>
      <c r="D78" s="155"/>
      <c r="E78" s="155"/>
      <c r="F78" s="155"/>
      <c r="G78" s="155"/>
      <c r="H78" s="155"/>
      <c r="I78" s="155"/>
      <c r="J78" s="155"/>
      <c r="K78" s="155"/>
      <c r="L78" s="155"/>
      <c r="M78" s="155"/>
      <c r="N78" s="155"/>
      <c r="O78" s="155"/>
      <c r="P78" s="155"/>
      <c r="Q78" s="155"/>
      <c r="R78" s="160"/>
    </row>
    <row r="79" spans="1:18">
      <c r="A79" s="159"/>
      <c r="B79" s="155"/>
      <c r="C79" s="155"/>
      <c r="D79" s="155"/>
      <c r="E79" s="155"/>
      <c r="F79" s="155"/>
      <c r="G79" s="155"/>
      <c r="H79" s="155"/>
      <c r="I79" s="155"/>
      <c r="J79" s="155"/>
      <c r="K79" s="155"/>
      <c r="L79" s="155"/>
      <c r="M79" s="155"/>
      <c r="N79" s="155"/>
      <c r="O79" s="155"/>
      <c r="P79" s="155"/>
      <c r="Q79" s="155"/>
      <c r="R79" s="160"/>
    </row>
    <row r="80" spans="1:18">
      <c r="A80" s="159"/>
      <c r="B80" s="155"/>
      <c r="C80" s="155"/>
      <c r="D80" s="155"/>
      <c r="E80" s="155"/>
      <c r="F80" s="155"/>
      <c r="G80" s="155"/>
      <c r="H80" s="155"/>
      <c r="I80" s="155"/>
      <c r="J80" s="155"/>
      <c r="K80" s="155"/>
      <c r="L80" s="155"/>
      <c r="M80" s="155"/>
      <c r="N80" s="155"/>
      <c r="O80" s="155"/>
      <c r="P80" s="155"/>
      <c r="Q80" s="155"/>
      <c r="R80" s="160"/>
    </row>
    <row r="81" spans="1:18">
      <c r="A81" s="159"/>
      <c r="B81" s="155"/>
      <c r="C81" s="155"/>
      <c r="D81" s="155"/>
      <c r="E81" s="155"/>
      <c r="F81" s="155"/>
      <c r="G81" s="155"/>
      <c r="H81" s="155"/>
      <c r="I81" s="155"/>
      <c r="J81" s="155"/>
      <c r="K81" s="155"/>
      <c r="L81" s="155"/>
      <c r="M81" s="155"/>
      <c r="N81" s="155"/>
      <c r="O81" s="155"/>
      <c r="P81" s="155"/>
      <c r="Q81" s="155"/>
      <c r="R81" s="160"/>
    </row>
    <row r="82" spans="1:18">
      <c r="A82" s="159"/>
      <c r="B82" s="155"/>
      <c r="C82" s="155"/>
      <c r="D82" s="155"/>
      <c r="E82" s="155"/>
      <c r="F82" s="155"/>
      <c r="G82" s="155"/>
      <c r="H82" s="155"/>
      <c r="I82" s="155"/>
      <c r="J82" s="155"/>
      <c r="K82" s="155"/>
      <c r="L82" s="155"/>
      <c r="M82" s="155"/>
      <c r="N82" s="155"/>
      <c r="O82" s="155"/>
      <c r="P82" s="155"/>
      <c r="Q82" s="155"/>
      <c r="R82" s="160"/>
    </row>
    <row r="83" spans="1:18">
      <c r="A83" s="159"/>
      <c r="B83" s="155"/>
      <c r="C83" s="155"/>
      <c r="D83" s="155"/>
      <c r="E83" s="155"/>
      <c r="F83" s="155"/>
      <c r="G83" s="155"/>
      <c r="H83" s="155"/>
      <c r="I83" s="155"/>
      <c r="J83" s="155"/>
      <c r="K83" s="155"/>
      <c r="L83" s="155"/>
      <c r="M83" s="155"/>
      <c r="N83" s="155"/>
      <c r="O83" s="155"/>
      <c r="P83" s="155"/>
      <c r="Q83" s="155"/>
      <c r="R83" s="160"/>
    </row>
    <row r="84" spans="1:18">
      <c r="A84" s="159"/>
      <c r="B84" s="155"/>
      <c r="C84" s="155"/>
      <c r="D84" s="155"/>
      <c r="E84" s="155"/>
      <c r="F84" s="155"/>
      <c r="G84" s="155"/>
      <c r="H84" s="155"/>
      <c r="I84" s="155"/>
      <c r="J84" s="155"/>
      <c r="K84" s="155"/>
      <c r="L84" s="155"/>
      <c r="M84" s="155"/>
      <c r="N84" s="155"/>
      <c r="O84" s="155"/>
      <c r="P84" s="155"/>
      <c r="Q84" s="155"/>
      <c r="R84" s="160"/>
    </row>
    <row r="85" spans="1:18">
      <c r="A85" s="159"/>
      <c r="B85" s="155"/>
      <c r="C85" s="155"/>
      <c r="D85" s="155"/>
      <c r="E85" s="155"/>
      <c r="F85" s="155"/>
      <c r="G85" s="155"/>
      <c r="H85" s="155"/>
      <c r="I85" s="155"/>
      <c r="J85" s="155"/>
      <c r="K85" s="155"/>
      <c r="L85" s="155"/>
      <c r="M85" s="155"/>
      <c r="N85" s="155"/>
      <c r="O85" s="155"/>
      <c r="P85" s="155"/>
      <c r="Q85" s="155"/>
      <c r="R85" s="160"/>
    </row>
    <row r="86" spans="1:18">
      <c r="A86" s="159"/>
      <c r="B86" s="155"/>
      <c r="C86" s="155"/>
      <c r="D86" s="155"/>
      <c r="E86" s="155"/>
      <c r="F86" s="155"/>
      <c r="G86" s="155"/>
      <c r="H86" s="155"/>
      <c r="I86" s="155"/>
      <c r="J86" s="155"/>
      <c r="K86" s="155"/>
      <c r="L86" s="155"/>
      <c r="M86" s="155"/>
      <c r="N86" s="155"/>
      <c r="O86" s="155"/>
      <c r="P86" s="155"/>
      <c r="Q86" s="155"/>
      <c r="R86" s="160"/>
    </row>
    <row r="87" spans="1:18">
      <c r="A87" s="159"/>
      <c r="B87" s="155"/>
      <c r="C87" s="155"/>
      <c r="D87" s="155"/>
      <c r="E87" s="155"/>
      <c r="F87" s="155"/>
      <c r="G87" s="155"/>
      <c r="H87" s="155"/>
      <c r="I87" s="155"/>
      <c r="J87" s="155"/>
      <c r="K87" s="155"/>
      <c r="L87" s="155"/>
      <c r="M87" s="155"/>
      <c r="N87" s="155"/>
      <c r="O87" s="155"/>
      <c r="P87" s="155"/>
      <c r="Q87" s="155"/>
      <c r="R87" s="160"/>
    </row>
    <row r="88" spans="1:18">
      <c r="A88" s="159"/>
      <c r="B88" s="155"/>
      <c r="C88" s="155"/>
      <c r="D88" s="155"/>
      <c r="E88" s="155"/>
      <c r="F88" s="155"/>
      <c r="G88" s="155"/>
      <c r="H88" s="155"/>
      <c r="I88" s="155"/>
      <c r="J88" s="155"/>
      <c r="K88" s="155"/>
      <c r="L88" s="155"/>
      <c r="M88" s="155"/>
      <c r="N88" s="155"/>
      <c r="O88" s="155"/>
      <c r="P88" s="155"/>
      <c r="Q88" s="155"/>
      <c r="R88" s="160"/>
    </row>
    <row r="89" spans="1:18">
      <c r="A89" s="159"/>
      <c r="B89" s="155"/>
      <c r="C89" s="155"/>
      <c r="D89" s="155"/>
      <c r="E89" s="155"/>
      <c r="F89" s="155"/>
      <c r="G89" s="155"/>
      <c r="H89" s="155"/>
      <c r="I89" s="155"/>
      <c r="J89" s="155"/>
      <c r="K89" s="155"/>
      <c r="L89" s="155"/>
      <c r="M89" s="155"/>
      <c r="N89" s="155"/>
      <c r="O89" s="155"/>
      <c r="P89" s="155"/>
      <c r="Q89" s="155"/>
      <c r="R89" s="160"/>
    </row>
    <row r="90" spans="1:18">
      <c r="A90" s="159"/>
      <c r="B90" s="155"/>
      <c r="C90" s="155"/>
      <c r="D90" s="155"/>
      <c r="E90" s="155"/>
      <c r="F90" s="155"/>
      <c r="G90" s="155"/>
      <c r="H90" s="155"/>
      <c r="I90" s="155"/>
      <c r="J90" s="155"/>
      <c r="K90" s="155"/>
      <c r="L90" s="155"/>
      <c r="M90" s="155"/>
      <c r="N90" s="155"/>
      <c r="O90" s="155"/>
      <c r="P90" s="155"/>
      <c r="Q90" s="155"/>
      <c r="R90" s="160"/>
    </row>
    <row r="91" spans="1:18">
      <c r="A91" s="159"/>
      <c r="B91" s="155"/>
      <c r="C91" s="155"/>
      <c r="D91" s="155"/>
      <c r="E91" s="155"/>
      <c r="F91" s="155"/>
      <c r="G91" s="155"/>
      <c r="H91" s="155"/>
      <c r="I91" s="155"/>
      <c r="J91" s="155"/>
      <c r="K91" s="155"/>
      <c r="L91" s="155"/>
      <c r="M91" s="155"/>
      <c r="N91" s="155"/>
      <c r="O91" s="155"/>
      <c r="P91" s="155"/>
      <c r="Q91" s="155"/>
      <c r="R91" s="160"/>
    </row>
    <row r="92" spans="1:18">
      <c r="A92" s="159"/>
      <c r="B92" s="155"/>
      <c r="C92" s="155"/>
      <c r="D92" s="155"/>
      <c r="E92" s="155"/>
      <c r="F92" s="155"/>
      <c r="G92" s="155"/>
      <c r="H92" s="155"/>
      <c r="I92" s="155"/>
      <c r="J92" s="155"/>
      <c r="K92" s="155"/>
      <c r="L92" s="155"/>
      <c r="M92" s="155"/>
      <c r="N92" s="155"/>
      <c r="O92" s="155"/>
      <c r="P92" s="155"/>
      <c r="Q92" s="155"/>
      <c r="R92" s="160"/>
    </row>
    <row r="93" spans="1:18">
      <c r="A93" s="159"/>
      <c r="B93" s="155"/>
      <c r="C93" s="155"/>
      <c r="D93" s="155"/>
      <c r="E93" s="155"/>
      <c r="F93" s="155"/>
      <c r="G93" s="155"/>
      <c r="H93" s="155"/>
      <c r="I93" s="155"/>
      <c r="J93" s="155"/>
      <c r="K93" s="155"/>
      <c r="L93" s="155"/>
      <c r="M93" s="155"/>
      <c r="N93" s="155"/>
      <c r="O93" s="155"/>
      <c r="P93" s="155"/>
      <c r="Q93" s="155"/>
      <c r="R93" s="160"/>
    </row>
    <row r="94" spans="1:18">
      <c r="A94" s="159"/>
      <c r="B94" s="155"/>
      <c r="C94" s="155"/>
      <c r="D94" s="155"/>
      <c r="E94" s="155"/>
      <c r="F94" s="155"/>
      <c r="G94" s="155"/>
      <c r="H94" s="155"/>
      <c r="I94" s="155"/>
      <c r="J94" s="155"/>
      <c r="K94" s="155"/>
      <c r="L94" s="155"/>
      <c r="M94" s="155"/>
      <c r="N94" s="155"/>
      <c r="O94" s="155"/>
      <c r="P94" s="155"/>
      <c r="Q94" s="155"/>
      <c r="R94" s="160"/>
    </row>
    <row r="95" spans="1:18">
      <c r="A95" s="159"/>
      <c r="B95" s="155"/>
      <c r="C95" s="155"/>
      <c r="D95" s="155"/>
      <c r="E95" s="155"/>
      <c r="F95" s="155"/>
      <c r="G95" s="155"/>
      <c r="H95" s="155"/>
      <c r="I95" s="155"/>
      <c r="J95" s="155"/>
      <c r="K95" s="155"/>
      <c r="L95" s="155"/>
      <c r="M95" s="155"/>
      <c r="N95" s="155"/>
      <c r="O95" s="155"/>
      <c r="P95" s="155"/>
      <c r="Q95" s="155"/>
      <c r="R95" s="160"/>
    </row>
    <row r="96" spans="1:18">
      <c r="A96" s="159"/>
      <c r="B96" s="155"/>
      <c r="C96" s="155"/>
      <c r="D96" s="155"/>
      <c r="E96" s="155"/>
      <c r="F96" s="155"/>
      <c r="G96" s="155"/>
      <c r="H96" s="155"/>
      <c r="I96" s="155"/>
      <c r="J96" s="155"/>
      <c r="K96" s="155"/>
      <c r="L96" s="155"/>
      <c r="M96" s="155"/>
      <c r="N96" s="155"/>
      <c r="O96" s="155"/>
      <c r="P96" s="155"/>
      <c r="Q96" s="155"/>
      <c r="R96" s="160"/>
    </row>
    <row r="97" spans="1:18">
      <c r="A97" s="159"/>
      <c r="B97" s="155"/>
      <c r="C97" s="155"/>
      <c r="D97" s="155"/>
      <c r="E97" s="155"/>
      <c r="F97" s="155"/>
      <c r="G97" s="155"/>
      <c r="H97" s="155"/>
      <c r="I97" s="155"/>
      <c r="J97" s="155"/>
      <c r="K97" s="155"/>
      <c r="L97" s="155"/>
      <c r="M97" s="155"/>
      <c r="N97" s="155"/>
      <c r="O97" s="155"/>
      <c r="P97" s="155"/>
      <c r="Q97" s="155"/>
      <c r="R97" s="160"/>
    </row>
    <row r="98" spans="1:18">
      <c r="A98" s="159"/>
      <c r="B98" s="155"/>
      <c r="C98" s="155"/>
      <c r="D98" s="155"/>
      <c r="E98" s="155"/>
      <c r="F98" s="155"/>
      <c r="G98" s="155"/>
      <c r="H98" s="155"/>
      <c r="I98" s="155"/>
      <c r="J98" s="155"/>
      <c r="K98" s="155"/>
      <c r="L98" s="155"/>
      <c r="M98" s="155"/>
      <c r="N98" s="155"/>
      <c r="O98" s="155"/>
      <c r="P98" s="155"/>
      <c r="Q98" s="155"/>
      <c r="R98" s="160"/>
    </row>
    <row r="99" spans="1:18">
      <c r="A99" s="159"/>
      <c r="B99" s="155"/>
      <c r="C99" s="155"/>
      <c r="D99" s="155"/>
      <c r="E99" s="155"/>
      <c r="F99" s="155"/>
      <c r="G99" s="155"/>
      <c r="H99" s="155"/>
      <c r="I99" s="155"/>
      <c r="J99" s="155"/>
      <c r="K99" s="155"/>
      <c r="L99" s="155"/>
      <c r="M99" s="155"/>
      <c r="N99" s="155"/>
      <c r="O99" s="155"/>
      <c r="P99" s="155"/>
      <c r="Q99" s="155"/>
      <c r="R99" s="160"/>
    </row>
    <row r="100" spans="1:18">
      <c r="A100" s="159"/>
      <c r="B100" s="155"/>
      <c r="C100" s="155"/>
      <c r="D100" s="155"/>
      <c r="E100" s="155"/>
      <c r="F100" s="155"/>
      <c r="G100" s="155"/>
      <c r="H100" s="155"/>
      <c r="I100" s="155"/>
      <c r="J100" s="155"/>
      <c r="K100" s="155"/>
      <c r="L100" s="155"/>
      <c r="M100" s="155"/>
      <c r="N100" s="155"/>
      <c r="O100" s="155"/>
      <c r="P100" s="155"/>
      <c r="Q100" s="155"/>
      <c r="R100" s="160"/>
    </row>
    <row r="101" spans="1:18">
      <c r="A101" s="159"/>
      <c r="B101" s="155"/>
      <c r="C101" s="155"/>
      <c r="D101" s="155"/>
      <c r="E101" s="155"/>
      <c r="F101" s="155"/>
      <c r="G101" s="155"/>
      <c r="H101" s="155"/>
      <c r="I101" s="155"/>
      <c r="J101" s="155"/>
      <c r="K101" s="155"/>
      <c r="L101" s="155"/>
      <c r="M101" s="155"/>
      <c r="N101" s="155"/>
      <c r="O101" s="155"/>
      <c r="P101" s="155"/>
      <c r="Q101" s="155"/>
      <c r="R101" s="160"/>
    </row>
    <row r="102" spans="1:18">
      <c r="A102" s="159"/>
      <c r="B102" s="155"/>
      <c r="C102" s="155"/>
      <c r="D102" s="155"/>
      <c r="E102" s="155"/>
      <c r="F102" s="155"/>
      <c r="G102" s="155"/>
      <c r="H102" s="155"/>
      <c r="I102" s="155"/>
      <c r="J102" s="155"/>
      <c r="K102" s="155"/>
      <c r="L102" s="155"/>
      <c r="M102" s="155"/>
      <c r="N102" s="155"/>
      <c r="O102" s="155"/>
      <c r="P102" s="155"/>
      <c r="Q102" s="155"/>
      <c r="R102" s="160"/>
    </row>
    <row r="103" spans="1:18">
      <c r="A103" s="159"/>
      <c r="B103" s="155"/>
      <c r="C103" s="155"/>
      <c r="D103" s="155"/>
      <c r="E103" s="155"/>
      <c r="F103" s="155"/>
      <c r="G103" s="155"/>
      <c r="H103" s="155"/>
      <c r="I103" s="155"/>
      <c r="J103" s="155"/>
      <c r="K103" s="155"/>
      <c r="L103" s="155"/>
      <c r="M103" s="155"/>
      <c r="N103" s="155"/>
      <c r="O103" s="155"/>
      <c r="P103" s="155"/>
      <c r="Q103" s="155"/>
      <c r="R103" s="160"/>
    </row>
    <row r="104" spans="1:18">
      <c r="A104" s="159"/>
      <c r="B104" s="155"/>
      <c r="C104" s="155"/>
      <c r="D104" s="155"/>
      <c r="E104" s="155"/>
      <c r="F104" s="155"/>
      <c r="G104" s="155"/>
      <c r="H104" s="155"/>
      <c r="I104" s="155"/>
      <c r="J104" s="155"/>
      <c r="K104" s="155"/>
      <c r="L104" s="155"/>
      <c r="M104" s="155"/>
      <c r="N104" s="155"/>
      <c r="O104" s="155"/>
      <c r="P104" s="155"/>
      <c r="Q104" s="155"/>
      <c r="R104" s="160"/>
    </row>
    <row r="105" spans="1:18">
      <c r="A105" s="159"/>
      <c r="B105" s="155"/>
      <c r="C105" s="155"/>
      <c r="D105" s="155"/>
      <c r="E105" s="155"/>
      <c r="F105" s="155"/>
      <c r="G105" s="155"/>
      <c r="H105" s="155"/>
      <c r="I105" s="155"/>
      <c r="J105" s="155"/>
      <c r="K105" s="155"/>
      <c r="L105" s="155"/>
      <c r="M105" s="155"/>
      <c r="N105" s="155"/>
      <c r="O105" s="155"/>
      <c r="P105" s="155"/>
      <c r="Q105" s="155"/>
      <c r="R105" s="160"/>
    </row>
    <row r="106" spans="1:18">
      <c r="A106" s="159"/>
      <c r="B106" s="155"/>
      <c r="C106" s="155"/>
      <c r="D106" s="155"/>
      <c r="E106" s="155"/>
      <c r="F106" s="155"/>
      <c r="G106" s="155"/>
      <c r="H106" s="155"/>
      <c r="I106" s="155"/>
      <c r="J106" s="155"/>
      <c r="K106" s="155"/>
      <c r="L106" s="155"/>
      <c r="M106" s="155"/>
      <c r="N106" s="155"/>
      <c r="O106" s="155"/>
      <c r="P106" s="155"/>
      <c r="Q106" s="155"/>
      <c r="R106" s="160"/>
    </row>
    <row r="107" spans="1:18">
      <c r="A107" s="159"/>
      <c r="B107" s="155"/>
      <c r="C107" s="155"/>
      <c r="D107" s="155"/>
      <c r="E107" s="155"/>
      <c r="F107" s="155"/>
      <c r="G107" s="155"/>
      <c r="H107" s="155"/>
      <c r="I107" s="155"/>
      <c r="J107" s="155"/>
      <c r="K107" s="155"/>
      <c r="L107" s="155"/>
      <c r="M107" s="155"/>
      <c r="N107" s="155"/>
      <c r="O107" s="155"/>
      <c r="P107" s="155"/>
      <c r="Q107" s="155"/>
      <c r="R107" s="160"/>
    </row>
    <row r="108" spans="1:18">
      <c r="A108" s="159"/>
      <c r="B108" s="155"/>
      <c r="C108" s="155"/>
      <c r="D108" s="155"/>
      <c r="E108" s="155"/>
      <c r="F108" s="155"/>
      <c r="G108" s="155"/>
      <c r="H108" s="155"/>
      <c r="I108" s="155"/>
      <c r="J108" s="155"/>
      <c r="K108" s="155"/>
      <c r="L108" s="155"/>
      <c r="M108" s="155"/>
      <c r="N108" s="155"/>
      <c r="O108" s="155"/>
      <c r="P108" s="155"/>
      <c r="Q108" s="155"/>
      <c r="R108" s="160"/>
    </row>
    <row r="109" spans="1:18">
      <c r="A109" s="159"/>
      <c r="B109" s="155"/>
      <c r="C109" s="155"/>
      <c r="D109" s="155"/>
      <c r="E109" s="155"/>
      <c r="F109" s="155"/>
      <c r="G109" s="155"/>
      <c r="H109" s="155"/>
      <c r="I109" s="155"/>
      <c r="J109" s="155"/>
      <c r="K109" s="155"/>
      <c r="L109" s="155"/>
      <c r="M109" s="155"/>
      <c r="N109" s="155"/>
      <c r="O109" s="155"/>
      <c r="P109" s="155"/>
      <c r="Q109" s="155"/>
      <c r="R109" s="160"/>
    </row>
    <row r="110" spans="1:18">
      <c r="A110" s="159"/>
      <c r="B110" s="155"/>
      <c r="C110" s="155"/>
      <c r="D110" s="155"/>
      <c r="E110" s="155"/>
      <c r="F110" s="155"/>
      <c r="G110" s="155"/>
      <c r="H110" s="155"/>
      <c r="I110" s="155"/>
      <c r="J110" s="155"/>
      <c r="K110" s="155"/>
      <c r="L110" s="155"/>
      <c r="M110" s="155"/>
      <c r="N110" s="155"/>
      <c r="O110" s="155"/>
      <c r="P110" s="155"/>
      <c r="Q110" s="155"/>
      <c r="R110" s="160"/>
    </row>
    <row r="111" spans="1:18">
      <c r="A111" s="159"/>
      <c r="B111" s="155"/>
      <c r="C111" s="155"/>
      <c r="D111" s="155"/>
      <c r="E111" s="155"/>
      <c r="F111" s="155"/>
      <c r="G111" s="155"/>
      <c r="H111" s="155"/>
      <c r="I111" s="155"/>
      <c r="J111" s="155"/>
      <c r="K111" s="155"/>
      <c r="L111" s="155"/>
      <c r="M111" s="155"/>
      <c r="N111" s="155"/>
      <c r="O111" s="155"/>
      <c r="P111" s="155"/>
      <c r="Q111" s="155"/>
      <c r="R111" s="160"/>
    </row>
    <row r="112" spans="1:18">
      <c r="A112" s="159"/>
      <c r="B112" s="155"/>
      <c r="C112" s="155"/>
      <c r="D112" s="155"/>
      <c r="E112" s="155"/>
      <c r="F112" s="155"/>
      <c r="G112" s="155"/>
      <c r="H112" s="155"/>
      <c r="I112" s="155"/>
      <c r="J112" s="155"/>
      <c r="K112" s="155"/>
      <c r="L112" s="155"/>
      <c r="M112" s="155"/>
      <c r="N112" s="155"/>
      <c r="O112" s="155"/>
      <c r="P112" s="155"/>
      <c r="Q112" s="155"/>
      <c r="R112" s="160"/>
    </row>
    <row r="113" spans="1:18">
      <c r="A113" s="159"/>
      <c r="B113" s="155"/>
      <c r="C113" s="155"/>
      <c r="D113" s="155"/>
      <c r="E113" s="155"/>
      <c r="F113" s="155"/>
      <c r="G113" s="155"/>
      <c r="H113" s="155"/>
      <c r="I113" s="155"/>
      <c r="J113" s="155"/>
      <c r="K113" s="155"/>
      <c r="L113" s="155"/>
      <c r="M113" s="155"/>
      <c r="N113" s="155"/>
      <c r="O113" s="155"/>
      <c r="P113" s="155"/>
      <c r="Q113" s="155"/>
      <c r="R113" s="160"/>
    </row>
    <row r="114" spans="1:18">
      <c r="A114" s="159"/>
      <c r="B114" s="155"/>
      <c r="C114" s="155"/>
      <c r="D114" s="155"/>
      <c r="E114" s="155"/>
      <c r="F114" s="155"/>
      <c r="G114" s="155"/>
      <c r="H114" s="155"/>
      <c r="I114" s="155"/>
      <c r="J114" s="155"/>
      <c r="K114" s="155"/>
      <c r="L114" s="155"/>
      <c r="M114" s="155"/>
      <c r="N114" s="155"/>
      <c r="O114" s="155"/>
      <c r="P114" s="155"/>
      <c r="Q114" s="155"/>
      <c r="R114" s="160"/>
    </row>
    <row r="115" spans="1:18">
      <c r="A115" s="159"/>
      <c r="B115" s="155"/>
      <c r="C115" s="155"/>
      <c r="D115" s="155"/>
      <c r="E115" s="155"/>
      <c r="F115" s="155"/>
      <c r="G115" s="155"/>
      <c r="H115" s="155"/>
      <c r="I115" s="155"/>
      <c r="J115" s="155"/>
      <c r="K115" s="155"/>
      <c r="L115" s="155"/>
      <c r="M115" s="155"/>
      <c r="N115" s="155"/>
      <c r="O115" s="155"/>
      <c r="P115" s="155"/>
      <c r="Q115" s="155"/>
      <c r="R115" s="160"/>
    </row>
    <row r="116" spans="1:18">
      <c r="A116" s="159"/>
      <c r="B116" s="155"/>
      <c r="C116" s="155"/>
      <c r="D116" s="155"/>
      <c r="E116" s="155"/>
      <c r="F116" s="155"/>
      <c r="G116" s="155"/>
      <c r="H116" s="155"/>
      <c r="I116" s="155"/>
      <c r="J116" s="155"/>
      <c r="K116" s="155"/>
      <c r="L116" s="155"/>
      <c r="M116" s="155"/>
      <c r="N116" s="155"/>
      <c r="O116" s="155"/>
      <c r="P116" s="155"/>
      <c r="Q116" s="155"/>
      <c r="R116" s="160"/>
    </row>
    <row r="117" spans="1:18">
      <c r="A117" s="159"/>
      <c r="B117" s="155"/>
      <c r="C117" s="155"/>
      <c r="D117" s="155"/>
      <c r="E117" s="155"/>
      <c r="F117" s="155"/>
      <c r="G117" s="155"/>
      <c r="H117" s="155"/>
      <c r="I117" s="155"/>
      <c r="J117" s="155"/>
      <c r="K117" s="155"/>
      <c r="L117" s="155"/>
      <c r="M117" s="155"/>
      <c r="N117" s="155"/>
      <c r="O117" s="155"/>
      <c r="P117" s="155"/>
      <c r="Q117" s="155"/>
      <c r="R117" s="160"/>
    </row>
    <row r="118" spans="1:18">
      <c r="A118" s="159"/>
      <c r="B118" s="155"/>
      <c r="C118" s="155"/>
      <c r="D118" s="155"/>
      <c r="E118" s="155"/>
      <c r="F118" s="155"/>
      <c r="G118" s="155"/>
      <c r="H118" s="155"/>
      <c r="I118" s="155"/>
      <c r="J118" s="155"/>
      <c r="K118" s="155"/>
      <c r="L118" s="155"/>
      <c r="M118" s="155"/>
      <c r="N118" s="155"/>
      <c r="O118" s="155"/>
      <c r="P118" s="155"/>
      <c r="Q118" s="155"/>
      <c r="R118" s="160"/>
    </row>
    <row r="119" spans="1:18">
      <c r="A119" s="159"/>
      <c r="B119" s="155"/>
      <c r="C119" s="155"/>
      <c r="D119" s="155"/>
      <c r="E119" s="155"/>
      <c r="F119" s="155"/>
      <c r="G119" s="155"/>
      <c r="H119" s="155"/>
      <c r="I119" s="155"/>
      <c r="J119" s="155"/>
      <c r="K119" s="155"/>
      <c r="L119" s="155"/>
      <c r="M119" s="155"/>
      <c r="N119" s="155"/>
      <c r="O119" s="155"/>
      <c r="P119" s="155"/>
      <c r="Q119" s="155"/>
      <c r="R119" s="160"/>
    </row>
    <row r="120" spans="1:18">
      <c r="A120" s="159"/>
      <c r="B120" s="155"/>
      <c r="C120" s="155"/>
      <c r="D120" s="155"/>
      <c r="E120" s="155"/>
      <c r="F120" s="155"/>
      <c r="G120" s="155"/>
      <c r="H120" s="155"/>
      <c r="I120" s="155"/>
      <c r="J120" s="155"/>
      <c r="K120" s="155"/>
      <c r="L120" s="155"/>
      <c r="M120" s="155"/>
      <c r="N120" s="155"/>
      <c r="O120" s="155"/>
      <c r="P120" s="155"/>
      <c r="Q120" s="155"/>
      <c r="R120" s="160"/>
    </row>
    <row r="121" spans="1:18">
      <c r="A121" s="159"/>
      <c r="B121" s="155"/>
      <c r="C121" s="155"/>
      <c r="D121" s="155"/>
      <c r="E121" s="155"/>
      <c r="F121" s="155"/>
      <c r="G121" s="155"/>
      <c r="H121" s="155"/>
      <c r="I121" s="155"/>
      <c r="J121" s="155"/>
      <c r="K121" s="155"/>
      <c r="L121" s="155"/>
      <c r="M121" s="155"/>
      <c r="N121" s="155"/>
      <c r="O121" s="155"/>
      <c r="P121" s="155"/>
      <c r="Q121" s="155"/>
      <c r="R121" s="160"/>
    </row>
    <row r="122" spans="1:18">
      <c r="A122" s="159"/>
      <c r="B122" s="155"/>
      <c r="C122" s="155"/>
      <c r="D122" s="155"/>
      <c r="E122" s="155"/>
      <c r="F122" s="155"/>
      <c r="G122" s="155"/>
      <c r="H122" s="155"/>
      <c r="I122" s="155"/>
      <c r="J122" s="155"/>
      <c r="K122" s="155"/>
      <c r="L122" s="155"/>
      <c r="M122" s="155"/>
      <c r="N122" s="155"/>
      <c r="O122" s="155"/>
      <c r="P122" s="155"/>
      <c r="Q122" s="155"/>
      <c r="R122" s="160"/>
    </row>
    <row r="123" spans="1:18">
      <c r="A123" s="159"/>
      <c r="B123" s="155"/>
      <c r="C123" s="155"/>
      <c r="D123" s="155"/>
      <c r="E123" s="155"/>
      <c r="F123" s="155"/>
      <c r="G123" s="155"/>
      <c r="H123" s="155"/>
      <c r="I123" s="155"/>
      <c r="J123" s="155"/>
      <c r="K123" s="155"/>
      <c r="L123" s="155"/>
      <c r="M123" s="155"/>
      <c r="N123" s="155"/>
      <c r="O123" s="155"/>
      <c r="P123" s="155"/>
      <c r="Q123" s="155"/>
      <c r="R123" s="160"/>
    </row>
    <row r="124" spans="1:18">
      <c r="A124" s="159"/>
      <c r="B124" s="155"/>
      <c r="C124" s="155"/>
      <c r="D124" s="155"/>
      <c r="E124" s="155"/>
      <c r="F124" s="155"/>
      <c r="G124" s="155"/>
      <c r="H124" s="155"/>
      <c r="I124" s="155"/>
      <c r="J124" s="155"/>
      <c r="K124" s="155"/>
      <c r="L124" s="155"/>
      <c r="M124" s="155"/>
      <c r="N124" s="155"/>
      <c r="O124" s="155"/>
      <c r="P124" s="155"/>
      <c r="Q124" s="155"/>
      <c r="R124" s="160"/>
    </row>
    <row r="125" spans="1:18">
      <c r="A125" s="159"/>
      <c r="B125" s="155"/>
      <c r="C125" s="155"/>
      <c r="D125" s="155"/>
      <c r="E125" s="155"/>
      <c r="F125" s="155"/>
      <c r="G125" s="155"/>
      <c r="H125" s="155"/>
      <c r="I125" s="155"/>
      <c r="J125" s="155"/>
      <c r="K125" s="155"/>
      <c r="L125" s="155"/>
      <c r="M125" s="155"/>
      <c r="N125" s="155"/>
      <c r="O125" s="155"/>
      <c r="P125" s="155"/>
      <c r="Q125" s="155"/>
      <c r="R125" s="160"/>
    </row>
    <row r="126" spans="1:18">
      <c r="A126" s="159"/>
      <c r="B126" s="155"/>
      <c r="C126" s="155"/>
      <c r="D126" s="155"/>
      <c r="E126" s="155"/>
      <c r="F126" s="155"/>
      <c r="G126" s="155"/>
      <c r="H126" s="155"/>
      <c r="I126" s="155"/>
      <c r="J126" s="155"/>
      <c r="K126" s="155"/>
      <c r="L126" s="155"/>
      <c r="M126" s="155"/>
      <c r="N126" s="155"/>
      <c r="O126" s="155"/>
      <c r="P126" s="155"/>
      <c r="Q126" s="155"/>
      <c r="R126" s="160"/>
    </row>
    <row r="127" spans="1:18">
      <c r="A127" s="159"/>
      <c r="B127" s="155"/>
      <c r="C127" s="155"/>
      <c r="D127" s="155"/>
      <c r="E127" s="155"/>
      <c r="F127" s="155"/>
      <c r="G127" s="155"/>
      <c r="H127" s="155"/>
      <c r="I127" s="155"/>
      <c r="J127" s="155"/>
      <c r="K127" s="155"/>
      <c r="L127" s="155"/>
      <c r="M127" s="155"/>
      <c r="N127" s="155"/>
      <c r="O127" s="155"/>
      <c r="P127" s="155"/>
      <c r="Q127" s="155"/>
      <c r="R127" s="160"/>
    </row>
    <row r="128" spans="1:18">
      <c r="A128" s="159"/>
      <c r="B128" s="155"/>
      <c r="C128" s="155"/>
      <c r="D128" s="155"/>
      <c r="E128" s="155"/>
      <c r="F128" s="155"/>
      <c r="G128" s="155"/>
      <c r="H128" s="155"/>
      <c r="I128" s="155"/>
      <c r="J128" s="155"/>
      <c r="K128" s="155"/>
      <c r="L128" s="155"/>
      <c r="M128" s="155"/>
      <c r="N128" s="155"/>
      <c r="O128" s="155"/>
      <c r="P128" s="155"/>
      <c r="Q128" s="155"/>
      <c r="R128" s="160"/>
    </row>
    <row r="129" spans="1:18">
      <c r="A129" s="159"/>
      <c r="B129" s="155"/>
      <c r="C129" s="155"/>
      <c r="D129" s="155"/>
      <c r="E129" s="155"/>
      <c r="F129" s="155"/>
      <c r="G129" s="155"/>
      <c r="H129" s="155"/>
      <c r="I129" s="155"/>
      <c r="J129" s="155"/>
      <c r="K129" s="155"/>
      <c r="L129" s="155"/>
      <c r="M129" s="155"/>
      <c r="N129" s="155"/>
      <c r="O129" s="155"/>
      <c r="P129" s="155"/>
      <c r="Q129" s="155"/>
      <c r="R129" s="160"/>
    </row>
    <row r="130" spans="1:18">
      <c r="A130" s="159"/>
      <c r="B130" s="155"/>
      <c r="C130" s="155"/>
      <c r="D130" s="155"/>
      <c r="E130" s="155"/>
      <c r="F130" s="155"/>
      <c r="G130" s="155"/>
      <c r="H130" s="155"/>
      <c r="I130" s="155"/>
      <c r="J130" s="155"/>
      <c r="K130" s="155"/>
      <c r="L130" s="155"/>
      <c r="M130" s="155"/>
      <c r="N130" s="155"/>
      <c r="O130" s="155"/>
      <c r="P130" s="155"/>
      <c r="Q130" s="155"/>
      <c r="R130" s="160"/>
    </row>
    <row r="131" spans="1:18">
      <c r="A131" s="159"/>
      <c r="B131" s="155"/>
      <c r="C131" s="155"/>
      <c r="D131" s="155"/>
      <c r="E131" s="155"/>
      <c r="F131" s="155"/>
      <c r="G131" s="155"/>
      <c r="H131" s="155"/>
      <c r="I131" s="155"/>
      <c r="J131" s="155"/>
      <c r="K131" s="155"/>
      <c r="L131" s="155"/>
      <c r="M131" s="155"/>
      <c r="N131" s="155"/>
      <c r="O131" s="155"/>
      <c r="P131" s="155"/>
      <c r="Q131" s="155"/>
      <c r="R131" s="160"/>
    </row>
    <row r="132" spans="1:18">
      <c r="A132" s="159"/>
      <c r="B132" s="155"/>
      <c r="C132" s="155"/>
      <c r="D132" s="155"/>
      <c r="E132" s="155"/>
      <c r="F132" s="155"/>
      <c r="G132" s="155"/>
      <c r="H132" s="155"/>
      <c r="I132" s="155"/>
      <c r="J132" s="155"/>
      <c r="K132" s="155"/>
      <c r="L132" s="155"/>
      <c r="M132" s="155"/>
      <c r="N132" s="155"/>
      <c r="O132" s="155"/>
      <c r="P132" s="155"/>
      <c r="Q132" s="155"/>
      <c r="R132" s="160"/>
    </row>
    <row r="133" spans="1:18">
      <c r="A133" s="159"/>
      <c r="B133" s="155"/>
      <c r="C133" s="155"/>
      <c r="D133" s="155"/>
      <c r="E133" s="155"/>
      <c r="F133" s="155"/>
      <c r="G133" s="155"/>
      <c r="H133" s="155"/>
      <c r="I133" s="155"/>
      <c r="J133" s="155"/>
      <c r="K133" s="155"/>
      <c r="L133" s="155"/>
      <c r="M133" s="155"/>
      <c r="N133" s="155"/>
      <c r="O133" s="155"/>
      <c r="P133" s="155"/>
      <c r="Q133" s="155"/>
      <c r="R133" s="160"/>
    </row>
    <row r="134" spans="1:18">
      <c r="A134" s="159"/>
      <c r="B134" s="155"/>
      <c r="C134" s="155"/>
      <c r="D134" s="155"/>
      <c r="E134" s="155"/>
      <c r="F134" s="155"/>
      <c r="G134" s="155"/>
      <c r="H134" s="155"/>
      <c r="I134" s="155"/>
      <c r="J134" s="155"/>
      <c r="K134" s="155"/>
      <c r="L134" s="155"/>
      <c r="M134" s="155"/>
      <c r="N134" s="155"/>
      <c r="O134" s="155"/>
      <c r="P134" s="155"/>
      <c r="Q134" s="155"/>
      <c r="R134" s="160"/>
    </row>
    <row r="135" spans="1:18">
      <c r="A135" s="159"/>
      <c r="B135" s="155"/>
      <c r="C135" s="155"/>
      <c r="D135" s="155"/>
      <c r="E135" s="155"/>
      <c r="F135" s="155"/>
      <c r="G135" s="155"/>
      <c r="H135" s="155"/>
      <c r="I135" s="155"/>
      <c r="J135" s="155"/>
      <c r="K135" s="155"/>
      <c r="L135" s="155"/>
      <c r="M135" s="155"/>
      <c r="N135" s="155"/>
      <c r="O135" s="155"/>
      <c r="P135" s="155"/>
      <c r="Q135" s="155"/>
      <c r="R135" s="160"/>
    </row>
    <row r="136" spans="1:18">
      <c r="A136" s="159"/>
      <c r="B136" s="155"/>
      <c r="C136" s="155"/>
      <c r="D136" s="155"/>
      <c r="E136" s="155"/>
      <c r="F136" s="155"/>
      <c r="G136" s="155"/>
      <c r="H136" s="155"/>
      <c r="I136" s="155"/>
      <c r="J136" s="155"/>
      <c r="K136" s="155"/>
      <c r="L136" s="155"/>
      <c r="M136" s="155"/>
      <c r="N136" s="155"/>
      <c r="O136" s="155"/>
      <c r="P136" s="155"/>
      <c r="Q136" s="155"/>
      <c r="R136" s="160"/>
    </row>
    <row r="137" spans="1:18">
      <c r="A137" s="159"/>
      <c r="B137" s="155"/>
      <c r="C137" s="155"/>
      <c r="D137" s="155"/>
      <c r="E137" s="155"/>
      <c r="F137" s="155"/>
      <c r="G137" s="155"/>
      <c r="H137" s="155"/>
      <c r="I137" s="155"/>
      <c r="J137" s="155"/>
      <c r="K137" s="155"/>
      <c r="L137" s="155"/>
      <c r="M137" s="155"/>
      <c r="N137" s="155"/>
      <c r="O137" s="155"/>
      <c r="P137" s="155"/>
      <c r="Q137" s="155"/>
      <c r="R137" s="160"/>
    </row>
    <row r="138" spans="1:18">
      <c r="A138" s="159"/>
      <c r="B138" s="155"/>
      <c r="C138" s="155"/>
      <c r="D138" s="155"/>
      <c r="E138" s="155"/>
      <c r="F138" s="155"/>
      <c r="G138" s="155"/>
      <c r="H138" s="155"/>
      <c r="I138" s="155"/>
      <c r="J138" s="155"/>
      <c r="K138" s="155"/>
      <c r="L138" s="155"/>
      <c r="M138" s="155"/>
      <c r="N138" s="155"/>
      <c r="O138" s="155"/>
      <c r="P138" s="155"/>
      <c r="Q138" s="155"/>
      <c r="R138" s="160"/>
    </row>
    <row r="139" spans="1:18">
      <c r="A139" s="159"/>
      <c r="B139" s="155"/>
      <c r="C139" s="155"/>
      <c r="D139" s="155"/>
      <c r="E139" s="155"/>
      <c r="F139" s="155"/>
      <c r="G139" s="155"/>
      <c r="H139" s="155"/>
      <c r="I139" s="155"/>
      <c r="J139" s="155"/>
      <c r="K139" s="155"/>
      <c r="L139" s="155"/>
      <c r="M139" s="155"/>
      <c r="N139" s="155"/>
      <c r="O139" s="155"/>
      <c r="P139" s="155"/>
      <c r="Q139" s="155"/>
      <c r="R139" s="160"/>
    </row>
    <row r="140" spans="1:18">
      <c r="A140" s="159"/>
      <c r="B140" s="155"/>
      <c r="C140" s="155"/>
      <c r="D140" s="155"/>
      <c r="E140" s="155"/>
      <c r="F140" s="155"/>
      <c r="G140" s="155"/>
      <c r="H140" s="155"/>
      <c r="I140" s="155"/>
      <c r="J140" s="155"/>
      <c r="K140" s="155"/>
      <c r="L140" s="155"/>
      <c r="M140" s="155"/>
      <c r="N140" s="155"/>
      <c r="O140" s="155"/>
      <c r="P140" s="155"/>
      <c r="Q140" s="155"/>
      <c r="R140" s="160"/>
    </row>
    <row r="141" spans="1:18">
      <c r="A141" s="159"/>
      <c r="B141" s="155"/>
      <c r="C141" s="155"/>
      <c r="D141" s="155"/>
      <c r="E141" s="155"/>
      <c r="F141" s="155"/>
      <c r="G141" s="155"/>
      <c r="H141" s="155"/>
      <c r="I141" s="155"/>
      <c r="J141" s="155"/>
      <c r="K141" s="155"/>
      <c r="L141" s="155"/>
      <c r="M141" s="155"/>
      <c r="N141" s="155"/>
      <c r="O141" s="155"/>
      <c r="P141" s="155"/>
      <c r="Q141" s="155"/>
      <c r="R141" s="160"/>
    </row>
    <row r="142" spans="1:18">
      <c r="A142" s="159"/>
      <c r="B142" s="155"/>
      <c r="C142" s="155"/>
      <c r="D142" s="155"/>
      <c r="E142" s="155"/>
      <c r="F142" s="155"/>
      <c r="G142" s="155"/>
      <c r="H142" s="155"/>
      <c r="I142" s="155"/>
      <c r="J142" s="155"/>
      <c r="K142" s="155"/>
      <c r="L142" s="155"/>
      <c r="M142" s="155"/>
      <c r="N142" s="155"/>
      <c r="O142" s="155"/>
      <c r="P142" s="155"/>
      <c r="Q142" s="155"/>
      <c r="R142" s="160"/>
    </row>
    <row r="143" spans="1:18">
      <c r="A143" s="159"/>
      <c r="B143" s="155"/>
      <c r="C143" s="155"/>
      <c r="D143" s="155"/>
      <c r="E143" s="155"/>
      <c r="F143" s="155"/>
      <c r="G143" s="155"/>
      <c r="H143" s="155"/>
      <c r="I143" s="155"/>
      <c r="J143" s="155"/>
      <c r="K143" s="155"/>
      <c r="L143" s="155"/>
      <c r="M143" s="155"/>
      <c r="N143" s="155"/>
      <c r="O143" s="155"/>
      <c r="P143" s="155"/>
      <c r="Q143" s="155"/>
      <c r="R143" s="160"/>
    </row>
    <row r="144" spans="1:18">
      <c r="A144" s="159"/>
      <c r="B144" s="155"/>
      <c r="C144" s="155"/>
      <c r="D144" s="155"/>
      <c r="E144" s="155"/>
      <c r="F144" s="155"/>
      <c r="G144" s="155"/>
      <c r="H144" s="155"/>
      <c r="I144" s="155"/>
      <c r="J144" s="155"/>
      <c r="K144" s="155"/>
      <c r="L144" s="155"/>
      <c r="M144" s="155"/>
      <c r="N144" s="155"/>
      <c r="O144" s="155"/>
      <c r="P144" s="155"/>
      <c r="Q144" s="155"/>
      <c r="R144" s="160"/>
    </row>
    <row r="145" spans="1:18">
      <c r="A145" s="159"/>
      <c r="B145" s="155"/>
      <c r="C145" s="155"/>
      <c r="D145" s="155"/>
      <c r="E145" s="155"/>
      <c r="F145" s="155"/>
      <c r="G145" s="155"/>
      <c r="H145" s="155"/>
      <c r="I145" s="155"/>
      <c r="J145" s="155"/>
      <c r="K145" s="155"/>
      <c r="L145" s="155"/>
      <c r="M145" s="155"/>
      <c r="N145" s="155"/>
      <c r="O145" s="155"/>
      <c r="P145" s="155"/>
      <c r="Q145" s="155"/>
      <c r="R145" s="160"/>
    </row>
    <row r="146" spans="1:18">
      <c r="A146" s="159"/>
      <c r="B146" s="155"/>
      <c r="C146" s="155"/>
      <c r="D146" s="155"/>
      <c r="E146" s="155"/>
      <c r="F146" s="155"/>
      <c r="G146" s="155"/>
      <c r="H146" s="155"/>
      <c r="I146" s="155"/>
      <c r="J146" s="155"/>
      <c r="K146" s="155"/>
      <c r="L146" s="155"/>
      <c r="M146" s="155"/>
      <c r="N146" s="155"/>
      <c r="O146" s="155"/>
      <c r="P146" s="155"/>
      <c r="Q146" s="155"/>
      <c r="R146" s="160"/>
    </row>
    <row r="147" spans="1:18">
      <c r="A147" s="159"/>
      <c r="B147" s="155"/>
      <c r="C147" s="155"/>
      <c r="D147" s="155"/>
      <c r="E147" s="155"/>
      <c r="F147" s="155"/>
      <c r="G147" s="155"/>
      <c r="H147" s="155"/>
      <c r="I147" s="155"/>
      <c r="J147" s="155"/>
      <c r="K147" s="155"/>
      <c r="L147" s="155"/>
      <c r="M147" s="155"/>
      <c r="N147" s="155"/>
      <c r="O147" s="155"/>
      <c r="P147" s="155"/>
      <c r="Q147" s="155"/>
      <c r="R147" s="160"/>
    </row>
    <row r="148" spans="1:18">
      <c r="A148" s="159"/>
      <c r="B148" s="155"/>
      <c r="C148" s="155"/>
      <c r="D148" s="155"/>
      <c r="E148" s="155"/>
      <c r="F148" s="155"/>
      <c r="G148" s="155"/>
      <c r="H148" s="155"/>
      <c r="I148" s="155"/>
      <c r="J148" s="155"/>
      <c r="K148" s="155"/>
      <c r="L148" s="155"/>
      <c r="M148" s="155"/>
      <c r="N148" s="155"/>
      <c r="O148" s="155"/>
      <c r="P148" s="155"/>
      <c r="Q148" s="155"/>
      <c r="R148" s="160"/>
    </row>
    <row r="149" spans="1:18">
      <c r="A149" s="159"/>
      <c r="B149" s="155"/>
      <c r="C149" s="155"/>
      <c r="D149" s="155"/>
      <c r="E149" s="155"/>
      <c r="F149" s="155"/>
      <c r="G149" s="155"/>
      <c r="H149" s="155"/>
      <c r="I149" s="155"/>
      <c r="J149" s="155"/>
      <c r="K149" s="155"/>
      <c r="L149" s="155"/>
      <c r="M149" s="155"/>
      <c r="N149" s="155"/>
      <c r="O149" s="155"/>
      <c r="P149" s="155"/>
      <c r="Q149" s="155"/>
      <c r="R149" s="160"/>
    </row>
    <row r="150" spans="1:18">
      <c r="A150" s="159"/>
      <c r="B150" s="155"/>
      <c r="C150" s="155"/>
      <c r="D150" s="155"/>
      <c r="E150" s="155"/>
      <c r="F150" s="155"/>
      <c r="G150" s="155"/>
      <c r="H150" s="155"/>
      <c r="I150" s="155"/>
      <c r="J150" s="155"/>
      <c r="K150" s="155"/>
      <c r="L150" s="155"/>
      <c r="M150" s="155"/>
      <c r="N150" s="155"/>
      <c r="O150" s="155"/>
      <c r="P150" s="155"/>
      <c r="Q150" s="155"/>
      <c r="R150" s="160"/>
    </row>
    <row r="151" spans="1:18">
      <c r="A151" s="159"/>
      <c r="B151" s="155"/>
      <c r="C151" s="155"/>
      <c r="D151" s="155"/>
      <c r="E151" s="155"/>
      <c r="F151" s="155"/>
      <c r="G151" s="155"/>
      <c r="H151" s="155"/>
      <c r="I151" s="155"/>
      <c r="J151" s="155"/>
      <c r="K151" s="155"/>
      <c r="L151" s="155"/>
      <c r="M151" s="155"/>
      <c r="N151" s="155"/>
      <c r="O151" s="155"/>
      <c r="P151" s="155"/>
      <c r="Q151" s="155"/>
      <c r="R151" s="160"/>
    </row>
    <row r="152" spans="1:18">
      <c r="A152" s="159"/>
      <c r="B152" s="155"/>
      <c r="C152" s="155"/>
      <c r="D152" s="155"/>
      <c r="E152" s="155"/>
      <c r="F152" s="155"/>
      <c r="G152" s="155"/>
      <c r="H152" s="155"/>
      <c r="I152" s="155"/>
      <c r="J152" s="155"/>
      <c r="K152" s="155"/>
      <c r="L152" s="155"/>
      <c r="M152" s="155"/>
      <c r="N152" s="155"/>
      <c r="O152" s="155"/>
      <c r="P152" s="155"/>
      <c r="Q152" s="155"/>
      <c r="R152" s="160"/>
    </row>
    <row r="153" spans="1:18">
      <c r="A153" s="159"/>
      <c r="B153" s="155"/>
      <c r="C153" s="155"/>
      <c r="D153" s="155"/>
      <c r="E153" s="155"/>
      <c r="F153" s="155"/>
      <c r="G153" s="155"/>
      <c r="H153" s="155"/>
      <c r="I153" s="155"/>
      <c r="J153" s="155"/>
      <c r="K153" s="155"/>
      <c r="L153" s="155"/>
      <c r="M153" s="155"/>
      <c r="N153" s="155"/>
      <c r="O153" s="155"/>
      <c r="P153" s="155"/>
      <c r="Q153" s="155"/>
      <c r="R153" s="160"/>
    </row>
    <row r="154" spans="1:18">
      <c r="A154" s="159"/>
      <c r="B154" s="155"/>
      <c r="C154" s="155"/>
      <c r="D154" s="155"/>
      <c r="E154" s="155"/>
      <c r="F154" s="155"/>
      <c r="G154" s="155"/>
      <c r="H154" s="155"/>
      <c r="I154" s="155"/>
      <c r="J154" s="155"/>
      <c r="K154" s="155"/>
      <c r="L154" s="155"/>
      <c r="M154" s="155"/>
      <c r="N154" s="155"/>
      <c r="O154" s="155"/>
      <c r="P154" s="155"/>
      <c r="Q154" s="155"/>
      <c r="R154" s="160"/>
    </row>
    <row r="155" spans="1:18">
      <c r="A155" s="159"/>
      <c r="B155" s="155"/>
      <c r="C155" s="155"/>
      <c r="D155" s="155"/>
      <c r="E155" s="155"/>
      <c r="F155" s="155"/>
      <c r="G155" s="155"/>
      <c r="H155" s="155"/>
      <c r="I155" s="155"/>
      <c r="J155" s="155"/>
      <c r="K155" s="155"/>
      <c r="L155" s="155"/>
      <c r="M155" s="155"/>
      <c r="N155" s="155"/>
      <c r="O155" s="155"/>
      <c r="P155" s="155"/>
      <c r="Q155" s="155"/>
      <c r="R155" s="160"/>
    </row>
    <row r="156" spans="1:18">
      <c r="A156" s="159"/>
      <c r="B156" s="155"/>
      <c r="C156" s="155"/>
      <c r="D156" s="155"/>
      <c r="E156" s="155"/>
      <c r="F156" s="155"/>
      <c r="G156" s="155"/>
      <c r="H156" s="155"/>
      <c r="I156" s="155"/>
      <c r="J156" s="155"/>
      <c r="K156" s="155"/>
      <c r="L156" s="155"/>
      <c r="M156" s="155"/>
      <c r="N156" s="155"/>
      <c r="O156" s="155"/>
      <c r="P156" s="155"/>
      <c r="Q156" s="155"/>
      <c r="R156" s="160"/>
    </row>
    <row r="157" spans="1:18">
      <c r="A157" s="159"/>
      <c r="B157" s="155"/>
      <c r="C157" s="155"/>
      <c r="D157" s="155"/>
      <c r="E157" s="155"/>
      <c r="F157" s="155"/>
      <c r="G157" s="155"/>
      <c r="H157" s="155"/>
      <c r="I157" s="155"/>
      <c r="J157" s="155"/>
      <c r="K157" s="155"/>
      <c r="L157" s="155"/>
      <c r="M157" s="155"/>
      <c r="N157" s="155"/>
      <c r="O157" s="155"/>
      <c r="P157" s="155"/>
      <c r="Q157" s="155"/>
      <c r="R157" s="160"/>
    </row>
    <row r="158" spans="1:18">
      <c r="A158" s="159"/>
      <c r="B158" s="155"/>
      <c r="C158" s="155"/>
      <c r="D158" s="155"/>
      <c r="E158" s="155"/>
      <c r="F158" s="155"/>
      <c r="G158" s="155"/>
      <c r="H158" s="155"/>
      <c r="I158" s="155"/>
      <c r="J158" s="155"/>
      <c r="K158" s="155"/>
      <c r="L158" s="155"/>
      <c r="M158" s="155"/>
      <c r="N158" s="155"/>
      <c r="O158" s="155"/>
      <c r="P158" s="155"/>
      <c r="Q158" s="155"/>
      <c r="R158" s="160"/>
    </row>
    <row r="159" spans="1:18">
      <c r="A159" s="159"/>
      <c r="B159" s="155"/>
      <c r="C159" s="155"/>
      <c r="D159" s="155"/>
      <c r="E159" s="155"/>
      <c r="F159" s="155"/>
      <c r="G159" s="155"/>
      <c r="H159" s="155"/>
      <c r="I159" s="155"/>
      <c r="J159" s="155"/>
      <c r="K159" s="155"/>
      <c r="L159" s="155"/>
      <c r="M159" s="155"/>
      <c r="N159" s="155"/>
      <c r="O159" s="155"/>
      <c r="P159" s="155"/>
      <c r="Q159" s="155"/>
      <c r="R159" s="160"/>
    </row>
    <row r="160" spans="1:18">
      <c r="A160" s="159"/>
      <c r="B160" s="155"/>
      <c r="C160" s="155"/>
      <c r="D160" s="155"/>
      <c r="E160" s="155"/>
      <c r="F160" s="155"/>
      <c r="G160" s="155"/>
      <c r="H160" s="155"/>
      <c r="I160" s="155"/>
      <c r="J160" s="155"/>
      <c r="K160" s="155"/>
      <c r="L160" s="155"/>
      <c r="M160" s="155"/>
      <c r="N160" s="155"/>
      <c r="O160" s="155"/>
      <c r="P160" s="155"/>
      <c r="Q160" s="155"/>
      <c r="R160" s="160"/>
    </row>
    <row r="161" spans="1:18">
      <c r="A161" s="159"/>
      <c r="B161" s="155"/>
      <c r="C161" s="155"/>
      <c r="D161" s="155"/>
      <c r="E161" s="155"/>
      <c r="F161" s="155"/>
      <c r="G161" s="155"/>
      <c r="H161" s="155"/>
      <c r="I161" s="155"/>
      <c r="J161" s="155"/>
      <c r="K161" s="155"/>
      <c r="L161" s="155"/>
      <c r="M161" s="155"/>
      <c r="N161" s="155"/>
      <c r="O161" s="155"/>
      <c r="P161" s="155"/>
      <c r="Q161" s="155"/>
      <c r="R161" s="160"/>
    </row>
    <row r="162" spans="1:18">
      <c r="A162" s="159"/>
      <c r="B162" s="155"/>
      <c r="C162" s="155"/>
      <c r="D162" s="155"/>
      <c r="E162" s="155"/>
      <c r="F162" s="155"/>
      <c r="G162" s="155"/>
      <c r="H162" s="155"/>
      <c r="I162" s="155"/>
      <c r="J162" s="155"/>
      <c r="K162" s="155"/>
      <c r="L162" s="155"/>
      <c r="M162" s="155"/>
      <c r="N162" s="155"/>
      <c r="O162" s="155"/>
      <c r="P162" s="155"/>
      <c r="Q162" s="155"/>
      <c r="R162" s="160"/>
    </row>
    <row r="163" spans="1:18">
      <c r="A163" s="159"/>
      <c r="B163" s="155"/>
      <c r="C163" s="155"/>
      <c r="D163" s="155"/>
      <c r="E163" s="155"/>
      <c r="F163" s="155"/>
      <c r="G163" s="155"/>
      <c r="H163" s="155"/>
      <c r="I163" s="155"/>
      <c r="J163" s="155"/>
      <c r="K163" s="155"/>
      <c r="L163" s="155"/>
      <c r="M163" s="155"/>
      <c r="N163" s="155"/>
      <c r="O163" s="155"/>
      <c r="P163" s="155"/>
      <c r="Q163" s="155"/>
      <c r="R163" s="160"/>
    </row>
    <row r="164" spans="1:18">
      <c r="A164" s="159"/>
      <c r="B164" s="155"/>
      <c r="C164" s="155"/>
      <c r="D164" s="155"/>
      <c r="E164" s="155"/>
      <c r="F164" s="155"/>
      <c r="G164" s="155"/>
      <c r="H164" s="155"/>
      <c r="I164" s="155"/>
      <c r="J164" s="155"/>
      <c r="K164" s="155"/>
      <c r="L164" s="155"/>
      <c r="M164" s="155"/>
      <c r="N164" s="155"/>
      <c r="O164" s="155"/>
      <c r="P164" s="155"/>
      <c r="Q164" s="155"/>
      <c r="R164" s="160"/>
    </row>
    <row r="165" spans="1:18">
      <c r="A165" s="159"/>
      <c r="B165" s="155"/>
      <c r="C165" s="155"/>
      <c r="D165" s="155"/>
      <c r="E165" s="155"/>
      <c r="F165" s="155"/>
      <c r="G165" s="155"/>
      <c r="H165" s="155"/>
      <c r="I165" s="155"/>
      <c r="J165" s="155"/>
      <c r="K165" s="155"/>
      <c r="L165" s="155"/>
      <c r="M165" s="155"/>
      <c r="N165" s="155"/>
      <c r="O165" s="155"/>
      <c r="P165" s="155"/>
      <c r="Q165" s="155"/>
      <c r="R165" s="160"/>
    </row>
    <row r="166" spans="1:18">
      <c r="A166" s="159"/>
      <c r="B166" s="155"/>
      <c r="C166" s="155"/>
      <c r="D166" s="155"/>
      <c r="E166" s="155"/>
      <c r="F166" s="155"/>
      <c r="G166" s="155"/>
      <c r="H166" s="155"/>
      <c r="I166" s="155"/>
      <c r="J166" s="155"/>
      <c r="K166" s="155"/>
      <c r="L166" s="155"/>
      <c r="M166" s="155"/>
      <c r="N166" s="155"/>
      <c r="O166" s="155"/>
      <c r="P166" s="155"/>
      <c r="Q166" s="155"/>
      <c r="R166" s="160"/>
    </row>
    <row r="167" spans="1:18">
      <c r="A167" s="159"/>
      <c r="B167" s="155"/>
      <c r="C167" s="155"/>
      <c r="D167" s="155"/>
      <c r="E167" s="155"/>
      <c r="F167" s="155"/>
      <c r="G167" s="155"/>
      <c r="H167" s="155"/>
      <c r="I167" s="155"/>
      <c r="J167" s="155"/>
      <c r="K167" s="155"/>
      <c r="L167" s="155"/>
      <c r="M167" s="155"/>
      <c r="N167" s="155"/>
      <c r="O167" s="155"/>
      <c r="P167" s="155"/>
      <c r="Q167" s="155"/>
      <c r="R167" s="160"/>
    </row>
    <row r="168" spans="1:18">
      <c r="A168" s="159"/>
      <c r="B168" s="155"/>
      <c r="C168" s="155"/>
      <c r="D168" s="155"/>
      <c r="E168" s="155"/>
      <c r="F168" s="155"/>
      <c r="G168" s="155"/>
      <c r="H168" s="155"/>
      <c r="I168" s="155"/>
      <c r="J168" s="155"/>
      <c r="K168" s="155"/>
      <c r="L168" s="155"/>
      <c r="M168" s="155"/>
      <c r="N168" s="155"/>
      <c r="O168" s="155"/>
      <c r="P168" s="155"/>
      <c r="Q168" s="155"/>
      <c r="R168" s="160"/>
    </row>
    <row r="169" spans="1:18">
      <c r="A169" s="159"/>
      <c r="B169" s="155"/>
      <c r="C169" s="155"/>
      <c r="D169" s="155"/>
      <c r="E169" s="155"/>
      <c r="F169" s="155"/>
      <c r="G169" s="155"/>
      <c r="H169" s="155"/>
      <c r="I169" s="155"/>
      <c r="J169" s="155"/>
      <c r="K169" s="155"/>
      <c r="L169" s="155"/>
      <c r="M169" s="155"/>
      <c r="N169" s="155"/>
      <c r="O169" s="155"/>
      <c r="P169" s="155"/>
      <c r="Q169" s="155"/>
      <c r="R169" s="160"/>
    </row>
    <row r="170" spans="1:18">
      <c r="A170" s="159"/>
      <c r="B170" s="155"/>
      <c r="C170" s="155"/>
      <c r="D170" s="155"/>
      <c r="E170" s="155"/>
      <c r="F170" s="155"/>
      <c r="G170" s="155"/>
      <c r="H170" s="155"/>
      <c r="I170" s="155"/>
      <c r="J170" s="155"/>
      <c r="K170" s="155"/>
      <c r="L170" s="155"/>
      <c r="M170" s="155"/>
      <c r="N170" s="155"/>
      <c r="O170" s="155"/>
      <c r="P170" s="155"/>
      <c r="Q170" s="155"/>
      <c r="R170" s="160"/>
    </row>
    <row r="171" spans="1:18">
      <c r="A171" s="159"/>
      <c r="B171" s="155"/>
      <c r="C171" s="155"/>
      <c r="D171" s="155"/>
      <c r="E171" s="155"/>
      <c r="F171" s="155"/>
      <c r="G171" s="155"/>
      <c r="H171" s="155"/>
      <c r="I171" s="155"/>
      <c r="J171" s="155"/>
      <c r="K171" s="155"/>
      <c r="L171" s="155"/>
      <c r="M171" s="155"/>
      <c r="N171" s="155"/>
      <c r="O171" s="155"/>
      <c r="P171" s="155"/>
      <c r="Q171" s="155"/>
      <c r="R171" s="160"/>
    </row>
    <row r="172" spans="1:18">
      <c r="A172" s="159"/>
      <c r="B172" s="155"/>
      <c r="C172" s="155"/>
      <c r="D172" s="155"/>
      <c r="E172" s="155"/>
      <c r="F172" s="155"/>
      <c r="G172" s="155"/>
      <c r="H172" s="155"/>
      <c r="I172" s="155"/>
      <c r="J172" s="155"/>
      <c r="K172" s="155"/>
      <c r="L172" s="155"/>
      <c r="M172" s="155"/>
      <c r="N172" s="155"/>
      <c r="O172" s="155"/>
      <c r="P172" s="155"/>
      <c r="Q172" s="155"/>
      <c r="R172" s="160"/>
    </row>
    <row r="173" spans="1:18">
      <c r="A173" s="159"/>
      <c r="B173" s="155"/>
      <c r="C173" s="155"/>
      <c r="D173" s="155"/>
      <c r="E173" s="155"/>
      <c r="F173" s="155"/>
      <c r="G173" s="155"/>
      <c r="H173" s="155"/>
      <c r="I173" s="155"/>
      <c r="J173" s="155"/>
      <c r="K173" s="155"/>
      <c r="L173" s="155"/>
      <c r="M173" s="155"/>
      <c r="N173" s="155"/>
      <c r="O173" s="155"/>
      <c r="P173" s="155"/>
      <c r="Q173" s="155"/>
      <c r="R173" s="160"/>
    </row>
    <row r="174" spans="1:18">
      <c r="A174" s="159"/>
      <c r="B174" s="155"/>
      <c r="C174" s="155"/>
      <c r="D174" s="155"/>
      <c r="E174" s="155"/>
      <c r="F174" s="155"/>
      <c r="G174" s="155"/>
      <c r="H174" s="155"/>
      <c r="I174" s="155"/>
      <c r="J174" s="155"/>
      <c r="K174" s="155"/>
      <c r="L174" s="155"/>
      <c r="M174" s="155"/>
      <c r="N174" s="155"/>
      <c r="O174" s="155"/>
      <c r="P174" s="155"/>
      <c r="Q174" s="155"/>
      <c r="R174" s="160"/>
    </row>
    <row r="175" spans="1:18">
      <c r="A175" s="159"/>
      <c r="B175" s="155"/>
      <c r="C175" s="155"/>
      <c r="D175" s="155"/>
      <c r="E175" s="155"/>
      <c r="F175" s="155"/>
      <c r="G175" s="155"/>
      <c r="H175" s="155"/>
      <c r="I175" s="155"/>
      <c r="J175" s="155"/>
      <c r="K175" s="155"/>
      <c r="L175" s="155"/>
      <c r="M175" s="155"/>
      <c r="N175" s="155"/>
      <c r="O175" s="155"/>
      <c r="P175" s="155"/>
      <c r="Q175" s="155"/>
      <c r="R175" s="160"/>
    </row>
    <row r="176" spans="1:18">
      <c r="A176" s="159"/>
      <c r="B176" s="155"/>
      <c r="C176" s="155"/>
      <c r="D176" s="155"/>
      <c r="E176" s="155"/>
      <c r="F176" s="155"/>
      <c r="G176" s="155"/>
      <c r="H176" s="155"/>
      <c r="I176" s="155"/>
      <c r="J176" s="155"/>
      <c r="K176" s="155"/>
      <c r="L176" s="155"/>
      <c r="M176" s="155"/>
      <c r="N176" s="155"/>
      <c r="O176" s="155"/>
      <c r="P176" s="155"/>
      <c r="Q176" s="155"/>
      <c r="R176" s="160"/>
    </row>
    <row r="177" spans="1:18">
      <c r="A177" s="159"/>
      <c r="B177" s="155"/>
      <c r="C177" s="155"/>
      <c r="D177" s="155"/>
      <c r="E177" s="155"/>
      <c r="F177" s="155"/>
      <c r="G177" s="155"/>
      <c r="H177" s="155"/>
      <c r="I177" s="155"/>
      <c r="J177" s="155"/>
      <c r="K177" s="155"/>
      <c r="L177" s="155"/>
      <c r="M177" s="155"/>
      <c r="N177" s="155"/>
      <c r="O177" s="155"/>
      <c r="P177" s="155"/>
      <c r="Q177" s="155"/>
      <c r="R177" s="160"/>
    </row>
    <row r="178" spans="1:18">
      <c r="A178" s="159"/>
      <c r="B178" s="155"/>
      <c r="C178" s="155"/>
      <c r="D178" s="155"/>
      <c r="E178" s="155"/>
      <c r="F178" s="155"/>
      <c r="G178" s="155"/>
      <c r="H178" s="155"/>
      <c r="I178" s="155"/>
      <c r="J178" s="155"/>
      <c r="K178" s="155"/>
      <c r="L178" s="155"/>
      <c r="M178" s="155"/>
      <c r="N178" s="155"/>
      <c r="O178" s="155"/>
      <c r="P178" s="155"/>
      <c r="Q178" s="155"/>
      <c r="R178" s="160"/>
    </row>
    <row r="179" spans="1:18">
      <c r="A179" s="159"/>
      <c r="B179" s="155"/>
      <c r="C179" s="155"/>
      <c r="D179" s="155"/>
      <c r="E179" s="155"/>
      <c r="F179" s="155"/>
      <c r="G179" s="155"/>
      <c r="H179" s="155"/>
      <c r="I179" s="155"/>
      <c r="J179" s="155"/>
      <c r="K179" s="155"/>
      <c r="L179" s="155"/>
      <c r="M179" s="155"/>
      <c r="N179" s="155"/>
      <c r="O179" s="155"/>
      <c r="P179" s="155"/>
      <c r="Q179" s="155"/>
      <c r="R179" s="160"/>
    </row>
    <row r="180" spans="1:18">
      <c r="A180" s="159"/>
      <c r="B180" s="155"/>
      <c r="C180" s="155"/>
      <c r="D180" s="155"/>
      <c r="E180" s="155"/>
      <c r="F180" s="155"/>
      <c r="G180" s="155"/>
      <c r="H180" s="155"/>
      <c r="I180" s="155"/>
      <c r="J180" s="155"/>
      <c r="K180" s="155"/>
      <c r="L180" s="155"/>
      <c r="M180" s="155"/>
      <c r="N180" s="155"/>
      <c r="O180" s="155"/>
      <c r="P180" s="155"/>
      <c r="Q180" s="155"/>
      <c r="R180" s="160"/>
    </row>
    <row r="181" spans="1:18">
      <c r="A181" s="159"/>
      <c r="B181" s="155"/>
      <c r="C181" s="155"/>
      <c r="D181" s="155"/>
      <c r="E181" s="155"/>
      <c r="F181" s="155"/>
      <c r="G181" s="155"/>
      <c r="H181" s="155"/>
      <c r="I181" s="155"/>
      <c r="J181" s="155"/>
      <c r="K181" s="155"/>
      <c r="L181" s="155"/>
      <c r="M181" s="155"/>
      <c r="N181" s="155"/>
      <c r="O181" s="155"/>
      <c r="P181" s="155"/>
      <c r="Q181" s="155"/>
      <c r="R181" s="160"/>
    </row>
    <row r="182" spans="1:18">
      <c r="A182" s="159"/>
      <c r="B182" s="155"/>
      <c r="C182" s="155"/>
      <c r="D182" s="155"/>
      <c r="E182" s="155"/>
      <c r="F182" s="155"/>
      <c r="G182" s="155"/>
      <c r="H182" s="155"/>
      <c r="I182" s="155"/>
      <c r="J182" s="155"/>
      <c r="K182" s="155"/>
      <c r="L182" s="155"/>
      <c r="M182" s="155"/>
      <c r="N182" s="155"/>
      <c r="O182" s="155"/>
      <c r="P182" s="155"/>
      <c r="Q182" s="155"/>
      <c r="R182" s="160"/>
    </row>
    <row r="183" spans="1:18">
      <c r="A183" s="159"/>
      <c r="B183" s="155"/>
      <c r="C183" s="155"/>
      <c r="D183" s="155"/>
      <c r="E183" s="155"/>
      <c r="F183" s="155"/>
      <c r="G183" s="155"/>
      <c r="H183" s="155"/>
      <c r="I183" s="155"/>
      <c r="J183" s="155"/>
      <c r="K183" s="155"/>
      <c r="L183" s="155"/>
      <c r="M183" s="155"/>
      <c r="N183" s="155"/>
      <c r="O183" s="155"/>
      <c r="P183" s="155"/>
      <c r="Q183" s="155"/>
      <c r="R183" s="160"/>
    </row>
    <row r="184" spans="1:18">
      <c r="A184" s="159"/>
      <c r="B184" s="155"/>
      <c r="C184" s="155"/>
      <c r="D184" s="155"/>
      <c r="E184" s="155"/>
      <c r="F184" s="155"/>
      <c r="G184" s="155"/>
      <c r="H184" s="155"/>
      <c r="I184" s="155"/>
      <c r="J184" s="155"/>
      <c r="K184" s="155"/>
      <c r="L184" s="155"/>
      <c r="M184" s="155"/>
      <c r="N184" s="155"/>
      <c r="O184" s="155"/>
      <c r="P184" s="155"/>
      <c r="Q184" s="155"/>
      <c r="R184" s="160"/>
    </row>
    <row r="185" spans="1:18">
      <c r="A185" s="159"/>
      <c r="B185" s="155"/>
      <c r="C185" s="155"/>
      <c r="D185" s="155"/>
      <c r="E185" s="155"/>
      <c r="F185" s="155"/>
      <c r="G185" s="155"/>
      <c r="H185" s="155"/>
      <c r="I185" s="155"/>
      <c r="J185" s="155"/>
      <c r="K185" s="155"/>
      <c r="L185" s="155"/>
      <c r="M185" s="155"/>
      <c r="N185" s="155"/>
      <c r="O185" s="155"/>
      <c r="P185" s="155"/>
      <c r="Q185" s="155"/>
      <c r="R185" s="160"/>
    </row>
    <row r="186" spans="1:18">
      <c r="A186" s="159"/>
      <c r="B186" s="155"/>
      <c r="C186" s="155"/>
      <c r="D186" s="155"/>
      <c r="E186" s="155"/>
      <c r="F186" s="155"/>
      <c r="G186" s="155"/>
      <c r="H186" s="155"/>
      <c r="I186" s="155"/>
      <c r="J186" s="155"/>
      <c r="K186" s="155"/>
      <c r="L186" s="155"/>
      <c r="M186" s="155"/>
      <c r="N186" s="155"/>
      <c r="O186" s="155"/>
      <c r="P186" s="155"/>
      <c r="Q186" s="155"/>
      <c r="R186" s="160"/>
    </row>
    <row r="187" spans="1:18">
      <c r="A187" s="159"/>
      <c r="B187" s="155"/>
      <c r="C187" s="155"/>
      <c r="D187" s="155"/>
      <c r="E187" s="155"/>
      <c r="F187" s="155"/>
      <c r="G187" s="155"/>
      <c r="H187" s="155"/>
      <c r="I187" s="155"/>
      <c r="J187" s="155"/>
      <c r="K187" s="155"/>
      <c r="L187" s="155"/>
      <c r="M187" s="155"/>
      <c r="N187" s="155"/>
      <c r="O187" s="155"/>
      <c r="P187" s="155"/>
      <c r="Q187" s="155"/>
      <c r="R187" s="160"/>
    </row>
    <row r="188" spans="1:18">
      <c r="A188" s="159"/>
      <c r="B188" s="155"/>
      <c r="C188" s="155"/>
      <c r="D188" s="155"/>
      <c r="E188" s="155"/>
      <c r="F188" s="155"/>
      <c r="G188" s="155"/>
      <c r="H188" s="155"/>
      <c r="I188" s="155"/>
      <c r="J188" s="155"/>
      <c r="K188" s="155"/>
      <c r="L188" s="155"/>
      <c r="M188" s="155"/>
      <c r="N188" s="155"/>
      <c r="O188" s="155"/>
      <c r="P188" s="155"/>
      <c r="Q188" s="155"/>
      <c r="R188" s="160"/>
    </row>
    <row r="189" spans="1:18">
      <c r="A189" s="159"/>
      <c r="B189" s="155"/>
      <c r="C189" s="155"/>
      <c r="D189" s="155"/>
      <c r="E189" s="155"/>
      <c r="F189" s="155"/>
      <c r="G189" s="155"/>
      <c r="H189" s="155"/>
      <c r="I189" s="155"/>
      <c r="J189" s="155"/>
      <c r="K189" s="155"/>
      <c r="L189" s="155"/>
      <c r="M189" s="155"/>
      <c r="N189" s="155"/>
      <c r="O189" s="155"/>
      <c r="P189" s="155"/>
      <c r="Q189" s="155"/>
      <c r="R189" s="160"/>
    </row>
    <row r="190" spans="1:18">
      <c r="A190" s="159"/>
      <c r="B190" s="155"/>
      <c r="C190" s="155"/>
      <c r="D190" s="155"/>
      <c r="E190" s="155"/>
      <c r="F190" s="155"/>
      <c r="G190" s="155"/>
      <c r="H190" s="155"/>
      <c r="I190" s="155"/>
      <c r="J190" s="155"/>
      <c r="K190" s="155"/>
      <c r="L190" s="155"/>
      <c r="M190" s="155"/>
      <c r="N190" s="155"/>
      <c r="O190" s="155"/>
      <c r="P190" s="155"/>
      <c r="Q190" s="155"/>
      <c r="R190" s="160"/>
    </row>
    <row r="191" spans="1:18">
      <c r="A191" s="159"/>
      <c r="B191" s="155"/>
      <c r="C191" s="155"/>
      <c r="D191" s="155"/>
      <c r="E191" s="155"/>
      <c r="F191" s="155"/>
      <c r="G191" s="155"/>
      <c r="H191" s="155"/>
      <c r="I191" s="155"/>
      <c r="J191" s="155"/>
      <c r="K191" s="155"/>
      <c r="L191" s="155"/>
      <c r="M191" s="155"/>
      <c r="N191" s="155"/>
      <c r="O191" s="155"/>
      <c r="P191" s="155"/>
      <c r="Q191" s="155"/>
      <c r="R191" s="160"/>
    </row>
    <row r="192" spans="1:18">
      <c r="A192" s="159"/>
      <c r="B192" s="155"/>
      <c r="C192" s="155"/>
      <c r="D192" s="155"/>
      <c r="E192" s="155"/>
      <c r="F192" s="155"/>
      <c r="G192" s="155"/>
      <c r="H192" s="155"/>
      <c r="I192" s="155"/>
      <c r="J192" s="155"/>
      <c r="K192" s="155"/>
      <c r="L192" s="155"/>
      <c r="M192" s="155"/>
      <c r="N192" s="155"/>
      <c r="O192" s="155"/>
      <c r="P192" s="155"/>
      <c r="Q192" s="155"/>
      <c r="R192" s="160"/>
    </row>
    <row r="193" spans="1:18">
      <c r="A193" s="159"/>
      <c r="B193" s="155"/>
      <c r="C193" s="155"/>
      <c r="D193" s="155"/>
      <c r="E193" s="155"/>
      <c r="F193" s="155"/>
      <c r="G193" s="155"/>
      <c r="H193" s="155"/>
      <c r="I193" s="155"/>
      <c r="J193" s="155"/>
      <c r="K193" s="155"/>
      <c r="L193" s="155"/>
      <c r="M193" s="155"/>
      <c r="N193" s="155"/>
      <c r="O193" s="155"/>
      <c r="P193" s="155"/>
      <c r="Q193" s="155"/>
      <c r="R193" s="160"/>
    </row>
    <row r="194" spans="1:18">
      <c r="A194" s="159"/>
      <c r="B194" s="155"/>
      <c r="C194" s="155"/>
      <c r="D194" s="155"/>
      <c r="E194" s="155"/>
      <c r="F194" s="155"/>
      <c r="G194" s="155"/>
      <c r="H194" s="155"/>
      <c r="I194" s="155"/>
      <c r="J194" s="155"/>
      <c r="K194" s="155"/>
      <c r="L194" s="155"/>
      <c r="M194" s="155"/>
      <c r="N194" s="155"/>
      <c r="O194" s="155"/>
      <c r="P194" s="155"/>
      <c r="Q194" s="155"/>
      <c r="R194" s="160"/>
    </row>
    <row r="195" spans="1:18">
      <c r="A195" s="159"/>
      <c r="B195" s="155"/>
      <c r="C195" s="155"/>
      <c r="D195" s="155"/>
      <c r="E195" s="155"/>
      <c r="F195" s="155"/>
      <c r="G195" s="155"/>
      <c r="H195" s="155"/>
      <c r="I195" s="155"/>
      <c r="J195" s="155"/>
      <c r="K195" s="155"/>
      <c r="L195" s="155"/>
      <c r="M195" s="155"/>
      <c r="N195" s="155"/>
      <c r="O195" s="155"/>
      <c r="P195" s="155"/>
      <c r="Q195" s="155"/>
      <c r="R195" s="160"/>
    </row>
    <row r="196" spans="1:18">
      <c r="A196" s="159"/>
      <c r="B196" s="155"/>
      <c r="C196" s="155"/>
      <c r="D196" s="155"/>
      <c r="E196" s="155"/>
      <c r="F196" s="155"/>
      <c r="G196" s="155"/>
      <c r="H196" s="155"/>
      <c r="I196" s="155"/>
      <c r="J196" s="155"/>
      <c r="K196" s="155"/>
      <c r="L196" s="155"/>
      <c r="M196" s="155"/>
      <c r="N196" s="155"/>
      <c r="O196" s="155"/>
      <c r="P196" s="155"/>
      <c r="Q196" s="155"/>
      <c r="R196" s="160"/>
    </row>
    <row r="197" spans="1:18">
      <c r="A197" s="159"/>
      <c r="B197" s="155"/>
      <c r="C197" s="155"/>
      <c r="D197" s="155"/>
      <c r="E197" s="155"/>
      <c r="F197" s="155"/>
      <c r="G197" s="155"/>
      <c r="H197" s="155"/>
      <c r="I197" s="155"/>
      <c r="J197" s="155"/>
      <c r="K197" s="155"/>
      <c r="L197" s="155"/>
      <c r="M197" s="155"/>
      <c r="N197" s="155"/>
      <c r="O197" s="155"/>
      <c r="P197" s="155"/>
      <c r="Q197" s="155"/>
      <c r="R197" s="160"/>
    </row>
    <row r="198" spans="1:18">
      <c r="A198" s="159"/>
      <c r="B198" s="155"/>
      <c r="C198" s="155"/>
      <c r="D198" s="155"/>
      <c r="E198" s="155"/>
      <c r="F198" s="155"/>
      <c r="G198" s="155"/>
      <c r="H198" s="155"/>
      <c r="I198" s="155"/>
      <c r="J198" s="155"/>
      <c r="K198" s="155"/>
      <c r="L198" s="155"/>
      <c r="M198" s="155"/>
      <c r="N198" s="155"/>
      <c r="O198" s="155"/>
      <c r="P198" s="155"/>
      <c r="Q198" s="155"/>
      <c r="R198" s="160"/>
    </row>
    <row r="199" spans="1:18">
      <c r="A199" s="159"/>
      <c r="B199" s="155"/>
      <c r="C199" s="155"/>
      <c r="D199" s="155"/>
      <c r="E199" s="155"/>
      <c r="F199" s="155"/>
      <c r="G199" s="155"/>
      <c r="H199" s="155"/>
      <c r="I199" s="155"/>
      <c r="J199" s="155"/>
      <c r="K199" s="155"/>
      <c r="L199" s="155"/>
      <c r="M199" s="155"/>
      <c r="N199" s="155"/>
      <c r="O199" s="155"/>
      <c r="P199" s="155"/>
      <c r="Q199" s="155"/>
      <c r="R199" s="160"/>
    </row>
    <row r="200" spans="1:18">
      <c r="A200" s="159"/>
      <c r="B200" s="155"/>
      <c r="C200" s="155"/>
      <c r="D200" s="155"/>
      <c r="E200" s="155"/>
      <c r="F200" s="155"/>
      <c r="G200" s="155"/>
      <c r="H200" s="155"/>
      <c r="I200" s="155"/>
      <c r="J200" s="155"/>
      <c r="K200" s="155"/>
      <c r="L200" s="155"/>
      <c r="M200" s="155"/>
      <c r="N200" s="155"/>
      <c r="O200" s="155"/>
      <c r="P200" s="155"/>
      <c r="Q200" s="155"/>
      <c r="R200" s="160"/>
    </row>
    <row r="201" spans="1:18">
      <c r="A201" s="159"/>
      <c r="B201" s="155"/>
      <c r="C201" s="155"/>
      <c r="D201" s="155"/>
      <c r="E201" s="155"/>
      <c r="F201" s="155"/>
      <c r="G201" s="155"/>
      <c r="H201" s="155"/>
      <c r="I201" s="155"/>
      <c r="J201" s="155"/>
      <c r="K201" s="155"/>
      <c r="L201" s="155"/>
      <c r="M201" s="155"/>
      <c r="N201" s="155"/>
      <c r="O201" s="155"/>
      <c r="P201" s="155"/>
      <c r="Q201" s="155"/>
      <c r="R201" s="160"/>
    </row>
    <row r="202" spans="1:18">
      <c r="A202" s="159"/>
      <c r="B202" s="155"/>
      <c r="C202" s="155"/>
      <c r="D202" s="155"/>
      <c r="E202" s="155"/>
      <c r="F202" s="155"/>
      <c r="G202" s="155"/>
      <c r="H202" s="155"/>
      <c r="I202" s="155"/>
      <c r="J202" s="155"/>
      <c r="K202" s="155"/>
      <c r="L202" s="155"/>
      <c r="M202" s="155"/>
      <c r="N202" s="155"/>
      <c r="O202" s="155"/>
      <c r="P202" s="155"/>
      <c r="Q202" s="155"/>
      <c r="R202" s="160"/>
    </row>
    <row r="203" spans="1:18">
      <c r="A203" s="159"/>
      <c r="B203" s="155"/>
      <c r="C203" s="155"/>
      <c r="D203" s="155"/>
      <c r="E203" s="155"/>
      <c r="F203" s="155"/>
      <c r="G203" s="155"/>
      <c r="H203" s="155"/>
      <c r="I203" s="155"/>
      <c r="J203" s="155"/>
      <c r="K203" s="155"/>
      <c r="L203" s="155"/>
      <c r="M203" s="155"/>
      <c r="N203" s="155"/>
      <c r="O203" s="155"/>
      <c r="P203" s="155"/>
      <c r="Q203" s="155"/>
      <c r="R203" s="160"/>
    </row>
    <row r="204" spans="1:18">
      <c r="A204" s="159"/>
      <c r="B204" s="155"/>
      <c r="C204" s="155"/>
      <c r="D204" s="155"/>
      <c r="E204" s="155"/>
      <c r="F204" s="155"/>
      <c r="G204" s="155"/>
      <c r="H204" s="155"/>
      <c r="I204" s="155"/>
      <c r="J204" s="155"/>
      <c r="K204" s="155"/>
      <c r="L204" s="155"/>
      <c r="M204" s="155"/>
      <c r="N204" s="155"/>
      <c r="O204" s="155"/>
      <c r="P204" s="155"/>
      <c r="Q204" s="155"/>
      <c r="R204" s="160"/>
    </row>
    <row r="205" spans="1:18">
      <c r="A205" s="159"/>
      <c r="B205" s="155"/>
      <c r="C205" s="155"/>
      <c r="D205" s="155"/>
      <c r="E205" s="155"/>
      <c r="F205" s="155"/>
      <c r="G205" s="155"/>
      <c r="H205" s="155"/>
      <c r="I205" s="155"/>
      <c r="J205" s="155"/>
      <c r="K205" s="155"/>
      <c r="L205" s="155"/>
      <c r="M205" s="155"/>
      <c r="N205" s="155"/>
      <c r="O205" s="155"/>
      <c r="P205" s="155"/>
      <c r="Q205" s="155"/>
      <c r="R205" s="160"/>
    </row>
    <row r="206" spans="1:18">
      <c r="A206" s="161"/>
      <c r="B206" s="162"/>
      <c r="C206" s="162"/>
      <c r="D206" s="162"/>
      <c r="E206" s="162"/>
      <c r="F206" s="162"/>
      <c r="G206" s="162"/>
      <c r="H206" s="162"/>
      <c r="I206" s="162"/>
      <c r="J206" s="162"/>
      <c r="K206" s="162"/>
      <c r="L206" s="162"/>
      <c r="M206" s="162"/>
      <c r="N206" s="162"/>
      <c r="O206" s="162"/>
      <c r="P206" s="162"/>
      <c r="Q206" s="162"/>
      <c r="R206" s="163"/>
    </row>
  </sheetData>
  <mergeCells count="2">
    <mergeCell ref="A1:R1"/>
    <mergeCell ref="A2:R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1D00-000000000000}">
          <x14:formula1>
            <xm:f>_LISTS!$M$2:$M$8</xm:f>
          </x14:formula1>
          <xm:sqref>L7:L206</xm:sqref>
        </x14:dataValidation>
        <x14:dataValidation type="list" xr:uid="{00000000-0002-0000-1D00-000001000000}">
          <x14:formula1>
            <xm:f>_LISTS!$O$2:$O$5</xm:f>
          </x14:formula1>
          <xm:sqref>M7:M206</xm:sqref>
        </x14:dataValidation>
        <x14:dataValidation type="list" xr:uid="{00000000-0002-0000-1D00-000002000000}">
          <x14:formula1>
            <xm:f>_LISTS!$Q$2:$Q$6</xm:f>
          </x14:formula1>
          <xm:sqref>F7:F206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206"/>
  <sheetViews>
    <sheetView workbookViewId="0"/>
  </sheetViews>
  <sheetFormatPr defaultRowHeight="14.25"/>
  <cols>
    <col min="1" max="3" width="18" customWidth="1"/>
    <col min="4" max="4" width="22" customWidth="1"/>
    <col min="5" max="5" width="42" customWidth="1"/>
    <col min="6" max="6" width="34" customWidth="1"/>
    <col min="7" max="7" width="22" customWidth="1"/>
    <col min="8" max="8" width="20" customWidth="1"/>
    <col min="9" max="9" width="16" customWidth="1"/>
    <col min="10" max="13" width="18" customWidth="1"/>
    <col min="14" max="14" width="44" customWidth="1"/>
  </cols>
  <sheetData>
    <row r="1" spans="1:14" ht="24" customHeight="1">
      <c r="A1" s="268" t="s">
        <v>1358</v>
      </c>
      <c r="B1" s="268"/>
      <c r="C1" s="268"/>
      <c r="D1" s="268"/>
      <c r="E1" s="268"/>
      <c r="F1" s="268"/>
      <c r="G1" s="268"/>
      <c r="H1" s="268"/>
      <c r="I1" s="268"/>
      <c r="J1" s="268"/>
      <c r="K1" s="268"/>
      <c r="L1" s="268"/>
      <c r="M1" s="268"/>
      <c r="N1" s="268"/>
    </row>
    <row r="2" spans="1:14">
      <c r="A2" s="269" t="s">
        <v>1359</v>
      </c>
      <c r="B2" s="269"/>
      <c r="C2" s="269"/>
      <c r="D2" s="269"/>
      <c r="E2" s="269"/>
      <c r="F2" s="269"/>
      <c r="G2" s="269"/>
      <c r="H2" s="269"/>
      <c r="I2" s="269"/>
      <c r="J2" s="269"/>
      <c r="K2" s="269"/>
      <c r="L2" s="269"/>
      <c r="M2" s="269"/>
      <c r="N2" s="269"/>
    </row>
    <row r="6" spans="1:14">
      <c r="A6" s="171" t="s">
        <v>1360</v>
      </c>
      <c r="B6" s="172" t="s">
        <v>435</v>
      </c>
      <c r="C6" s="172" t="s">
        <v>328</v>
      </c>
      <c r="D6" s="172" t="s">
        <v>1361</v>
      </c>
      <c r="E6" s="172" t="s">
        <v>1362</v>
      </c>
      <c r="F6" s="172" t="s">
        <v>1363</v>
      </c>
      <c r="G6" s="172" t="s">
        <v>308</v>
      </c>
      <c r="H6" s="172" t="s">
        <v>1352</v>
      </c>
      <c r="I6" s="172" t="s">
        <v>1364</v>
      </c>
      <c r="J6" s="172" t="s">
        <v>1354</v>
      </c>
      <c r="K6" s="172" t="s">
        <v>94</v>
      </c>
      <c r="L6" s="172" t="s">
        <v>1365</v>
      </c>
      <c r="M6" s="172" t="s">
        <v>1356</v>
      </c>
      <c r="N6" s="173" t="s">
        <v>309</v>
      </c>
    </row>
    <row r="7" spans="1:14">
      <c r="A7" s="159"/>
      <c r="B7" s="155"/>
      <c r="C7" s="155"/>
      <c r="D7" s="155"/>
      <c r="E7" s="155"/>
      <c r="F7" s="155"/>
      <c r="G7" s="155"/>
      <c r="H7" s="155"/>
      <c r="I7" s="155"/>
      <c r="J7" s="155"/>
      <c r="K7" s="155"/>
      <c r="L7" s="155" t="str">
        <f t="shared" ref="L7:L38" ca="1" si="0">IF(K7="Complete","Complete",IF(J7="","",IF(J7&lt;TODAY(),"Overdue",IF(J7&lt;=TODAY()+60,"Due &lt;=60 days","Future"))))</f>
        <v/>
      </c>
      <c r="M7" s="155"/>
      <c r="N7" s="160"/>
    </row>
    <row r="8" spans="1:14">
      <c r="A8" s="159"/>
      <c r="B8" s="155"/>
      <c r="C8" s="155"/>
      <c r="D8" s="155"/>
      <c r="E8" s="155"/>
      <c r="F8" s="155"/>
      <c r="G8" s="155"/>
      <c r="H8" s="155"/>
      <c r="I8" s="155"/>
      <c r="J8" s="155"/>
      <c r="K8" s="155"/>
      <c r="L8" s="155" t="str">
        <f t="shared" ca="1" si="0"/>
        <v/>
      </c>
      <c r="M8" s="155"/>
      <c r="N8" s="160"/>
    </row>
    <row r="9" spans="1:14">
      <c r="A9" s="159"/>
      <c r="B9" s="155"/>
      <c r="C9" s="155"/>
      <c r="D9" s="155"/>
      <c r="E9" s="155"/>
      <c r="F9" s="155"/>
      <c r="G9" s="155"/>
      <c r="H9" s="155"/>
      <c r="I9" s="155"/>
      <c r="J9" s="155"/>
      <c r="K9" s="155"/>
      <c r="L9" s="155" t="str">
        <f t="shared" ca="1" si="0"/>
        <v/>
      </c>
      <c r="M9" s="155"/>
      <c r="N9" s="160"/>
    </row>
    <row r="10" spans="1:14">
      <c r="A10" s="159"/>
      <c r="B10" s="155"/>
      <c r="C10" s="155"/>
      <c r="D10" s="155"/>
      <c r="E10" s="155"/>
      <c r="F10" s="155"/>
      <c r="G10" s="155"/>
      <c r="H10" s="155"/>
      <c r="I10" s="155"/>
      <c r="J10" s="155"/>
      <c r="K10" s="155"/>
      <c r="L10" s="155" t="str">
        <f t="shared" ca="1" si="0"/>
        <v/>
      </c>
      <c r="M10" s="155"/>
      <c r="N10" s="160"/>
    </row>
    <row r="11" spans="1:14">
      <c r="A11" s="159"/>
      <c r="B11" s="155"/>
      <c r="C11" s="155"/>
      <c r="D11" s="155"/>
      <c r="E11" s="155"/>
      <c r="F11" s="155"/>
      <c r="G11" s="155"/>
      <c r="H11" s="155"/>
      <c r="I11" s="155"/>
      <c r="J11" s="155"/>
      <c r="K11" s="155"/>
      <c r="L11" s="155" t="str">
        <f t="shared" ca="1" si="0"/>
        <v/>
      </c>
      <c r="M11" s="155"/>
      <c r="N11" s="160"/>
    </row>
    <row r="12" spans="1:14">
      <c r="A12" s="159"/>
      <c r="B12" s="155"/>
      <c r="C12" s="155"/>
      <c r="D12" s="155"/>
      <c r="E12" s="155"/>
      <c r="F12" s="155"/>
      <c r="G12" s="155"/>
      <c r="H12" s="155"/>
      <c r="I12" s="155"/>
      <c r="J12" s="155"/>
      <c r="K12" s="155"/>
      <c r="L12" s="155" t="str">
        <f t="shared" ca="1" si="0"/>
        <v/>
      </c>
      <c r="M12" s="155"/>
      <c r="N12" s="160"/>
    </row>
    <row r="13" spans="1:14">
      <c r="A13" s="159"/>
      <c r="B13" s="155"/>
      <c r="C13" s="155"/>
      <c r="D13" s="155"/>
      <c r="E13" s="155"/>
      <c r="F13" s="155"/>
      <c r="G13" s="155"/>
      <c r="H13" s="155"/>
      <c r="I13" s="155"/>
      <c r="J13" s="155"/>
      <c r="K13" s="155"/>
      <c r="L13" s="155" t="str">
        <f t="shared" ca="1" si="0"/>
        <v/>
      </c>
      <c r="M13" s="155"/>
      <c r="N13" s="160"/>
    </row>
    <row r="14" spans="1:14">
      <c r="A14" s="159"/>
      <c r="B14" s="155"/>
      <c r="C14" s="155"/>
      <c r="D14" s="155"/>
      <c r="E14" s="155"/>
      <c r="F14" s="155"/>
      <c r="G14" s="155"/>
      <c r="H14" s="155"/>
      <c r="I14" s="155"/>
      <c r="J14" s="155"/>
      <c r="K14" s="155"/>
      <c r="L14" s="155" t="str">
        <f t="shared" ca="1" si="0"/>
        <v/>
      </c>
      <c r="M14" s="155"/>
      <c r="N14" s="160"/>
    </row>
    <row r="15" spans="1:14">
      <c r="A15" s="159"/>
      <c r="B15" s="155"/>
      <c r="C15" s="155"/>
      <c r="D15" s="155"/>
      <c r="E15" s="155"/>
      <c r="F15" s="155"/>
      <c r="G15" s="155"/>
      <c r="H15" s="155"/>
      <c r="I15" s="155"/>
      <c r="J15" s="155"/>
      <c r="K15" s="155"/>
      <c r="L15" s="155" t="str">
        <f t="shared" ca="1" si="0"/>
        <v/>
      </c>
      <c r="M15" s="155"/>
      <c r="N15" s="160"/>
    </row>
    <row r="16" spans="1:14">
      <c r="A16" s="159"/>
      <c r="B16" s="155"/>
      <c r="C16" s="155"/>
      <c r="D16" s="155"/>
      <c r="E16" s="155"/>
      <c r="F16" s="155"/>
      <c r="G16" s="155"/>
      <c r="H16" s="155"/>
      <c r="I16" s="155"/>
      <c r="J16" s="155"/>
      <c r="K16" s="155"/>
      <c r="L16" s="155" t="str">
        <f t="shared" ca="1" si="0"/>
        <v/>
      </c>
      <c r="M16" s="155"/>
      <c r="N16" s="160"/>
    </row>
    <row r="17" spans="1:14">
      <c r="A17" s="159"/>
      <c r="B17" s="155"/>
      <c r="C17" s="155"/>
      <c r="D17" s="155"/>
      <c r="E17" s="155"/>
      <c r="F17" s="155"/>
      <c r="G17" s="155"/>
      <c r="H17" s="155"/>
      <c r="I17" s="155"/>
      <c r="J17" s="155"/>
      <c r="K17" s="155"/>
      <c r="L17" s="155" t="str">
        <f t="shared" ca="1" si="0"/>
        <v/>
      </c>
      <c r="M17" s="155"/>
      <c r="N17" s="160"/>
    </row>
    <row r="18" spans="1:14">
      <c r="A18" s="159"/>
      <c r="B18" s="155"/>
      <c r="C18" s="155"/>
      <c r="D18" s="155"/>
      <c r="E18" s="155"/>
      <c r="F18" s="155"/>
      <c r="G18" s="155"/>
      <c r="H18" s="155"/>
      <c r="I18" s="155"/>
      <c r="J18" s="155"/>
      <c r="K18" s="155"/>
      <c r="L18" s="155" t="str">
        <f t="shared" ca="1" si="0"/>
        <v/>
      </c>
      <c r="M18" s="155"/>
      <c r="N18" s="160"/>
    </row>
    <row r="19" spans="1:14">
      <c r="A19" s="159"/>
      <c r="B19" s="155"/>
      <c r="C19" s="155"/>
      <c r="D19" s="155"/>
      <c r="E19" s="155"/>
      <c r="F19" s="155"/>
      <c r="G19" s="155"/>
      <c r="H19" s="155"/>
      <c r="I19" s="155"/>
      <c r="J19" s="155"/>
      <c r="K19" s="155"/>
      <c r="L19" s="155" t="str">
        <f t="shared" ca="1" si="0"/>
        <v/>
      </c>
      <c r="M19" s="155"/>
      <c r="N19" s="160"/>
    </row>
    <row r="20" spans="1:14">
      <c r="A20" s="159"/>
      <c r="B20" s="155"/>
      <c r="C20" s="155"/>
      <c r="D20" s="155"/>
      <c r="E20" s="155"/>
      <c r="F20" s="155"/>
      <c r="G20" s="155"/>
      <c r="H20" s="155"/>
      <c r="I20" s="155"/>
      <c r="J20" s="155"/>
      <c r="K20" s="155"/>
      <c r="L20" s="155" t="str">
        <f t="shared" ca="1" si="0"/>
        <v/>
      </c>
      <c r="M20" s="155"/>
      <c r="N20" s="160"/>
    </row>
    <row r="21" spans="1:14">
      <c r="A21" s="159"/>
      <c r="B21" s="155"/>
      <c r="C21" s="155"/>
      <c r="D21" s="155"/>
      <c r="E21" s="155"/>
      <c r="F21" s="155"/>
      <c r="G21" s="155"/>
      <c r="H21" s="155"/>
      <c r="I21" s="155"/>
      <c r="J21" s="155"/>
      <c r="K21" s="155"/>
      <c r="L21" s="155" t="str">
        <f t="shared" ca="1" si="0"/>
        <v/>
      </c>
      <c r="M21" s="155"/>
      <c r="N21" s="160"/>
    </row>
    <row r="22" spans="1:14">
      <c r="A22" s="159"/>
      <c r="B22" s="155"/>
      <c r="C22" s="155"/>
      <c r="D22" s="155"/>
      <c r="E22" s="155"/>
      <c r="F22" s="155"/>
      <c r="G22" s="155"/>
      <c r="H22" s="155"/>
      <c r="I22" s="155"/>
      <c r="J22" s="155"/>
      <c r="K22" s="155"/>
      <c r="L22" s="155" t="str">
        <f t="shared" ca="1" si="0"/>
        <v/>
      </c>
      <c r="M22" s="155"/>
      <c r="N22" s="160"/>
    </row>
    <row r="23" spans="1:14">
      <c r="A23" s="159"/>
      <c r="B23" s="155"/>
      <c r="C23" s="155"/>
      <c r="D23" s="155"/>
      <c r="E23" s="155"/>
      <c r="F23" s="155"/>
      <c r="G23" s="155"/>
      <c r="H23" s="155"/>
      <c r="I23" s="155"/>
      <c r="J23" s="155"/>
      <c r="K23" s="155"/>
      <c r="L23" s="155" t="str">
        <f t="shared" ca="1" si="0"/>
        <v/>
      </c>
      <c r="M23" s="155"/>
      <c r="N23" s="160"/>
    </row>
    <row r="24" spans="1:14">
      <c r="A24" s="159"/>
      <c r="B24" s="155"/>
      <c r="C24" s="155"/>
      <c r="D24" s="155"/>
      <c r="E24" s="155"/>
      <c r="F24" s="155"/>
      <c r="G24" s="155"/>
      <c r="H24" s="155"/>
      <c r="I24" s="155"/>
      <c r="J24" s="155"/>
      <c r="K24" s="155"/>
      <c r="L24" s="155" t="str">
        <f t="shared" ca="1" si="0"/>
        <v/>
      </c>
      <c r="M24" s="155"/>
      <c r="N24" s="160"/>
    </row>
    <row r="25" spans="1:14">
      <c r="A25" s="159"/>
      <c r="B25" s="155"/>
      <c r="C25" s="155"/>
      <c r="D25" s="155"/>
      <c r="E25" s="155"/>
      <c r="F25" s="155"/>
      <c r="G25" s="155"/>
      <c r="H25" s="155"/>
      <c r="I25" s="155"/>
      <c r="J25" s="155"/>
      <c r="K25" s="155"/>
      <c r="L25" s="155" t="str">
        <f t="shared" ca="1" si="0"/>
        <v/>
      </c>
      <c r="M25" s="155"/>
      <c r="N25" s="160"/>
    </row>
    <row r="26" spans="1:14">
      <c r="A26" s="159"/>
      <c r="B26" s="155"/>
      <c r="C26" s="155"/>
      <c r="D26" s="155"/>
      <c r="E26" s="155"/>
      <c r="F26" s="155"/>
      <c r="G26" s="155"/>
      <c r="H26" s="155"/>
      <c r="I26" s="155"/>
      <c r="J26" s="155"/>
      <c r="K26" s="155"/>
      <c r="L26" s="155" t="str">
        <f t="shared" ca="1" si="0"/>
        <v/>
      </c>
      <c r="M26" s="155"/>
      <c r="N26" s="160"/>
    </row>
    <row r="27" spans="1:14">
      <c r="A27" s="159"/>
      <c r="B27" s="155"/>
      <c r="C27" s="155"/>
      <c r="D27" s="155"/>
      <c r="E27" s="155"/>
      <c r="F27" s="155"/>
      <c r="G27" s="155"/>
      <c r="H27" s="155"/>
      <c r="I27" s="155"/>
      <c r="J27" s="155"/>
      <c r="K27" s="155"/>
      <c r="L27" s="155" t="str">
        <f t="shared" ca="1" si="0"/>
        <v/>
      </c>
      <c r="M27" s="155"/>
      <c r="N27" s="160"/>
    </row>
    <row r="28" spans="1:14">
      <c r="A28" s="159"/>
      <c r="B28" s="155"/>
      <c r="C28" s="155"/>
      <c r="D28" s="155"/>
      <c r="E28" s="155"/>
      <c r="F28" s="155"/>
      <c r="G28" s="155"/>
      <c r="H28" s="155"/>
      <c r="I28" s="155"/>
      <c r="J28" s="155"/>
      <c r="K28" s="155"/>
      <c r="L28" s="155" t="str">
        <f t="shared" ca="1" si="0"/>
        <v/>
      </c>
      <c r="M28" s="155"/>
      <c r="N28" s="160"/>
    </row>
    <row r="29" spans="1:14">
      <c r="A29" s="159"/>
      <c r="B29" s="155"/>
      <c r="C29" s="155"/>
      <c r="D29" s="155"/>
      <c r="E29" s="155"/>
      <c r="F29" s="155"/>
      <c r="G29" s="155"/>
      <c r="H29" s="155"/>
      <c r="I29" s="155"/>
      <c r="J29" s="155"/>
      <c r="K29" s="155"/>
      <c r="L29" s="155" t="str">
        <f t="shared" ca="1" si="0"/>
        <v/>
      </c>
      <c r="M29" s="155"/>
      <c r="N29" s="160"/>
    </row>
    <row r="30" spans="1:14">
      <c r="A30" s="159"/>
      <c r="B30" s="155"/>
      <c r="C30" s="155"/>
      <c r="D30" s="155"/>
      <c r="E30" s="155"/>
      <c r="F30" s="155"/>
      <c r="G30" s="155"/>
      <c r="H30" s="155"/>
      <c r="I30" s="155"/>
      <c r="J30" s="155"/>
      <c r="K30" s="155"/>
      <c r="L30" s="155" t="str">
        <f t="shared" ca="1" si="0"/>
        <v/>
      </c>
      <c r="M30" s="155"/>
      <c r="N30" s="160"/>
    </row>
    <row r="31" spans="1:14">
      <c r="A31" s="159"/>
      <c r="B31" s="155"/>
      <c r="C31" s="155"/>
      <c r="D31" s="155"/>
      <c r="E31" s="155"/>
      <c r="F31" s="155"/>
      <c r="G31" s="155"/>
      <c r="H31" s="155"/>
      <c r="I31" s="155"/>
      <c r="J31" s="155"/>
      <c r="K31" s="155"/>
      <c r="L31" s="155" t="str">
        <f t="shared" ca="1" si="0"/>
        <v/>
      </c>
      <c r="M31" s="155"/>
      <c r="N31" s="160"/>
    </row>
    <row r="32" spans="1:14">
      <c r="A32" s="159"/>
      <c r="B32" s="155"/>
      <c r="C32" s="155"/>
      <c r="D32" s="155"/>
      <c r="E32" s="155"/>
      <c r="F32" s="155"/>
      <c r="G32" s="155"/>
      <c r="H32" s="155"/>
      <c r="I32" s="155"/>
      <c r="J32" s="155"/>
      <c r="K32" s="155"/>
      <c r="L32" s="155" t="str">
        <f t="shared" ca="1" si="0"/>
        <v/>
      </c>
      <c r="M32" s="155"/>
      <c r="N32" s="160"/>
    </row>
    <row r="33" spans="1:14">
      <c r="A33" s="159"/>
      <c r="B33" s="155"/>
      <c r="C33" s="155"/>
      <c r="D33" s="155"/>
      <c r="E33" s="155"/>
      <c r="F33" s="155"/>
      <c r="G33" s="155"/>
      <c r="H33" s="155"/>
      <c r="I33" s="155"/>
      <c r="J33" s="155"/>
      <c r="K33" s="155"/>
      <c r="L33" s="155" t="str">
        <f t="shared" ca="1" si="0"/>
        <v/>
      </c>
      <c r="M33" s="155"/>
      <c r="N33" s="160"/>
    </row>
    <row r="34" spans="1:14">
      <c r="A34" s="159"/>
      <c r="B34" s="155"/>
      <c r="C34" s="155"/>
      <c r="D34" s="155"/>
      <c r="E34" s="155"/>
      <c r="F34" s="155"/>
      <c r="G34" s="155"/>
      <c r="H34" s="155"/>
      <c r="I34" s="155"/>
      <c r="J34" s="155"/>
      <c r="K34" s="155"/>
      <c r="L34" s="155" t="str">
        <f t="shared" ca="1" si="0"/>
        <v/>
      </c>
      <c r="M34" s="155"/>
      <c r="N34" s="160"/>
    </row>
    <row r="35" spans="1:14">
      <c r="A35" s="159"/>
      <c r="B35" s="155"/>
      <c r="C35" s="155"/>
      <c r="D35" s="155"/>
      <c r="E35" s="155"/>
      <c r="F35" s="155"/>
      <c r="G35" s="155"/>
      <c r="H35" s="155"/>
      <c r="I35" s="155"/>
      <c r="J35" s="155"/>
      <c r="K35" s="155"/>
      <c r="L35" s="155" t="str">
        <f t="shared" ca="1" si="0"/>
        <v/>
      </c>
      <c r="M35" s="155"/>
      <c r="N35" s="160"/>
    </row>
    <row r="36" spans="1:14">
      <c r="A36" s="159"/>
      <c r="B36" s="155"/>
      <c r="C36" s="155"/>
      <c r="D36" s="155"/>
      <c r="E36" s="155"/>
      <c r="F36" s="155"/>
      <c r="G36" s="155"/>
      <c r="H36" s="155"/>
      <c r="I36" s="155"/>
      <c r="J36" s="155"/>
      <c r="K36" s="155"/>
      <c r="L36" s="155" t="str">
        <f t="shared" ca="1" si="0"/>
        <v/>
      </c>
      <c r="M36" s="155"/>
      <c r="N36" s="160"/>
    </row>
    <row r="37" spans="1:14">
      <c r="A37" s="159"/>
      <c r="B37" s="155"/>
      <c r="C37" s="155"/>
      <c r="D37" s="155"/>
      <c r="E37" s="155"/>
      <c r="F37" s="155"/>
      <c r="G37" s="155"/>
      <c r="H37" s="155"/>
      <c r="I37" s="155"/>
      <c r="J37" s="155"/>
      <c r="K37" s="155"/>
      <c r="L37" s="155" t="str">
        <f t="shared" ca="1" si="0"/>
        <v/>
      </c>
      <c r="M37" s="155"/>
      <c r="N37" s="160"/>
    </row>
    <row r="38" spans="1:14">
      <c r="A38" s="159"/>
      <c r="B38" s="155"/>
      <c r="C38" s="155"/>
      <c r="D38" s="155"/>
      <c r="E38" s="155"/>
      <c r="F38" s="155"/>
      <c r="G38" s="155"/>
      <c r="H38" s="155"/>
      <c r="I38" s="155"/>
      <c r="J38" s="155"/>
      <c r="K38" s="155"/>
      <c r="L38" s="155" t="str">
        <f t="shared" ca="1" si="0"/>
        <v/>
      </c>
      <c r="M38" s="155"/>
      <c r="N38" s="160"/>
    </row>
    <row r="39" spans="1:14">
      <c r="A39" s="159"/>
      <c r="B39" s="155"/>
      <c r="C39" s="155"/>
      <c r="D39" s="155"/>
      <c r="E39" s="155"/>
      <c r="F39" s="155"/>
      <c r="G39" s="155"/>
      <c r="H39" s="155"/>
      <c r="I39" s="155"/>
      <c r="J39" s="155"/>
      <c r="K39" s="155"/>
      <c r="L39" s="155" t="str">
        <f t="shared" ref="L39:L70" ca="1" si="1">IF(K39="Complete","Complete",IF(J39="","",IF(J39&lt;TODAY(),"Overdue",IF(J39&lt;=TODAY()+60,"Due &lt;=60 days","Future"))))</f>
        <v/>
      </c>
      <c r="M39" s="155"/>
      <c r="N39" s="160"/>
    </row>
    <row r="40" spans="1:14">
      <c r="A40" s="159"/>
      <c r="B40" s="155"/>
      <c r="C40" s="155"/>
      <c r="D40" s="155"/>
      <c r="E40" s="155"/>
      <c r="F40" s="155"/>
      <c r="G40" s="155"/>
      <c r="H40" s="155"/>
      <c r="I40" s="155"/>
      <c r="J40" s="155"/>
      <c r="K40" s="155"/>
      <c r="L40" s="155" t="str">
        <f t="shared" ca="1" si="1"/>
        <v/>
      </c>
      <c r="M40" s="155"/>
      <c r="N40" s="160"/>
    </row>
    <row r="41" spans="1:14">
      <c r="A41" s="159"/>
      <c r="B41" s="155"/>
      <c r="C41" s="155"/>
      <c r="D41" s="155"/>
      <c r="E41" s="155"/>
      <c r="F41" s="155"/>
      <c r="G41" s="155"/>
      <c r="H41" s="155"/>
      <c r="I41" s="155"/>
      <c r="J41" s="155"/>
      <c r="K41" s="155"/>
      <c r="L41" s="155" t="str">
        <f t="shared" ca="1" si="1"/>
        <v/>
      </c>
      <c r="M41" s="155"/>
      <c r="N41" s="160"/>
    </row>
    <row r="42" spans="1:14">
      <c r="A42" s="159"/>
      <c r="B42" s="155"/>
      <c r="C42" s="155"/>
      <c r="D42" s="155"/>
      <c r="E42" s="155"/>
      <c r="F42" s="155"/>
      <c r="G42" s="155"/>
      <c r="H42" s="155"/>
      <c r="I42" s="155"/>
      <c r="J42" s="155"/>
      <c r="K42" s="155"/>
      <c r="L42" s="155" t="str">
        <f t="shared" ca="1" si="1"/>
        <v/>
      </c>
      <c r="M42" s="155"/>
      <c r="N42" s="160"/>
    </row>
    <row r="43" spans="1:14">
      <c r="A43" s="159"/>
      <c r="B43" s="155"/>
      <c r="C43" s="155"/>
      <c r="D43" s="155"/>
      <c r="E43" s="155"/>
      <c r="F43" s="155"/>
      <c r="G43" s="155"/>
      <c r="H43" s="155"/>
      <c r="I43" s="155"/>
      <c r="J43" s="155"/>
      <c r="K43" s="155"/>
      <c r="L43" s="155" t="str">
        <f t="shared" ca="1" si="1"/>
        <v/>
      </c>
      <c r="M43" s="155"/>
      <c r="N43" s="160"/>
    </row>
    <row r="44" spans="1:14">
      <c r="A44" s="159"/>
      <c r="B44" s="155"/>
      <c r="C44" s="155"/>
      <c r="D44" s="155"/>
      <c r="E44" s="155"/>
      <c r="F44" s="155"/>
      <c r="G44" s="155"/>
      <c r="H44" s="155"/>
      <c r="I44" s="155"/>
      <c r="J44" s="155"/>
      <c r="K44" s="155"/>
      <c r="L44" s="155" t="str">
        <f t="shared" ca="1" si="1"/>
        <v/>
      </c>
      <c r="M44" s="155"/>
      <c r="N44" s="160"/>
    </row>
    <row r="45" spans="1:14">
      <c r="A45" s="159"/>
      <c r="B45" s="155"/>
      <c r="C45" s="155"/>
      <c r="D45" s="155"/>
      <c r="E45" s="155"/>
      <c r="F45" s="155"/>
      <c r="G45" s="155"/>
      <c r="H45" s="155"/>
      <c r="I45" s="155"/>
      <c r="J45" s="155"/>
      <c r="K45" s="155"/>
      <c r="L45" s="155" t="str">
        <f t="shared" ca="1" si="1"/>
        <v/>
      </c>
      <c r="M45" s="155"/>
      <c r="N45" s="160"/>
    </row>
    <row r="46" spans="1:14">
      <c r="A46" s="159"/>
      <c r="B46" s="155"/>
      <c r="C46" s="155"/>
      <c r="D46" s="155"/>
      <c r="E46" s="155"/>
      <c r="F46" s="155"/>
      <c r="G46" s="155"/>
      <c r="H46" s="155"/>
      <c r="I46" s="155"/>
      <c r="J46" s="155"/>
      <c r="K46" s="155"/>
      <c r="L46" s="155" t="str">
        <f t="shared" ca="1" si="1"/>
        <v/>
      </c>
      <c r="M46" s="155"/>
      <c r="N46" s="160"/>
    </row>
    <row r="47" spans="1:14">
      <c r="A47" s="159"/>
      <c r="B47" s="155"/>
      <c r="C47" s="155"/>
      <c r="D47" s="155"/>
      <c r="E47" s="155"/>
      <c r="F47" s="155"/>
      <c r="G47" s="155"/>
      <c r="H47" s="155"/>
      <c r="I47" s="155"/>
      <c r="J47" s="155"/>
      <c r="K47" s="155"/>
      <c r="L47" s="155" t="str">
        <f t="shared" ca="1" si="1"/>
        <v/>
      </c>
      <c r="M47" s="155"/>
      <c r="N47" s="160"/>
    </row>
    <row r="48" spans="1:14">
      <c r="A48" s="159"/>
      <c r="B48" s="155"/>
      <c r="C48" s="155"/>
      <c r="D48" s="155"/>
      <c r="E48" s="155"/>
      <c r="F48" s="155"/>
      <c r="G48" s="155"/>
      <c r="H48" s="155"/>
      <c r="I48" s="155"/>
      <c r="J48" s="155"/>
      <c r="K48" s="155"/>
      <c r="L48" s="155" t="str">
        <f t="shared" ca="1" si="1"/>
        <v/>
      </c>
      <c r="M48" s="155"/>
      <c r="N48" s="160"/>
    </row>
    <row r="49" spans="1:14">
      <c r="A49" s="159"/>
      <c r="B49" s="155"/>
      <c r="C49" s="155"/>
      <c r="D49" s="155"/>
      <c r="E49" s="155"/>
      <c r="F49" s="155"/>
      <c r="G49" s="155"/>
      <c r="H49" s="155"/>
      <c r="I49" s="155"/>
      <c r="J49" s="155"/>
      <c r="K49" s="155"/>
      <c r="L49" s="155" t="str">
        <f t="shared" ca="1" si="1"/>
        <v/>
      </c>
      <c r="M49" s="155"/>
      <c r="N49" s="160"/>
    </row>
    <row r="50" spans="1:14">
      <c r="A50" s="159"/>
      <c r="B50" s="155"/>
      <c r="C50" s="155"/>
      <c r="D50" s="155"/>
      <c r="E50" s="155"/>
      <c r="F50" s="155"/>
      <c r="G50" s="155"/>
      <c r="H50" s="155"/>
      <c r="I50" s="155"/>
      <c r="J50" s="155"/>
      <c r="K50" s="155"/>
      <c r="L50" s="155" t="str">
        <f t="shared" ca="1" si="1"/>
        <v/>
      </c>
      <c r="M50" s="155"/>
      <c r="N50" s="160"/>
    </row>
    <row r="51" spans="1:14">
      <c r="A51" s="159"/>
      <c r="B51" s="155"/>
      <c r="C51" s="155"/>
      <c r="D51" s="155"/>
      <c r="E51" s="155"/>
      <c r="F51" s="155"/>
      <c r="G51" s="155"/>
      <c r="H51" s="155"/>
      <c r="I51" s="155"/>
      <c r="J51" s="155"/>
      <c r="K51" s="155"/>
      <c r="L51" s="155" t="str">
        <f t="shared" ca="1" si="1"/>
        <v/>
      </c>
      <c r="M51" s="155"/>
      <c r="N51" s="160"/>
    </row>
    <row r="52" spans="1:14">
      <c r="A52" s="159"/>
      <c r="B52" s="155"/>
      <c r="C52" s="155"/>
      <c r="D52" s="155"/>
      <c r="E52" s="155"/>
      <c r="F52" s="155"/>
      <c r="G52" s="155"/>
      <c r="H52" s="155"/>
      <c r="I52" s="155"/>
      <c r="J52" s="155"/>
      <c r="K52" s="155"/>
      <c r="L52" s="155" t="str">
        <f t="shared" ca="1" si="1"/>
        <v/>
      </c>
      <c r="M52" s="155"/>
      <c r="N52" s="160"/>
    </row>
    <row r="53" spans="1:14">
      <c r="A53" s="159"/>
      <c r="B53" s="155"/>
      <c r="C53" s="155"/>
      <c r="D53" s="155"/>
      <c r="E53" s="155"/>
      <c r="F53" s="155"/>
      <c r="G53" s="155"/>
      <c r="H53" s="155"/>
      <c r="I53" s="155"/>
      <c r="J53" s="155"/>
      <c r="K53" s="155"/>
      <c r="L53" s="155" t="str">
        <f t="shared" ca="1" si="1"/>
        <v/>
      </c>
      <c r="M53" s="155"/>
      <c r="N53" s="160"/>
    </row>
    <row r="54" spans="1:14">
      <c r="A54" s="159"/>
      <c r="B54" s="155"/>
      <c r="C54" s="155"/>
      <c r="D54" s="155"/>
      <c r="E54" s="155"/>
      <c r="F54" s="155"/>
      <c r="G54" s="155"/>
      <c r="H54" s="155"/>
      <c r="I54" s="155"/>
      <c r="J54" s="155"/>
      <c r="K54" s="155"/>
      <c r="L54" s="155" t="str">
        <f t="shared" ca="1" si="1"/>
        <v/>
      </c>
      <c r="M54" s="155"/>
      <c r="N54" s="160"/>
    </row>
    <row r="55" spans="1:14">
      <c r="A55" s="159"/>
      <c r="B55" s="155"/>
      <c r="C55" s="155"/>
      <c r="D55" s="155"/>
      <c r="E55" s="155"/>
      <c r="F55" s="155"/>
      <c r="G55" s="155"/>
      <c r="H55" s="155"/>
      <c r="I55" s="155"/>
      <c r="J55" s="155"/>
      <c r="K55" s="155"/>
      <c r="L55" s="155" t="str">
        <f t="shared" ca="1" si="1"/>
        <v/>
      </c>
      <c r="M55" s="155"/>
      <c r="N55" s="160"/>
    </row>
    <row r="56" spans="1:14">
      <c r="A56" s="159"/>
      <c r="B56" s="155"/>
      <c r="C56" s="155"/>
      <c r="D56" s="155"/>
      <c r="E56" s="155"/>
      <c r="F56" s="155"/>
      <c r="G56" s="155"/>
      <c r="H56" s="155"/>
      <c r="I56" s="155"/>
      <c r="J56" s="155"/>
      <c r="K56" s="155"/>
      <c r="L56" s="155" t="str">
        <f t="shared" ca="1" si="1"/>
        <v/>
      </c>
      <c r="M56" s="155"/>
      <c r="N56" s="160"/>
    </row>
    <row r="57" spans="1:14">
      <c r="A57" s="159"/>
      <c r="B57" s="155"/>
      <c r="C57" s="155"/>
      <c r="D57" s="155"/>
      <c r="E57" s="155"/>
      <c r="F57" s="155"/>
      <c r="G57" s="155"/>
      <c r="H57" s="155"/>
      <c r="I57" s="155"/>
      <c r="J57" s="155"/>
      <c r="K57" s="155"/>
      <c r="L57" s="155" t="str">
        <f t="shared" ca="1" si="1"/>
        <v/>
      </c>
      <c r="M57" s="155"/>
      <c r="N57" s="160"/>
    </row>
    <row r="58" spans="1:14">
      <c r="A58" s="159"/>
      <c r="B58" s="155"/>
      <c r="C58" s="155"/>
      <c r="D58" s="155"/>
      <c r="E58" s="155"/>
      <c r="F58" s="155"/>
      <c r="G58" s="155"/>
      <c r="H58" s="155"/>
      <c r="I58" s="155"/>
      <c r="J58" s="155"/>
      <c r="K58" s="155"/>
      <c r="L58" s="155" t="str">
        <f t="shared" ca="1" si="1"/>
        <v/>
      </c>
      <c r="M58" s="155"/>
      <c r="N58" s="160"/>
    </row>
    <row r="59" spans="1:14">
      <c r="A59" s="159"/>
      <c r="B59" s="155"/>
      <c r="C59" s="155"/>
      <c r="D59" s="155"/>
      <c r="E59" s="155"/>
      <c r="F59" s="155"/>
      <c r="G59" s="155"/>
      <c r="H59" s="155"/>
      <c r="I59" s="155"/>
      <c r="J59" s="155"/>
      <c r="K59" s="155"/>
      <c r="L59" s="155" t="str">
        <f t="shared" ca="1" si="1"/>
        <v/>
      </c>
      <c r="M59" s="155"/>
      <c r="N59" s="160"/>
    </row>
    <row r="60" spans="1:14">
      <c r="A60" s="159"/>
      <c r="B60" s="155"/>
      <c r="C60" s="155"/>
      <c r="D60" s="155"/>
      <c r="E60" s="155"/>
      <c r="F60" s="155"/>
      <c r="G60" s="155"/>
      <c r="H60" s="155"/>
      <c r="I60" s="155"/>
      <c r="J60" s="155"/>
      <c r="K60" s="155"/>
      <c r="L60" s="155" t="str">
        <f t="shared" ca="1" si="1"/>
        <v/>
      </c>
      <c r="M60" s="155"/>
      <c r="N60" s="160"/>
    </row>
    <row r="61" spans="1:14">
      <c r="A61" s="159"/>
      <c r="B61" s="155"/>
      <c r="C61" s="155"/>
      <c r="D61" s="155"/>
      <c r="E61" s="155"/>
      <c r="F61" s="155"/>
      <c r="G61" s="155"/>
      <c r="H61" s="155"/>
      <c r="I61" s="155"/>
      <c r="J61" s="155"/>
      <c r="K61" s="155"/>
      <c r="L61" s="155" t="str">
        <f t="shared" ca="1" si="1"/>
        <v/>
      </c>
      <c r="M61" s="155"/>
      <c r="N61" s="160"/>
    </row>
    <row r="62" spans="1:14">
      <c r="A62" s="159"/>
      <c r="B62" s="155"/>
      <c r="C62" s="155"/>
      <c r="D62" s="155"/>
      <c r="E62" s="155"/>
      <c r="F62" s="155"/>
      <c r="G62" s="155"/>
      <c r="H62" s="155"/>
      <c r="I62" s="155"/>
      <c r="J62" s="155"/>
      <c r="K62" s="155"/>
      <c r="L62" s="155" t="str">
        <f t="shared" ca="1" si="1"/>
        <v/>
      </c>
      <c r="M62" s="155"/>
      <c r="N62" s="160"/>
    </row>
    <row r="63" spans="1:14">
      <c r="A63" s="159"/>
      <c r="B63" s="155"/>
      <c r="C63" s="155"/>
      <c r="D63" s="155"/>
      <c r="E63" s="155"/>
      <c r="F63" s="155"/>
      <c r="G63" s="155"/>
      <c r="H63" s="155"/>
      <c r="I63" s="155"/>
      <c r="J63" s="155"/>
      <c r="K63" s="155"/>
      <c r="L63" s="155" t="str">
        <f t="shared" ca="1" si="1"/>
        <v/>
      </c>
      <c r="M63" s="155"/>
      <c r="N63" s="160"/>
    </row>
    <row r="64" spans="1:14">
      <c r="A64" s="159"/>
      <c r="B64" s="155"/>
      <c r="C64" s="155"/>
      <c r="D64" s="155"/>
      <c r="E64" s="155"/>
      <c r="F64" s="155"/>
      <c r="G64" s="155"/>
      <c r="H64" s="155"/>
      <c r="I64" s="155"/>
      <c r="J64" s="155"/>
      <c r="K64" s="155"/>
      <c r="L64" s="155" t="str">
        <f t="shared" ca="1" si="1"/>
        <v/>
      </c>
      <c r="M64" s="155"/>
      <c r="N64" s="160"/>
    </row>
    <row r="65" spans="1:14">
      <c r="A65" s="159"/>
      <c r="B65" s="155"/>
      <c r="C65" s="155"/>
      <c r="D65" s="155"/>
      <c r="E65" s="155"/>
      <c r="F65" s="155"/>
      <c r="G65" s="155"/>
      <c r="H65" s="155"/>
      <c r="I65" s="155"/>
      <c r="J65" s="155"/>
      <c r="K65" s="155"/>
      <c r="L65" s="155" t="str">
        <f t="shared" ca="1" si="1"/>
        <v/>
      </c>
      <c r="M65" s="155"/>
      <c r="N65" s="160"/>
    </row>
    <row r="66" spans="1:14">
      <c r="A66" s="159"/>
      <c r="B66" s="155"/>
      <c r="C66" s="155"/>
      <c r="D66" s="155"/>
      <c r="E66" s="155"/>
      <c r="F66" s="155"/>
      <c r="G66" s="155"/>
      <c r="H66" s="155"/>
      <c r="I66" s="155"/>
      <c r="J66" s="155"/>
      <c r="K66" s="155"/>
      <c r="L66" s="155" t="str">
        <f t="shared" ca="1" si="1"/>
        <v/>
      </c>
      <c r="M66" s="155"/>
      <c r="N66" s="160"/>
    </row>
    <row r="67" spans="1:14">
      <c r="A67" s="159"/>
      <c r="B67" s="155"/>
      <c r="C67" s="155"/>
      <c r="D67" s="155"/>
      <c r="E67" s="155"/>
      <c r="F67" s="155"/>
      <c r="G67" s="155"/>
      <c r="H67" s="155"/>
      <c r="I67" s="155"/>
      <c r="J67" s="155"/>
      <c r="K67" s="155"/>
      <c r="L67" s="155" t="str">
        <f t="shared" ca="1" si="1"/>
        <v/>
      </c>
      <c r="M67" s="155"/>
      <c r="N67" s="160"/>
    </row>
    <row r="68" spans="1:14">
      <c r="A68" s="159"/>
      <c r="B68" s="155"/>
      <c r="C68" s="155"/>
      <c r="D68" s="155"/>
      <c r="E68" s="155"/>
      <c r="F68" s="155"/>
      <c r="G68" s="155"/>
      <c r="H68" s="155"/>
      <c r="I68" s="155"/>
      <c r="J68" s="155"/>
      <c r="K68" s="155"/>
      <c r="L68" s="155" t="str">
        <f t="shared" ca="1" si="1"/>
        <v/>
      </c>
      <c r="M68" s="155"/>
      <c r="N68" s="160"/>
    </row>
    <row r="69" spans="1:14">
      <c r="A69" s="159"/>
      <c r="B69" s="155"/>
      <c r="C69" s="155"/>
      <c r="D69" s="155"/>
      <c r="E69" s="155"/>
      <c r="F69" s="155"/>
      <c r="G69" s="155"/>
      <c r="H69" s="155"/>
      <c r="I69" s="155"/>
      <c r="J69" s="155"/>
      <c r="K69" s="155"/>
      <c r="L69" s="155" t="str">
        <f t="shared" ca="1" si="1"/>
        <v/>
      </c>
      <c r="M69" s="155"/>
      <c r="N69" s="160"/>
    </row>
    <row r="70" spans="1:14">
      <c r="A70" s="159"/>
      <c r="B70" s="155"/>
      <c r="C70" s="155"/>
      <c r="D70" s="155"/>
      <c r="E70" s="155"/>
      <c r="F70" s="155"/>
      <c r="G70" s="155"/>
      <c r="H70" s="155"/>
      <c r="I70" s="155"/>
      <c r="J70" s="155"/>
      <c r="K70" s="155"/>
      <c r="L70" s="155" t="str">
        <f t="shared" ca="1" si="1"/>
        <v/>
      </c>
      <c r="M70" s="155"/>
      <c r="N70" s="160"/>
    </row>
    <row r="71" spans="1:14">
      <c r="A71" s="159"/>
      <c r="B71" s="155"/>
      <c r="C71" s="155"/>
      <c r="D71" s="155"/>
      <c r="E71" s="155"/>
      <c r="F71" s="155"/>
      <c r="G71" s="155"/>
      <c r="H71" s="155"/>
      <c r="I71" s="155"/>
      <c r="J71" s="155"/>
      <c r="K71" s="155"/>
      <c r="L71" s="155" t="str">
        <f t="shared" ref="L71:L102" ca="1" si="2">IF(K71="Complete","Complete",IF(J71="","",IF(J71&lt;TODAY(),"Overdue",IF(J71&lt;=TODAY()+60,"Due &lt;=60 days","Future"))))</f>
        <v/>
      </c>
      <c r="M71" s="155"/>
      <c r="N71" s="160"/>
    </row>
    <row r="72" spans="1:14">
      <c r="A72" s="159"/>
      <c r="B72" s="155"/>
      <c r="C72" s="155"/>
      <c r="D72" s="155"/>
      <c r="E72" s="155"/>
      <c r="F72" s="155"/>
      <c r="G72" s="155"/>
      <c r="H72" s="155"/>
      <c r="I72" s="155"/>
      <c r="J72" s="155"/>
      <c r="K72" s="155"/>
      <c r="L72" s="155" t="str">
        <f t="shared" ca="1" si="2"/>
        <v/>
      </c>
      <c r="M72" s="155"/>
      <c r="N72" s="160"/>
    </row>
    <row r="73" spans="1:14">
      <c r="A73" s="159"/>
      <c r="B73" s="155"/>
      <c r="C73" s="155"/>
      <c r="D73" s="155"/>
      <c r="E73" s="155"/>
      <c r="F73" s="155"/>
      <c r="G73" s="155"/>
      <c r="H73" s="155"/>
      <c r="I73" s="155"/>
      <c r="J73" s="155"/>
      <c r="K73" s="155"/>
      <c r="L73" s="155" t="str">
        <f t="shared" ca="1" si="2"/>
        <v/>
      </c>
      <c r="M73" s="155"/>
      <c r="N73" s="160"/>
    </row>
    <row r="74" spans="1:14">
      <c r="A74" s="159"/>
      <c r="B74" s="155"/>
      <c r="C74" s="155"/>
      <c r="D74" s="155"/>
      <c r="E74" s="155"/>
      <c r="F74" s="155"/>
      <c r="G74" s="155"/>
      <c r="H74" s="155"/>
      <c r="I74" s="155"/>
      <c r="J74" s="155"/>
      <c r="K74" s="155"/>
      <c r="L74" s="155" t="str">
        <f t="shared" ca="1" si="2"/>
        <v/>
      </c>
      <c r="M74" s="155"/>
      <c r="N74" s="160"/>
    </row>
    <row r="75" spans="1:14">
      <c r="A75" s="159"/>
      <c r="B75" s="155"/>
      <c r="C75" s="155"/>
      <c r="D75" s="155"/>
      <c r="E75" s="155"/>
      <c r="F75" s="155"/>
      <c r="G75" s="155"/>
      <c r="H75" s="155"/>
      <c r="I75" s="155"/>
      <c r="J75" s="155"/>
      <c r="K75" s="155"/>
      <c r="L75" s="155" t="str">
        <f t="shared" ca="1" si="2"/>
        <v/>
      </c>
      <c r="M75" s="155"/>
      <c r="N75" s="160"/>
    </row>
    <row r="76" spans="1:14">
      <c r="A76" s="159"/>
      <c r="B76" s="155"/>
      <c r="C76" s="155"/>
      <c r="D76" s="155"/>
      <c r="E76" s="155"/>
      <c r="F76" s="155"/>
      <c r="G76" s="155"/>
      <c r="H76" s="155"/>
      <c r="I76" s="155"/>
      <c r="J76" s="155"/>
      <c r="K76" s="155"/>
      <c r="L76" s="155" t="str">
        <f t="shared" ca="1" si="2"/>
        <v/>
      </c>
      <c r="M76" s="155"/>
      <c r="N76" s="160"/>
    </row>
    <row r="77" spans="1:14">
      <c r="A77" s="159"/>
      <c r="B77" s="155"/>
      <c r="C77" s="155"/>
      <c r="D77" s="155"/>
      <c r="E77" s="155"/>
      <c r="F77" s="155"/>
      <c r="G77" s="155"/>
      <c r="H77" s="155"/>
      <c r="I77" s="155"/>
      <c r="J77" s="155"/>
      <c r="K77" s="155"/>
      <c r="L77" s="155" t="str">
        <f t="shared" ca="1" si="2"/>
        <v/>
      </c>
      <c r="M77" s="155"/>
      <c r="N77" s="160"/>
    </row>
    <row r="78" spans="1:14">
      <c r="A78" s="159"/>
      <c r="B78" s="155"/>
      <c r="C78" s="155"/>
      <c r="D78" s="155"/>
      <c r="E78" s="155"/>
      <c r="F78" s="155"/>
      <c r="G78" s="155"/>
      <c r="H78" s="155"/>
      <c r="I78" s="155"/>
      <c r="J78" s="155"/>
      <c r="K78" s="155"/>
      <c r="L78" s="155" t="str">
        <f t="shared" ca="1" si="2"/>
        <v/>
      </c>
      <c r="M78" s="155"/>
      <c r="N78" s="160"/>
    </row>
    <row r="79" spans="1:14">
      <c r="A79" s="159"/>
      <c r="B79" s="155"/>
      <c r="C79" s="155"/>
      <c r="D79" s="155"/>
      <c r="E79" s="155"/>
      <c r="F79" s="155"/>
      <c r="G79" s="155"/>
      <c r="H79" s="155"/>
      <c r="I79" s="155"/>
      <c r="J79" s="155"/>
      <c r="K79" s="155"/>
      <c r="L79" s="155" t="str">
        <f t="shared" ca="1" si="2"/>
        <v/>
      </c>
      <c r="M79" s="155"/>
      <c r="N79" s="160"/>
    </row>
    <row r="80" spans="1:14">
      <c r="A80" s="159"/>
      <c r="B80" s="155"/>
      <c r="C80" s="155"/>
      <c r="D80" s="155"/>
      <c r="E80" s="155"/>
      <c r="F80" s="155"/>
      <c r="G80" s="155"/>
      <c r="H80" s="155"/>
      <c r="I80" s="155"/>
      <c r="J80" s="155"/>
      <c r="K80" s="155"/>
      <c r="L80" s="155" t="str">
        <f t="shared" ca="1" si="2"/>
        <v/>
      </c>
      <c r="M80" s="155"/>
      <c r="N80" s="160"/>
    </row>
    <row r="81" spans="1:14">
      <c r="A81" s="159"/>
      <c r="B81" s="155"/>
      <c r="C81" s="155"/>
      <c r="D81" s="155"/>
      <c r="E81" s="155"/>
      <c r="F81" s="155"/>
      <c r="G81" s="155"/>
      <c r="H81" s="155"/>
      <c r="I81" s="155"/>
      <c r="J81" s="155"/>
      <c r="K81" s="155"/>
      <c r="L81" s="155" t="str">
        <f t="shared" ca="1" si="2"/>
        <v/>
      </c>
      <c r="M81" s="155"/>
      <c r="N81" s="160"/>
    </row>
    <row r="82" spans="1:14">
      <c r="A82" s="159"/>
      <c r="B82" s="155"/>
      <c r="C82" s="155"/>
      <c r="D82" s="155"/>
      <c r="E82" s="155"/>
      <c r="F82" s="155"/>
      <c r="G82" s="155"/>
      <c r="H82" s="155"/>
      <c r="I82" s="155"/>
      <c r="J82" s="155"/>
      <c r="K82" s="155"/>
      <c r="L82" s="155" t="str">
        <f t="shared" ca="1" si="2"/>
        <v/>
      </c>
      <c r="M82" s="155"/>
      <c r="N82" s="160"/>
    </row>
    <row r="83" spans="1:14">
      <c r="A83" s="159"/>
      <c r="B83" s="155"/>
      <c r="C83" s="155"/>
      <c r="D83" s="155"/>
      <c r="E83" s="155"/>
      <c r="F83" s="155"/>
      <c r="G83" s="155"/>
      <c r="H83" s="155"/>
      <c r="I83" s="155"/>
      <c r="J83" s="155"/>
      <c r="K83" s="155"/>
      <c r="L83" s="155" t="str">
        <f t="shared" ca="1" si="2"/>
        <v/>
      </c>
      <c r="M83" s="155"/>
      <c r="N83" s="160"/>
    </row>
    <row r="84" spans="1:14">
      <c r="A84" s="159"/>
      <c r="B84" s="155"/>
      <c r="C84" s="155"/>
      <c r="D84" s="155"/>
      <c r="E84" s="155"/>
      <c r="F84" s="155"/>
      <c r="G84" s="155"/>
      <c r="H84" s="155"/>
      <c r="I84" s="155"/>
      <c r="J84" s="155"/>
      <c r="K84" s="155"/>
      <c r="L84" s="155" t="str">
        <f t="shared" ca="1" si="2"/>
        <v/>
      </c>
      <c r="M84" s="155"/>
      <c r="N84" s="160"/>
    </row>
    <row r="85" spans="1:14">
      <c r="A85" s="159"/>
      <c r="B85" s="155"/>
      <c r="C85" s="155"/>
      <c r="D85" s="155"/>
      <c r="E85" s="155"/>
      <c r="F85" s="155"/>
      <c r="G85" s="155"/>
      <c r="H85" s="155"/>
      <c r="I85" s="155"/>
      <c r="J85" s="155"/>
      <c r="K85" s="155"/>
      <c r="L85" s="155" t="str">
        <f t="shared" ca="1" si="2"/>
        <v/>
      </c>
      <c r="M85" s="155"/>
      <c r="N85" s="160"/>
    </row>
    <row r="86" spans="1:14">
      <c r="A86" s="159"/>
      <c r="B86" s="155"/>
      <c r="C86" s="155"/>
      <c r="D86" s="155"/>
      <c r="E86" s="155"/>
      <c r="F86" s="155"/>
      <c r="G86" s="155"/>
      <c r="H86" s="155"/>
      <c r="I86" s="155"/>
      <c r="J86" s="155"/>
      <c r="K86" s="155"/>
      <c r="L86" s="155" t="str">
        <f t="shared" ca="1" si="2"/>
        <v/>
      </c>
      <c r="M86" s="155"/>
      <c r="N86" s="160"/>
    </row>
    <row r="87" spans="1:14">
      <c r="A87" s="159"/>
      <c r="B87" s="155"/>
      <c r="C87" s="155"/>
      <c r="D87" s="155"/>
      <c r="E87" s="155"/>
      <c r="F87" s="155"/>
      <c r="G87" s="155"/>
      <c r="H87" s="155"/>
      <c r="I87" s="155"/>
      <c r="J87" s="155"/>
      <c r="K87" s="155"/>
      <c r="L87" s="155" t="str">
        <f t="shared" ca="1" si="2"/>
        <v/>
      </c>
      <c r="M87" s="155"/>
      <c r="N87" s="160"/>
    </row>
    <row r="88" spans="1:14">
      <c r="A88" s="159"/>
      <c r="B88" s="155"/>
      <c r="C88" s="155"/>
      <c r="D88" s="155"/>
      <c r="E88" s="155"/>
      <c r="F88" s="155"/>
      <c r="G88" s="155"/>
      <c r="H88" s="155"/>
      <c r="I88" s="155"/>
      <c r="J88" s="155"/>
      <c r="K88" s="155"/>
      <c r="L88" s="155" t="str">
        <f t="shared" ca="1" si="2"/>
        <v/>
      </c>
      <c r="M88" s="155"/>
      <c r="N88" s="160"/>
    </row>
    <row r="89" spans="1:14">
      <c r="A89" s="159"/>
      <c r="B89" s="155"/>
      <c r="C89" s="155"/>
      <c r="D89" s="155"/>
      <c r="E89" s="155"/>
      <c r="F89" s="155"/>
      <c r="G89" s="155"/>
      <c r="H89" s="155"/>
      <c r="I89" s="155"/>
      <c r="J89" s="155"/>
      <c r="K89" s="155"/>
      <c r="L89" s="155" t="str">
        <f t="shared" ca="1" si="2"/>
        <v/>
      </c>
      <c r="M89" s="155"/>
      <c r="N89" s="160"/>
    </row>
    <row r="90" spans="1:14">
      <c r="A90" s="159"/>
      <c r="B90" s="155"/>
      <c r="C90" s="155"/>
      <c r="D90" s="155"/>
      <c r="E90" s="155"/>
      <c r="F90" s="155"/>
      <c r="G90" s="155"/>
      <c r="H90" s="155"/>
      <c r="I90" s="155"/>
      <c r="J90" s="155"/>
      <c r="K90" s="155"/>
      <c r="L90" s="155" t="str">
        <f t="shared" ca="1" si="2"/>
        <v/>
      </c>
      <c r="M90" s="155"/>
      <c r="N90" s="160"/>
    </row>
    <row r="91" spans="1:14">
      <c r="A91" s="159"/>
      <c r="B91" s="155"/>
      <c r="C91" s="155"/>
      <c r="D91" s="155"/>
      <c r="E91" s="155"/>
      <c r="F91" s="155"/>
      <c r="G91" s="155"/>
      <c r="H91" s="155"/>
      <c r="I91" s="155"/>
      <c r="J91" s="155"/>
      <c r="K91" s="155"/>
      <c r="L91" s="155" t="str">
        <f t="shared" ca="1" si="2"/>
        <v/>
      </c>
      <c r="M91" s="155"/>
      <c r="N91" s="160"/>
    </row>
    <row r="92" spans="1:14">
      <c r="A92" s="159"/>
      <c r="B92" s="155"/>
      <c r="C92" s="155"/>
      <c r="D92" s="155"/>
      <c r="E92" s="155"/>
      <c r="F92" s="155"/>
      <c r="G92" s="155"/>
      <c r="H92" s="155"/>
      <c r="I92" s="155"/>
      <c r="J92" s="155"/>
      <c r="K92" s="155"/>
      <c r="L92" s="155" t="str">
        <f t="shared" ca="1" si="2"/>
        <v/>
      </c>
      <c r="M92" s="155"/>
      <c r="N92" s="160"/>
    </row>
    <row r="93" spans="1:14">
      <c r="A93" s="159"/>
      <c r="B93" s="155"/>
      <c r="C93" s="155"/>
      <c r="D93" s="155"/>
      <c r="E93" s="155"/>
      <c r="F93" s="155"/>
      <c r="G93" s="155"/>
      <c r="H93" s="155"/>
      <c r="I93" s="155"/>
      <c r="J93" s="155"/>
      <c r="K93" s="155"/>
      <c r="L93" s="155" t="str">
        <f t="shared" ca="1" si="2"/>
        <v/>
      </c>
      <c r="M93" s="155"/>
      <c r="N93" s="160"/>
    </row>
    <row r="94" spans="1:14">
      <c r="A94" s="159"/>
      <c r="B94" s="155"/>
      <c r="C94" s="155"/>
      <c r="D94" s="155"/>
      <c r="E94" s="155"/>
      <c r="F94" s="155"/>
      <c r="G94" s="155"/>
      <c r="H94" s="155"/>
      <c r="I94" s="155"/>
      <c r="J94" s="155"/>
      <c r="K94" s="155"/>
      <c r="L94" s="155" t="str">
        <f t="shared" ca="1" si="2"/>
        <v/>
      </c>
      <c r="M94" s="155"/>
      <c r="N94" s="160"/>
    </row>
    <row r="95" spans="1:14">
      <c r="A95" s="159"/>
      <c r="B95" s="155"/>
      <c r="C95" s="155"/>
      <c r="D95" s="155"/>
      <c r="E95" s="155"/>
      <c r="F95" s="155"/>
      <c r="G95" s="155"/>
      <c r="H95" s="155"/>
      <c r="I95" s="155"/>
      <c r="J95" s="155"/>
      <c r="K95" s="155"/>
      <c r="L95" s="155" t="str">
        <f t="shared" ca="1" si="2"/>
        <v/>
      </c>
      <c r="M95" s="155"/>
      <c r="N95" s="160"/>
    </row>
    <row r="96" spans="1:14">
      <c r="A96" s="159"/>
      <c r="B96" s="155"/>
      <c r="C96" s="155"/>
      <c r="D96" s="155"/>
      <c r="E96" s="155"/>
      <c r="F96" s="155"/>
      <c r="G96" s="155"/>
      <c r="H96" s="155"/>
      <c r="I96" s="155"/>
      <c r="J96" s="155"/>
      <c r="K96" s="155"/>
      <c r="L96" s="155" t="str">
        <f t="shared" ca="1" si="2"/>
        <v/>
      </c>
      <c r="M96" s="155"/>
      <c r="N96" s="160"/>
    </row>
    <row r="97" spans="1:14">
      <c r="A97" s="159"/>
      <c r="B97" s="155"/>
      <c r="C97" s="155"/>
      <c r="D97" s="155"/>
      <c r="E97" s="155"/>
      <c r="F97" s="155"/>
      <c r="G97" s="155"/>
      <c r="H97" s="155"/>
      <c r="I97" s="155"/>
      <c r="J97" s="155"/>
      <c r="K97" s="155"/>
      <c r="L97" s="155" t="str">
        <f t="shared" ca="1" si="2"/>
        <v/>
      </c>
      <c r="M97" s="155"/>
      <c r="N97" s="160"/>
    </row>
    <row r="98" spans="1:14">
      <c r="A98" s="159"/>
      <c r="B98" s="155"/>
      <c r="C98" s="155"/>
      <c r="D98" s="155"/>
      <c r="E98" s="155"/>
      <c r="F98" s="155"/>
      <c r="G98" s="155"/>
      <c r="H98" s="155"/>
      <c r="I98" s="155"/>
      <c r="J98" s="155"/>
      <c r="K98" s="155"/>
      <c r="L98" s="155" t="str">
        <f t="shared" ca="1" si="2"/>
        <v/>
      </c>
      <c r="M98" s="155"/>
      <c r="N98" s="160"/>
    </row>
    <row r="99" spans="1:14">
      <c r="A99" s="159"/>
      <c r="B99" s="155"/>
      <c r="C99" s="155"/>
      <c r="D99" s="155"/>
      <c r="E99" s="155"/>
      <c r="F99" s="155"/>
      <c r="G99" s="155"/>
      <c r="H99" s="155"/>
      <c r="I99" s="155"/>
      <c r="J99" s="155"/>
      <c r="K99" s="155"/>
      <c r="L99" s="155" t="str">
        <f t="shared" ca="1" si="2"/>
        <v/>
      </c>
      <c r="M99" s="155"/>
      <c r="N99" s="160"/>
    </row>
    <row r="100" spans="1:14">
      <c r="A100" s="159"/>
      <c r="B100" s="155"/>
      <c r="C100" s="155"/>
      <c r="D100" s="155"/>
      <c r="E100" s="155"/>
      <c r="F100" s="155"/>
      <c r="G100" s="155"/>
      <c r="H100" s="155"/>
      <c r="I100" s="155"/>
      <c r="J100" s="155"/>
      <c r="K100" s="155"/>
      <c r="L100" s="155" t="str">
        <f t="shared" ca="1" si="2"/>
        <v/>
      </c>
      <c r="M100" s="155"/>
      <c r="N100" s="160"/>
    </row>
    <row r="101" spans="1:14">
      <c r="A101" s="159"/>
      <c r="B101" s="155"/>
      <c r="C101" s="155"/>
      <c r="D101" s="155"/>
      <c r="E101" s="155"/>
      <c r="F101" s="155"/>
      <c r="G101" s="155"/>
      <c r="H101" s="155"/>
      <c r="I101" s="155"/>
      <c r="J101" s="155"/>
      <c r="K101" s="155"/>
      <c r="L101" s="155" t="str">
        <f t="shared" ca="1" si="2"/>
        <v/>
      </c>
      <c r="M101" s="155"/>
      <c r="N101" s="160"/>
    </row>
    <row r="102" spans="1:14">
      <c r="A102" s="159"/>
      <c r="B102" s="155"/>
      <c r="C102" s="155"/>
      <c r="D102" s="155"/>
      <c r="E102" s="155"/>
      <c r="F102" s="155"/>
      <c r="G102" s="155"/>
      <c r="H102" s="155"/>
      <c r="I102" s="155"/>
      <c r="J102" s="155"/>
      <c r="K102" s="155"/>
      <c r="L102" s="155" t="str">
        <f t="shared" ca="1" si="2"/>
        <v/>
      </c>
      <c r="M102" s="155"/>
      <c r="N102" s="160"/>
    </row>
    <row r="103" spans="1:14">
      <c r="A103" s="159"/>
      <c r="B103" s="155"/>
      <c r="C103" s="155"/>
      <c r="D103" s="155"/>
      <c r="E103" s="155"/>
      <c r="F103" s="155"/>
      <c r="G103" s="155"/>
      <c r="H103" s="155"/>
      <c r="I103" s="155"/>
      <c r="J103" s="155"/>
      <c r="K103" s="155"/>
      <c r="L103" s="155" t="str">
        <f t="shared" ref="L103:L134" ca="1" si="3">IF(K103="Complete","Complete",IF(J103="","",IF(J103&lt;TODAY(),"Overdue",IF(J103&lt;=TODAY()+60,"Due &lt;=60 days","Future"))))</f>
        <v/>
      </c>
      <c r="M103" s="155"/>
      <c r="N103" s="160"/>
    </row>
    <row r="104" spans="1:14">
      <c r="A104" s="159"/>
      <c r="B104" s="155"/>
      <c r="C104" s="155"/>
      <c r="D104" s="155"/>
      <c r="E104" s="155"/>
      <c r="F104" s="155"/>
      <c r="G104" s="155"/>
      <c r="H104" s="155"/>
      <c r="I104" s="155"/>
      <c r="J104" s="155"/>
      <c r="K104" s="155"/>
      <c r="L104" s="155" t="str">
        <f t="shared" ca="1" si="3"/>
        <v/>
      </c>
      <c r="M104" s="155"/>
      <c r="N104" s="160"/>
    </row>
    <row r="105" spans="1:14">
      <c r="A105" s="159"/>
      <c r="B105" s="155"/>
      <c r="C105" s="155"/>
      <c r="D105" s="155"/>
      <c r="E105" s="155"/>
      <c r="F105" s="155"/>
      <c r="G105" s="155"/>
      <c r="H105" s="155"/>
      <c r="I105" s="155"/>
      <c r="J105" s="155"/>
      <c r="K105" s="155"/>
      <c r="L105" s="155" t="str">
        <f t="shared" ca="1" si="3"/>
        <v/>
      </c>
      <c r="M105" s="155"/>
      <c r="N105" s="160"/>
    </row>
    <row r="106" spans="1:14">
      <c r="A106" s="159"/>
      <c r="B106" s="155"/>
      <c r="C106" s="155"/>
      <c r="D106" s="155"/>
      <c r="E106" s="155"/>
      <c r="F106" s="155"/>
      <c r="G106" s="155"/>
      <c r="H106" s="155"/>
      <c r="I106" s="155"/>
      <c r="J106" s="155"/>
      <c r="K106" s="155"/>
      <c r="L106" s="155" t="str">
        <f t="shared" ca="1" si="3"/>
        <v/>
      </c>
      <c r="M106" s="155"/>
      <c r="N106" s="160"/>
    </row>
    <row r="107" spans="1:14">
      <c r="A107" s="159"/>
      <c r="B107" s="155"/>
      <c r="C107" s="155"/>
      <c r="D107" s="155"/>
      <c r="E107" s="155"/>
      <c r="F107" s="155"/>
      <c r="G107" s="155"/>
      <c r="H107" s="155"/>
      <c r="I107" s="155"/>
      <c r="J107" s="155"/>
      <c r="K107" s="155"/>
      <c r="L107" s="155" t="str">
        <f t="shared" ca="1" si="3"/>
        <v/>
      </c>
      <c r="M107" s="155"/>
      <c r="N107" s="160"/>
    </row>
    <row r="108" spans="1:14">
      <c r="A108" s="159"/>
      <c r="B108" s="155"/>
      <c r="C108" s="155"/>
      <c r="D108" s="155"/>
      <c r="E108" s="155"/>
      <c r="F108" s="155"/>
      <c r="G108" s="155"/>
      <c r="H108" s="155"/>
      <c r="I108" s="155"/>
      <c r="J108" s="155"/>
      <c r="K108" s="155"/>
      <c r="L108" s="155" t="str">
        <f t="shared" ca="1" si="3"/>
        <v/>
      </c>
      <c r="M108" s="155"/>
      <c r="N108" s="160"/>
    </row>
    <row r="109" spans="1:14">
      <c r="A109" s="159"/>
      <c r="B109" s="155"/>
      <c r="C109" s="155"/>
      <c r="D109" s="155"/>
      <c r="E109" s="155"/>
      <c r="F109" s="155"/>
      <c r="G109" s="155"/>
      <c r="H109" s="155"/>
      <c r="I109" s="155"/>
      <c r="J109" s="155"/>
      <c r="K109" s="155"/>
      <c r="L109" s="155" t="str">
        <f t="shared" ca="1" si="3"/>
        <v/>
      </c>
      <c r="M109" s="155"/>
      <c r="N109" s="160"/>
    </row>
    <row r="110" spans="1:14">
      <c r="A110" s="159"/>
      <c r="B110" s="155"/>
      <c r="C110" s="155"/>
      <c r="D110" s="155"/>
      <c r="E110" s="155"/>
      <c r="F110" s="155"/>
      <c r="G110" s="155"/>
      <c r="H110" s="155"/>
      <c r="I110" s="155"/>
      <c r="J110" s="155"/>
      <c r="K110" s="155"/>
      <c r="L110" s="155" t="str">
        <f t="shared" ca="1" si="3"/>
        <v/>
      </c>
      <c r="M110" s="155"/>
      <c r="N110" s="160"/>
    </row>
    <row r="111" spans="1:14">
      <c r="A111" s="159"/>
      <c r="B111" s="155"/>
      <c r="C111" s="155"/>
      <c r="D111" s="155"/>
      <c r="E111" s="155"/>
      <c r="F111" s="155"/>
      <c r="G111" s="155"/>
      <c r="H111" s="155"/>
      <c r="I111" s="155"/>
      <c r="J111" s="155"/>
      <c r="K111" s="155"/>
      <c r="L111" s="155" t="str">
        <f t="shared" ca="1" si="3"/>
        <v/>
      </c>
      <c r="M111" s="155"/>
      <c r="N111" s="160"/>
    </row>
    <row r="112" spans="1:14">
      <c r="A112" s="159"/>
      <c r="B112" s="155"/>
      <c r="C112" s="155"/>
      <c r="D112" s="155"/>
      <c r="E112" s="155"/>
      <c r="F112" s="155"/>
      <c r="G112" s="155"/>
      <c r="H112" s="155"/>
      <c r="I112" s="155"/>
      <c r="J112" s="155"/>
      <c r="K112" s="155"/>
      <c r="L112" s="155" t="str">
        <f t="shared" ca="1" si="3"/>
        <v/>
      </c>
      <c r="M112" s="155"/>
      <c r="N112" s="160"/>
    </row>
    <row r="113" spans="1:14">
      <c r="A113" s="159"/>
      <c r="B113" s="155"/>
      <c r="C113" s="155"/>
      <c r="D113" s="155"/>
      <c r="E113" s="155"/>
      <c r="F113" s="155"/>
      <c r="G113" s="155"/>
      <c r="H113" s="155"/>
      <c r="I113" s="155"/>
      <c r="J113" s="155"/>
      <c r="K113" s="155"/>
      <c r="L113" s="155" t="str">
        <f t="shared" ca="1" si="3"/>
        <v/>
      </c>
      <c r="M113" s="155"/>
      <c r="N113" s="160"/>
    </row>
    <row r="114" spans="1:14">
      <c r="A114" s="159"/>
      <c r="B114" s="155"/>
      <c r="C114" s="155"/>
      <c r="D114" s="155"/>
      <c r="E114" s="155"/>
      <c r="F114" s="155"/>
      <c r="G114" s="155"/>
      <c r="H114" s="155"/>
      <c r="I114" s="155"/>
      <c r="J114" s="155"/>
      <c r="K114" s="155"/>
      <c r="L114" s="155" t="str">
        <f t="shared" ca="1" si="3"/>
        <v/>
      </c>
      <c r="M114" s="155"/>
      <c r="N114" s="160"/>
    </row>
    <row r="115" spans="1:14">
      <c r="A115" s="159"/>
      <c r="B115" s="155"/>
      <c r="C115" s="155"/>
      <c r="D115" s="155"/>
      <c r="E115" s="155"/>
      <c r="F115" s="155"/>
      <c r="G115" s="155"/>
      <c r="H115" s="155"/>
      <c r="I115" s="155"/>
      <c r="J115" s="155"/>
      <c r="K115" s="155"/>
      <c r="L115" s="155" t="str">
        <f t="shared" ca="1" si="3"/>
        <v/>
      </c>
      <c r="M115" s="155"/>
      <c r="N115" s="160"/>
    </row>
    <row r="116" spans="1:14">
      <c r="A116" s="159"/>
      <c r="B116" s="155"/>
      <c r="C116" s="155"/>
      <c r="D116" s="155"/>
      <c r="E116" s="155"/>
      <c r="F116" s="155"/>
      <c r="G116" s="155"/>
      <c r="H116" s="155"/>
      <c r="I116" s="155"/>
      <c r="J116" s="155"/>
      <c r="K116" s="155"/>
      <c r="L116" s="155" t="str">
        <f t="shared" ca="1" si="3"/>
        <v/>
      </c>
      <c r="M116" s="155"/>
      <c r="N116" s="160"/>
    </row>
    <row r="117" spans="1:14">
      <c r="A117" s="159"/>
      <c r="B117" s="155"/>
      <c r="C117" s="155"/>
      <c r="D117" s="155"/>
      <c r="E117" s="155"/>
      <c r="F117" s="155"/>
      <c r="G117" s="155"/>
      <c r="H117" s="155"/>
      <c r="I117" s="155"/>
      <c r="J117" s="155"/>
      <c r="K117" s="155"/>
      <c r="L117" s="155" t="str">
        <f t="shared" ca="1" si="3"/>
        <v/>
      </c>
      <c r="M117" s="155"/>
      <c r="N117" s="160"/>
    </row>
    <row r="118" spans="1:14">
      <c r="A118" s="159"/>
      <c r="B118" s="155"/>
      <c r="C118" s="155"/>
      <c r="D118" s="155"/>
      <c r="E118" s="155"/>
      <c r="F118" s="155"/>
      <c r="G118" s="155"/>
      <c r="H118" s="155"/>
      <c r="I118" s="155"/>
      <c r="J118" s="155"/>
      <c r="K118" s="155"/>
      <c r="L118" s="155" t="str">
        <f t="shared" ca="1" si="3"/>
        <v/>
      </c>
      <c r="M118" s="155"/>
      <c r="N118" s="160"/>
    </row>
    <row r="119" spans="1:14">
      <c r="A119" s="159"/>
      <c r="B119" s="155"/>
      <c r="C119" s="155"/>
      <c r="D119" s="155"/>
      <c r="E119" s="155"/>
      <c r="F119" s="155"/>
      <c r="G119" s="155"/>
      <c r="H119" s="155"/>
      <c r="I119" s="155"/>
      <c r="J119" s="155"/>
      <c r="K119" s="155"/>
      <c r="L119" s="155" t="str">
        <f t="shared" ca="1" si="3"/>
        <v/>
      </c>
      <c r="M119" s="155"/>
      <c r="N119" s="160"/>
    </row>
    <row r="120" spans="1:14">
      <c r="A120" s="159"/>
      <c r="B120" s="155"/>
      <c r="C120" s="155"/>
      <c r="D120" s="155"/>
      <c r="E120" s="155"/>
      <c r="F120" s="155"/>
      <c r="G120" s="155"/>
      <c r="H120" s="155"/>
      <c r="I120" s="155"/>
      <c r="J120" s="155"/>
      <c r="K120" s="155"/>
      <c r="L120" s="155" t="str">
        <f t="shared" ca="1" si="3"/>
        <v/>
      </c>
      <c r="M120" s="155"/>
      <c r="N120" s="160"/>
    </row>
    <row r="121" spans="1:14">
      <c r="A121" s="159"/>
      <c r="B121" s="155"/>
      <c r="C121" s="155"/>
      <c r="D121" s="155"/>
      <c r="E121" s="155"/>
      <c r="F121" s="155"/>
      <c r="G121" s="155"/>
      <c r="H121" s="155"/>
      <c r="I121" s="155"/>
      <c r="J121" s="155"/>
      <c r="K121" s="155"/>
      <c r="L121" s="155" t="str">
        <f t="shared" ca="1" si="3"/>
        <v/>
      </c>
      <c r="M121" s="155"/>
      <c r="N121" s="160"/>
    </row>
    <row r="122" spans="1:14">
      <c r="A122" s="159"/>
      <c r="B122" s="155"/>
      <c r="C122" s="155"/>
      <c r="D122" s="155"/>
      <c r="E122" s="155"/>
      <c r="F122" s="155"/>
      <c r="G122" s="155"/>
      <c r="H122" s="155"/>
      <c r="I122" s="155"/>
      <c r="J122" s="155"/>
      <c r="K122" s="155"/>
      <c r="L122" s="155" t="str">
        <f t="shared" ca="1" si="3"/>
        <v/>
      </c>
      <c r="M122" s="155"/>
      <c r="N122" s="160"/>
    </row>
    <row r="123" spans="1:14">
      <c r="A123" s="159"/>
      <c r="B123" s="155"/>
      <c r="C123" s="155"/>
      <c r="D123" s="155"/>
      <c r="E123" s="155"/>
      <c r="F123" s="155"/>
      <c r="G123" s="155"/>
      <c r="H123" s="155"/>
      <c r="I123" s="155"/>
      <c r="J123" s="155"/>
      <c r="K123" s="155"/>
      <c r="L123" s="155" t="str">
        <f t="shared" ca="1" si="3"/>
        <v/>
      </c>
      <c r="M123" s="155"/>
      <c r="N123" s="160"/>
    </row>
    <row r="124" spans="1:14">
      <c r="A124" s="159"/>
      <c r="B124" s="155"/>
      <c r="C124" s="155"/>
      <c r="D124" s="155"/>
      <c r="E124" s="155"/>
      <c r="F124" s="155"/>
      <c r="G124" s="155"/>
      <c r="H124" s="155"/>
      <c r="I124" s="155"/>
      <c r="J124" s="155"/>
      <c r="K124" s="155"/>
      <c r="L124" s="155" t="str">
        <f t="shared" ca="1" si="3"/>
        <v/>
      </c>
      <c r="M124" s="155"/>
      <c r="N124" s="160"/>
    </row>
    <row r="125" spans="1:14">
      <c r="A125" s="159"/>
      <c r="B125" s="155"/>
      <c r="C125" s="155"/>
      <c r="D125" s="155"/>
      <c r="E125" s="155"/>
      <c r="F125" s="155"/>
      <c r="G125" s="155"/>
      <c r="H125" s="155"/>
      <c r="I125" s="155"/>
      <c r="J125" s="155"/>
      <c r="K125" s="155"/>
      <c r="L125" s="155" t="str">
        <f t="shared" ca="1" si="3"/>
        <v/>
      </c>
      <c r="M125" s="155"/>
      <c r="N125" s="160"/>
    </row>
    <row r="126" spans="1:14">
      <c r="A126" s="159"/>
      <c r="B126" s="155"/>
      <c r="C126" s="155"/>
      <c r="D126" s="155"/>
      <c r="E126" s="155"/>
      <c r="F126" s="155"/>
      <c r="G126" s="155"/>
      <c r="H126" s="155"/>
      <c r="I126" s="155"/>
      <c r="J126" s="155"/>
      <c r="K126" s="155"/>
      <c r="L126" s="155" t="str">
        <f t="shared" ca="1" si="3"/>
        <v/>
      </c>
      <c r="M126" s="155"/>
      <c r="N126" s="160"/>
    </row>
    <row r="127" spans="1:14">
      <c r="A127" s="159"/>
      <c r="B127" s="155"/>
      <c r="C127" s="155"/>
      <c r="D127" s="155"/>
      <c r="E127" s="155"/>
      <c r="F127" s="155"/>
      <c r="G127" s="155"/>
      <c r="H127" s="155"/>
      <c r="I127" s="155"/>
      <c r="J127" s="155"/>
      <c r="K127" s="155"/>
      <c r="L127" s="155" t="str">
        <f t="shared" ca="1" si="3"/>
        <v/>
      </c>
      <c r="M127" s="155"/>
      <c r="N127" s="160"/>
    </row>
    <row r="128" spans="1:14">
      <c r="A128" s="159"/>
      <c r="B128" s="155"/>
      <c r="C128" s="155"/>
      <c r="D128" s="155"/>
      <c r="E128" s="155"/>
      <c r="F128" s="155"/>
      <c r="G128" s="155"/>
      <c r="H128" s="155"/>
      <c r="I128" s="155"/>
      <c r="J128" s="155"/>
      <c r="K128" s="155"/>
      <c r="L128" s="155" t="str">
        <f t="shared" ca="1" si="3"/>
        <v/>
      </c>
      <c r="M128" s="155"/>
      <c r="N128" s="160"/>
    </row>
    <row r="129" spans="1:14">
      <c r="A129" s="159"/>
      <c r="B129" s="155"/>
      <c r="C129" s="155"/>
      <c r="D129" s="155"/>
      <c r="E129" s="155"/>
      <c r="F129" s="155"/>
      <c r="G129" s="155"/>
      <c r="H129" s="155"/>
      <c r="I129" s="155"/>
      <c r="J129" s="155"/>
      <c r="K129" s="155"/>
      <c r="L129" s="155" t="str">
        <f t="shared" ca="1" si="3"/>
        <v/>
      </c>
      <c r="M129" s="155"/>
      <c r="N129" s="160"/>
    </row>
    <row r="130" spans="1:14">
      <c r="A130" s="159"/>
      <c r="B130" s="155"/>
      <c r="C130" s="155"/>
      <c r="D130" s="155"/>
      <c r="E130" s="155"/>
      <c r="F130" s="155"/>
      <c r="G130" s="155"/>
      <c r="H130" s="155"/>
      <c r="I130" s="155"/>
      <c r="J130" s="155"/>
      <c r="K130" s="155"/>
      <c r="L130" s="155" t="str">
        <f t="shared" ca="1" si="3"/>
        <v/>
      </c>
      <c r="M130" s="155"/>
      <c r="N130" s="160"/>
    </row>
    <row r="131" spans="1:14">
      <c r="A131" s="159"/>
      <c r="B131" s="155"/>
      <c r="C131" s="155"/>
      <c r="D131" s="155"/>
      <c r="E131" s="155"/>
      <c r="F131" s="155"/>
      <c r="G131" s="155"/>
      <c r="H131" s="155"/>
      <c r="I131" s="155"/>
      <c r="J131" s="155"/>
      <c r="K131" s="155"/>
      <c r="L131" s="155" t="str">
        <f t="shared" ca="1" si="3"/>
        <v/>
      </c>
      <c r="M131" s="155"/>
      <c r="N131" s="160"/>
    </row>
    <row r="132" spans="1:14">
      <c r="A132" s="159"/>
      <c r="B132" s="155"/>
      <c r="C132" s="155"/>
      <c r="D132" s="155"/>
      <c r="E132" s="155"/>
      <c r="F132" s="155"/>
      <c r="G132" s="155"/>
      <c r="H132" s="155"/>
      <c r="I132" s="155"/>
      <c r="J132" s="155"/>
      <c r="K132" s="155"/>
      <c r="L132" s="155" t="str">
        <f t="shared" ca="1" si="3"/>
        <v/>
      </c>
      <c r="M132" s="155"/>
      <c r="N132" s="160"/>
    </row>
    <row r="133" spans="1:14">
      <c r="A133" s="159"/>
      <c r="B133" s="155"/>
      <c r="C133" s="155"/>
      <c r="D133" s="155"/>
      <c r="E133" s="155"/>
      <c r="F133" s="155"/>
      <c r="G133" s="155"/>
      <c r="H133" s="155"/>
      <c r="I133" s="155"/>
      <c r="J133" s="155"/>
      <c r="K133" s="155"/>
      <c r="L133" s="155" t="str">
        <f t="shared" ca="1" si="3"/>
        <v/>
      </c>
      <c r="M133" s="155"/>
      <c r="N133" s="160"/>
    </row>
    <row r="134" spans="1:14">
      <c r="A134" s="159"/>
      <c r="B134" s="155"/>
      <c r="C134" s="155"/>
      <c r="D134" s="155"/>
      <c r="E134" s="155"/>
      <c r="F134" s="155"/>
      <c r="G134" s="155"/>
      <c r="H134" s="155"/>
      <c r="I134" s="155"/>
      <c r="J134" s="155"/>
      <c r="K134" s="155"/>
      <c r="L134" s="155" t="str">
        <f t="shared" ca="1" si="3"/>
        <v/>
      </c>
      <c r="M134" s="155"/>
      <c r="N134" s="160"/>
    </row>
    <row r="135" spans="1:14">
      <c r="A135" s="159"/>
      <c r="B135" s="155"/>
      <c r="C135" s="155"/>
      <c r="D135" s="155"/>
      <c r="E135" s="155"/>
      <c r="F135" s="155"/>
      <c r="G135" s="155"/>
      <c r="H135" s="155"/>
      <c r="I135" s="155"/>
      <c r="J135" s="155"/>
      <c r="K135" s="155"/>
      <c r="L135" s="155" t="str">
        <f t="shared" ref="L135:L166" ca="1" si="4">IF(K135="Complete","Complete",IF(J135="","",IF(J135&lt;TODAY(),"Overdue",IF(J135&lt;=TODAY()+60,"Due &lt;=60 days","Future"))))</f>
        <v/>
      </c>
      <c r="M135" s="155"/>
      <c r="N135" s="160"/>
    </row>
    <row r="136" spans="1:14">
      <c r="A136" s="159"/>
      <c r="B136" s="155"/>
      <c r="C136" s="155"/>
      <c r="D136" s="155"/>
      <c r="E136" s="155"/>
      <c r="F136" s="155"/>
      <c r="G136" s="155"/>
      <c r="H136" s="155"/>
      <c r="I136" s="155"/>
      <c r="J136" s="155"/>
      <c r="K136" s="155"/>
      <c r="L136" s="155" t="str">
        <f t="shared" ca="1" si="4"/>
        <v/>
      </c>
      <c r="M136" s="155"/>
      <c r="N136" s="160"/>
    </row>
    <row r="137" spans="1:14">
      <c r="A137" s="159"/>
      <c r="B137" s="155"/>
      <c r="C137" s="155"/>
      <c r="D137" s="155"/>
      <c r="E137" s="155"/>
      <c r="F137" s="155"/>
      <c r="G137" s="155"/>
      <c r="H137" s="155"/>
      <c r="I137" s="155"/>
      <c r="J137" s="155"/>
      <c r="K137" s="155"/>
      <c r="L137" s="155" t="str">
        <f t="shared" ca="1" si="4"/>
        <v/>
      </c>
      <c r="M137" s="155"/>
      <c r="N137" s="160"/>
    </row>
    <row r="138" spans="1:14">
      <c r="A138" s="159"/>
      <c r="B138" s="155"/>
      <c r="C138" s="155"/>
      <c r="D138" s="155"/>
      <c r="E138" s="155"/>
      <c r="F138" s="155"/>
      <c r="G138" s="155"/>
      <c r="H138" s="155"/>
      <c r="I138" s="155"/>
      <c r="J138" s="155"/>
      <c r="K138" s="155"/>
      <c r="L138" s="155" t="str">
        <f t="shared" ca="1" si="4"/>
        <v/>
      </c>
      <c r="M138" s="155"/>
      <c r="N138" s="160"/>
    </row>
    <row r="139" spans="1:14">
      <c r="A139" s="159"/>
      <c r="B139" s="155"/>
      <c r="C139" s="155"/>
      <c r="D139" s="155"/>
      <c r="E139" s="155"/>
      <c r="F139" s="155"/>
      <c r="G139" s="155"/>
      <c r="H139" s="155"/>
      <c r="I139" s="155"/>
      <c r="J139" s="155"/>
      <c r="K139" s="155"/>
      <c r="L139" s="155" t="str">
        <f t="shared" ca="1" si="4"/>
        <v/>
      </c>
      <c r="M139" s="155"/>
      <c r="N139" s="160"/>
    </row>
    <row r="140" spans="1:14">
      <c r="A140" s="159"/>
      <c r="B140" s="155"/>
      <c r="C140" s="155"/>
      <c r="D140" s="155"/>
      <c r="E140" s="155"/>
      <c r="F140" s="155"/>
      <c r="G140" s="155"/>
      <c r="H140" s="155"/>
      <c r="I140" s="155"/>
      <c r="J140" s="155"/>
      <c r="K140" s="155"/>
      <c r="L140" s="155" t="str">
        <f t="shared" ca="1" si="4"/>
        <v/>
      </c>
      <c r="M140" s="155"/>
      <c r="N140" s="160"/>
    </row>
    <row r="141" spans="1:14">
      <c r="A141" s="159"/>
      <c r="B141" s="155"/>
      <c r="C141" s="155"/>
      <c r="D141" s="155"/>
      <c r="E141" s="155"/>
      <c r="F141" s="155"/>
      <c r="G141" s="155"/>
      <c r="H141" s="155"/>
      <c r="I141" s="155"/>
      <c r="J141" s="155"/>
      <c r="K141" s="155"/>
      <c r="L141" s="155" t="str">
        <f t="shared" ca="1" si="4"/>
        <v/>
      </c>
      <c r="M141" s="155"/>
      <c r="N141" s="160"/>
    </row>
    <row r="142" spans="1:14">
      <c r="A142" s="159"/>
      <c r="B142" s="155"/>
      <c r="C142" s="155"/>
      <c r="D142" s="155"/>
      <c r="E142" s="155"/>
      <c r="F142" s="155"/>
      <c r="G142" s="155"/>
      <c r="H142" s="155"/>
      <c r="I142" s="155"/>
      <c r="J142" s="155"/>
      <c r="K142" s="155"/>
      <c r="L142" s="155" t="str">
        <f t="shared" ca="1" si="4"/>
        <v/>
      </c>
      <c r="M142" s="155"/>
      <c r="N142" s="160"/>
    </row>
    <row r="143" spans="1:14">
      <c r="A143" s="159"/>
      <c r="B143" s="155"/>
      <c r="C143" s="155"/>
      <c r="D143" s="155"/>
      <c r="E143" s="155"/>
      <c r="F143" s="155"/>
      <c r="G143" s="155"/>
      <c r="H143" s="155"/>
      <c r="I143" s="155"/>
      <c r="J143" s="155"/>
      <c r="K143" s="155"/>
      <c r="L143" s="155" t="str">
        <f t="shared" ca="1" si="4"/>
        <v/>
      </c>
      <c r="M143" s="155"/>
      <c r="N143" s="160"/>
    </row>
    <row r="144" spans="1:14">
      <c r="A144" s="159"/>
      <c r="B144" s="155"/>
      <c r="C144" s="155"/>
      <c r="D144" s="155"/>
      <c r="E144" s="155"/>
      <c r="F144" s="155"/>
      <c r="G144" s="155"/>
      <c r="H144" s="155"/>
      <c r="I144" s="155"/>
      <c r="J144" s="155"/>
      <c r="K144" s="155"/>
      <c r="L144" s="155" t="str">
        <f t="shared" ca="1" si="4"/>
        <v/>
      </c>
      <c r="M144" s="155"/>
      <c r="N144" s="160"/>
    </row>
    <row r="145" spans="1:14">
      <c r="A145" s="159"/>
      <c r="B145" s="155"/>
      <c r="C145" s="155"/>
      <c r="D145" s="155"/>
      <c r="E145" s="155"/>
      <c r="F145" s="155"/>
      <c r="G145" s="155"/>
      <c r="H145" s="155"/>
      <c r="I145" s="155"/>
      <c r="J145" s="155"/>
      <c r="K145" s="155"/>
      <c r="L145" s="155" t="str">
        <f t="shared" ca="1" si="4"/>
        <v/>
      </c>
      <c r="M145" s="155"/>
      <c r="N145" s="160"/>
    </row>
    <row r="146" spans="1:14">
      <c r="A146" s="159"/>
      <c r="B146" s="155"/>
      <c r="C146" s="155"/>
      <c r="D146" s="155"/>
      <c r="E146" s="155"/>
      <c r="F146" s="155"/>
      <c r="G146" s="155"/>
      <c r="H146" s="155"/>
      <c r="I146" s="155"/>
      <c r="J146" s="155"/>
      <c r="K146" s="155"/>
      <c r="L146" s="155" t="str">
        <f t="shared" ca="1" si="4"/>
        <v/>
      </c>
      <c r="M146" s="155"/>
      <c r="N146" s="160"/>
    </row>
    <row r="147" spans="1:14">
      <c r="A147" s="159"/>
      <c r="B147" s="155"/>
      <c r="C147" s="155"/>
      <c r="D147" s="155"/>
      <c r="E147" s="155"/>
      <c r="F147" s="155"/>
      <c r="G147" s="155"/>
      <c r="H147" s="155"/>
      <c r="I147" s="155"/>
      <c r="J147" s="155"/>
      <c r="K147" s="155"/>
      <c r="L147" s="155" t="str">
        <f t="shared" ca="1" si="4"/>
        <v/>
      </c>
      <c r="M147" s="155"/>
      <c r="N147" s="160"/>
    </row>
    <row r="148" spans="1:14">
      <c r="A148" s="159"/>
      <c r="B148" s="155"/>
      <c r="C148" s="155"/>
      <c r="D148" s="155"/>
      <c r="E148" s="155"/>
      <c r="F148" s="155"/>
      <c r="G148" s="155"/>
      <c r="H148" s="155"/>
      <c r="I148" s="155"/>
      <c r="J148" s="155"/>
      <c r="K148" s="155"/>
      <c r="L148" s="155" t="str">
        <f t="shared" ca="1" si="4"/>
        <v/>
      </c>
      <c r="M148" s="155"/>
      <c r="N148" s="160"/>
    </row>
    <row r="149" spans="1:14">
      <c r="A149" s="159"/>
      <c r="B149" s="155"/>
      <c r="C149" s="155"/>
      <c r="D149" s="155"/>
      <c r="E149" s="155"/>
      <c r="F149" s="155"/>
      <c r="G149" s="155"/>
      <c r="H149" s="155"/>
      <c r="I149" s="155"/>
      <c r="J149" s="155"/>
      <c r="K149" s="155"/>
      <c r="L149" s="155" t="str">
        <f t="shared" ca="1" si="4"/>
        <v/>
      </c>
      <c r="M149" s="155"/>
      <c r="N149" s="160"/>
    </row>
    <row r="150" spans="1:14">
      <c r="A150" s="159"/>
      <c r="B150" s="155"/>
      <c r="C150" s="155"/>
      <c r="D150" s="155"/>
      <c r="E150" s="155"/>
      <c r="F150" s="155"/>
      <c r="G150" s="155"/>
      <c r="H150" s="155"/>
      <c r="I150" s="155"/>
      <c r="J150" s="155"/>
      <c r="K150" s="155"/>
      <c r="L150" s="155" t="str">
        <f t="shared" ca="1" si="4"/>
        <v/>
      </c>
      <c r="M150" s="155"/>
      <c r="N150" s="160"/>
    </row>
    <row r="151" spans="1:14">
      <c r="A151" s="159"/>
      <c r="B151" s="155"/>
      <c r="C151" s="155"/>
      <c r="D151" s="155"/>
      <c r="E151" s="155"/>
      <c r="F151" s="155"/>
      <c r="G151" s="155"/>
      <c r="H151" s="155"/>
      <c r="I151" s="155"/>
      <c r="J151" s="155"/>
      <c r="K151" s="155"/>
      <c r="L151" s="155" t="str">
        <f t="shared" ca="1" si="4"/>
        <v/>
      </c>
      <c r="M151" s="155"/>
      <c r="N151" s="160"/>
    </row>
    <row r="152" spans="1:14">
      <c r="A152" s="159"/>
      <c r="B152" s="155"/>
      <c r="C152" s="155"/>
      <c r="D152" s="155"/>
      <c r="E152" s="155"/>
      <c r="F152" s="155"/>
      <c r="G152" s="155"/>
      <c r="H152" s="155"/>
      <c r="I152" s="155"/>
      <c r="J152" s="155"/>
      <c r="K152" s="155"/>
      <c r="L152" s="155" t="str">
        <f t="shared" ca="1" si="4"/>
        <v/>
      </c>
      <c r="M152" s="155"/>
      <c r="N152" s="160"/>
    </row>
    <row r="153" spans="1:14">
      <c r="A153" s="159"/>
      <c r="B153" s="155"/>
      <c r="C153" s="155"/>
      <c r="D153" s="155"/>
      <c r="E153" s="155"/>
      <c r="F153" s="155"/>
      <c r="G153" s="155"/>
      <c r="H153" s="155"/>
      <c r="I153" s="155"/>
      <c r="J153" s="155"/>
      <c r="K153" s="155"/>
      <c r="L153" s="155" t="str">
        <f t="shared" ca="1" si="4"/>
        <v/>
      </c>
      <c r="M153" s="155"/>
      <c r="N153" s="160"/>
    </row>
    <row r="154" spans="1:14">
      <c r="A154" s="159"/>
      <c r="B154" s="155"/>
      <c r="C154" s="155"/>
      <c r="D154" s="155"/>
      <c r="E154" s="155"/>
      <c r="F154" s="155"/>
      <c r="G154" s="155"/>
      <c r="H154" s="155"/>
      <c r="I154" s="155"/>
      <c r="J154" s="155"/>
      <c r="K154" s="155"/>
      <c r="L154" s="155" t="str">
        <f t="shared" ca="1" si="4"/>
        <v/>
      </c>
      <c r="M154" s="155"/>
      <c r="N154" s="160"/>
    </row>
    <row r="155" spans="1:14">
      <c r="A155" s="159"/>
      <c r="B155" s="155"/>
      <c r="C155" s="155"/>
      <c r="D155" s="155"/>
      <c r="E155" s="155"/>
      <c r="F155" s="155"/>
      <c r="G155" s="155"/>
      <c r="H155" s="155"/>
      <c r="I155" s="155"/>
      <c r="J155" s="155"/>
      <c r="K155" s="155"/>
      <c r="L155" s="155" t="str">
        <f t="shared" ca="1" si="4"/>
        <v/>
      </c>
      <c r="M155" s="155"/>
      <c r="N155" s="160"/>
    </row>
    <row r="156" spans="1:14">
      <c r="A156" s="159"/>
      <c r="B156" s="155"/>
      <c r="C156" s="155"/>
      <c r="D156" s="155"/>
      <c r="E156" s="155"/>
      <c r="F156" s="155"/>
      <c r="G156" s="155"/>
      <c r="H156" s="155"/>
      <c r="I156" s="155"/>
      <c r="J156" s="155"/>
      <c r="K156" s="155"/>
      <c r="L156" s="155" t="str">
        <f t="shared" ca="1" si="4"/>
        <v/>
      </c>
      <c r="M156" s="155"/>
      <c r="N156" s="160"/>
    </row>
    <row r="157" spans="1:14">
      <c r="A157" s="159"/>
      <c r="B157" s="155"/>
      <c r="C157" s="155"/>
      <c r="D157" s="155"/>
      <c r="E157" s="155"/>
      <c r="F157" s="155"/>
      <c r="G157" s="155"/>
      <c r="H157" s="155"/>
      <c r="I157" s="155"/>
      <c r="J157" s="155"/>
      <c r="K157" s="155"/>
      <c r="L157" s="155" t="str">
        <f t="shared" ca="1" si="4"/>
        <v/>
      </c>
      <c r="M157" s="155"/>
      <c r="N157" s="160"/>
    </row>
    <row r="158" spans="1:14">
      <c r="A158" s="159"/>
      <c r="B158" s="155"/>
      <c r="C158" s="155"/>
      <c r="D158" s="155"/>
      <c r="E158" s="155"/>
      <c r="F158" s="155"/>
      <c r="G158" s="155"/>
      <c r="H158" s="155"/>
      <c r="I158" s="155"/>
      <c r="J158" s="155"/>
      <c r="K158" s="155"/>
      <c r="L158" s="155" t="str">
        <f t="shared" ca="1" si="4"/>
        <v/>
      </c>
      <c r="M158" s="155"/>
      <c r="N158" s="160"/>
    </row>
    <row r="159" spans="1:14">
      <c r="A159" s="159"/>
      <c r="B159" s="155"/>
      <c r="C159" s="155"/>
      <c r="D159" s="155"/>
      <c r="E159" s="155"/>
      <c r="F159" s="155"/>
      <c r="G159" s="155"/>
      <c r="H159" s="155"/>
      <c r="I159" s="155"/>
      <c r="J159" s="155"/>
      <c r="K159" s="155"/>
      <c r="L159" s="155" t="str">
        <f t="shared" ca="1" si="4"/>
        <v/>
      </c>
      <c r="M159" s="155"/>
      <c r="N159" s="160"/>
    </row>
    <row r="160" spans="1:14">
      <c r="A160" s="159"/>
      <c r="B160" s="155"/>
      <c r="C160" s="155"/>
      <c r="D160" s="155"/>
      <c r="E160" s="155"/>
      <c r="F160" s="155"/>
      <c r="G160" s="155"/>
      <c r="H160" s="155"/>
      <c r="I160" s="155"/>
      <c r="J160" s="155"/>
      <c r="K160" s="155"/>
      <c r="L160" s="155" t="str">
        <f t="shared" ca="1" si="4"/>
        <v/>
      </c>
      <c r="M160" s="155"/>
      <c r="N160" s="160"/>
    </row>
    <row r="161" spans="1:14">
      <c r="A161" s="159"/>
      <c r="B161" s="155"/>
      <c r="C161" s="155"/>
      <c r="D161" s="155"/>
      <c r="E161" s="155"/>
      <c r="F161" s="155"/>
      <c r="G161" s="155"/>
      <c r="H161" s="155"/>
      <c r="I161" s="155"/>
      <c r="J161" s="155"/>
      <c r="K161" s="155"/>
      <c r="L161" s="155" t="str">
        <f t="shared" ca="1" si="4"/>
        <v/>
      </c>
      <c r="M161" s="155"/>
      <c r="N161" s="160"/>
    </row>
    <row r="162" spans="1:14">
      <c r="A162" s="159"/>
      <c r="B162" s="155"/>
      <c r="C162" s="155"/>
      <c r="D162" s="155"/>
      <c r="E162" s="155"/>
      <c r="F162" s="155"/>
      <c r="G162" s="155"/>
      <c r="H162" s="155"/>
      <c r="I162" s="155"/>
      <c r="J162" s="155"/>
      <c r="K162" s="155"/>
      <c r="L162" s="155" t="str">
        <f t="shared" ca="1" si="4"/>
        <v/>
      </c>
      <c r="M162" s="155"/>
      <c r="N162" s="160"/>
    </row>
    <row r="163" spans="1:14">
      <c r="A163" s="159"/>
      <c r="B163" s="155"/>
      <c r="C163" s="155"/>
      <c r="D163" s="155"/>
      <c r="E163" s="155"/>
      <c r="F163" s="155"/>
      <c r="G163" s="155"/>
      <c r="H163" s="155"/>
      <c r="I163" s="155"/>
      <c r="J163" s="155"/>
      <c r="K163" s="155"/>
      <c r="L163" s="155" t="str">
        <f t="shared" ca="1" si="4"/>
        <v/>
      </c>
      <c r="M163" s="155"/>
      <c r="N163" s="160"/>
    </row>
    <row r="164" spans="1:14">
      <c r="A164" s="159"/>
      <c r="B164" s="155"/>
      <c r="C164" s="155"/>
      <c r="D164" s="155"/>
      <c r="E164" s="155"/>
      <c r="F164" s="155"/>
      <c r="G164" s="155"/>
      <c r="H164" s="155"/>
      <c r="I164" s="155"/>
      <c r="J164" s="155"/>
      <c r="K164" s="155"/>
      <c r="L164" s="155" t="str">
        <f t="shared" ca="1" si="4"/>
        <v/>
      </c>
      <c r="M164" s="155"/>
      <c r="N164" s="160"/>
    </row>
    <row r="165" spans="1:14">
      <c r="A165" s="159"/>
      <c r="B165" s="155"/>
      <c r="C165" s="155"/>
      <c r="D165" s="155"/>
      <c r="E165" s="155"/>
      <c r="F165" s="155"/>
      <c r="G165" s="155"/>
      <c r="H165" s="155"/>
      <c r="I165" s="155"/>
      <c r="J165" s="155"/>
      <c r="K165" s="155"/>
      <c r="L165" s="155" t="str">
        <f t="shared" ca="1" si="4"/>
        <v/>
      </c>
      <c r="M165" s="155"/>
      <c r="N165" s="160"/>
    </row>
    <row r="166" spans="1:14">
      <c r="A166" s="159"/>
      <c r="B166" s="155"/>
      <c r="C166" s="155"/>
      <c r="D166" s="155"/>
      <c r="E166" s="155"/>
      <c r="F166" s="155"/>
      <c r="G166" s="155"/>
      <c r="H166" s="155"/>
      <c r="I166" s="155"/>
      <c r="J166" s="155"/>
      <c r="K166" s="155"/>
      <c r="L166" s="155" t="str">
        <f t="shared" ca="1" si="4"/>
        <v/>
      </c>
      <c r="M166" s="155"/>
      <c r="N166" s="160"/>
    </row>
    <row r="167" spans="1:14">
      <c r="A167" s="159"/>
      <c r="B167" s="155"/>
      <c r="C167" s="155"/>
      <c r="D167" s="155"/>
      <c r="E167" s="155"/>
      <c r="F167" s="155"/>
      <c r="G167" s="155"/>
      <c r="H167" s="155"/>
      <c r="I167" s="155"/>
      <c r="J167" s="155"/>
      <c r="K167" s="155"/>
      <c r="L167" s="155" t="str">
        <f t="shared" ref="L167:L198" ca="1" si="5">IF(K167="Complete","Complete",IF(J167="","",IF(J167&lt;TODAY(),"Overdue",IF(J167&lt;=TODAY()+60,"Due &lt;=60 days","Future"))))</f>
        <v/>
      </c>
      <c r="M167" s="155"/>
      <c r="N167" s="160"/>
    </row>
    <row r="168" spans="1:14">
      <c r="A168" s="159"/>
      <c r="B168" s="155"/>
      <c r="C168" s="155"/>
      <c r="D168" s="155"/>
      <c r="E168" s="155"/>
      <c r="F168" s="155"/>
      <c r="G168" s="155"/>
      <c r="H168" s="155"/>
      <c r="I168" s="155"/>
      <c r="J168" s="155"/>
      <c r="K168" s="155"/>
      <c r="L168" s="155" t="str">
        <f t="shared" ca="1" si="5"/>
        <v/>
      </c>
      <c r="M168" s="155"/>
      <c r="N168" s="160"/>
    </row>
    <row r="169" spans="1:14">
      <c r="A169" s="159"/>
      <c r="B169" s="155"/>
      <c r="C169" s="155"/>
      <c r="D169" s="155"/>
      <c r="E169" s="155"/>
      <c r="F169" s="155"/>
      <c r="G169" s="155"/>
      <c r="H169" s="155"/>
      <c r="I169" s="155"/>
      <c r="J169" s="155"/>
      <c r="K169" s="155"/>
      <c r="L169" s="155" t="str">
        <f t="shared" ca="1" si="5"/>
        <v/>
      </c>
      <c r="M169" s="155"/>
      <c r="N169" s="160"/>
    </row>
    <row r="170" spans="1:14">
      <c r="A170" s="159"/>
      <c r="B170" s="155"/>
      <c r="C170" s="155"/>
      <c r="D170" s="155"/>
      <c r="E170" s="155"/>
      <c r="F170" s="155"/>
      <c r="G170" s="155"/>
      <c r="H170" s="155"/>
      <c r="I170" s="155"/>
      <c r="J170" s="155"/>
      <c r="K170" s="155"/>
      <c r="L170" s="155" t="str">
        <f t="shared" ca="1" si="5"/>
        <v/>
      </c>
      <c r="M170" s="155"/>
      <c r="N170" s="160"/>
    </row>
    <row r="171" spans="1:14">
      <c r="A171" s="159"/>
      <c r="B171" s="155"/>
      <c r="C171" s="155"/>
      <c r="D171" s="155"/>
      <c r="E171" s="155"/>
      <c r="F171" s="155"/>
      <c r="G171" s="155"/>
      <c r="H171" s="155"/>
      <c r="I171" s="155"/>
      <c r="J171" s="155"/>
      <c r="K171" s="155"/>
      <c r="L171" s="155" t="str">
        <f t="shared" ca="1" si="5"/>
        <v/>
      </c>
      <c r="M171" s="155"/>
      <c r="N171" s="160"/>
    </row>
    <row r="172" spans="1:14">
      <c r="A172" s="159"/>
      <c r="B172" s="155"/>
      <c r="C172" s="155"/>
      <c r="D172" s="155"/>
      <c r="E172" s="155"/>
      <c r="F172" s="155"/>
      <c r="G172" s="155"/>
      <c r="H172" s="155"/>
      <c r="I172" s="155"/>
      <c r="J172" s="155"/>
      <c r="K172" s="155"/>
      <c r="L172" s="155" t="str">
        <f t="shared" ca="1" si="5"/>
        <v/>
      </c>
      <c r="M172" s="155"/>
      <c r="N172" s="160"/>
    </row>
    <row r="173" spans="1:14">
      <c r="A173" s="159"/>
      <c r="B173" s="155"/>
      <c r="C173" s="155"/>
      <c r="D173" s="155"/>
      <c r="E173" s="155"/>
      <c r="F173" s="155"/>
      <c r="G173" s="155"/>
      <c r="H173" s="155"/>
      <c r="I173" s="155"/>
      <c r="J173" s="155"/>
      <c r="K173" s="155"/>
      <c r="L173" s="155" t="str">
        <f t="shared" ca="1" si="5"/>
        <v/>
      </c>
      <c r="M173" s="155"/>
      <c r="N173" s="160"/>
    </row>
    <row r="174" spans="1:14">
      <c r="A174" s="159"/>
      <c r="B174" s="155"/>
      <c r="C174" s="155"/>
      <c r="D174" s="155"/>
      <c r="E174" s="155"/>
      <c r="F174" s="155"/>
      <c r="G174" s="155"/>
      <c r="H174" s="155"/>
      <c r="I174" s="155"/>
      <c r="J174" s="155"/>
      <c r="K174" s="155"/>
      <c r="L174" s="155" t="str">
        <f t="shared" ca="1" si="5"/>
        <v/>
      </c>
      <c r="M174" s="155"/>
      <c r="N174" s="160"/>
    </row>
    <row r="175" spans="1:14">
      <c r="A175" s="159"/>
      <c r="B175" s="155"/>
      <c r="C175" s="155"/>
      <c r="D175" s="155"/>
      <c r="E175" s="155"/>
      <c r="F175" s="155"/>
      <c r="G175" s="155"/>
      <c r="H175" s="155"/>
      <c r="I175" s="155"/>
      <c r="J175" s="155"/>
      <c r="K175" s="155"/>
      <c r="L175" s="155" t="str">
        <f t="shared" ca="1" si="5"/>
        <v/>
      </c>
      <c r="M175" s="155"/>
      <c r="N175" s="160"/>
    </row>
    <row r="176" spans="1:14">
      <c r="A176" s="159"/>
      <c r="B176" s="155"/>
      <c r="C176" s="155"/>
      <c r="D176" s="155"/>
      <c r="E176" s="155"/>
      <c r="F176" s="155"/>
      <c r="G176" s="155"/>
      <c r="H176" s="155"/>
      <c r="I176" s="155"/>
      <c r="J176" s="155"/>
      <c r="K176" s="155"/>
      <c r="L176" s="155" t="str">
        <f t="shared" ca="1" si="5"/>
        <v/>
      </c>
      <c r="M176" s="155"/>
      <c r="N176" s="160"/>
    </row>
    <row r="177" spans="1:14">
      <c r="A177" s="159"/>
      <c r="B177" s="155"/>
      <c r="C177" s="155"/>
      <c r="D177" s="155"/>
      <c r="E177" s="155"/>
      <c r="F177" s="155"/>
      <c r="G177" s="155"/>
      <c r="H177" s="155"/>
      <c r="I177" s="155"/>
      <c r="J177" s="155"/>
      <c r="K177" s="155"/>
      <c r="L177" s="155" t="str">
        <f t="shared" ca="1" si="5"/>
        <v/>
      </c>
      <c r="M177" s="155"/>
      <c r="N177" s="160"/>
    </row>
    <row r="178" spans="1:14">
      <c r="A178" s="159"/>
      <c r="B178" s="155"/>
      <c r="C178" s="155"/>
      <c r="D178" s="155"/>
      <c r="E178" s="155"/>
      <c r="F178" s="155"/>
      <c r="G178" s="155"/>
      <c r="H178" s="155"/>
      <c r="I178" s="155"/>
      <c r="J178" s="155"/>
      <c r="K178" s="155"/>
      <c r="L178" s="155" t="str">
        <f t="shared" ca="1" si="5"/>
        <v/>
      </c>
      <c r="M178" s="155"/>
      <c r="N178" s="160"/>
    </row>
    <row r="179" spans="1:14">
      <c r="A179" s="159"/>
      <c r="B179" s="155"/>
      <c r="C179" s="155"/>
      <c r="D179" s="155"/>
      <c r="E179" s="155"/>
      <c r="F179" s="155"/>
      <c r="G179" s="155"/>
      <c r="H179" s="155"/>
      <c r="I179" s="155"/>
      <c r="J179" s="155"/>
      <c r="K179" s="155"/>
      <c r="L179" s="155" t="str">
        <f t="shared" ca="1" si="5"/>
        <v/>
      </c>
      <c r="M179" s="155"/>
      <c r="N179" s="160"/>
    </row>
    <row r="180" spans="1:14">
      <c r="A180" s="159"/>
      <c r="B180" s="155"/>
      <c r="C180" s="155"/>
      <c r="D180" s="155"/>
      <c r="E180" s="155"/>
      <c r="F180" s="155"/>
      <c r="G180" s="155"/>
      <c r="H180" s="155"/>
      <c r="I180" s="155"/>
      <c r="J180" s="155"/>
      <c r="K180" s="155"/>
      <c r="L180" s="155" t="str">
        <f t="shared" ca="1" si="5"/>
        <v/>
      </c>
      <c r="M180" s="155"/>
      <c r="N180" s="160"/>
    </row>
    <row r="181" spans="1:14">
      <c r="A181" s="159"/>
      <c r="B181" s="155"/>
      <c r="C181" s="155"/>
      <c r="D181" s="155"/>
      <c r="E181" s="155"/>
      <c r="F181" s="155"/>
      <c r="G181" s="155"/>
      <c r="H181" s="155"/>
      <c r="I181" s="155"/>
      <c r="J181" s="155"/>
      <c r="K181" s="155"/>
      <c r="L181" s="155" t="str">
        <f t="shared" ca="1" si="5"/>
        <v/>
      </c>
      <c r="M181" s="155"/>
      <c r="N181" s="160"/>
    </row>
    <row r="182" spans="1:14">
      <c r="A182" s="159"/>
      <c r="B182" s="155"/>
      <c r="C182" s="155"/>
      <c r="D182" s="155"/>
      <c r="E182" s="155"/>
      <c r="F182" s="155"/>
      <c r="G182" s="155"/>
      <c r="H182" s="155"/>
      <c r="I182" s="155"/>
      <c r="J182" s="155"/>
      <c r="K182" s="155"/>
      <c r="L182" s="155" t="str">
        <f t="shared" ca="1" si="5"/>
        <v/>
      </c>
      <c r="M182" s="155"/>
      <c r="N182" s="160"/>
    </row>
    <row r="183" spans="1:14">
      <c r="A183" s="159"/>
      <c r="B183" s="155"/>
      <c r="C183" s="155"/>
      <c r="D183" s="155"/>
      <c r="E183" s="155"/>
      <c r="F183" s="155"/>
      <c r="G183" s="155"/>
      <c r="H183" s="155"/>
      <c r="I183" s="155"/>
      <c r="J183" s="155"/>
      <c r="K183" s="155"/>
      <c r="L183" s="155" t="str">
        <f t="shared" ca="1" si="5"/>
        <v/>
      </c>
      <c r="M183" s="155"/>
      <c r="N183" s="160"/>
    </row>
    <row r="184" spans="1:14">
      <c r="A184" s="159"/>
      <c r="B184" s="155"/>
      <c r="C184" s="155"/>
      <c r="D184" s="155"/>
      <c r="E184" s="155"/>
      <c r="F184" s="155"/>
      <c r="G184" s="155"/>
      <c r="H184" s="155"/>
      <c r="I184" s="155"/>
      <c r="J184" s="155"/>
      <c r="K184" s="155"/>
      <c r="L184" s="155" t="str">
        <f t="shared" ca="1" si="5"/>
        <v/>
      </c>
      <c r="M184" s="155"/>
      <c r="N184" s="160"/>
    </row>
    <row r="185" spans="1:14">
      <c r="A185" s="159"/>
      <c r="B185" s="155"/>
      <c r="C185" s="155"/>
      <c r="D185" s="155"/>
      <c r="E185" s="155"/>
      <c r="F185" s="155"/>
      <c r="G185" s="155"/>
      <c r="H185" s="155"/>
      <c r="I185" s="155"/>
      <c r="J185" s="155"/>
      <c r="K185" s="155"/>
      <c r="L185" s="155" t="str">
        <f t="shared" ca="1" si="5"/>
        <v/>
      </c>
      <c r="M185" s="155"/>
      <c r="N185" s="160"/>
    </row>
    <row r="186" spans="1:14">
      <c r="A186" s="159"/>
      <c r="B186" s="155"/>
      <c r="C186" s="155"/>
      <c r="D186" s="155"/>
      <c r="E186" s="155"/>
      <c r="F186" s="155"/>
      <c r="G186" s="155"/>
      <c r="H186" s="155"/>
      <c r="I186" s="155"/>
      <c r="J186" s="155"/>
      <c r="K186" s="155"/>
      <c r="L186" s="155" t="str">
        <f t="shared" ca="1" si="5"/>
        <v/>
      </c>
      <c r="M186" s="155"/>
      <c r="N186" s="160"/>
    </row>
    <row r="187" spans="1:14">
      <c r="A187" s="159"/>
      <c r="B187" s="155"/>
      <c r="C187" s="155"/>
      <c r="D187" s="155"/>
      <c r="E187" s="155"/>
      <c r="F187" s="155"/>
      <c r="G187" s="155"/>
      <c r="H187" s="155"/>
      <c r="I187" s="155"/>
      <c r="J187" s="155"/>
      <c r="K187" s="155"/>
      <c r="L187" s="155" t="str">
        <f t="shared" ca="1" si="5"/>
        <v/>
      </c>
      <c r="M187" s="155"/>
      <c r="N187" s="160"/>
    </row>
    <row r="188" spans="1:14">
      <c r="A188" s="159"/>
      <c r="B188" s="155"/>
      <c r="C188" s="155"/>
      <c r="D188" s="155"/>
      <c r="E188" s="155"/>
      <c r="F188" s="155"/>
      <c r="G188" s="155"/>
      <c r="H188" s="155"/>
      <c r="I188" s="155"/>
      <c r="J188" s="155"/>
      <c r="K188" s="155"/>
      <c r="L188" s="155" t="str">
        <f t="shared" ca="1" si="5"/>
        <v/>
      </c>
      <c r="M188" s="155"/>
      <c r="N188" s="160"/>
    </row>
    <row r="189" spans="1:14">
      <c r="A189" s="159"/>
      <c r="B189" s="155"/>
      <c r="C189" s="155"/>
      <c r="D189" s="155"/>
      <c r="E189" s="155"/>
      <c r="F189" s="155"/>
      <c r="G189" s="155"/>
      <c r="H189" s="155"/>
      <c r="I189" s="155"/>
      <c r="J189" s="155"/>
      <c r="K189" s="155"/>
      <c r="L189" s="155" t="str">
        <f t="shared" ca="1" si="5"/>
        <v/>
      </c>
      <c r="M189" s="155"/>
      <c r="N189" s="160"/>
    </row>
    <row r="190" spans="1:14">
      <c r="A190" s="159"/>
      <c r="B190" s="155"/>
      <c r="C190" s="155"/>
      <c r="D190" s="155"/>
      <c r="E190" s="155"/>
      <c r="F190" s="155"/>
      <c r="G190" s="155"/>
      <c r="H190" s="155"/>
      <c r="I190" s="155"/>
      <c r="J190" s="155"/>
      <c r="K190" s="155"/>
      <c r="L190" s="155" t="str">
        <f t="shared" ca="1" si="5"/>
        <v/>
      </c>
      <c r="M190" s="155"/>
      <c r="N190" s="160"/>
    </row>
    <row r="191" spans="1:14">
      <c r="A191" s="159"/>
      <c r="B191" s="155"/>
      <c r="C191" s="155"/>
      <c r="D191" s="155"/>
      <c r="E191" s="155"/>
      <c r="F191" s="155"/>
      <c r="G191" s="155"/>
      <c r="H191" s="155"/>
      <c r="I191" s="155"/>
      <c r="J191" s="155"/>
      <c r="K191" s="155"/>
      <c r="L191" s="155" t="str">
        <f t="shared" ca="1" si="5"/>
        <v/>
      </c>
      <c r="M191" s="155"/>
      <c r="N191" s="160"/>
    </row>
    <row r="192" spans="1:14">
      <c r="A192" s="159"/>
      <c r="B192" s="155"/>
      <c r="C192" s="155"/>
      <c r="D192" s="155"/>
      <c r="E192" s="155"/>
      <c r="F192" s="155"/>
      <c r="G192" s="155"/>
      <c r="H192" s="155"/>
      <c r="I192" s="155"/>
      <c r="J192" s="155"/>
      <c r="K192" s="155"/>
      <c r="L192" s="155" t="str">
        <f t="shared" ca="1" si="5"/>
        <v/>
      </c>
      <c r="M192" s="155"/>
      <c r="N192" s="160"/>
    </row>
    <row r="193" spans="1:14">
      <c r="A193" s="159"/>
      <c r="B193" s="155"/>
      <c r="C193" s="155"/>
      <c r="D193" s="155"/>
      <c r="E193" s="155"/>
      <c r="F193" s="155"/>
      <c r="G193" s="155"/>
      <c r="H193" s="155"/>
      <c r="I193" s="155"/>
      <c r="J193" s="155"/>
      <c r="K193" s="155"/>
      <c r="L193" s="155" t="str">
        <f t="shared" ca="1" si="5"/>
        <v/>
      </c>
      <c r="M193" s="155"/>
      <c r="N193" s="160"/>
    </row>
    <row r="194" spans="1:14">
      <c r="A194" s="159"/>
      <c r="B194" s="155"/>
      <c r="C194" s="155"/>
      <c r="D194" s="155"/>
      <c r="E194" s="155"/>
      <c r="F194" s="155"/>
      <c r="G194" s="155"/>
      <c r="H194" s="155"/>
      <c r="I194" s="155"/>
      <c r="J194" s="155"/>
      <c r="K194" s="155"/>
      <c r="L194" s="155" t="str">
        <f t="shared" ca="1" si="5"/>
        <v/>
      </c>
      <c r="M194" s="155"/>
      <c r="N194" s="160"/>
    </row>
    <row r="195" spans="1:14">
      <c r="A195" s="159"/>
      <c r="B195" s="155"/>
      <c r="C195" s="155"/>
      <c r="D195" s="155"/>
      <c r="E195" s="155"/>
      <c r="F195" s="155"/>
      <c r="G195" s="155"/>
      <c r="H195" s="155"/>
      <c r="I195" s="155"/>
      <c r="J195" s="155"/>
      <c r="K195" s="155"/>
      <c r="L195" s="155" t="str">
        <f t="shared" ca="1" si="5"/>
        <v/>
      </c>
      <c r="M195" s="155"/>
      <c r="N195" s="160"/>
    </row>
    <row r="196" spans="1:14">
      <c r="A196" s="159"/>
      <c r="B196" s="155"/>
      <c r="C196" s="155"/>
      <c r="D196" s="155"/>
      <c r="E196" s="155"/>
      <c r="F196" s="155"/>
      <c r="G196" s="155"/>
      <c r="H196" s="155"/>
      <c r="I196" s="155"/>
      <c r="J196" s="155"/>
      <c r="K196" s="155"/>
      <c r="L196" s="155" t="str">
        <f t="shared" ca="1" si="5"/>
        <v/>
      </c>
      <c r="M196" s="155"/>
      <c r="N196" s="160"/>
    </row>
    <row r="197" spans="1:14">
      <c r="A197" s="159"/>
      <c r="B197" s="155"/>
      <c r="C197" s="155"/>
      <c r="D197" s="155"/>
      <c r="E197" s="155"/>
      <c r="F197" s="155"/>
      <c r="G197" s="155"/>
      <c r="H197" s="155"/>
      <c r="I197" s="155"/>
      <c r="J197" s="155"/>
      <c r="K197" s="155"/>
      <c r="L197" s="155" t="str">
        <f t="shared" ca="1" si="5"/>
        <v/>
      </c>
      <c r="M197" s="155"/>
      <c r="N197" s="160"/>
    </row>
    <row r="198" spans="1:14">
      <c r="A198" s="159"/>
      <c r="B198" s="155"/>
      <c r="C198" s="155"/>
      <c r="D198" s="155"/>
      <c r="E198" s="155"/>
      <c r="F198" s="155"/>
      <c r="G198" s="155"/>
      <c r="H198" s="155"/>
      <c r="I198" s="155"/>
      <c r="J198" s="155"/>
      <c r="K198" s="155"/>
      <c r="L198" s="155" t="str">
        <f t="shared" ca="1" si="5"/>
        <v/>
      </c>
      <c r="M198" s="155"/>
      <c r="N198" s="160"/>
    </row>
    <row r="199" spans="1:14">
      <c r="A199" s="159"/>
      <c r="B199" s="155"/>
      <c r="C199" s="155"/>
      <c r="D199" s="155"/>
      <c r="E199" s="155"/>
      <c r="F199" s="155"/>
      <c r="G199" s="155"/>
      <c r="H199" s="155"/>
      <c r="I199" s="155"/>
      <c r="J199" s="155"/>
      <c r="K199" s="155"/>
      <c r="L199" s="155" t="str">
        <f t="shared" ref="L199:L230" ca="1" si="6">IF(K199="Complete","Complete",IF(J199="","",IF(J199&lt;TODAY(),"Overdue",IF(J199&lt;=TODAY()+60,"Due &lt;=60 days","Future"))))</f>
        <v/>
      </c>
      <c r="M199" s="155"/>
      <c r="N199" s="160"/>
    </row>
    <row r="200" spans="1:14">
      <c r="A200" s="159"/>
      <c r="B200" s="155"/>
      <c r="C200" s="155"/>
      <c r="D200" s="155"/>
      <c r="E200" s="155"/>
      <c r="F200" s="155"/>
      <c r="G200" s="155"/>
      <c r="H200" s="155"/>
      <c r="I200" s="155"/>
      <c r="J200" s="155"/>
      <c r="K200" s="155"/>
      <c r="L200" s="155" t="str">
        <f t="shared" ca="1" si="6"/>
        <v/>
      </c>
      <c r="M200" s="155"/>
      <c r="N200" s="160"/>
    </row>
    <row r="201" spans="1:14">
      <c r="A201" s="159"/>
      <c r="B201" s="155"/>
      <c r="C201" s="155"/>
      <c r="D201" s="155"/>
      <c r="E201" s="155"/>
      <c r="F201" s="155"/>
      <c r="G201" s="155"/>
      <c r="H201" s="155"/>
      <c r="I201" s="155"/>
      <c r="J201" s="155"/>
      <c r="K201" s="155"/>
      <c r="L201" s="155" t="str">
        <f t="shared" ca="1" si="6"/>
        <v/>
      </c>
      <c r="M201" s="155"/>
      <c r="N201" s="160"/>
    </row>
    <row r="202" spans="1:14">
      <c r="A202" s="159"/>
      <c r="B202" s="155"/>
      <c r="C202" s="155"/>
      <c r="D202" s="155"/>
      <c r="E202" s="155"/>
      <c r="F202" s="155"/>
      <c r="G202" s="155"/>
      <c r="H202" s="155"/>
      <c r="I202" s="155"/>
      <c r="J202" s="155"/>
      <c r="K202" s="155"/>
      <c r="L202" s="155" t="str">
        <f t="shared" ca="1" si="6"/>
        <v/>
      </c>
      <c r="M202" s="155"/>
      <c r="N202" s="160"/>
    </row>
    <row r="203" spans="1:14">
      <c r="A203" s="159"/>
      <c r="B203" s="155"/>
      <c r="C203" s="155"/>
      <c r="D203" s="155"/>
      <c r="E203" s="155"/>
      <c r="F203" s="155"/>
      <c r="G203" s="155"/>
      <c r="H203" s="155"/>
      <c r="I203" s="155"/>
      <c r="J203" s="155"/>
      <c r="K203" s="155"/>
      <c r="L203" s="155" t="str">
        <f t="shared" ca="1" si="6"/>
        <v/>
      </c>
      <c r="M203" s="155"/>
      <c r="N203" s="160"/>
    </row>
    <row r="204" spans="1:14">
      <c r="A204" s="159"/>
      <c r="B204" s="155"/>
      <c r="C204" s="155"/>
      <c r="D204" s="155"/>
      <c r="E204" s="155"/>
      <c r="F204" s="155"/>
      <c r="G204" s="155"/>
      <c r="H204" s="155"/>
      <c r="I204" s="155"/>
      <c r="J204" s="155"/>
      <c r="K204" s="155"/>
      <c r="L204" s="155" t="str">
        <f t="shared" ca="1" si="6"/>
        <v/>
      </c>
      <c r="M204" s="155"/>
      <c r="N204" s="160"/>
    </row>
    <row r="205" spans="1:14">
      <c r="A205" s="159"/>
      <c r="B205" s="155"/>
      <c r="C205" s="155"/>
      <c r="D205" s="155"/>
      <c r="E205" s="155"/>
      <c r="F205" s="155"/>
      <c r="G205" s="155"/>
      <c r="H205" s="155"/>
      <c r="I205" s="155"/>
      <c r="J205" s="155"/>
      <c r="K205" s="155"/>
      <c r="L205" s="155" t="str">
        <f t="shared" ca="1" si="6"/>
        <v/>
      </c>
      <c r="M205" s="155"/>
      <c r="N205" s="160"/>
    </row>
    <row r="206" spans="1:14">
      <c r="A206" s="161"/>
      <c r="B206" s="162"/>
      <c r="C206" s="162"/>
      <c r="D206" s="162"/>
      <c r="E206" s="162"/>
      <c r="F206" s="162"/>
      <c r="G206" s="162"/>
      <c r="H206" s="162"/>
      <c r="I206" s="162"/>
      <c r="J206" s="162"/>
      <c r="K206" s="162"/>
      <c r="L206" s="162" t="str">
        <f t="shared" ca="1" si="6"/>
        <v/>
      </c>
      <c r="M206" s="162"/>
      <c r="N206" s="163"/>
    </row>
  </sheetData>
  <mergeCells count="2">
    <mergeCell ref="A1:N1"/>
    <mergeCell ref="A2:N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206"/>
  <sheetViews>
    <sheetView workbookViewId="0"/>
  </sheetViews>
  <sheetFormatPr defaultRowHeight="14.25"/>
  <cols>
    <col min="1" max="1" width="18" customWidth="1"/>
    <col min="2" max="2" width="22" customWidth="1"/>
    <col min="3" max="3" width="28" customWidth="1"/>
    <col min="4" max="6" width="18" customWidth="1"/>
    <col min="7" max="7" width="22" customWidth="1"/>
    <col min="8" max="8" width="18" customWidth="1"/>
    <col min="9" max="9" width="28" customWidth="1"/>
    <col min="10" max="10" width="30" customWidth="1"/>
    <col min="11" max="11" width="22" customWidth="1"/>
    <col min="12" max="13" width="30" customWidth="1"/>
    <col min="14" max="14" width="44" customWidth="1"/>
  </cols>
  <sheetData>
    <row r="1" spans="1:14" ht="24" customHeight="1">
      <c r="A1" s="268" t="s">
        <v>1366</v>
      </c>
      <c r="B1" s="268"/>
      <c r="C1" s="268"/>
      <c r="D1" s="268"/>
      <c r="E1" s="268"/>
      <c r="F1" s="268"/>
      <c r="G1" s="268"/>
      <c r="H1" s="268"/>
      <c r="I1" s="268"/>
      <c r="J1" s="268"/>
      <c r="K1" s="268"/>
      <c r="L1" s="268"/>
      <c r="M1" s="268"/>
      <c r="N1" s="268"/>
    </row>
    <row r="2" spans="1:14">
      <c r="A2" s="269" t="s">
        <v>1367</v>
      </c>
      <c r="B2" s="269"/>
      <c r="C2" s="269"/>
      <c r="D2" s="269"/>
      <c r="E2" s="269"/>
      <c r="F2" s="269"/>
      <c r="G2" s="269"/>
      <c r="H2" s="269"/>
      <c r="I2" s="269"/>
      <c r="J2" s="269"/>
      <c r="K2" s="269"/>
      <c r="L2" s="269"/>
      <c r="M2" s="269"/>
      <c r="N2" s="269"/>
    </row>
    <row r="6" spans="1:14">
      <c r="A6" s="171" t="s">
        <v>1368</v>
      </c>
      <c r="B6" s="172" t="s">
        <v>1319</v>
      </c>
      <c r="C6" s="172" t="s">
        <v>1369</v>
      </c>
      <c r="D6" s="172" t="s">
        <v>1321</v>
      </c>
      <c r="E6" s="172" t="s">
        <v>1370</v>
      </c>
      <c r="F6" s="172" t="s">
        <v>1159</v>
      </c>
      <c r="G6" s="172" t="s">
        <v>1327</v>
      </c>
      <c r="H6" s="172" t="s">
        <v>1326</v>
      </c>
      <c r="I6" s="172" t="s">
        <v>1371</v>
      </c>
      <c r="J6" s="172" t="s">
        <v>1372</v>
      </c>
      <c r="K6" s="172" t="s">
        <v>1373</v>
      </c>
      <c r="L6" s="172" t="s">
        <v>522</v>
      </c>
      <c r="M6" s="172" t="s">
        <v>1374</v>
      </c>
      <c r="N6" s="173" t="s">
        <v>309</v>
      </c>
    </row>
    <row r="7" spans="1:14">
      <c r="A7" s="159"/>
      <c r="B7" s="155"/>
      <c r="C7" s="155"/>
      <c r="D7" s="155"/>
      <c r="E7" s="155"/>
      <c r="F7" s="155"/>
      <c r="G7" s="155"/>
      <c r="H7" s="155"/>
      <c r="I7" s="155"/>
      <c r="J7" s="155"/>
      <c r="K7" s="155"/>
      <c r="L7" s="155"/>
      <c r="M7" s="155"/>
      <c r="N7" s="160"/>
    </row>
    <row r="8" spans="1:14">
      <c r="A8" s="159"/>
      <c r="B8" s="155"/>
      <c r="C8" s="155"/>
      <c r="D8" s="155"/>
      <c r="E8" s="155"/>
      <c r="F8" s="155"/>
      <c r="G8" s="155"/>
      <c r="H8" s="155"/>
      <c r="I8" s="155"/>
      <c r="J8" s="155"/>
      <c r="K8" s="155"/>
      <c r="L8" s="155"/>
      <c r="M8" s="155"/>
      <c r="N8" s="160"/>
    </row>
    <row r="9" spans="1:14">
      <c r="A9" s="159"/>
      <c r="B9" s="155"/>
      <c r="C9" s="155"/>
      <c r="D9" s="155"/>
      <c r="E9" s="155"/>
      <c r="F9" s="155"/>
      <c r="G9" s="155"/>
      <c r="H9" s="155"/>
      <c r="I9" s="155"/>
      <c r="J9" s="155"/>
      <c r="K9" s="155"/>
      <c r="L9" s="155"/>
      <c r="M9" s="155"/>
      <c r="N9" s="160"/>
    </row>
    <row r="10" spans="1:14">
      <c r="A10" s="159"/>
      <c r="B10" s="155"/>
      <c r="C10" s="155"/>
      <c r="D10" s="155"/>
      <c r="E10" s="155"/>
      <c r="F10" s="155"/>
      <c r="G10" s="155"/>
      <c r="H10" s="155"/>
      <c r="I10" s="155"/>
      <c r="J10" s="155"/>
      <c r="K10" s="155"/>
      <c r="L10" s="155"/>
      <c r="M10" s="155"/>
      <c r="N10" s="160"/>
    </row>
    <row r="11" spans="1:14">
      <c r="A11" s="159"/>
      <c r="B11" s="155"/>
      <c r="C11" s="155"/>
      <c r="D11" s="155"/>
      <c r="E11" s="155"/>
      <c r="F11" s="155"/>
      <c r="G11" s="155"/>
      <c r="H11" s="155"/>
      <c r="I11" s="155"/>
      <c r="J11" s="155"/>
      <c r="K11" s="155"/>
      <c r="L11" s="155"/>
      <c r="M11" s="155"/>
      <c r="N11" s="160"/>
    </row>
    <row r="12" spans="1:14">
      <c r="A12" s="159"/>
      <c r="B12" s="155"/>
      <c r="C12" s="155"/>
      <c r="D12" s="155"/>
      <c r="E12" s="155"/>
      <c r="F12" s="155"/>
      <c r="G12" s="155"/>
      <c r="H12" s="155"/>
      <c r="I12" s="155"/>
      <c r="J12" s="155"/>
      <c r="K12" s="155"/>
      <c r="L12" s="155"/>
      <c r="M12" s="155"/>
      <c r="N12" s="160"/>
    </row>
    <row r="13" spans="1:14">
      <c r="A13" s="159"/>
      <c r="B13" s="155"/>
      <c r="C13" s="155"/>
      <c r="D13" s="155"/>
      <c r="E13" s="155"/>
      <c r="F13" s="155"/>
      <c r="G13" s="155"/>
      <c r="H13" s="155"/>
      <c r="I13" s="155"/>
      <c r="J13" s="155"/>
      <c r="K13" s="155"/>
      <c r="L13" s="155"/>
      <c r="M13" s="155"/>
      <c r="N13" s="160"/>
    </row>
    <row r="14" spans="1:14">
      <c r="A14" s="159"/>
      <c r="B14" s="155"/>
      <c r="C14" s="155"/>
      <c r="D14" s="155"/>
      <c r="E14" s="155"/>
      <c r="F14" s="155"/>
      <c r="G14" s="155"/>
      <c r="H14" s="155"/>
      <c r="I14" s="155"/>
      <c r="J14" s="155"/>
      <c r="K14" s="155"/>
      <c r="L14" s="155"/>
      <c r="M14" s="155"/>
      <c r="N14" s="160"/>
    </row>
    <row r="15" spans="1:14">
      <c r="A15" s="159"/>
      <c r="B15" s="155"/>
      <c r="C15" s="155"/>
      <c r="D15" s="155"/>
      <c r="E15" s="155"/>
      <c r="F15" s="155"/>
      <c r="G15" s="155"/>
      <c r="H15" s="155"/>
      <c r="I15" s="155"/>
      <c r="J15" s="155"/>
      <c r="K15" s="155"/>
      <c r="L15" s="155"/>
      <c r="M15" s="155"/>
      <c r="N15" s="160"/>
    </row>
    <row r="16" spans="1:14">
      <c r="A16" s="159"/>
      <c r="B16" s="155"/>
      <c r="C16" s="155"/>
      <c r="D16" s="155"/>
      <c r="E16" s="155"/>
      <c r="F16" s="155"/>
      <c r="G16" s="155"/>
      <c r="H16" s="155"/>
      <c r="I16" s="155"/>
      <c r="J16" s="155"/>
      <c r="K16" s="155"/>
      <c r="L16" s="155"/>
      <c r="M16" s="155"/>
      <c r="N16" s="160"/>
    </row>
    <row r="17" spans="1:14">
      <c r="A17" s="159"/>
      <c r="B17" s="155"/>
      <c r="C17" s="155"/>
      <c r="D17" s="155"/>
      <c r="E17" s="155"/>
      <c r="F17" s="155"/>
      <c r="G17" s="155"/>
      <c r="H17" s="155"/>
      <c r="I17" s="155"/>
      <c r="J17" s="155"/>
      <c r="K17" s="155"/>
      <c r="L17" s="155"/>
      <c r="M17" s="155"/>
      <c r="N17" s="160"/>
    </row>
    <row r="18" spans="1:14">
      <c r="A18" s="159"/>
      <c r="B18" s="155"/>
      <c r="C18" s="155"/>
      <c r="D18" s="155"/>
      <c r="E18" s="155"/>
      <c r="F18" s="155"/>
      <c r="G18" s="155"/>
      <c r="H18" s="155"/>
      <c r="I18" s="155"/>
      <c r="J18" s="155"/>
      <c r="K18" s="155"/>
      <c r="L18" s="155"/>
      <c r="M18" s="155"/>
      <c r="N18" s="160"/>
    </row>
    <row r="19" spans="1:14">
      <c r="A19" s="159"/>
      <c r="B19" s="155"/>
      <c r="C19" s="155"/>
      <c r="D19" s="155"/>
      <c r="E19" s="155"/>
      <c r="F19" s="155"/>
      <c r="G19" s="155"/>
      <c r="H19" s="155"/>
      <c r="I19" s="155"/>
      <c r="J19" s="155"/>
      <c r="K19" s="155"/>
      <c r="L19" s="155"/>
      <c r="M19" s="155"/>
      <c r="N19" s="160"/>
    </row>
    <row r="20" spans="1:14">
      <c r="A20" s="159"/>
      <c r="B20" s="155"/>
      <c r="C20" s="155"/>
      <c r="D20" s="155"/>
      <c r="E20" s="155"/>
      <c r="F20" s="155"/>
      <c r="G20" s="155"/>
      <c r="H20" s="155"/>
      <c r="I20" s="155"/>
      <c r="J20" s="155"/>
      <c r="K20" s="155"/>
      <c r="L20" s="155"/>
      <c r="M20" s="155"/>
      <c r="N20" s="160"/>
    </row>
    <row r="21" spans="1:14">
      <c r="A21" s="159"/>
      <c r="B21" s="155"/>
      <c r="C21" s="155"/>
      <c r="D21" s="155"/>
      <c r="E21" s="155"/>
      <c r="F21" s="155"/>
      <c r="G21" s="155"/>
      <c r="H21" s="155"/>
      <c r="I21" s="155"/>
      <c r="J21" s="155"/>
      <c r="K21" s="155"/>
      <c r="L21" s="155"/>
      <c r="M21" s="155"/>
      <c r="N21" s="160"/>
    </row>
    <row r="22" spans="1:14">
      <c r="A22" s="159"/>
      <c r="B22" s="155"/>
      <c r="C22" s="155"/>
      <c r="D22" s="155"/>
      <c r="E22" s="155"/>
      <c r="F22" s="155"/>
      <c r="G22" s="155"/>
      <c r="H22" s="155"/>
      <c r="I22" s="155"/>
      <c r="J22" s="155"/>
      <c r="K22" s="155"/>
      <c r="L22" s="155"/>
      <c r="M22" s="155"/>
      <c r="N22" s="160"/>
    </row>
    <row r="23" spans="1:14">
      <c r="A23" s="159"/>
      <c r="B23" s="155"/>
      <c r="C23" s="155"/>
      <c r="D23" s="155"/>
      <c r="E23" s="155"/>
      <c r="F23" s="155"/>
      <c r="G23" s="155"/>
      <c r="H23" s="155"/>
      <c r="I23" s="155"/>
      <c r="J23" s="155"/>
      <c r="K23" s="155"/>
      <c r="L23" s="155"/>
      <c r="M23" s="155"/>
      <c r="N23" s="160"/>
    </row>
    <row r="24" spans="1:14">
      <c r="A24" s="159"/>
      <c r="B24" s="155"/>
      <c r="C24" s="155"/>
      <c r="D24" s="155"/>
      <c r="E24" s="155"/>
      <c r="F24" s="155"/>
      <c r="G24" s="155"/>
      <c r="H24" s="155"/>
      <c r="I24" s="155"/>
      <c r="J24" s="155"/>
      <c r="K24" s="155"/>
      <c r="L24" s="155"/>
      <c r="M24" s="155"/>
      <c r="N24" s="160"/>
    </row>
    <row r="25" spans="1:14">
      <c r="A25" s="159"/>
      <c r="B25" s="155"/>
      <c r="C25" s="155"/>
      <c r="D25" s="155"/>
      <c r="E25" s="155"/>
      <c r="F25" s="155"/>
      <c r="G25" s="155"/>
      <c r="H25" s="155"/>
      <c r="I25" s="155"/>
      <c r="J25" s="155"/>
      <c r="K25" s="155"/>
      <c r="L25" s="155"/>
      <c r="M25" s="155"/>
      <c r="N25" s="160"/>
    </row>
    <row r="26" spans="1:14">
      <c r="A26" s="159"/>
      <c r="B26" s="155"/>
      <c r="C26" s="155"/>
      <c r="D26" s="155"/>
      <c r="E26" s="155"/>
      <c r="F26" s="155"/>
      <c r="G26" s="155"/>
      <c r="H26" s="155"/>
      <c r="I26" s="155"/>
      <c r="J26" s="155"/>
      <c r="K26" s="155"/>
      <c r="L26" s="155"/>
      <c r="M26" s="155"/>
      <c r="N26" s="160"/>
    </row>
    <row r="27" spans="1:14">
      <c r="A27" s="159"/>
      <c r="B27" s="155"/>
      <c r="C27" s="155"/>
      <c r="D27" s="155"/>
      <c r="E27" s="155"/>
      <c r="F27" s="155"/>
      <c r="G27" s="155"/>
      <c r="H27" s="155"/>
      <c r="I27" s="155"/>
      <c r="J27" s="155"/>
      <c r="K27" s="155"/>
      <c r="L27" s="155"/>
      <c r="M27" s="155"/>
      <c r="N27" s="160"/>
    </row>
    <row r="28" spans="1:14">
      <c r="A28" s="159"/>
      <c r="B28" s="155"/>
      <c r="C28" s="155"/>
      <c r="D28" s="155"/>
      <c r="E28" s="155"/>
      <c r="F28" s="155"/>
      <c r="G28" s="155"/>
      <c r="H28" s="155"/>
      <c r="I28" s="155"/>
      <c r="J28" s="155"/>
      <c r="K28" s="155"/>
      <c r="L28" s="155"/>
      <c r="M28" s="155"/>
      <c r="N28" s="160"/>
    </row>
    <row r="29" spans="1:14">
      <c r="A29" s="159"/>
      <c r="B29" s="155"/>
      <c r="C29" s="155"/>
      <c r="D29" s="155"/>
      <c r="E29" s="155"/>
      <c r="F29" s="155"/>
      <c r="G29" s="155"/>
      <c r="H29" s="155"/>
      <c r="I29" s="155"/>
      <c r="J29" s="155"/>
      <c r="K29" s="155"/>
      <c r="L29" s="155"/>
      <c r="M29" s="155"/>
      <c r="N29" s="160"/>
    </row>
    <row r="30" spans="1:14">
      <c r="A30" s="159"/>
      <c r="B30" s="155"/>
      <c r="C30" s="155"/>
      <c r="D30" s="155"/>
      <c r="E30" s="155"/>
      <c r="F30" s="155"/>
      <c r="G30" s="155"/>
      <c r="H30" s="155"/>
      <c r="I30" s="155"/>
      <c r="J30" s="155"/>
      <c r="K30" s="155"/>
      <c r="L30" s="155"/>
      <c r="M30" s="155"/>
      <c r="N30" s="160"/>
    </row>
    <row r="31" spans="1:14">
      <c r="A31" s="159"/>
      <c r="B31" s="155"/>
      <c r="C31" s="155"/>
      <c r="D31" s="155"/>
      <c r="E31" s="155"/>
      <c r="F31" s="155"/>
      <c r="G31" s="155"/>
      <c r="H31" s="155"/>
      <c r="I31" s="155"/>
      <c r="J31" s="155"/>
      <c r="K31" s="155"/>
      <c r="L31" s="155"/>
      <c r="M31" s="155"/>
      <c r="N31" s="160"/>
    </row>
    <row r="32" spans="1:14">
      <c r="A32" s="159"/>
      <c r="B32" s="155"/>
      <c r="C32" s="155"/>
      <c r="D32" s="155"/>
      <c r="E32" s="155"/>
      <c r="F32" s="155"/>
      <c r="G32" s="155"/>
      <c r="H32" s="155"/>
      <c r="I32" s="155"/>
      <c r="J32" s="155"/>
      <c r="K32" s="155"/>
      <c r="L32" s="155"/>
      <c r="M32" s="155"/>
      <c r="N32" s="160"/>
    </row>
    <row r="33" spans="1:14">
      <c r="A33" s="159"/>
      <c r="B33" s="155"/>
      <c r="C33" s="155"/>
      <c r="D33" s="155"/>
      <c r="E33" s="155"/>
      <c r="F33" s="155"/>
      <c r="G33" s="155"/>
      <c r="H33" s="155"/>
      <c r="I33" s="155"/>
      <c r="J33" s="155"/>
      <c r="K33" s="155"/>
      <c r="L33" s="155"/>
      <c r="M33" s="155"/>
      <c r="N33" s="160"/>
    </row>
    <row r="34" spans="1:14">
      <c r="A34" s="159"/>
      <c r="B34" s="155"/>
      <c r="C34" s="155"/>
      <c r="D34" s="155"/>
      <c r="E34" s="155"/>
      <c r="F34" s="155"/>
      <c r="G34" s="155"/>
      <c r="H34" s="155"/>
      <c r="I34" s="155"/>
      <c r="J34" s="155"/>
      <c r="K34" s="155"/>
      <c r="L34" s="155"/>
      <c r="M34" s="155"/>
      <c r="N34" s="160"/>
    </row>
    <row r="35" spans="1:14">
      <c r="A35" s="159"/>
      <c r="B35" s="155"/>
      <c r="C35" s="155"/>
      <c r="D35" s="155"/>
      <c r="E35" s="155"/>
      <c r="F35" s="155"/>
      <c r="G35" s="155"/>
      <c r="H35" s="155"/>
      <c r="I35" s="155"/>
      <c r="J35" s="155"/>
      <c r="K35" s="155"/>
      <c r="L35" s="155"/>
      <c r="M35" s="155"/>
      <c r="N35" s="160"/>
    </row>
    <row r="36" spans="1:14">
      <c r="A36" s="159"/>
      <c r="B36" s="155"/>
      <c r="C36" s="155"/>
      <c r="D36" s="155"/>
      <c r="E36" s="155"/>
      <c r="F36" s="155"/>
      <c r="G36" s="155"/>
      <c r="H36" s="155"/>
      <c r="I36" s="155"/>
      <c r="J36" s="155"/>
      <c r="K36" s="155"/>
      <c r="L36" s="155"/>
      <c r="M36" s="155"/>
      <c r="N36" s="160"/>
    </row>
    <row r="37" spans="1:14">
      <c r="A37" s="159"/>
      <c r="B37" s="155"/>
      <c r="C37" s="155"/>
      <c r="D37" s="155"/>
      <c r="E37" s="155"/>
      <c r="F37" s="155"/>
      <c r="G37" s="155"/>
      <c r="H37" s="155"/>
      <c r="I37" s="155"/>
      <c r="J37" s="155"/>
      <c r="K37" s="155"/>
      <c r="L37" s="155"/>
      <c r="M37" s="155"/>
      <c r="N37" s="160"/>
    </row>
    <row r="38" spans="1:14">
      <c r="A38" s="159"/>
      <c r="B38" s="155"/>
      <c r="C38" s="155"/>
      <c r="D38" s="155"/>
      <c r="E38" s="155"/>
      <c r="F38" s="155"/>
      <c r="G38" s="155"/>
      <c r="H38" s="155"/>
      <c r="I38" s="155"/>
      <c r="J38" s="155"/>
      <c r="K38" s="155"/>
      <c r="L38" s="155"/>
      <c r="M38" s="155"/>
      <c r="N38" s="160"/>
    </row>
    <row r="39" spans="1:14">
      <c r="A39" s="159"/>
      <c r="B39" s="155"/>
      <c r="C39" s="155"/>
      <c r="D39" s="155"/>
      <c r="E39" s="155"/>
      <c r="F39" s="155"/>
      <c r="G39" s="155"/>
      <c r="H39" s="155"/>
      <c r="I39" s="155"/>
      <c r="J39" s="155"/>
      <c r="K39" s="155"/>
      <c r="L39" s="155"/>
      <c r="M39" s="155"/>
      <c r="N39" s="160"/>
    </row>
    <row r="40" spans="1:14">
      <c r="A40" s="159"/>
      <c r="B40" s="155"/>
      <c r="C40" s="155"/>
      <c r="D40" s="155"/>
      <c r="E40" s="155"/>
      <c r="F40" s="155"/>
      <c r="G40" s="155"/>
      <c r="H40" s="155"/>
      <c r="I40" s="155"/>
      <c r="J40" s="155"/>
      <c r="K40" s="155"/>
      <c r="L40" s="155"/>
      <c r="M40" s="155"/>
      <c r="N40" s="160"/>
    </row>
    <row r="41" spans="1:14">
      <c r="A41" s="159"/>
      <c r="B41" s="155"/>
      <c r="C41" s="155"/>
      <c r="D41" s="155"/>
      <c r="E41" s="155"/>
      <c r="F41" s="155"/>
      <c r="G41" s="155"/>
      <c r="H41" s="155"/>
      <c r="I41" s="155"/>
      <c r="J41" s="155"/>
      <c r="K41" s="155"/>
      <c r="L41" s="155"/>
      <c r="M41" s="155"/>
      <c r="N41" s="160"/>
    </row>
    <row r="42" spans="1:14">
      <c r="A42" s="159"/>
      <c r="B42" s="155"/>
      <c r="C42" s="155"/>
      <c r="D42" s="155"/>
      <c r="E42" s="155"/>
      <c r="F42" s="155"/>
      <c r="G42" s="155"/>
      <c r="H42" s="155"/>
      <c r="I42" s="155"/>
      <c r="J42" s="155"/>
      <c r="K42" s="155"/>
      <c r="L42" s="155"/>
      <c r="M42" s="155"/>
      <c r="N42" s="160"/>
    </row>
    <row r="43" spans="1:14">
      <c r="A43" s="159"/>
      <c r="B43" s="155"/>
      <c r="C43" s="155"/>
      <c r="D43" s="155"/>
      <c r="E43" s="155"/>
      <c r="F43" s="155"/>
      <c r="G43" s="155"/>
      <c r="H43" s="155"/>
      <c r="I43" s="155"/>
      <c r="J43" s="155"/>
      <c r="K43" s="155"/>
      <c r="L43" s="155"/>
      <c r="M43" s="155"/>
      <c r="N43" s="160"/>
    </row>
    <row r="44" spans="1:14">
      <c r="A44" s="159"/>
      <c r="B44" s="155"/>
      <c r="C44" s="155"/>
      <c r="D44" s="155"/>
      <c r="E44" s="155"/>
      <c r="F44" s="155"/>
      <c r="G44" s="155"/>
      <c r="H44" s="155"/>
      <c r="I44" s="155"/>
      <c r="J44" s="155"/>
      <c r="K44" s="155"/>
      <c r="L44" s="155"/>
      <c r="M44" s="155"/>
      <c r="N44" s="160"/>
    </row>
    <row r="45" spans="1:14">
      <c r="A45" s="159"/>
      <c r="B45" s="155"/>
      <c r="C45" s="155"/>
      <c r="D45" s="155"/>
      <c r="E45" s="155"/>
      <c r="F45" s="155"/>
      <c r="G45" s="155"/>
      <c r="H45" s="155"/>
      <c r="I45" s="155"/>
      <c r="J45" s="155"/>
      <c r="K45" s="155"/>
      <c r="L45" s="155"/>
      <c r="M45" s="155"/>
      <c r="N45" s="160"/>
    </row>
    <row r="46" spans="1:14">
      <c r="A46" s="159"/>
      <c r="B46" s="155"/>
      <c r="C46" s="155"/>
      <c r="D46" s="155"/>
      <c r="E46" s="155"/>
      <c r="F46" s="155"/>
      <c r="G46" s="155"/>
      <c r="H46" s="155"/>
      <c r="I46" s="155"/>
      <c r="J46" s="155"/>
      <c r="K46" s="155"/>
      <c r="L46" s="155"/>
      <c r="M46" s="155"/>
      <c r="N46" s="160"/>
    </row>
    <row r="47" spans="1:14">
      <c r="A47" s="159"/>
      <c r="B47" s="155"/>
      <c r="C47" s="155"/>
      <c r="D47" s="155"/>
      <c r="E47" s="155"/>
      <c r="F47" s="155"/>
      <c r="G47" s="155"/>
      <c r="H47" s="155"/>
      <c r="I47" s="155"/>
      <c r="J47" s="155"/>
      <c r="K47" s="155"/>
      <c r="L47" s="155"/>
      <c r="M47" s="155"/>
      <c r="N47" s="160"/>
    </row>
    <row r="48" spans="1:14">
      <c r="A48" s="159"/>
      <c r="B48" s="155"/>
      <c r="C48" s="155"/>
      <c r="D48" s="155"/>
      <c r="E48" s="155"/>
      <c r="F48" s="155"/>
      <c r="G48" s="155"/>
      <c r="H48" s="155"/>
      <c r="I48" s="155"/>
      <c r="J48" s="155"/>
      <c r="K48" s="155"/>
      <c r="L48" s="155"/>
      <c r="M48" s="155"/>
      <c r="N48" s="160"/>
    </row>
    <row r="49" spans="1:14">
      <c r="A49" s="159"/>
      <c r="B49" s="155"/>
      <c r="C49" s="155"/>
      <c r="D49" s="155"/>
      <c r="E49" s="155"/>
      <c r="F49" s="155"/>
      <c r="G49" s="155"/>
      <c r="H49" s="155"/>
      <c r="I49" s="155"/>
      <c r="J49" s="155"/>
      <c r="K49" s="155"/>
      <c r="L49" s="155"/>
      <c r="M49" s="155"/>
      <c r="N49" s="160"/>
    </row>
    <row r="50" spans="1:14">
      <c r="A50" s="159"/>
      <c r="B50" s="155"/>
      <c r="C50" s="155"/>
      <c r="D50" s="155"/>
      <c r="E50" s="155"/>
      <c r="F50" s="155"/>
      <c r="G50" s="155"/>
      <c r="H50" s="155"/>
      <c r="I50" s="155"/>
      <c r="J50" s="155"/>
      <c r="K50" s="155"/>
      <c r="L50" s="155"/>
      <c r="M50" s="155"/>
      <c r="N50" s="160"/>
    </row>
    <row r="51" spans="1:14">
      <c r="A51" s="159"/>
      <c r="B51" s="155"/>
      <c r="C51" s="155"/>
      <c r="D51" s="155"/>
      <c r="E51" s="155"/>
      <c r="F51" s="155"/>
      <c r="G51" s="155"/>
      <c r="H51" s="155"/>
      <c r="I51" s="155"/>
      <c r="J51" s="155"/>
      <c r="K51" s="155"/>
      <c r="L51" s="155"/>
      <c r="M51" s="155"/>
      <c r="N51" s="160"/>
    </row>
    <row r="52" spans="1:14">
      <c r="A52" s="159"/>
      <c r="B52" s="155"/>
      <c r="C52" s="155"/>
      <c r="D52" s="155"/>
      <c r="E52" s="155"/>
      <c r="F52" s="155"/>
      <c r="G52" s="155"/>
      <c r="H52" s="155"/>
      <c r="I52" s="155"/>
      <c r="J52" s="155"/>
      <c r="K52" s="155"/>
      <c r="L52" s="155"/>
      <c r="M52" s="155"/>
      <c r="N52" s="160"/>
    </row>
    <row r="53" spans="1:14">
      <c r="A53" s="159"/>
      <c r="B53" s="155"/>
      <c r="C53" s="155"/>
      <c r="D53" s="155"/>
      <c r="E53" s="155"/>
      <c r="F53" s="155"/>
      <c r="G53" s="155"/>
      <c r="H53" s="155"/>
      <c r="I53" s="155"/>
      <c r="J53" s="155"/>
      <c r="K53" s="155"/>
      <c r="L53" s="155"/>
      <c r="M53" s="155"/>
      <c r="N53" s="160"/>
    </row>
    <row r="54" spans="1:14">
      <c r="A54" s="159"/>
      <c r="B54" s="155"/>
      <c r="C54" s="155"/>
      <c r="D54" s="155"/>
      <c r="E54" s="155"/>
      <c r="F54" s="155"/>
      <c r="G54" s="155"/>
      <c r="H54" s="155"/>
      <c r="I54" s="155"/>
      <c r="J54" s="155"/>
      <c r="K54" s="155"/>
      <c r="L54" s="155"/>
      <c r="M54" s="155"/>
      <c r="N54" s="160"/>
    </row>
    <row r="55" spans="1:14">
      <c r="A55" s="159"/>
      <c r="B55" s="155"/>
      <c r="C55" s="155"/>
      <c r="D55" s="155"/>
      <c r="E55" s="155"/>
      <c r="F55" s="155"/>
      <c r="G55" s="155"/>
      <c r="H55" s="155"/>
      <c r="I55" s="155"/>
      <c r="J55" s="155"/>
      <c r="K55" s="155"/>
      <c r="L55" s="155"/>
      <c r="M55" s="155"/>
      <c r="N55" s="160"/>
    </row>
    <row r="56" spans="1:14">
      <c r="A56" s="159"/>
      <c r="B56" s="155"/>
      <c r="C56" s="155"/>
      <c r="D56" s="155"/>
      <c r="E56" s="155"/>
      <c r="F56" s="155"/>
      <c r="G56" s="155"/>
      <c r="H56" s="155"/>
      <c r="I56" s="155"/>
      <c r="J56" s="155"/>
      <c r="K56" s="155"/>
      <c r="L56" s="155"/>
      <c r="M56" s="155"/>
      <c r="N56" s="160"/>
    </row>
    <row r="57" spans="1:14">
      <c r="A57" s="159"/>
      <c r="B57" s="155"/>
      <c r="C57" s="155"/>
      <c r="D57" s="155"/>
      <c r="E57" s="155"/>
      <c r="F57" s="155"/>
      <c r="G57" s="155"/>
      <c r="H57" s="155"/>
      <c r="I57" s="155"/>
      <c r="J57" s="155"/>
      <c r="K57" s="155"/>
      <c r="L57" s="155"/>
      <c r="M57" s="155"/>
      <c r="N57" s="160"/>
    </row>
    <row r="58" spans="1:14">
      <c r="A58" s="159"/>
      <c r="B58" s="155"/>
      <c r="C58" s="155"/>
      <c r="D58" s="155"/>
      <c r="E58" s="155"/>
      <c r="F58" s="155"/>
      <c r="G58" s="155"/>
      <c r="H58" s="155"/>
      <c r="I58" s="155"/>
      <c r="J58" s="155"/>
      <c r="K58" s="155"/>
      <c r="L58" s="155"/>
      <c r="M58" s="155"/>
      <c r="N58" s="160"/>
    </row>
    <row r="59" spans="1:14">
      <c r="A59" s="159"/>
      <c r="B59" s="155"/>
      <c r="C59" s="155"/>
      <c r="D59" s="155"/>
      <c r="E59" s="155"/>
      <c r="F59" s="155"/>
      <c r="G59" s="155"/>
      <c r="H59" s="155"/>
      <c r="I59" s="155"/>
      <c r="J59" s="155"/>
      <c r="K59" s="155"/>
      <c r="L59" s="155"/>
      <c r="M59" s="155"/>
      <c r="N59" s="160"/>
    </row>
    <row r="60" spans="1:14">
      <c r="A60" s="159"/>
      <c r="B60" s="155"/>
      <c r="C60" s="155"/>
      <c r="D60" s="155"/>
      <c r="E60" s="155"/>
      <c r="F60" s="155"/>
      <c r="G60" s="155"/>
      <c r="H60" s="155"/>
      <c r="I60" s="155"/>
      <c r="J60" s="155"/>
      <c r="K60" s="155"/>
      <c r="L60" s="155"/>
      <c r="M60" s="155"/>
      <c r="N60" s="160"/>
    </row>
    <row r="61" spans="1:14">
      <c r="A61" s="159"/>
      <c r="B61" s="155"/>
      <c r="C61" s="155"/>
      <c r="D61" s="155"/>
      <c r="E61" s="155"/>
      <c r="F61" s="155"/>
      <c r="G61" s="155"/>
      <c r="H61" s="155"/>
      <c r="I61" s="155"/>
      <c r="J61" s="155"/>
      <c r="K61" s="155"/>
      <c r="L61" s="155"/>
      <c r="M61" s="155"/>
      <c r="N61" s="160"/>
    </row>
    <row r="62" spans="1:14">
      <c r="A62" s="159"/>
      <c r="B62" s="155"/>
      <c r="C62" s="155"/>
      <c r="D62" s="155"/>
      <c r="E62" s="155"/>
      <c r="F62" s="155"/>
      <c r="G62" s="155"/>
      <c r="H62" s="155"/>
      <c r="I62" s="155"/>
      <c r="J62" s="155"/>
      <c r="K62" s="155"/>
      <c r="L62" s="155"/>
      <c r="M62" s="155"/>
      <c r="N62" s="160"/>
    </row>
    <row r="63" spans="1:14">
      <c r="A63" s="159"/>
      <c r="B63" s="155"/>
      <c r="C63" s="155"/>
      <c r="D63" s="155"/>
      <c r="E63" s="155"/>
      <c r="F63" s="155"/>
      <c r="G63" s="155"/>
      <c r="H63" s="155"/>
      <c r="I63" s="155"/>
      <c r="J63" s="155"/>
      <c r="K63" s="155"/>
      <c r="L63" s="155"/>
      <c r="M63" s="155"/>
      <c r="N63" s="160"/>
    </row>
    <row r="64" spans="1:14">
      <c r="A64" s="159"/>
      <c r="B64" s="155"/>
      <c r="C64" s="155"/>
      <c r="D64" s="155"/>
      <c r="E64" s="155"/>
      <c r="F64" s="155"/>
      <c r="G64" s="155"/>
      <c r="H64" s="155"/>
      <c r="I64" s="155"/>
      <c r="J64" s="155"/>
      <c r="K64" s="155"/>
      <c r="L64" s="155"/>
      <c r="M64" s="155"/>
      <c r="N64" s="160"/>
    </row>
    <row r="65" spans="1:14">
      <c r="A65" s="159"/>
      <c r="B65" s="155"/>
      <c r="C65" s="155"/>
      <c r="D65" s="155"/>
      <c r="E65" s="155"/>
      <c r="F65" s="155"/>
      <c r="G65" s="155"/>
      <c r="H65" s="155"/>
      <c r="I65" s="155"/>
      <c r="J65" s="155"/>
      <c r="K65" s="155"/>
      <c r="L65" s="155"/>
      <c r="M65" s="155"/>
      <c r="N65" s="160"/>
    </row>
    <row r="66" spans="1:14">
      <c r="A66" s="159"/>
      <c r="B66" s="155"/>
      <c r="C66" s="155"/>
      <c r="D66" s="155"/>
      <c r="E66" s="155"/>
      <c r="F66" s="155"/>
      <c r="G66" s="155"/>
      <c r="H66" s="155"/>
      <c r="I66" s="155"/>
      <c r="J66" s="155"/>
      <c r="K66" s="155"/>
      <c r="L66" s="155"/>
      <c r="M66" s="155"/>
      <c r="N66" s="160"/>
    </row>
    <row r="67" spans="1:14">
      <c r="A67" s="159"/>
      <c r="B67" s="155"/>
      <c r="C67" s="155"/>
      <c r="D67" s="155"/>
      <c r="E67" s="155"/>
      <c r="F67" s="155"/>
      <c r="G67" s="155"/>
      <c r="H67" s="155"/>
      <c r="I67" s="155"/>
      <c r="J67" s="155"/>
      <c r="K67" s="155"/>
      <c r="L67" s="155"/>
      <c r="M67" s="155"/>
      <c r="N67" s="160"/>
    </row>
    <row r="68" spans="1:14">
      <c r="A68" s="159"/>
      <c r="B68" s="155"/>
      <c r="C68" s="155"/>
      <c r="D68" s="155"/>
      <c r="E68" s="155"/>
      <c r="F68" s="155"/>
      <c r="G68" s="155"/>
      <c r="H68" s="155"/>
      <c r="I68" s="155"/>
      <c r="J68" s="155"/>
      <c r="K68" s="155"/>
      <c r="L68" s="155"/>
      <c r="M68" s="155"/>
      <c r="N68" s="160"/>
    </row>
    <row r="69" spans="1:14">
      <c r="A69" s="159"/>
      <c r="B69" s="155"/>
      <c r="C69" s="155"/>
      <c r="D69" s="155"/>
      <c r="E69" s="155"/>
      <c r="F69" s="155"/>
      <c r="G69" s="155"/>
      <c r="H69" s="155"/>
      <c r="I69" s="155"/>
      <c r="J69" s="155"/>
      <c r="K69" s="155"/>
      <c r="L69" s="155"/>
      <c r="M69" s="155"/>
      <c r="N69" s="160"/>
    </row>
    <row r="70" spans="1:14">
      <c r="A70" s="159"/>
      <c r="B70" s="155"/>
      <c r="C70" s="155"/>
      <c r="D70" s="155"/>
      <c r="E70" s="155"/>
      <c r="F70" s="155"/>
      <c r="G70" s="155"/>
      <c r="H70" s="155"/>
      <c r="I70" s="155"/>
      <c r="J70" s="155"/>
      <c r="K70" s="155"/>
      <c r="L70" s="155"/>
      <c r="M70" s="155"/>
      <c r="N70" s="160"/>
    </row>
    <row r="71" spans="1:14">
      <c r="A71" s="159"/>
      <c r="B71" s="155"/>
      <c r="C71" s="155"/>
      <c r="D71" s="155"/>
      <c r="E71" s="155"/>
      <c r="F71" s="155"/>
      <c r="G71" s="155"/>
      <c r="H71" s="155"/>
      <c r="I71" s="155"/>
      <c r="J71" s="155"/>
      <c r="K71" s="155"/>
      <c r="L71" s="155"/>
      <c r="M71" s="155"/>
      <c r="N71" s="160"/>
    </row>
    <row r="72" spans="1:14">
      <c r="A72" s="159"/>
      <c r="B72" s="155"/>
      <c r="C72" s="155"/>
      <c r="D72" s="155"/>
      <c r="E72" s="155"/>
      <c r="F72" s="155"/>
      <c r="G72" s="155"/>
      <c r="H72" s="155"/>
      <c r="I72" s="155"/>
      <c r="J72" s="155"/>
      <c r="K72" s="155"/>
      <c r="L72" s="155"/>
      <c r="M72" s="155"/>
      <c r="N72" s="160"/>
    </row>
    <row r="73" spans="1:14">
      <c r="A73" s="159"/>
      <c r="B73" s="155"/>
      <c r="C73" s="155"/>
      <c r="D73" s="155"/>
      <c r="E73" s="155"/>
      <c r="F73" s="155"/>
      <c r="G73" s="155"/>
      <c r="H73" s="155"/>
      <c r="I73" s="155"/>
      <c r="J73" s="155"/>
      <c r="K73" s="155"/>
      <c r="L73" s="155"/>
      <c r="M73" s="155"/>
      <c r="N73" s="160"/>
    </row>
    <row r="74" spans="1:14">
      <c r="A74" s="159"/>
      <c r="B74" s="155"/>
      <c r="C74" s="155"/>
      <c r="D74" s="155"/>
      <c r="E74" s="155"/>
      <c r="F74" s="155"/>
      <c r="G74" s="155"/>
      <c r="H74" s="155"/>
      <c r="I74" s="155"/>
      <c r="J74" s="155"/>
      <c r="K74" s="155"/>
      <c r="L74" s="155"/>
      <c r="M74" s="155"/>
      <c r="N74" s="160"/>
    </row>
    <row r="75" spans="1:14">
      <c r="A75" s="159"/>
      <c r="B75" s="155"/>
      <c r="C75" s="155"/>
      <c r="D75" s="155"/>
      <c r="E75" s="155"/>
      <c r="F75" s="155"/>
      <c r="G75" s="155"/>
      <c r="H75" s="155"/>
      <c r="I75" s="155"/>
      <c r="J75" s="155"/>
      <c r="K75" s="155"/>
      <c r="L75" s="155"/>
      <c r="M75" s="155"/>
      <c r="N75" s="160"/>
    </row>
    <row r="76" spans="1:14">
      <c r="A76" s="159"/>
      <c r="B76" s="155"/>
      <c r="C76" s="155"/>
      <c r="D76" s="155"/>
      <c r="E76" s="155"/>
      <c r="F76" s="155"/>
      <c r="G76" s="155"/>
      <c r="H76" s="155"/>
      <c r="I76" s="155"/>
      <c r="J76" s="155"/>
      <c r="K76" s="155"/>
      <c r="L76" s="155"/>
      <c r="M76" s="155"/>
      <c r="N76" s="160"/>
    </row>
    <row r="77" spans="1:14">
      <c r="A77" s="159"/>
      <c r="B77" s="155"/>
      <c r="C77" s="155"/>
      <c r="D77" s="155"/>
      <c r="E77" s="155"/>
      <c r="F77" s="155"/>
      <c r="G77" s="155"/>
      <c r="H77" s="155"/>
      <c r="I77" s="155"/>
      <c r="J77" s="155"/>
      <c r="K77" s="155"/>
      <c r="L77" s="155"/>
      <c r="M77" s="155"/>
      <c r="N77" s="160"/>
    </row>
    <row r="78" spans="1:14">
      <c r="A78" s="159"/>
      <c r="B78" s="155"/>
      <c r="C78" s="155"/>
      <c r="D78" s="155"/>
      <c r="E78" s="155"/>
      <c r="F78" s="155"/>
      <c r="G78" s="155"/>
      <c r="H78" s="155"/>
      <c r="I78" s="155"/>
      <c r="J78" s="155"/>
      <c r="K78" s="155"/>
      <c r="L78" s="155"/>
      <c r="M78" s="155"/>
      <c r="N78" s="160"/>
    </row>
    <row r="79" spans="1:14">
      <c r="A79" s="159"/>
      <c r="B79" s="155"/>
      <c r="C79" s="155"/>
      <c r="D79" s="155"/>
      <c r="E79" s="155"/>
      <c r="F79" s="155"/>
      <c r="G79" s="155"/>
      <c r="H79" s="155"/>
      <c r="I79" s="155"/>
      <c r="J79" s="155"/>
      <c r="K79" s="155"/>
      <c r="L79" s="155"/>
      <c r="M79" s="155"/>
      <c r="N79" s="160"/>
    </row>
    <row r="80" spans="1:14">
      <c r="A80" s="159"/>
      <c r="B80" s="155"/>
      <c r="C80" s="155"/>
      <c r="D80" s="155"/>
      <c r="E80" s="155"/>
      <c r="F80" s="155"/>
      <c r="G80" s="155"/>
      <c r="H80" s="155"/>
      <c r="I80" s="155"/>
      <c r="J80" s="155"/>
      <c r="K80" s="155"/>
      <c r="L80" s="155"/>
      <c r="M80" s="155"/>
      <c r="N80" s="160"/>
    </row>
    <row r="81" spans="1:14">
      <c r="A81" s="159"/>
      <c r="B81" s="155"/>
      <c r="C81" s="155"/>
      <c r="D81" s="155"/>
      <c r="E81" s="155"/>
      <c r="F81" s="155"/>
      <c r="G81" s="155"/>
      <c r="H81" s="155"/>
      <c r="I81" s="155"/>
      <c r="J81" s="155"/>
      <c r="K81" s="155"/>
      <c r="L81" s="155"/>
      <c r="M81" s="155"/>
      <c r="N81" s="160"/>
    </row>
    <row r="82" spans="1:14">
      <c r="A82" s="159"/>
      <c r="B82" s="155"/>
      <c r="C82" s="155"/>
      <c r="D82" s="155"/>
      <c r="E82" s="155"/>
      <c r="F82" s="155"/>
      <c r="G82" s="155"/>
      <c r="H82" s="155"/>
      <c r="I82" s="155"/>
      <c r="J82" s="155"/>
      <c r="K82" s="155"/>
      <c r="L82" s="155"/>
      <c r="M82" s="155"/>
      <c r="N82" s="160"/>
    </row>
    <row r="83" spans="1:14">
      <c r="A83" s="159"/>
      <c r="B83" s="155"/>
      <c r="C83" s="155"/>
      <c r="D83" s="155"/>
      <c r="E83" s="155"/>
      <c r="F83" s="155"/>
      <c r="G83" s="155"/>
      <c r="H83" s="155"/>
      <c r="I83" s="155"/>
      <c r="J83" s="155"/>
      <c r="K83" s="155"/>
      <c r="L83" s="155"/>
      <c r="M83" s="155"/>
      <c r="N83" s="160"/>
    </row>
    <row r="84" spans="1:14">
      <c r="A84" s="159"/>
      <c r="B84" s="155"/>
      <c r="C84" s="155"/>
      <c r="D84" s="155"/>
      <c r="E84" s="155"/>
      <c r="F84" s="155"/>
      <c r="G84" s="155"/>
      <c r="H84" s="155"/>
      <c r="I84" s="155"/>
      <c r="J84" s="155"/>
      <c r="K84" s="155"/>
      <c r="L84" s="155"/>
      <c r="M84" s="155"/>
      <c r="N84" s="160"/>
    </row>
    <row r="85" spans="1:14">
      <c r="A85" s="159"/>
      <c r="B85" s="155"/>
      <c r="C85" s="155"/>
      <c r="D85" s="155"/>
      <c r="E85" s="155"/>
      <c r="F85" s="155"/>
      <c r="G85" s="155"/>
      <c r="H85" s="155"/>
      <c r="I85" s="155"/>
      <c r="J85" s="155"/>
      <c r="K85" s="155"/>
      <c r="L85" s="155"/>
      <c r="M85" s="155"/>
      <c r="N85" s="160"/>
    </row>
    <row r="86" spans="1:14">
      <c r="A86" s="159"/>
      <c r="B86" s="155"/>
      <c r="C86" s="155"/>
      <c r="D86" s="155"/>
      <c r="E86" s="155"/>
      <c r="F86" s="155"/>
      <c r="G86" s="155"/>
      <c r="H86" s="155"/>
      <c r="I86" s="155"/>
      <c r="J86" s="155"/>
      <c r="K86" s="155"/>
      <c r="L86" s="155"/>
      <c r="M86" s="155"/>
      <c r="N86" s="160"/>
    </row>
    <row r="87" spans="1:14">
      <c r="A87" s="159"/>
      <c r="B87" s="155"/>
      <c r="C87" s="155"/>
      <c r="D87" s="155"/>
      <c r="E87" s="155"/>
      <c r="F87" s="155"/>
      <c r="G87" s="155"/>
      <c r="H87" s="155"/>
      <c r="I87" s="155"/>
      <c r="J87" s="155"/>
      <c r="K87" s="155"/>
      <c r="L87" s="155"/>
      <c r="M87" s="155"/>
      <c r="N87" s="160"/>
    </row>
    <row r="88" spans="1:14">
      <c r="A88" s="159"/>
      <c r="B88" s="155"/>
      <c r="C88" s="155"/>
      <c r="D88" s="155"/>
      <c r="E88" s="155"/>
      <c r="F88" s="155"/>
      <c r="G88" s="155"/>
      <c r="H88" s="155"/>
      <c r="I88" s="155"/>
      <c r="J88" s="155"/>
      <c r="K88" s="155"/>
      <c r="L88" s="155"/>
      <c r="M88" s="155"/>
      <c r="N88" s="160"/>
    </row>
    <row r="89" spans="1:14">
      <c r="A89" s="159"/>
      <c r="B89" s="155"/>
      <c r="C89" s="155"/>
      <c r="D89" s="155"/>
      <c r="E89" s="155"/>
      <c r="F89" s="155"/>
      <c r="G89" s="155"/>
      <c r="H89" s="155"/>
      <c r="I89" s="155"/>
      <c r="J89" s="155"/>
      <c r="K89" s="155"/>
      <c r="L89" s="155"/>
      <c r="M89" s="155"/>
      <c r="N89" s="160"/>
    </row>
    <row r="90" spans="1:14">
      <c r="A90" s="159"/>
      <c r="B90" s="155"/>
      <c r="C90" s="155"/>
      <c r="D90" s="155"/>
      <c r="E90" s="155"/>
      <c r="F90" s="155"/>
      <c r="G90" s="155"/>
      <c r="H90" s="155"/>
      <c r="I90" s="155"/>
      <c r="J90" s="155"/>
      <c r="K90" s="155"/>
      <c r="L90" s="155"/>
      <c r="M90" s="155"/>
      <c r="N90" s="160"/>
    </row>
    <row r="91" spans="1:14">
      <c r="A91" s="159"/>
      <c r="B91" s="155"/>
      <c r="C91" s="155"/>
      <c r="D91" s="155"/>
      <c r="E91" s="155"/>
      <c r="F91" s="155"/>
      <c r="G91" s="155"/>
      <c r="H91" s="155"/>
      <c r="I91" s="155"/>
      <c r="J91" s="155"/>
      <c r="K91" s="155"/>
      <c r="L91" s="155"/>
      <c r="M91" s="155"/>
      <c r="N91" s="160"/>
    </row>
    <row r="92" spans="1:14">
      <c r="A92" s="159"/>
      <c r="B92" s="155"/>
      <c r="C92" s="155"/>
      <c r="D92" s="155"/>
      <c r="E92" s="155"/>
      <c r="F92" s="155"/>
      <c r="G92" s="155"/>
      <c r="H92" s="155"/>
      <c r="I92" s="155"/>
      <c r="J92" s="155"/>
      <c r="K92" s="155"/>
      <c r="L92" s="155"/>
      <c r="M92" s="155"/>
      <c r="N92" s="160"/>
    </row>
    <row r="93" spans="1:14">
      <c r="A93" s="159"/>
      <c r="B93" s="155"/>
      <c r="C93" s="155"/>
      <c r="D93" s="155"/>
      <c r="E93" s="155"/>
      <c r="F93" s="155"/>
      <c r="G93" s="155"/>
      <c r="H93" s="155"/>
      <c r="I93" s="155"/>
      <c r="J93" s="155"/>
      <c r="K93" s="155"/>
      <c r="L93" s="155"/>
      <c r="M93" s="155"/>
      <c r="N93" s="160"/>
    </row>
    <row r="94" spans="1:14">
      <c r="A94" s="159"/>
      <c r="B94" s="155"/>
      <c r="C94" s="155"/>
      <c r="D94" s="155"/>
      <c r="E94" s="155"/>
      <c r="F94" s="155"/>
      <c r="G94" s="155"/>
      <c r="H94" s="155"/>
      <c r="I94" s="155"/>
      <c r="J94" s="155"/>
      <c r="K94" s="155"/>
      <c r="L94" s="155"/>
      <c r="M94" s="155"/>
      <c r="N94" s="160"/>
    </row>
    <row r="95" spans="1:14">
      <c r="A95" s="159"/>
      <c r="B95" s="155"/>
      <c r="C95" s="155"/>
      <c r="D95" s="155"/>
      <c r="E95" s="155"/>
      <c r="F95" s="155"/>
      <c r="G95" s="155"/>
      <c r="H95" s="155"/>
      <c r="I95" s="155"/>
      <c r="J95" s="155"/>
      <c r="K95" s="155"/>
      <c r="L95" s="155"/>
      <c r="M95" s="155"/>
      <c r="N95" s="160"/>
    </row>
    <row r="96" spans="1:14">
      <c r="A96" s="159"/>
      <c r="B96" s="155"/>
      <c r="C96" s="155"/>
      <c r="D96" s="155"/>
      <c r="E96" s="155"/>
      <c r="F96" s="155"/>
      <c r="G96" s="155"/>
      <c r="H96" s="155"/>
      <c r="I96" s="155"/>
      <c r="J96" s="155"/>
      <c r="K96" s="155"/>
      <c r="L96" s="155"/>
      <c r="M96" s="155"/>
      <c r="N96" s="160"/>
    </row>
    <row r="97" spans="1:14">
      <c r="A97" s="159"/>
      <c r="B97" s="155"/>
      <c r="C97" s="155"/>
      <c r="D97" s="155"/>
      <c r="E97" s="155"/>
      <c r="F97" s="155"/>
      <c r="G97" s="155"/>
      <c r="H97" s="155"/>
      <c r="I97" s="155"/>
      <c r="J97" s="155"/>
      <c r="K97" s="155"/>
      <c r="L97" s="155"/>
      <c r="M97" s="155"/>
      <c r="N97" s="160"/>
    </row>
    <row r="98" spans="1:14">
      <c r="A98" s="159"/>
      <c r="B98" s="155"/>
      <c r="C98" s="155"/>
      <c r="D98" s="155"/>
      <c r="E98" s="155"/>
      <c r="F98" s="155"/>
      <c r="G98" s="155"/>
      <c r="H98" s="155"/>
      <c r="I98" s="155"/>
      <c r="J98" s="155"/>
      <c r="K98" s="155"/>
      <c r="L98" s="155"/>
      <c r="M98" s="155"/>
      <c r="N98" s="160"/>
    </row>
    <row r="99" spans="1:14">
      <c r="A99" s="159"/>
      <c r="B99" s="155"/>
      <c r="C99" s="155"/>
      <c r="D99" s="155"/>
      <c r="E99" s="155"/>
      <c r="F99" s="155"/>
      <c r="G99" s="155"/>
      <c r="H99" s="155"/>
      <c r="I99" s="155"/>
      <c r="J99" s="155"/>
      <c r="K99" s="155"/>
      <c r="L99" s="155"/>
      <c r="M99" s="155"/>
      <c r="N99" s="160"/>
    </row>
    <row r="100" spans="1:14">
      <c r="A100" s="159"/>
      <c r="B100" s="155"/>
      <c r="C100" s="155"/>
      <c r="D100" s="155"/>
      <c r="E100" s="155"/>
      <c r="F100" s="155"/>
      <c r="G100" s="155"/>
      <c r="H100" s="155"/>
      <c r="I100" s="155"/>
      <c r="J100" s="155"/>
      <c r="K100" s="155"/>
      <c r="L100" s="155"/>
      <c r="M100" s="155"/>
      <c r="N100" s="160"/>
    </row>
    <row r="101" spans="1:14">
      <c r="A101" s="159"/>
      <c r="B101" s="155"/>
      <c r="C101" s="155"/>
      <c r="D101" s="155"/>
      <c r="E101" s="155"/>
      <c r="F101" s="155"/>
      <c r="G101" s="155"/>
      <c r="H101" s="155"/>
      <c r="I101" s="155"/>
      <c r="J101" s="155"/>
      <c r="K101" s="155"/>
      <c r="L101" s="155"/>
      <c r="M101" s="155"/>
      <c r="N101" s="160"/>
    </row>
    <row r="102" spans="1:14">
      <c r="A102" s="159"/>
      <c r="B102" s="155"/>
      <c r="C102" s="155"/>
      <c r="D102" s="155"/>
      <c r="E102" s="155"/>
      <c r="F102" s="155"/>
      <c r="G102" s="155"/>
      <c r="H102" s="155"/>
      <c r="I102" s="155"/>
      <c r="J102" s="155"/>
      <c r="K102" s="155"/>
      <c r="L102" s="155"/>
      <c r="M102" s="155"/>
      <c r="N102" s="160"/>
    </row>
    <row r="103" spans="1:14">
      <c r="A103" s="159"/>
      <c r="B103" s="155"/>
      <c r="C103" s="155"/>
      <c r="D103" s="155"/>
      <c r="E103" s="155"/>
      <c r="F103" s="155"/>
      <c r="G103" s="155"/>
      <c r="H103" s="155"/>
      <c r="I103" s="155"/>
      <c r="J103" s="155"/>
      <c r="K103" s="155"/>
      <c r="L103" s="155"/>
      <c r="M103" s="155"/>
      <c r="N103" s="160"/>
    </row>
    <row r="104" spans="1:14">
      <c r="A104" s="159"/>
      <c r="B104" s="155"/>
      <c r="C104" s="155"/>
      <c r="D104" s="155"/>
      <c r="E104" s="155"/>
      <c r="F104" s="155"/>
      <c r="G104" s="155"/>
      <c r="H104" s="155"/>
      <c r="I104" s="155"/>
      <c r="J104" s="155"/>
      <c r="K104" s="155"/>
      <c r="L104" s="155"/>
      <c r="M104" s="155"/>
      <c r="N104" s="160"/>
    </row>
    <row r="105" spans="1:14">
      <c r="A105" s="159"/>
      <c r="B105" s="155"/>
      <c r="C105" s="155"/>
      <c r="D105" s="155"/>
      <c r="E105" s="155"/>
      <c r="F105" s="155"/>
      <c r="G105" s="155"/>
      <c r="H105" s="155"/>
      <c r="I105" s="155"/>
      <c r="J105" s="155"/>
      <c r="K105" s="155"/>
      <c r="L105" s="155"/>
      <c r="M105" s="155"/>
      <c r="N105" s="160"/>
    </row>
    <row r="106" spans="1:14">
      <c r="A106" s="159"/>
      <c r="B106" s="155"/>
      <c r="C106" s="155"/>
      <c r="D106" s="155"/>
      <c r="E106" s="155"/>
      <c r="F106" s="155"/>
      <c r="G106" s="155"/>
      <c r="H106" s="155"/>
      <c r="I106" s="155"/>
      <c r="J106" s="155"/>
      <c r="K106" s="155"/>
      <c r="L106" s="155"/>
      <c r="M106" s="155"/>
      <c r="N106" s="160"/>
    </row>
    <row r="107" spans="1:14">
      <c r="A107" s="159"/>
      <c r="B107" s="155"/>
      <c r="C107" s="155"/>
      <c r="D107" s="155"/>
      <c r="E107" s="155"/>
      <c r="F107" s="155"/>
      <c r="G107" s="155"/>
      <c r="H107" s="155"/>
      <c r="I107" s="155"/>
      <c r="J107" s="155"/>
      <c r="K107" s="155"/>
      <c r="L107" s="155"/>
      <c r="M107" s="155"/>
      <c r="N107" s="160"/>
    </row>
    <row r="108" spans="1:14">
      <c r="A108" s="159"/>
      <c r="B108" s="155"/>
      <c r="C108" s="155"/>
      <c r="D108" s="155"/>
      <c r="E108" s="155"/>
      <c r="F108" s="155"/>
      <c r="G108" s="155"/>
      <c r="H108" s="155"/>
      <c r="I108" s="155"/>
      <c r="J108" s="155"/>
      <c r="K108" s="155"/>
      <c r="L108" s="155"/>
      <c r="M108" s="155"/>
      <c r="N108" s="160"/>
    </row>
    <row r="109" spans="1:14">
      <c r="A109" s="159"/>
      <c r="B109" s="155"/>
      <c r="C109" s="155"/>
      <c r="D109" s="155"/>
      <c r="E109" s="155"/>
      <c r="F109" s="155"/>
      <c r="G109" s="155"/>
      <c r="H109" s="155"/>
      <c r="I109" s="155"/>
      <c r="J109" s="155"/>
      <c r="K109" s="155"/>
      <c r="L109" s="155"/>
      <c r="M109" s="155"/>
      <c r="N109" s="160"/>
    </row>
    <row r="110" spans="1:14">
      <c r="A110" s="159"/>
      <c r="B110" s="155"/>
      <c r="C110" s="155"/>
      <c r="D110" s="155"/>
      <c r="E110" s="155"/>
      <c r="F110" s="155"/>
      <c r="G110" s="155"/>
      <c r="H110" s="155"/>
      <c r="I110" s="155"/>
      <c r="J110" s="155"/>
      <c r="K110" s="155"/>
      <c r="L110" s="155"/>
      <c r="M110" s="155"/>
      <c r="N110" s="160"/>
    </row>
    <row r="111" spans="1:14">
      <c r="A111" s="159"/>
      <c r="B111" s="155"/>
      <c r="C111" s="155"/>
      <c r="D111" s="155"/>
      <c r="E111" s="155"/>
      <c r="F111" s="155"/>
      <c r="G111" s="155"/>
      <c r="H111" s="155"/>
      <c r="I111" s="155"/>
      <c r="J111" s="155"/>
      <c r="K111" s="155"/>
      <c r="L111" s="155"/>
      <c r="M111" s="155"/>
      <c r="N111" s="160"/>
    </row>
    <row r="112" spans="1:14">
      <c r="A112" s="159"/>
      <c r="B112" s="155"/>
      <c r="C112" s="155"/>
      <c r="D112" s="155"/>
      <c r="E112" s="155"/>
      <c r="F112" s="155"/>
      <c r="G112" s="155"/>
      <c r="H112" s="155"/>
      <c r="I112" s="155"/>
      <c r="J112" s="155"/>
      <c r="K112" s="155"/>
      <c r="L112" s="155"/>
      <c r="M112" s="155"/>
      <c r="N112" s="160"/>
    </row>
    <row r="113" spans="1:14">
      <c r="A113" s="159"/>
      <c r="B113" s="155"/>
      <c r="C113" s="155"/>
      <c r="D113" s="155"/>
      <c r="E113" s="155"/>
      <c r="F113" s="155"/>
      <c r="G113" s="155"/>
      <c r="H113" s="155"/>
      <c r="I113" s="155"/>
      <c r="J113" s="155"/>
      <c r="K113" s="155"/>
      <c r="L113" s="155"/>
      <c r="M113" s="155"/>
      <c r="N113" s="160"/>
    </row>
    <row r="114" spans="1:14">
      <c r="A114" s="159"/>
      <c r="B114" s="155"/>
      <c r="C114" s="155"/>
      <c r="D114" s="155"/>
      <c r="E114" s="155"/>
      <c r="F114" s="155"/>
      <c r="G114" s="155"/>
      <c r="H114" s="155"/>
      <c r="I114" s="155"/>
      <c r="J114" s="155"/>
      <c r="K114" s="155"/>
      <c r="L114" s="155"/>
      <c r="M114" s="155"/>
      <c r="N114" s="160"/>
    </row>
    <row r="115" spans="1:14">
      <c r="A115" s="159"/>
      <c r="B115" s="155"/>
      <c r="C115" s="155"/>
      <c r="D115" s="155"/>
      <c r="E115" s="155"/>
      <c r="F115" s="155"/>
      <c r="G115" s="155"/>
      <c r="H115" s="155"/>
      <c r="I115" s="155"/>
      <c r="J115" s="155"/>
      <c r="K115" s="155"/>
      <c r="L115" s="155"/>
      <c r="M115" s="155"/>
      <c r="N115" s="160"/>
    </row>
    <row r="116" spans="1:14">
      <c r="A116" s="159"/>
      <c r="B116" s="155"/>
      <c r="C116" s="155"/>
      <c r="D116" s="155"/>
      <c r="E116" s="155"/>
      <c r="F116" s="155"/>
      <c r="G116" s="155"/>
      <c r="H116" s="155"/>
      <c r="I116" s="155"/>
      <c r="J116" s="155"/>
      <c r="K116" s="155"/>
      <c r="L116" s="155"/>
      <c r="M116" s="155"/>
      <c r="N116" s="160"/>
    </row>
    <row r="117" spans="1:14">
      <c r="A117" s="159"/>
      <c r="B117" s="155"/>
      <c r="C117" s="155"/>
      <c r="D117" s="155"/>
      <c r="E117" s="155"/>
      <c r="F117" s="155"/>
      <c r="G117" s="155"/>
      <c r="H117" s="155"/>
      <c r="I117" s="155"/>
      <c r="J117" s="155"/>
      <c r="K117" s="155"/>
      <c r="L117" s="155"/>
      <c r="M117" s="155"/>
      <c r="N117" s="160"/>
    </row>
    <row r="118" spans="1:14">
      <c r="A118" s="159"/>
      <c r="B118" s="155"/>
      <c r="C118" s="155"/>
      <c r="D118" s="155"/>
      <c r="E118" s="155"/>
      <c r="F118" s="155"/>
      <c r="G118" s="155"/>
      <c r="H118" s="155"/>
      <c r="I118" s="155"/>
      <c r="J118" s="155"/>
      <c r="K118" s="155"/>
      <c r="L118" s="155"/>
      <c r="M118" s="155"/>
      <c r="N118" s="160"/>
    </row>
    <row r="119" spans="1:14">
      <c r="A119" s="159"/>
      <c r="B119" s="155"/>
      <c r="C119" s="155"/>
      <c r="D119" s="155"/>
      <c r="E119" s="155"/>
      <c r="F119" s="155"/>
      <c r="G119" s="155"/>
      <c r="H119" s="155"/>
      <c r="I119" s="155"/>
      <c r="J119" s="155"/>
      <c r="K119" s="155"/>
      <c r="L119" s="155"/>
      <c r="M119" s="155"/>
      <c r="N119" s="160"/>
    </row>
    <row r="120" spans="1:14">
      <c r="A120" s="159"/>
      <c r="B120" s="155"/>
      <c r="C120" s="155"/>
      <c r="D120" s="155"/>
      <c r="E120" s="155"/>
      <c r="F120" s="155"/>
      <c r="G120" s="155"/>
      <c r="H120" s="155"/>
      <c r="I120" s="155"/>
      <c r="J120" s="155"/>
      <c r="K120" s="155"/>
      <c r="L120" s="155"/>
      <c r="M120" s="155"/>
      <c r="N120" s="160"/>
    </row>
    <row r="121" spans="1:14">
      <c r="A121" s="159"/>
      <c r="B121" s="155"/>
      <c r="C121" s="155"/>
      <c r="D121" s="155"/>
      <c r="E121" s="155"/>
      <c r="F121" s="155"/>
      <c r="G121" s="155"/>
      <c r="H121" s="155"/>
      <c r="I121" s="155"/>
      <c r="J121" s="155"/>
      <c r="K121" s="155"/>
      <c r="L121" s="155"/>
      <c r="M121" s="155"/>
      <c r="N121" s="160"/>
    </row>
    <row r="122" spans="1:14">
      <c r="A122" s="159"/>
      <c r="B122" s="155"/>
      <c r="C122" s="155"/>
      <c r="D122" s="155"/>
      <c r="E122" s="155"/>
      <c r="F122" s="155"/>
      <c r="G122" s="155"/>
      <c r="H122" s="155"/>
      <c r="I122" s="155"/>
      <c r="J122" s="155"/>
      <c r="K122" s="155"/>
      <c r="L122" s="155"/>
      <c r="M122" s="155"/>
      <c r="N122" s="160"/>
    </row>
    <row r="123" spans="1:14">
      <c r="A123" s="159"/>
      <c r="B123" s="155"/>
      <c r="C123" s="155"/>
      <c r="D123" s="155"/>
      <c r="E123" s="155"/>
      <c r="F123" s="155"/>
      <c r="G123" s="155"/>
      <c r="H123" s="155"/>
      <c r="I123" s="155"/>
      <c r="J123" s="155"/>
      <c r="K123" s="155"/>
      <c r="L123" s="155"/>
      <c r="M123" s="155"/>
      <c r="N123" s="160"/>
    </row>
    <row r="124" spans="1:14">
      <c r="A124" s="159"/>
      <c r="B124" s="155"/>
      <c r="C124" s="155"/>
      <c r="D124" s="155"/>
      <c r="E124" s="155"/>
      <c r="F124" s="155"/>
      <c r="G124" s="155"/>
      <c r="H124" s="155"/>
      <c r="I124" s="155"/>
      <c r="J124" s="155"/>
      <c r="K124" s="155"/>
      <c r="L124" s="155"/>
      <c r="M124" s="155"/>
      <c r="N124" s="160"/>
    </row>
    <row r="125" spans="1:14">
      <c r="A125" s="159"/>
      <c r="B125" s="155"/>
      <c r="C125" s="155"/>
      <c r="D125" s="155"/>
      <c r="E125" s="155"/>
      <c r="F125" s="155"/>
      <c r="G125" s="155"/>
      <c r="H125" s="155"/>
      <c r="I125" s="155"/>
      <c r="J125" s="155"/>
      <c r="K125" s="155"/>
      <c r="L125" s="155"/>
      <c r="M125" s="155"/>
      <c r="N125" s="160"/>
    </row>
    <row r="126" spans="1:14">
      <c r="A126" s="159"/>
      <c r="B126" s="155"/>
      <c r="C126" s="155"/>
      <c r="D126" s="155"/>
      <c r="E126" s="155"/>
      <c r="F126" s="155"/>
      <c r="G126" s="155"/>
      <c r="H126" s="155"/>
      <c r="I126" s="155"/>
      <c r="J126" s="155"/>
      <c r="K126" s="155"/>
      <c r="L126" s="155"/>
      <c r="M126" s="155"/>
      <c r="N126" s="160"/>
    </row>
    <row r="127" spans="1:14">
      <c r="A127" s="159"/>
      <c r="B127" s="155"/>
      <c r="C127" s="155"/>
      <c r="D127" s="155"/>
      <c r="E127" s="155"/>
      <c r="F127" s="155"/>
      <c r="G127" s="155"/>
      <c r="H127" s="155"/>
      <c r="I127" s="155"/>
      <c r="J127" s="155"/>
      <c r="K127" s="155"/>
      <c r="L127" s="155"/>
      <c r="M127" s="155"/>
      <c r="N127" s="160"/>
    </row>
    <row r="128" spans="1:14">
      <c r="A128" s="159"/>
      <c r="B128" s="155"/>
      <c r="C128" s="155"/>
      <c r="D128" s="155"/>
      <c r="E128" s="155"/>
      <c r="F128" s="155"/>
      <c r="G128" s="155"/>
      <c r="H128" s="155"/>
      <c r="I128" s="155"/>
      <c r="J128" s="155"/>
      <c r="K128" s="155"/>
      <c r="L128" s="155"/>
      <c r="M128" s="155"/>
      <c r="N128" s="160"/>
    </row>
    <row r="129" spans="1:14">
      <c r="A129" s="159"/>
      <c r="B129" s="155"/>
      <c r="C129" s="155"/>
      <c r="D129" s="155"/>
      <c r="E129" s="155"/>
      <c r="F129" s="155"/>
      <c r="G129" s="155"/>
      <c r="H129" s="155"/>
      <c r="I129" s="155"/>
      <c r="J129" s="155"/>
      <c r="K129" s="155"/>
      <c r="L129" s="155"/>
      <c r="M129" s="155"/>
      <c r="N129" s="160"/>
    </row>
    <row r="130" spans="1:14">
      <c r="A130" s="159"/>
      <c r="B130" s="155"/>
      <c r="C130" s="155"/>
      <c r="D130" s="155"/>
      <c r="E130" s="155"/>
      <c r="F130" s="155"/>
      <c r="G130" s="155"/>
      <c r="H130" s="155"/>
      <c r="I130" s="155"/>
      <c r="J130" s="155"/>
      <c r="K130" s="155"/>
      <c r="L130" s="155"/>
      <c r="M130" s="155"/>
      <c r="N130" s="160"/>
    </row>
    <row r="131" spans="1:14">
      <c r="A131" s="159"/>
      <c r="B131" s="155"/>
      <c r="C131" s="155"/>
      <c r="D131" s="155"/>
      <c r="E131" s="155"/>
      <c r="F131" s="155"/>
      <c r="G131" s="155"/>
      <c r="H131" s="155"/>
      <c r="I131" s="155"/>
      <c r="J131" s="155"/>
      <c r="K131" s="155"/>
      <c r="L131" s="155"/>
      <c r="M131" s="155"/>
      <c r="N131" s="160"/>
    </row>
    <row r="132" spans="1:14">
      <c r="A132" s="159"/>
      <c r="B132" s="155"/>
      <c r="C132" s="155"/>
      <c r="D132" s="155"/>
      <c r="E132" s="155"/>
      <c r="F132" s="155"/>
      <c r="G132" s="155"/>
      <c r="H132" s="155"/>
      <c r="I132" s="155"/>
      <c r="J132" s="155"/>
      <c r="K132" s="155"/>
      <c r="L132" s="155"/>
      <c r="M132" s="155"/>
      <c r="N132" s="160"/>
    </row>
    <row r="133" spans="1:14">
      <c r="A133" s="159"/>
      <c r="B133" s="155"/>
      <c r="C133" s="155"/>
      <c r="D133" s="155"/>
      <c r="E133" s="155"/>
      <c r="F133" s="155"/>
      <c r="G133" s="155"/>
      <c r="H133" s="155"/>
      <c r="I133" s="155"/>
      <c r="J133" s="155"/>
      <c r="K133" s="155"/>
      <c r="L133" s="155"/>
      <c r="M133" s="155"/>
      <c r="N133" s="160"/>
    </row>
    <row r="134" spans="1:14">
      <c r="A134" s="159"/>
      <c r="B134" s="155"/>
      <c r="C134" s="155"/>
      <c r="D134" s="155"/>
      <c r="E134" s="155"/>
      <c r="F134" s="155"/>
      <c r="G134" s="155"/>
      <c r="H134" s="155"/>
      <c r="I134" s="155"/>
      <c r="J134" s="155"/>
      <c r="K134" s="155"/>
      <c r="L134" s="155"/>
      <c r="M134" s="155"/>
      <c r="N134" s="160"/>
    </row>
    <row r="135" spans="1:14">
      <c r="A135" s="159"/>
      <c r="B135" s="155"/>
      <c r="C135" s="155"/>
      <c r="D135" s="155"/>
      <c r="E135" s="155"/>
      <c r="F135" s="155"/>
      <c r="G135" s="155"/>
      <c r="H135" s="155"/>
      <c r="I135" s="155"/>
      <c r="J135" s="155"/>
      <c r="K135" s="155"/>
      <c r="L135" s="155"/>
      <c r="M135" s="155"/>
      <c r="N135" s="160"/>
    </row>
    <row r="136" spans="1:14">
      <c r="A136" s="159"/>
      <c r="B136" s="155"/>
      <c r="C136" s="155"/>
      <c r="D136" s="155"/>
      <c r="E136" s="155"/>
      <c r="F136" s="155"/>
      <c r="G136" s="155"/>
      <c r="H136" s="155"/>
      <c r="I136" s="155"/>
      <c r="J136" s="155"/>
      <c r="K136" s="155"/>
      <c r="L136" s="155"/>
      <c r="M136" s="155"/>
      <c r="N136" s="160"/>
    </row>
    <row r="137" spans="1:14">
      <c r="A137" s="159"/>
      <c r="B137" s="155"/>
      <c r="C137" s="155"/>
      <c r="D137" s="155"/>
      <c r="E137" s="155"/>
      <c r="F137" s="155"/>
      <c r="G137" s="155"/>
      <c r="H137" s="155"/>
      <c r="I137" s="155"/>
      <c r="J137" s="155"/>
      <c r="K137" s="155"/>
      <c r="L137" s="155"/>
      <c r="M137" s="155"/>
      <c r="N137" s="160"/>
    </row>
    <row r="138" spans="1:14">
      <c r="A138" s="159"/>
      <c r="B138" s="155"/>
      <c r="C138" s="155"/>
      <c r="D138" s="155"/>
      <c r="E138" s="155"/>
      <c r="F138" s="155"/>
      <c r="G138" s="155"/>
      <c r="H138" s="155"/>
      <c r="I138" s="155"/>
      <c r="J138" s="155"/>
      <c r="K138" s="155"/>
      <c r="L138" s="155"/>
      <c r="M138" s="155"/>
      <c r="N138" s="160"/>
    </row>
    <row r="139" spans="1:14">
      <c r="A139" s="159"/>
      <c r="B139" s="155"/>
      <c r="C139" s="155"/>
      <c r="D139" s="155"/>
      <c r="E139" s="155"/>
      <c r="F139" s="155"/>
      <c r="G139" s="155"/>
      <c r="H139" s="155"/>
      <c r="I139" s="155"/>
      <c r="J139" s="155"/>
      <c r="K139" s="155"/>
      <c r="L139" s="155"/>
      <c r="M139" s="155"/>
      <c r="N139" s="160"/>
    </row>
    <row r="140" spans="1:14">
      <c r="A140" s="159"/>
      <c r="B140" s="155"/>
      <c r="C140" s="155"/>
      <c r="D140" s="155"/>
      <c r="E140" s="155"/>
      <c r="F140" s="155"/>
      <c r="G140" s="155"/>
      <c r="H140" s="155"/>
      <c r="I140" s="155"/>
      <c r="J140" s="155"/>
      <c r="K140" s="155"/>
      <c r="L140" s="155"/>
      <c r="M140" s="155"/>
      <c r="N140" s="160"/>
    </row>
    <row r="141" spans="1:14">
      <c r="A141" s="159"/>
      <c r="B141" s="155"/>
      <c r="C141" s="155"/>
      <c r="D141" s="155"/>
      <c r="E141" s="155"/>
      <c r="F141" s="155"/>
      <c r="G141" s="155"/>
      <c r="H141" s="155"/>
      <c r="I141" s="155"/>
      <c r="J141" s="155"/>
      <c r="K141" s="155"/>
      <c r="L141" s="155"/>
      <c r="M141" s="155"/>
      <c r="N141" s="160"/>
    </row>
    <row r="142" spans="1:14">
      <c r="A142" s="159"/>
      <c r="B142" s="155"/>
      <c r="C142" s="155"/>
      <c r="D142" s="155"/>
      <c r="E142" s="155"/>
      <c r="F142" s="155"/>
      <c r="G142" s="155"/>
      <c r="H142" s="155"/>
      <c r="I142" s="155"/>
      <c r="J142" s="155"/>
      <c r="K142" s="155"/>
      <c r="L142" s="155"/>
      <c r="M142" s="155"/>
      <c r="N142" s="160"/>
    </row>
    <row r="143" spans="1:14">
      <c r="A143" s="159"/>
      <c r="B143" s="155"/>
      <c r="C143" s="155"/>
      <c r="D143" s="155"/>
      <c r="E143" s="155"/>
      <c r="F143" s="155"/>
      <c r="G143" s="155"/>
      <c r="H143" s="155"/>
      <c r="I143" s="155"/>
      <c r="J143" s="155"/>
      <c r="K143" s="155"/>
      <c r="L143" s="155"/>
      <c r="M143" s="155"/>
      <c r="N143" s="160"/>
    </row>
    <row r="144" spans="1:14">
      <c r="A144" s="159"/>
      <c r="B144" s="155"/>
      <c r="C144" s="155"/>
      <c r="D144" s="155"/>
      <c r="E144" s="155"/>
      <c r="F144" s="155"/>
      <c r="G144" s="155"/>
      <c r="H144" s="155"/>
      <c r="I144" s="155"/>
      <c r="J144" s="155"/>
      <c r="K144" s="155"/>
      <c r="L144" s="155"/>
      <c r="M144" s="155"/>
      <c r="N144" s="160"/>
    </row>
    <row r="145" spans="1:14">
      <c r="A145" s="159"/>
      <c r="B145" s="155"/>
      <c r="C145" s="155"/>
      <c r="D145" s="155"/>
      <c r="E145" s="155"/>
      <c r="F145" s="155"/>
      <c r="G145" s="155"/>
      <c r="H145" s="155"/>
      <c r="I145" s="155"/>
      <c r="J145" s="155"/>
      <c r="K145" s="155"/>
      <c r="L145" s="155"/>
      <c r="M145" s="155"/>
      <c r="N145" s="160"/>
    </row>
    <row r="146" spans="1:14">
      <c r="A146" s="159"/>
      <c r="B146" s="155"/>
      <c r="C146" s="155"/>
      <c r="D146" s="155"/>
      <c r="E146" s="155"/>
      <c r="F146" s="155"/>
      <c r="G146" s="155"/>
      <c r="H146" s="155"/>
      <c r="I146" s="155"/>
      <c r="J146" s="155"/>
      <c r="K146" s="155"/>
      <c r="L146" s="155"/>
      <c r="M146" s="155"/>
      <c r="N146" s="160"/>
    </row>
    <row r="147" spans="1:14">
      <c r="A147" s="159"/>
      <c r="B147" s="155"/>
      <c r="C147" s="155"/>
      <c r="D147" s="155"/>
      <c r="E147" s="155"/>
      <c r="F147" s="155"/>
      <c r="G147" s="155"/>
      <c r="H147" s="155"/>
      <c r="I147" s="155"/>
      <c r="J147" s="155"/>
      <c r="K147" s="155"/>
      <c r="L147" s="155"/>
      <c r="M147" s="155"/>
      <c r="N147" s="160"/>
    </row>
    <row r="148" spans="1:14">
      <c r="A148" s="159"/>
      <c r="B148" s="155"/>
      <c r="C148" s="155"/>
      <c r="D148" s="155"/>
      <c r="E148" s="155"/>
      <c r="F148" s="155"/>
      <c r="G148" s="155"/>
      <c r="H148" s="155"/>
      <c r="I148" s="155"/>
      <c r="J148" s="155"/>
      <c r="K148" s="155"/>
      <c r="L148" s="155"/>
      <c r="M148" s="155"/>
      <c r="N148" s="160"/>
    </row>
    <row r="149" spans="1:14">
      <c r="A149" s="159"/>
      <c r="B149" s="155"/>
      <c r="C149" s="155"/>
      <c r="D149" s="155"/>
      <c r="E149" s="155"/>
      <c r="F149" s="155"/>
      <c r="G149" s="155"/>
      <c r="H149" s="155"/>
      <c r="I149" s="155"/>
      <c r="J149" s="155"/>
      <c r="K149" s="155"/>
      <c r="L149" s="155"/>
      <c r="M149" s="155"/>
      <c r="N149" s="160"/>
    </row>
    <row r="150" spans="1:14">
      <c r="A150" s="159"/>
      <c r="B150" s="155"/>
      <c r="C150" s="155"/>
      <c r="D150" s="155"/>
      <c r="E150" s="155"/>
      <c r="F150" s="155"/>
      <c r="G150" s="155"/>
      <c r="H150" s="155"/>
      <c r="I150" s="155"/>
      <c r="J150" s="155"/>
      <c r="K150" s="155"/>
      <c r="L150" s="155"/>
      <c r="M150" s="155"/>
      <c r="N150" s="160"/>
    </row>
    <row r="151" spans="1:14">
      <c r="A151" s="159"/>
      <c r="B151" s="155"/>
      <c r="C151" s="155"/>
      <c r="D151" s="155"/>
      <c r="E151" s="155"/>
      <c r="F151" s="155"/>
      <c r="G151" s="155"/>
      <c r="H151" s="155"/>
      <c r="I151" s="155"/>
      <c r="J151" s="155"/>
      <c r="K151" s="155"/>
      <c r="L151" s="155"/>
      <c r="M151" s="155"/>
      <c r="N151" s="160"/>
    </row>
    <row r="152" spans="1:14">
      <c r="A152" s="159"/>
      <c r="B152" s="155"/>
      <c r="C152" s="155"/>
      <c r="D152" s="155"/>
      <c r="E152" s="155"/>
      <c r="F152" s="155"/>
      <c r="G152" s="155"/>
      <c r="H152" s="155"/>
      <c r="I152" s="155"/>
      <c r="J152" s="155"/>
      <c r="K152" s="155"/>
      <c r="L152" s="155"/>
      <c r="M152" s="155"/>
      <c r="N152" s="160"/>
    </row>
    <row r="153" spans="1:14">
      <c r="A153" s="159"/>
      <c r="B153" s="155"/>
      <c r="C153" s="155"/>
      <c r="D153" s="155"/>
      <c r="E153" s="155"/>
      <c r="F153" s="155"/>
      <c r="G153" s="155"/>
      <c r="H153" s="155"/>
      <c r="I153" s="155"/>
      <c r="J153" s="155"/>
      <c r="K153" s="155"/>
      <c r="L153" s="155"/>
      <c r="M153" s="155"/>
      <c r="N153" s="160"/>
    </row>
    <row r="154" spans="1:14">
      <c r="A154" s="159"/>
      <c r="B154" s="155"/>
      <c r="C154" s="155"/>
      <c r="D154" s="155"/>
      <c r="E154" s="155"/>
      <c r="F154" s="155"/>
      <c r="G154" s="155"/>
      <c r="H154" s="155"/>
      <c r="I154" s="155"/>
      <c r="J154" s="155"/>
      <c r="K154" s="155"/>
      <c r="L154" s="155"/>
      <c r="M154" s="155"/>
      <c r="N154" s="160"/>
    </row>
    <row r="155" spans="1:14">
      <c r="A155" s="159"/>
      <c r="B155" s="155"/>
      <c r="C155" s="155"/>
      <c r="D155" s="155"/>
      <c r="E155" s="155"/>
      <c r="F155" s="155"/>
      <c r="G155" s="155"/>
      <c r="H155" s="155"/>
      <c r="I155" s="155"/>
      <c r="J155" s="155"/>
      <c r="K155" s="155"/>
      <c r="L155" s="155"/>
      <c r="M155" s="155"/>
      <c r="N155" s="160"/>
    </row>
    <row r="156" spans="1:14">
      <c r="A156" s="159"/>
      <c r="B156" s="155"/>
      <c r="C156" s="155"/>
      <c r="D156" s="155"/>
      <c r="E156" s="155"/>
      <c r="F156" s="155"/>
      <c r="G156" s="155"/>
      <c r="H156" s="155"/>
      <c r="I156" s="155"/>
      <c r="J156" s="155"/>
      <c r="K156" s="155"/>
      <c r="L156" s="155"/>
      <c r="M156" s="155"/>
      <c r="N156" s="160"/>
    </row>
    <row r="157" spans="1:14">
      <c r="A157" s="159"/>
      <c r="B157" s="155"/>
      <c r="C157" s="155"/>
      <c r="D157" s="155"/>
      <c r="E157" s="155"/>
      <c r="F157" s="155"/>
      <c r="G157" s="155"/>
      <c r="H157" s="155"/>
      <c r="I157" s="155"/>
      <c r="J157" s="155"/>
      <c r="K157" s="155"/>
      <c r="L157" s="155"/>
      <c r="M157" s="155"/>
      <c r="N157" s="160"/>
    </row>
    <row r="158" spans="1:14">
      <c r="A158" s="159"/>
      <c r="B158" s="155"/>
      <c r="C158" s="155"/>
      <c r="D158" s="155"/>
      <c r="E158" s="155"/>
      <c r="F158" s="155"/>
      <c r="G158" s="155"/>
      <c r="H158" s="155"/>
      <c r="I158" s="155"/>
      <c r="J158" s="155"/>
      <c r="K158" s="155"/>
      <c r="L158" s="155"/>
      <c r="M158" s="155"/>
      <c r="N158" s="160"/>
    </row>
    <row r="159" spans="1:14">
      <c r="A159" s="159"/>
      <c r="B159" s="155"/>
      <c r="C159" s="155"/>
      <c r="D159" s="155"/>
      <c r="E159" s="155"/>
      <c r="F159" s="155"/>
      <c r="G159" s="155"/>
      <c r="H159" s="155"/>
      <c r="I159" s="155"/>
      <c r="J159" s="155"/>
      <c r="K159" s="155"/>
      <c r="L159" s="155"/>
      <c r="M159" s="155"/>
      <c r="N159" s="160"/>
    </row>
    <row r="160" spans="1:14">
      <c r="A160" s="159"/>
      <c r="B160" s="155"/>
      <c r="C160" s="155"/>
      <c r="D160" s="155"/>
      <c r="E160" s="155"/>
      <c r="F160" s="155"/>
      <c r="G160" s="155"/>
      <c r="H160" s="155"/>
      <c r="I160" s="155"/>
      <c r="J160" s="155"/>
      <c r="K160" s="155"/>
      <c r="L160" s="155"/>
      <c r="M160" s="155"/>
      <c r="N160" s="160"/>
    </row>
    <row r="161" spans="1:14">
      <c r="A161" s="159"/>
      <c r="B161" s="155"/>
      <c r="C161" s="155"/>
      <c r="D161" s="155"/>
      <c r="E161" s="155"/>
      <c r="F161" s="155"/>
      <c r="G161" s="155"/>
      <c r="H161" s="155"/>
      <c r="I161" s="155"/>
      <c r="J161" s="155"/>
      <c r="K161" s="155"/>
      <c r="L161" s="155"/>
      <c r="M161" s="155"/>
      <c r="N161" s="160"/>
    </row>
    <row r="162" spans="1:14">
      <c r="A162" s="159"/>
      <c r="B162" s="155"/>
      <c r="C162" s="155"/>
      <c r="D162" s="155"/>
      <c r="E162" s="155"/>
      <c r="F162" s="155"/>
      <c r="G162" s="155"/>
      <c r="H162" s="155"/>
      <c r="I162" s="155"/>
      <c r="J162" s="155"/>
      <c r="K162" s="155"/>
      <c r="L162" s="155"/>
      <c r="M162" s="155"/>
      <c r="N162" s="160"/>
    </row>
    <row r="163" spans="1:14">
      <c r="A163" s="159"/>
      <c r="B163" s="155"/>
      <c r="C163" s="155"/>
      <c r="D163" s="155"/>
      <c r="E163" s="155"/>
      <c r="F163" s="155"/>
      <c r="G163" s="155"/>
      <c r="H163" s="155"/>
      <c r="I163" s="155"/>
      <c r="J163" s="155"/>
      <c r="K163" s="155"/>
      <c r="L163" s="155"/>
      <c r="M163" s="155"/>
      <c r="N163" s="160"/>
    </row>
    <row r="164" spans="1:14">
      <c r="A164" s="159"/>
      <c r="B164" s="155"/>
      <c r="C164" s="155"/>
      <c r="D164" s="155"/>
      <c r="E164" s="155"/>
      <c r="F164" s="155"/>
      <c r="G164" s="155"/>
      <c r="H164" s="155"/>
      <c r="I164" s="155"/>
      <c r="J164" s="155"/>
      <c r="K164" s="155"/>
      <c r="L164" s="155"/>
      <c r="M164" s="155"/>
      <c r="N164" s="160"/>
    </row>
    <row r="165" spans="1:14">
      <c r="A165" s="159"/>
      <c r="B165" s="155"/>
      <c r="C165" s="155"/>
      <c r="D165" s="155"/>
      <c r="E165" s="155"/>
      <c r="F165" s="155"/>
      <c r="G165" s="155"/>
      <c r="H165" s="155"/>
      <c r="I165" s="155"/>
      <c r="J165" s="155"/>
      <c r="K165" s="155"/>
      <c r="L165" s="155"/>
      <c r="M165" s="155"/>
      <c r="N165" s="160"/>
    </row>
    <row r="166" spans="1:14">
      <c r="A166" s="159"/>
      <c r="B166" s="155"/>
      <c r="C166" s="155"/>
      <c r="D166" s="155"/>
      <c r="E166" s="155"/>
      <c r="F166" s="155"/>
      <c r="G166" s="155"/>
      <c r="H166" s="155"/>
      <c r="I166" s="155"/>
      <c r="J166" s="155"/>
      <c r="K166" s="155"/>
      <c r="L166" s="155"/>
      <c r="M166" s="155"/>
      <c r="N166" s="160"/>
    </row>
    <row r="167" spans="1:14">
      <c r="A167" s="159"/>
      <c r="B167" s="155"/>
      <c r="C167" s="155"/>
      <c r="D167" s="155"/>
      <c r="E167" s="155"/>
      <c r="F167" s="155"/>
      <c r="G167" s="155"/>
      <c r="H167" s="155"/>
      <c r="I167" s="155"/>
      <c r="J167" s="155"/>
      <c r="K167" s="155"/>
      <c r="L167" s="155"/>
      <c r="M167" s="155"/>
      <c r="N167" s="160"/>
    </row>
    <row r="168" spans="1:14">
      <c r="A168" s="159"/>
      <c r="B168" s="155"/>
      <c r="C168" s="155"/>
      <c r="D168" s="155"/>
      <c r="E168" s="155"/>
      <c r="F168" s="155"/>
      <c r="G168" s="155"/>
      <c r="H168" s="155"/>
      <c r="I168" s="155"/>
      <c r="J168" s="155"/>
      <c r="K168" s="155"/>
      <c r="L168" s="155"/>
      <c r="M168" s="155"/>
      <c r="N168" s="160"/>
    </row>
    <row r="169" spans="1:14">
      <c r="A169" s="159"/>
      <c r="B169" s="155"/>
      <c r="C169" s="155"/>
      <c r="D169" s="155"/>
      <c r="E169" s="155"/>
      <c r="F169" s="155"/>
      <c r="G169" s="155"/>
      <c r="H169" s="155"/>
      <c r="I169" s="155"/>
      <c r="J169" s="155"/>
      <c r="K169" s="155"/>
      <c r="L169" s="155"/>
      <c r="M169" s="155"/>
      <c r="N169" s="160"/>
    </row>
    <row r="170" spans="1:14">
      <c r="A170" s="159"/>
      <c r="B170" s="155"/>
      <c r="C170" s="155"/>
      <c r="D170" s="155"/>
      <c r="E170" s="155"/>
      <c r="F170" s="155"/>
      <c r="G170" s="155"/>
      <c r="H170" s="155"/>
      <c r="I170" s="155"/>
      <c r="J170" s="155"/>
      <c r="K170" s="155"/>
      <c r="L170" s="155"/>
      <c r="M170" s="155"/>
      <c r="N170" s="160"/>
    </row>
    <row r="171" spans="1:14">
      <c r="A171" s="159"/>
      <c r="B171" s="155"/>
      <c r="C171" s="155"/>
      <c r="D171" s="155"/>
      <c r="E171" s="155"/>
      <c r="F171" s="155"/>
      <c r="G171" s="155"/>
      <c r="H171" s="155"/>
      <c r="I171" s="155"/>
      <c r="J171" s="155"/>
      <c r="K171" s="155"/>
      <c r="L171" s="155"/>
      <c r="M171" s="155"/>
      <c r="N171" s="160"/>
    </row>
    <row r="172" spans="1:14">
      <c r="A172" s="159"/>
      <c r="B172" s="155"/>
      <c r="C172" s="155"/>
      <c r="D172" s="155"/>
      <c r="E172" s="155"/>
      <c r="F172" s="155"/>
      <c r="G172" s="155"/>
      <c r="H172" s="155"/>
      <c r="I172" s="155"/>
      <c r="J172" s="155"/>
      <c r="K172" s="155"/>
      <c r="L172" s="155"/>
      <c r="M172" s="155"/>
      <c r="N172" s="160"/>
    </row>
    <row r="173" spans="1:14">
      <c r="A173" s="159"/>
      <c r="B173" s="155"/>
      <c r="C173" s="155"/>
      <c r="D173" s="155"/>
      <c r="E173" s="155"/>
      <c r="F173" s="155"/>
      <c r="G173" s="155"/>
      <c r="H173" s="155"/>
      <c r="I173" s="155"/>
      <c r="J173" s="155"/>
      <c r="K173" s="155"/>
      <c r="L173" s="155"/>
      <c r="M173" s="155"/>
      <c r="N173" s="160"/>
    </row>
    <row r="174" spans="1:14">
      <c r="A174" s="159"/>
      <c r="B174" s="155"/>
      <c r="C174" s="155"/>
      <c r="D174" s="155"/>
      <c r="E174" s="155"/>
      <c r="F174" s="155"/>
      <c r="G174" s="155"/>
      <c r="H174" s="155"/>
      <c r="I174" s="155"/>
      <c r="J174" s="155"/>
      <c r="K174" s="155"/>
      <c r="L174" s="155"/>
      <c r="M174" s="155"/>
      <c r="N174" s="160"/>
    </row>
    <row r="175" spans="1:14">
      <c r="A175" s="159"/>
      <c r="B175" s="155"/>
      <c r="C175" s="155"/>
      <c r="D175" s="155"/>
      <c r="E175" s="155"/>
      <c r="F175" s="155"/>
      <c r="G175" s="155"/>
      <c r="H175" s="155"/>
      <c r="I175" s="155"/>
      <c r="J175" s="155"/>
      <c r="K175" s="155"/>
      <c r="L175" s="155"/>
      <c r="M175" s="155"/>
      <c r="N175" s="160"/>
    </row>
    <row r="176" spans="1:14">
      <c r="A176" s="159"/>
      <c r="B176" s="155"/>
      <c r="C176" s="155"/>
      <c r="D176" s="155"/>
      <c r="E176" s="155"/>
      <c r="F176" s="155"/>
      <c r="G176" s="155"/>
      <c r="H176" s="155"/>
      <c r="I176" s="155"/>
      <c r="J176" s="155"/>
      <c r="K176" s="155"/>
      <c r="L176" s="155"/>
      <c r="M176" s="155"/>
      <c r="N176" s="160"/>
    </row>
    <row r="177" spans="1:14">
      <c r="A177" s="159"/>
      <c r="B177" s="155"/>
      <c r="C177" s="155"/>
      <c r="D177" s="155"/>
      <c r="E177" s="155"/>
      <c r="F177" s="155"/>
      <c r="G177" s="155"/>
      <c r="H177" s="155"/>
      <c r="I177" s="155"/>
      <c r="J177" s="155"/>
      <c r="K177" s="155"/>
      <c r="L177" s="155"/>
      <c r="M177" s="155"/>
      <c r="N177" s="160"/>
    </row>
    <row r="178" spans="1:14">
      <c r="A178" s="159"/>
      <c r="B178" s="155"/>
      <c r="C178" s="155"/>
      <c r="D178" s="155"/>
      <c r="E178" s="155"/>
      <c r="F178" s="155"/>
      <c r="G178" s="155"/>
      <c r="H178" s="155"/>
      <c r="I178" s="155"/>
      <c r="J178" s="155"/>
      <c r="K178" s="155"/>
      <c r="L178" s="155"/>
      <c r="M178" s="155"/>
      <c r="N178" s="160"/>
    </row>
    <row r="179" spans="1:14">
      <c r="A179" s="159"/>
      <c r="B179" s="155"/>
      <c r="C179" s="155"/>
      <c r="D179" s="155"/>
      <c r="E179" s="155"/>
      <c r="F179" s="155"/>
      <c r="G179" s="155"/>
      <c r="H179" s="155"/>
      <c r="I179" s="155"/>
      <c r="J179" s="155"/>
      <c r="K179" s="155"/>
      <c r="L179" s="155"/>
      <c r="M179" s="155"/>
      <c r="N179" s="160"/>
    </row>
    <row r="180" spans="1:14">
      <c r="A180" s="159"/>
      <c r="B180" s="155"/>
      <c r="C180" s="155"/>
      <c r="D180" s="155"/>
      <c r="E180" s="155"/>
      <c r="F180" s="155"/>
      <c r="G180" s="155"/>
      <c r="H180" s="155"/>
      <c r="I180" s="155"/>
      <c r="J180" s="155"/>
      <c r="K180" s="155"/>
      <c r="L180" s="155"/>
      <c r="M180" s="155"/>
      <c r="N180" s="160"/>
    </row>
    <row r="181" spans="1:14">
      <c r="A181" s="159"/>
      <c r="B181" s="155"/>
      <c r="C181" s="155"/>
      <c r="D181" s="155"/>
      <c r="E181" s="155"/>
      <c r="F181" s="155"/>
      <c r="G181" s="155"/>
      <c r="H181" s="155"/>
      <c r="I181" s="155"/>
      <c r="J181" s="155"/>
      <c r="K181" s="155"/>
      <c r="L181" s="155"/>
      <c r="M181" s="155"/>
      <c r="N181" s="160"/>
    </row>
    <row r="182" spans="1:14">
      <c r="A182" s="159"/>
      <c r="B182" s="155"/>
      <c r="C182" s="155"/>
      <c r="D182" s="155"/>
      <c r="E182" s="155"/>
      <c r="F182" s="155"/>
      <c r="G182" s="155"/>
      <c r="H182" s="155"/>
      <c r="I182" s="155"/>
      <c r="J182" s="155"/>
      <c r="K182" s="155"/>
      <c r="L182" s="155"/>
      <c r="M182" s="155"/>
      <c r="N182" s="160"/>
    </row>
    <row r="183" spans="1:14">
      <c r="A183" s="159"/>
      <c r="B183" s="155"/>
      <c r="C183" s="155"/>
      <c r="D183" s="155"/>
      <c r="E183" s="155"/>
      <c r="F183" s="155"/>
      <c r="G183" s="155"/>
      <c r="H183" s="155"/>
      <c r="I183" s="155"/>
      <c r="J183" s="155"/>
      <c r="K183" s="155"/>
      <c r="L183" s="155"/>
      <c r="M183" s="155"/>
      <c r="N183" s="160"/>
    </row>
    <row r="184" spans="1:14">
      <c r="A184" s="159"/>
      <c r="B184" s="155"/>
      <c r="C184" s="155"/>
      <c r="D184" s="155"/>
      <c r="E184" s="155"/>
      <c r="F184" s="155"/>
      <c r="G184" s="155"/>
      <c r="H184" s="155"/>
      <c r="I184" s="155"/>
      <c r="J184" s="155"/>
      <c r="K184" s="155"/>
      <c r="L184" s="155"/>
      <c r="M184" s="155"/>
      <c r="N184" s="160"/>
    </row>
    <row r="185" spans="1:14">
      <c r="A185" s="159"/>
      <c r="B185" s="155"/>
      <c r="C185" s="155"/>
      <c r="D185" s="155"/>
      <c r="E185" s="155"/>
      <c r="F185" s="155"/>
      <c r="G185" s="155"/>
      <c r="H185" s="155"/>
      <c r="I185" s="155"/>
      <c r="J185" s="155"/>
      <c r="K185" s="155"/>
      <c r="L185" s="155"/>
      <c r="M185" s="155"/>
      <c r="N185" s="160"/>
    </row>
    <row r="186" spans="1:14">
      <c r="A186" s="159"/>
      <c r="B186" s="155"/>
      <c r="C186" s="155"/>
      <c r="D186" s="155"/>
      <c r="E186" s="155"/>
      <c r="F186" s="155"/>
      <c r="G186" s="155"/>
      <c r="H186" s="155"/>
      <c r="I186" s="155"/>
      <c r="J186" s="155"/>
      <c r="K186" s="155"/>
      <c r="L186" s="155"/>
      <c r="M186" s="155"/>
      <c r="N186" s="160"/>
    </row>
    <row r="187" spans="1:14">
      <c r="A187" s="159"/>
      <c r="B187" s="155"/>
      <c r="C187" s="155"/>
      <c r="D187" s="155"/>
      <c r="E187" s="155"/>
      <c r="F187" s="155"/>
      <c r="G187" s="155"/>
      <c r="H187" s="155"/>
      <c r="I187" s="155"/>
      <c r="J187" s="155"/>
      <c r="K187" s="155"/>
      <c r="L187" s="155"/>
      <c r="M187" s="155"/>
      <c r="N187" s="160"/>
    </row>
    <row r="188" spans="1:14">
      <c r="A188" s="159"/>
      <c r="B188" s="155"/>
      <c r="C188" s="155"/>
      <c r="D188" s="155"/>
      <c r="E188" s="155"/>
      <c r="F188" s="155"/>
      <c r="G188" s="155"/>
      <c r="H188" s="155"/>
      <c r="I188" s="155"/>
      <c r="J188" s="155"/>
      <c r="K188" s="155"/>
      <c r="L188" s="155"/>
      <c r="M188" s="155"/>
      <c r="N188" s="160"/>
    </row>
    <row r="189" spans="1:14">
      <c r="A189" s="159"/>
      <c r="B189" s="155"/>
      <c r="C189" s="155"/>
      <c r="D189" s="155"/>
      <c r="E189" s="155"/>
      <c r="F189" s="155"/>
      <c r="G189" s="155"/>
      <c r="H189" s="155"/>
      <c r="I189" s="155"/>
      <c r="J189" s="155"/>
      <c r="K189" s="155"/>
      <c r="L189" s="155"/>
      <c r="M189" s="155"/>
      <c r="N189" s="160"/>
    </row>
    <row r="190" spans="1:14">
      <c r="A190" s="159"/>
      <c r="B190" s="155"/>
      <c r="C190" s="155"/>
      <c r="D190" s="155"/>
      <c r="E190" s="155"/>
      <c r="F190" s="155"/>
      <c r="G190" s="155"/>
      <c r="H190" s="155"/>
      <c r="I190" s="155"/>
      <c r="J190" s="155"/>
      <c r="K190" s="155"/>
      <c r="L190" s="155"/>
      <c r="M190" s="155"/>
      <c r="N190" s="160"/>
    </row>
    <row r="191" spans="1:14">
      <c r="A191" s="159"/>
      <c r="B191" s="155"/>
      <c r="C191" s="155"/>
      <c r="D191" s="155"/>
      <c r="E191" s="155"/>
      <c r="F191" s="155"/>
      <c r="G191" s="155"/>
      <c r="H191" s="155"/>
      <c r="I191" s="155"/>
      <c r="J191" s="155"/>
      <c r="K191" s="155"/>
      <c r="L191" s="155"/>
      <c r="M191" s="155"/>
      <c r="N191" s="160"/>
    </row>
    <row r="192" spans="1:14">
      <c r="A192" s="159"/>
      <c r="B192" s="155"/>
      <c r="C192" s="155"/>
      <c r="D192" s="155"/>
      <c r="E192" s="155"/>
      <c r="F192" s="155"/>
      <c r="G192" s="155"/>
      <c r="H192" s="155"/>
      <c r="I192" s="155"/>
      <c r="J192" s="155"/>
      <c r="K192" s="155"/>
      <c r="L192" s="155"/>
      <c r="M192" s="155"/>
      <c r="N192" s="160"/>
    </row>
    <row r="193" spans="1:14">
      <c r="A193" s="159"/>
      <c r="B193" s="155"/>
      <c r="C193" s="155"/>
      <c r="D193" s="155"/>
      <c r="E193" s="155"/>
      <c r="F193" s="155"/>
      <c r="G193" s="155"/>
      <c r="H193" s="155"/>
      <c r="I193" s="155"/>
      <c r="J193" s="155"/>
      <c r="K193" s="155"/>
      <c r="L193" s="155"/>
      <c r="M193" s="155"/>
      <c r="N193" s="160"/>
    </row>
    <row r="194" spans="1:14">
      <c r="A194" s="159"/>
      <c r="B194" s="155"/>
      <c r="C194" s="155"/>
      <c r="D194" s="155"/>
      <c r="E194" s="155"/>
      <c r="F194" s="155"/>
      <c r="G194" s="155"/>
      <c r="H194" s="155"/>
      <c r="I194" s="155"/>
      <c r="J194" s="155"/>
      <c r="K194" s="155"/>
      <c r="L194" s="155"/>
      <c r="M194" s="155"/>
      <c r="N194" s="160"/>
    </row>
    <row r="195" spans="1:14">
      <c r="A195" s="159"/>
      <c r="B195" s="155"/>
      <c r="C195" s="155"/>
      <c r="D195" s="155"/>
      <c r="E195" s="155"/>
      <c r="F195" s="155"/>
      <c r="G195" s="155"/>
      <c r="H195" s="155"/>
      <c r="I195" s="155"/>
      <c r="J195" s="155"/>
      <c r="K195" s="155"/>
      <c r="L195" s="155"/>
      <c r="M195" s="155"/>
      <c r="N195" s="160"/>
    </row>
    <row r="196" spans="1:14">
      <c r="A196" s="159"/>
      <c r="B196" s="155"/>
      <c r="C196" s="155"/>
      <c r="D196" s="155"/>
      <c r="E196" s="155"/>
      <c r="F196" s="155"/>
      <c r="G196" s="155"/>
      <c r="H196" s="155"/>
      <c r="I196" s="155"/>
      <c r="J196" s="155"/>
      <c r="K196" s="155"/>
      <c r="L196" s="155"/>
      <c r="M196" s="155"/>
      <c r="N196" s="160"/>
    </row>
    <row r="197" spans="1:14">
      <c r="A197" s="159"/>
      <c r="B197" s="155"/>
      <c r="C197" s="155"/>
      <c r="D197" s="155"/>
      <c r="E197" s="155"/>
      <c r="F197" s="155"/>
      <c r="G197" s="155"/>
      <c r="H197" s="155"/>
      <c r="I197" s="155"/>
      <c r="J197" s="155"/>
      <c r="K197" s="155"/>
      <c r="L197" s="155"/>
      <c r="M197" s="155"/>
      <c r="N197" s="160"/>
    </row>
    <row r="198" spans="1:14">
      <c r="A198" s="159"/>
      <c r="B198" s="155"/>
      <c r="C198" s="155"/>
      <c r="D198" s="155"/>
      <c r="E198" s="155"/>
      <c r="F198" s="155"/>
      <c r="G198" s="155"/>
      <c r="H198" s="155"/>
      <c r="I198" s="155"/>
      <c r="J198" s="155"/>
      <c r="K198" s="155"/>
      <c r="L198" s="155"/>
      <c r="M198" s="155"/>
      <c r="N198" s="160"/>
    </row>
    <row r="199" spans="1:14">
      <c r="A199" s="159"/>
      <c r="B199" s="155"/>
      <c r="C199" s="155"/>
      <c r="D199" s="155"/>
      <c r="E199" s="155"/>
      <c r="F199" s="155"/>
      <c r="G199" s="155"/>
      <c r="H199" s="155"/>
      <c r="I199" s="155"/>
      <c r="J199" s="155"/>
      <c r="K199" s="155"/>
      <c r="L199" s="155"/>
      <c r="M199" s="155"/>
      <c r="N199" s="160"/>
    </row>
    <row r="200" spans="1:14">
      <c r="A200" s="159"/>
      <c r="B200" s="155"/>
      <c r="C200" s="155"/>
      <c r="D200" s="155"/>
      <c r="E200" s="155"/>
      <c r="F200" s="155"/>
      <c r="G200" s="155"/>
      <c r="H200" s="155"/>
      <c r="I200" s="155"/>
      <c r="J200" s="155"/>
      <c r="K200" s="155"/>
      <c r="L200" s="155"/>
      <c r="M200" s="155"/>
      <c r="N200" s="160"/>
    </row>
    <row r="201" spans="1:14">
      <c r="A201" s="159"/>
      <c r="B201" s="155"/>
      <c r="C201" s="155"/>
      <c r="D201" s="155"/>
      <c r="E201" s="155"/>
      <c r="F201" s="155"/>
      <c r="G201" s="155"/>
      <c r="H201" s="155"/>
      <c r="I201" s="155"/>
      <c r="J201" s="155"/>
      <c r="K201" s="155"/>
      <c r="L201" s="155"/>
      <c r="M201" s="155"/>
      <c r="N201" s="160"/>
    </row>
    <row r="202" spans="1:14">
      <c r="A202" s="159"/>
      <c r="B202" s="155"/>
      <c r="C202" s="155"/>
      <c r="D202" s="155"/>
      <c r="E202" s="155"/>
      <c r="F202" s="155"/>
      <c r="G202" s="155"/>
      <c r="H202" s="155"/>
      <c r="I202" s="155"/>
      <c r="J202" s="155"/>
      <c r="K202" s="155"/>
      <c r="L202" s="155"/>
      <c r="M202" s="155"/>
      <c r="N202" s="160"/>
    </row>
    <row r="203" spans="1:14">
      <c r="A203" s="159"/>
      <c r="B203" s="155"/>
      <c r="C203" s="155"/>
      <c r="D203" s="155"/>
      <c r="E203" s="155"/>
      <c r="F203" s="155"/>
      <c r="G203" s="155"/>
      <c r="H203" s="155"/>
      <c r="I203" s="155"/>
      <c r="J203" s="155"/>
      <c r="K203" s="155"/>
      <c r="L203" s="155"/>
      <c r="M203" s="155"/>
      <c r="N203" s="160"/>
    </row>
    <row r="204" spans="1:14">
      <c r="A204" s="159"/>
      <c r="B204" s="155"/>
      <c r="C204" s="155"/>
      <c r="D204" s="155"/>
      <c r="E204" s="155"/>
      <c r="F204" s="155"/>
      <c r="G204" s="155"/>
      <c r="H204" s="155"/>
      <c r="I204" s="155"/>
      <c r="J204" s="155"/>
      <c r="K204" s="155"/>
      <c r="L204" s="155"/>
      <c r="M204" s="155"/>
      <c r="N204" s="160"/>
    </row>
    <row r="205" spans="1:14">
      <c r="A205" s="159"/>
      <c r="B205" s="155"/>
      <c r="C205" s="155"/>
      <c r="D205" s="155"/>
      <c r="E205" s="155"/>
      <c r="F205" s="155"/>
      <c r="G205" s="155"/>
      <c r="H205" s="155"/>
      <c r="I205" s="155"/>
      <c r="J205" s="155"/>
      <c r="K205" s="155"/>
      <c r="L205" s="155"/>
      <c r="M205" s="155"/>
      <c r="N205" s="160"/>
    </row>
    <row r="206" spans="1:14">
      <c r="A206" s="161"/>
      <c r="B206" s="162"/>
      <c r="C206" s="162"/>
      <c r="D206" s="162"/>
      <c r="E206" s="162"/>
      <c r="F206" s="162"/>
      <c r="G206" s="162"/>
      <c r="H206" s="162"/>
      <c r="I206" s="162"/>
      <c r="J206" s="162"/>
      <c r="K206" s="162"/>
      <c r="L206" s="162"/>
      <c r="M206" s="162"/>
      <c r="N206" s="163"/>
    </row>
  </sheetData>
  <mergeCells count="2">
    <mergeCell ref="A1:N1"/>
    <mergeCell ref="A2:N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1F00-000000000000}">
          <x14:formula1>
            <xm:f>_LISTS!$P$2:$P$6</xm:f>
          </x14:formula1>
          <xm:sqref>F7:F206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36"/>
  <sheetViews>
    <sheetView workbookViewId="0"/>
  </sheetViews>
  <sheetFormatPr defaultRowHeight="14.25"/>
  <cols>
    <col min="1" max="1" width="4" customWidth="1"/>
    <col min="2" max="3" width="23" customWidth="1"/>
    <col min="4" max="7" width="15" customWidth="1"/>
    <col min="8" max="8" width="20" customWidth="1"/>
    <col min="9" max="9" width="30" customWidth="1"/>
    <col min="10" max="10" width="16" customWidth="1"/>
    <col min="11" max="11" width="20" customWidth="1"/>
    <col min="12" max="12" width="18" customWidth="1"/>
    <col min="13" max="13" width="15" customWidth="1"/>
    <col min="14" max="14" width="18" customWidth="1"/>
    <col min="15" max="15" width="14" customWidth="1"/>
    <col min="16" max="16" width="18" customWidth="1"/>
  </cols>
  <sheetData>
    <row r="1" spans="1:16" ht="27" customHeight="1">
      <c r="A1" s="270" t="s">
        <v>1375</v>
      </c>
      <c r="B1" s="270"/>
      <c r="C1" s="276" t="s">
        <v>1376</v>
      </c>
      <c r="D1" s="276"/>
      <c r="E1" s="276"/>
      <c r="F1" s="276"/>
      <c r="G1" s="276"/>
      <c r="H1" s="276"/>
      <c r="I1" s="276"/>
      <c r="J1" s="276"/>
      <c r="K1" s="276"/>
      <c r="L1" s="276"/>
      <c r="M1" s="276"/>
      <c r="N1" s="276"/>
      <c r="O1" s="276"/>
      <c r="P1" s="276"/>
    </row>
    <row r="2" spans="1:16" ht="27" customHeight="1">
      <c r="A2" s="271" t="s">
        <v>1377</v>
      </c>
      <c r="B2" s="271"/>
      <c r="C2" s="277" t="s">
        <v>1378</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2" t="s">
        <v>1381</v>
      </c>
      <c r="B5" s="272"/>
      <c r="C5" s="279" t="s">
        <v>1116</v>
      </c>
      <c r="D5" s="280"/>
      <c r="E5" s="281"/>
      <c r="F5" s="279" t="s">
        <v>973</v>
      </c>
      <c r="G5" s="280"/>
      <c r="H5" s="281"/>
      <c r="I5" s="279" t="s">
        <v>1001</v>
      </c>
      <c r="J5" s="280"/>
      <c r="K5" s="281"/>
      <c r="L5" s="279" t="s">
        <v>1382</v>
      </c>
      <c r="M5" s="280"/>
      <c r="N5" s="281"/>
      <c r="O5" s="279" t="s">
        <v>1117</v>
      </c>
      <c r="P5" s="281"/>
    </row>
    <row r="6" spans="1:16" ht="18.95" customHeight="1">
      <c r="A6" s="272"/>
      <c r="B6" s="272"/>
      <c r="C6" s="282">
        <f>IFERROR(DATA_METRIC_LONG!E7,"")</f>
        <v>0</v>
      </c>
      <c r="D6" s="283"/>
      <c r="E6" s="284"/>
      <c r="F6" s="291">
        <f>IFERROR(DATA_METRIC_LONG!E12,"")</f>
        <v>0</v>
      </c>
      <c r="G6" s="292"/>
      <c r="H6" s="293"/>
      <c r="I6" s="300">
        <f>IFERROR(DATA_METRIC_LONG!E21,"")</f>
        <v>0</v>
      </c>
      <c r="J6" s="301"/>
      <c r="K6" s="302"/>
      <c r="L6" s="309" t="str">
        <f>IFERROR(DATA_METRIC_LONG!E24,"")</f>
        <v/>
      </c>
      <c r="M6" s="310"/>
      <c r="N6" s="311"/>
      <c r="O6" s="318" t="str">
        <f>IFERROR(OUT_STAGE1_READINESS_SNAPSHOT!I5,"")</f>
        <v>Conditional</v>
      </c>
      <c r="P6" s="319"/>
    </row>
    <row r="7" spans="1:16" ht="18.95" customHeight="1">
      <c r="A7" s="176"/>
      <c r="B7" s="176"/>
      <c r="C7" s="285"/>
      <c r="D7" s="286"/>
      <c r="E7" s="287"/>
      <c r="F7" s="294"/>
      <c r="G7" s="295"/>
      <c r="H7" s="296"/>
      <c r="I7" s="303"/>
      <c r="J7" s="304"/>
      <c r="K7" s="305"/>
      <c r="L7" s="312"/>
      <c r="M7" s="313"/>
      <c r="N7" s="314"/>
      <c r="O7" s="320"/>
      <c r="P7" s="321"/>
    </row>
    <row r="8" spans="1:16" ht="18.95" customHeight="1">
      <c r="A8" s="273" t="s">
        <v>1383</v>
      </c>
      <c r="B8" s="273"/>
      <c r="C8" s="288"/>
      <c r="D8" s="289"/>
      <c r="E8" s="290"/>
      <c r="F8" s="297"/>
      <c r="G8" s="298"/>
      <c r="H8" s="299"/>
      <c r="I8" s="306"/>
      <c r="J8" s="307"/>
      <c r="K8" s="308"/>
      <c r="L8" s="315"/>
      <c r="M8" s="316"/>
      <c r="N8" s="317"/>
      <c r="O8" s="322"/>
      <c r="P8" s="323"/>
    </row>
    <row r="9" spans="1:16" ht="18.95" customHeight="1">
      <c r="A9" s="273"/>
      <c r="B9" s="273"/>
      <c r="C9" s="2"/>
      <c r="D9" s="2"/>
      <c r="E9" s="2"/>
      <c r="F9" s="2"/>
      <c r="G9" s="2"/>
      <c r="H9" s="2"/>
      <c r="I9" s="2"/>
      <c r="J9" s="2"/>
      <c r="K9" s="2"/>
      <c r="L9" s="2"/>
      <c r="M9" s="2"/>
      <c r="N9" s="2"/>
      <c r="O9" s="2"/>
      <c r="P9" s="2"/>
    </row>
    <row r="10" spans="1:16" ht="18.95" customHeight="1">
      <c r="A10" s="176"/>
      <c r="B10" s="176"/>
      <c r="C10" s="324" t="s">
        <v>1384</v>
      </c>
      <c r="D10" s="325"/>
      <c r="E10" s="325"/>
      <c r="F10" s="325"/>
      <c r="G10" s="325"/>
      <c r="H10" s="326"/>
      <c r="I10" s="324" t="s">
        <v>1385</v>
      </c>
      <c r="J10" s="325"/>
      <c r="K10" s="325"/>
      <c r="L10" s="325"/>
      <c r="M10" s="325"/>
      <c r="N10" s="325"/>
      <c r="O10" s="325"/>
      <c r="P10" s="326"/>
    </row>
    <row r="11" spans="1:16" ht="18.95" customHeight="1">
      <c r="A11" s="273" t="s">
        <v>1386</v>
      </c>
      <c r="B11" s="273"/>
      <c r="C11" s="177" t="s">
        <v>1387</v>
      </c>
      <c r="D11" s="178" t="s">
        <v>1388</v>
      </c>
      <c r="E11" s="178" t="s">
        <v>1389</v>
      </c>
      <c r="F11" s="178" t="s">
        <v>1390</v>
      </c>
      <c r="G11" s="178" t="s">
        <v>1391</v>
      </c>
      <c r="H11" s="179" t="s">
        <v>1392</v>
      </c>
      <c r="I11" s="177" t="s">
        <v>1393</v>
      </c>
      <c r="J11" s="178" t="s">
        <v>1394</v>
      </c>
      <c r="K11" s="178" t="s">
        <v>308</v>
      </c>
      <c r="L11" s="178" t="s">
        <v>1395</v>
      </c>
      <c r="M11" s="178" t="s">
        <v>1396</v>
      </c>
      <c r="N11" s="178" t="s">
        <v>94</v>
      </c>
      <c r="O11" s="178" t="s">
        <v>305</v>
      </c>
      <c r="P11" s="179" t="s">
        <v>1397</v>
      </c>
    </row>
    <row r="12" spans="1:16" ht="33.950000000000003" customHeight="1">
      <c r="A12" s="273"/>
      <c r="B12" s="273"/>
      <c r="C12" s="156">
        <f>IFERROR(FIELD_HISTORY!E7,"")</f>
        <v>0</v>
      </c>
      <c r="D12" s="180">
        <f>IFERROR(FIELD_HISTORY!F7,"")</f>
        <v>0</v>
      </c>
      <c r="E12" s="180">
        <f>IFERROR(FIELD_HISTORY!G7,"")</f>
        <v>0</v>
      </c>
      <c r="F12" s="180" t="str">
        <f>IFERROR(FIELD_HISTORY!I7,"")</f>
        <v/>
      </c>
      <c r="G12" s="157">
        <f>IFERROR(FIELD_HISTORY!K7,"")</f>
        <v>0</v>
      </c>
      <c r="H12" s="158">
        <f>IFERROR(FIELD_HISTORY!L7,"")</f>
        <v>0</v>
      </c>
      <c r="I12" s="156">
        <f>IFERROR(ACTION_DECISION!G7,"")</f>
        <v>0</v>
      </c>
      <c r="J12" s="157">
        <f>IFERROR(ACTION_DECISION!D7,"")</f>
        <v>0</v>
      </c>
      <c r="K12" s="157">
        <f>IFERROR(ACTION_DECISION!H7,"")</f>
        <v>0</v>
      </c>
      <c r="L12" s="157">
        <f>IFERROR(ACTION_DECISION!I7,"")</f>
        <v>0</v>
      </c>
      <c r="M12" s="157">
        <f>IFERROR(ACTION_DECISION!K7,"")</f>
        <v>0</v>
      </c>
      <c r="N12" s="157">
        <f>IFERROR(ACTION_DECISION!L7,"")</f>
        <v>0</v>
      </c>
      <c r="O12" s="157">
        <f>IFERROR(ACTION_DECISION!M7,"")</f>
        <v>0</v>
      </c>
      <c r="P12" s="158">
        <f>IFERROR(ACTION_DECISION!P7,"")</f>
        <v>0</v>
      </c>
    </row>
    <row r="13" spans="1:16" ht="33.950000000000003" customHeight="1">
      <c r="A13" s="176"/>
      <c r="B13" s="176"/>
      <c r="C13" s="159">
        <f>IFERROR(FIELD_HISTORY!E8,"")</f>
        <v>0</v>
      </c>
      <c r="D13" s="181">
        <f>IFERROR(FIELD_HISTORY!F8,"")</f>
        <v>0</v>
      </c>
      <c r="E13" s="181">
        <f>IFERROR(FIELD_HISTORY!G8,"")</f>
        <v>0</v>
      </c>
      <c r="F13" s="181" t="str">
        <f>IFERROR(FIELD_HISTORY!I8,"")</f>
        <v/>
      </c>
      <c r="G13" s="155">
        <f>IFERROR(FIELD_HISTORY!K8,"")</f>
        <v>0</v>
      </c>
      <c r="H13" s="160">
        <f>IFERROR(FIELD_HISTORY!L8,"")</f>
        <v>0</v>
      </c>
      <c r="I13" s="159">
        <f>IFERROR(ACTION_DECISION!G8,"")</f>
        <v>0</v>
      </c>
      <c r="J13" s="155">
        <f>IFERROR(ACTION_DECISION!D8,"")</f>
        <v>0</v>
      </c>
      <c r="K13" s="155">
        <f>IFERROR(ACTION_DECISION!H8,"")</f>
        <v>0</v>
      </c>
      <c r="L13" s="155">
        <f>IFERROR(ACTION_DECISION!I8,"")</f>
        <v>0</v>
      </c>
      <c r="M13" s="155">
        <f>IFERROR(ACTION_DECISION!K8,"")</f>
        <v>0</v>
      </c>
      <c r="N13" s="155">
        <f>IFERROR(ACTION_DECISION!L8,"")</f>
        <v>0</v>
      </c>
      <c r="O13" s="155">
        <f>IFERROR(ACTION_DECISION!M8,"")</f>
        <v>0</v>
      </c>
      <c r="P13" s="160">
        <f>IFERROR(ACTION_DECISION!P8,"")</f>
        <v>0</v>
      </c>
    </row>
    <row r="14" spans="1:16" ht="33.950000000000003" customHeight="1">
      <c r="A14" s="273" t="s">
        <v>1398</v>
      </c>
      <c r="B14" s="273"/>
      <c r="C14" s="159">
        <f>IFERROR(FIELD_HISTORY!E9,"")</f>
        <v>0</v>
      </c>
      <c r="D14" s="181">
        <f>IFERROR(FIELD_HISTORY!F9,"")</f>
        <v>0</v>
      </c>
      <c r="E14" s="181">
        <f>IFERROR(FIELD_HISTORY!G9,"")</f>
        <v>0</v>
      </c>
      <c r="F14" s="181" t="str">
        <f>IFERROR(FIELD_HISTORY!I9,"")</f>
        <v/>
      </c>
      <c r="G14" s="155">
        <f>IFERROR(FIELD_HISTORY!K9,"")</f>
        <v>0</v>
      </c>
      <c r="H14" s="160">
        <f>IFERROR(FIELD_HISTORY!L9,"")</f>
        <v>0</v>
      </c>
      <c r="I14" s="159">
        <f>IFERROR(ACTION_DECISION!G9,"")</f>
        <v>0</v>
      </c>
      <c r="J14" s="155">
        <f>IFERROR(ACTION_DECISION!D9,"")</f>
        <v>0</v>
      </c>
      <c r="K14" s="155">
        <f>IFERROR(ACTION_DECISION!H9,"")</f>
        <v>0</v>
      </c>
      <c r="L14" s="155">
        <f>IFERROR(ACTION_DECISION!I9,"")</f>
        <v>0</v>
      </c>
      <c r="M14" s="155">
        <f>IFERROR(ACTION_DECISION!K9,"")</f>
        <v>0</v>
      </c>
      <c r="N14" s="155">
        <f>IFERROR(ACTION_DECISION!L9,"")</f>
        <v>0</v>
      </c>
      <c r="O14" s="155">
        <f>IFERROR(ACTION_DECISION!M9,"")</f>
        <v>0</v>
      </c>
      <c r="P14" s="160">
        <f>IFERROR(ACTION_DECISION!P9,"")</f>
        <v>0</v>
      </c>
    </row>
    <row r="15" spans="1:16" ht="33.950000000000003" customHeight="1">
      <c r="A15" s="273"/>
      <c r="B15" s="273"/>
      <c r="C15" s="159">
        <f>IFERROR(FIELD_HISTORY!E10,"")</f>
        <v>0</v>
      </c>
      <c r="D15" s="181">
        <f>IFERROR(FIELD_HISTORY!F10,"")</f>
        <v>0</v>
      </c>
      <c r="E15" s="181">
        <f>IFERROR(FIELD_HISTORY!G10,"")</f>
        <v>0</v>
      </c>
      <c r="F15" s="181" t="str">
        <f>IFERROR(FIELD_HISTORY!I10,"")</f>
        <v/>
      </c>
      <c r="G15" s="155">
        <f>IFERROR(FIELD_HISTORY!K10,"")</f>
        <v>0</v>
      </c>
      <c r="H15" s="160">
        <f>IFERROR(FIELD_HISTORY!L10,"")</f>
        <v>0</v>
      </c>
      <c r="I15" s="159">
        <f>IFERROR(ACTION_DECISION!G10,"")</f>
        <v>0</v>
      </c>
      <c r="J15" s="155">
        <f>IFERROR(ACTION_DECISION!D10,"")</f>
        <v>0</v>
      </c>
      <c r="K15" s="155">
        <f>IFERROR(ACTION_DECISION!H10,"")</f>
        <v>0</v>
      </c>
      <c r="L15" s="155">
        <f>IFERROR(ACTION_DECISION!I10,"")</f>
        <v>0</v>
      </c>
      <c r="M15" s="155">
        <f>IFERROR(ACTION_DECISION!K10,"")</f>
        <v>0</v>
      </c>
      <c r="N15" s="155">
        <f>IFERROR(ACTION_DECISION!L10,"")</f>
        <v>0</v>
      </c>
      <c r="O15" s="155">
        <f>IFERROR(ACTION_DECISION!M10,"")</f>
        <v>0</v>
      </c>
      <c r="P15" s="160">
        <f>IFERROR(ACTION_DECISION!P10,"")</f>
        <v>0</v>
      </c>
    </row>
    <row r="16" spans="1:16" ht="33.950000000000003" customHeight="1">
      <c r="A16" s="176"/>
      <c r="B16" s="176"/>
      <c r="C16" s="159">
        <f>IFERROR(FIELD_HISTORY!E11,"")</f>
        <v>0</v>
      </c>
      <c r="D16" s="181">
        <f>IFERROR(FIELD_HISTORY!F11,"")</f>
        <v>0</v>
      </c>
      <c r="E16" s="181">
        <f>IFERROR(FIELD_HISTORY!G11,"")</f>
        <v>0</v>
      </c>
      <c r="F16" s="181" t="str">
        <f>IFERROR(FIELD_HISTORY!I11,"")</f>
        <v/>
      </c>
      <c r="G16" s="155">
        <f>IFERROR(FIELD_HISTORY!K11,"")</f>
        <v>0</v>
      </c>
      <c r="H16" s="160">
        <f>IFERROR(FIELD_HISTORY!L11,"")</f>
        <v>0</v>
      </c>
      <c r="I16" s="159">
        <f>IFERROR(ACTION_DECISION!G11,"")</f>
        <v>0</v>
      </c>
      <c r="J16" s="155">
        <f>IFERROR(ACTION_DECISION!D11,"")</f>
        <v>0</v>
      </c>
      <c r="K16" s="155">
        <f>IFERROR(ACTION_DECISION!H11,"")</f>
        <v>0</v>
      </c>
      <c r="L16" s="155">
        <f>IFERROR(ACTION_DECISION!I11,"")</f>
        <v>0</v>
      </c>
      <c r="M16" s="155">
        <f>IFERROR(ACTION_DECISION!K11,"")</f>
        <v>0</v>
      </c>
      <c r="N16" s="155">
        <f>IFERROR(ACTION_DECISION!L11,"")</f>
        <v>0</v>
      </c>
      <c r="O16" s="155">
        <f>IFERROR(ACTION_DECISION!M11,"")</f>
        <v>0</v>
      </c>
      <c r="P16" s="160">
        <f>IFERROR(ACTION_DECISION!P11,"")</f>
        <v>0</v>
      </c>
    </row>
    <row r="17" spans="1:16" ht="33.950000000000003" customHeight="1">
      <c r="A17" s="273" t="s">
        <v>1399</v>
      </c>
      <c r="B17" s="273"/>
      <c r="C17" s="161">
        <f>IFERROR(FIELD_HISTORY!E12,"")</f>
        <v>0</v>
      </c>
      <c r="D17" s="182">
        <f>IFERROR(FIELD_HISTORY!F12,"")</f>
        <v>0</v>
      </c>
      <c r="E17" s="182">
        <f>IFERROR(FIELD_HISTORY!G12,"")</f>
        <v>0</v>
      </c>
      <c r="F17" s="182" t="str">
        <f>IFERROR(FIELD_HISTORY!I12,"")</f>
        <v/>
      </c>
      <c r="G17" s="162">
        <f>IFERROR(FIELD_HISTORY!K12,"")</f>
        <v>0</v>
      </c>
      <c r="H17" s="163">
        <f>IFERROR(FIELD_HISTORY!L12,"")</f>
        <v>0</v>
      </c>
      <c r="I17" s="161">
        <f>IFERROR(ACTION_DECISION!G12,"")</f>
        <v>0</v>
      </c>
      <c r="J17" s="162">
        <f>IFERROR(ACTION_DECISION!D12,"")</f>
        <v>0</v>
      </c>
      <c r="K17" s="162">
        <f>IFERROR(ACTION_DECISION!H12,"")</f>
        <v>0</v>
      </c>
      <c r="L17" s="162">
        <f>IFERROR(ACTION_DECISION!I12,"")</f>
        <v>0</v>
      </c>
      <c r="M17" s="162">
        <f>IFERROR(ACTION_DECISION!K12,"")</f>
        <v>0</v>
      </c>
      <c r="N17" s="162">
        <f>IFERROR(ACTION_DECISION!L12,"")</f>
        <v>0</v>
      </c>
      <c r="O17" s="162">
        <f>IFERROR(ACTION_DECISION!M12,"")</f>
        <v>0</v>
      </c>
      <c r="P17" s="163">
        <f>IFERROR(ACTION_DECISION!P12,"")</f>
        <v>0</v>
      </c>
    </row>
    <row r="18" spans="1:16" ht="18.95" customHeight="1">
      <c r="A18" s="273"/>
      <c r="B18" s="273"/>
      <c r="C18" s="2"/>
      <c r="D18" s="2"/>
      <c r="E18" s="2"/>
      <c r="F18" s="2"/>
      <c r="G18" s="2"/>
      <c r="H18" s="2"/>
      <c r="I18" s="2"/>
      <c r="J18" s="2"/>
      <c r="K18" s="2"/>
      <c r="L18" s="2"/>
      <c r="M18" s="2"/>
      <c r="N18" s="2"/>
      <c r="O18" s="2"/>
      <c r="P18" s="2"/>
    </row>
    <row r="19" spans="1:16" ht="18.95" customHeight="1">
      <c r="A19" s="176"/>
      <c r="B19" s="176"/>
      <c r="C19" s="2"/>
      <c r="D19" s="2"/>
      <c r="E19" s="2"/>
      <c r="F19" s="2"/>
      <c r="G19" s="2"/>
      <c r="H19" s="2"/>
      <c r="I19" s="2"/>
      <c r="J19" s="2"/>
      <c r="K19" s="2"/>
      <c r="L19" s="2"/>
      <c r="M19" s="2"/>
      <c r="N19" s="2"/>
      <c r="O19" s="2"/>
      <c r="P19" s="2"/>
    </row>
    <row r="20" spans="1:16" ht="18.95" customHeight="1">
      <c r="A20" s="273" t="s">
        <v>1400</v>
      </c>
      <c r="B20" s="273"/>
      <c r="C20" s="324" t="s">
        <v>1401</v>
      </c>
      <c r="D20" s="325"/>
      <c r="E20" s="325"/>
      <c r="F20" s="325"/>
      <c r="G20" s="325"/>
      <c r="H20" s="326"/>
      <c r="I20" s="324" t="s">
        <v>1402</v>
      </c>
      <c r="J20" s="325"/>
      <c r="K20" s="325"/>
      <c r="L20" s="325"/>
      <c r="M20" s="325"/>
      <c r="N20" s="325"/>
      <c r="O20" s="325"/>
      <c r="P20" s="326"/>
    </row>
    <row r="21" spans="1:16" ht="18.95" customHeight="1">
      <c r="A21" s="273"/>
      <c r="B21" s="273"/>
      <c r="C21" s="177" t="s">
        <v>1403</v>
      </c>
      <c r="D21" s="178" t="s">
        <v>1049</v>
      </c>
      <c r="E21" s="178" t="s">
        <v>1050</v>
      </c>
      <c r="F21" s="178" t="s">
        <v>94</v>
      </c>
      <c r="G21" s="178" t="s">
        <v>1404</v>
      </c>
      <c r="H21" s="179" t="s">
        <v>1405</v>
      </c>
      <c r="I21" s="170" t="s">
        <v>1406</v>
      </c>
      <c r="J21" s="170" t="s">
        <v>1407</v>
      </c>
      <c r="K21" s="170" t="s">
        <v>522</v>
      </c>
      <c r="L21" s="327" t="s">
        <v>1408</v>
      </c>
      <c r="M21" s="327"/>
      <c r="N21" s="327"/>
      <c r="O21" s="327"/>
      <c r="P21" s="327"/>
    </row>
    <row r="22" spans="1:16" ht="27.95" customHeight="1">
      <c r="A22" s="176"/>
      <c r="B22" s="176"/>
      <c r="C22" s="156" t="str">
        <f>IFERROR(DATA_QUALITY_CHECKS!B7,"")</f>
        <v>Portfolio record count</v>
      </c>
      <c r="D22" s="157" t="str">
        <f>IFERROR(DATA_QUALITY_CHECKS!C7,"")</f>
        <v>&gt;=1</v>
      </c>
      <c r="E22" s="157">
        <f>IFERROR(DATA_QUALITY_CHECKS!D7,"")</f>
        <v>0</v>
      </c>
      <c r="F22" s="157" t="str">
        <f>IFERROR(DATA_QUALITY_CHECKS!E7,"")</f>
        <v>OPEN</v>
      </c>
      <c r="G22" s="157" t="str">
        <f>IFERROR(DATA_QUALITY_CHECKS!F7,"")</f>
        <v>Total portfolio count must be explicit.</v>
      </c>
      <c r="H22" s="158" t="str">
        <f>IFERROR(DATA_QUALITY_CHECKS!G7,"")</f>
        <v>Review property register.</v>
      </c>
      <c r="I22" s="156" t="s">
        <v>1409</v>
      </c>
      <c r="J22" s="157">
        <f>IFERROR(ASSESSMENT_VERSION!A7,"Not established")</f>
        <v>0</v>
      </c>
      <c r="K22" s="157" t="s">
        <v>1410</v>
      </c>
      <c r="L22" s="328" t="s">
        <v>1411</v>
      </c>
      <c r="M22" s="329"/>
      <c r="N22" s="329"/>
      <c r="O22" s="329"/>
      <c r="P22" s="329"/>
    </row>
    <row r="23" spans="1:16" ht="27.95" customHeight="1">
      <c r="A23" s="273" t="s">
        <v>1412</v>
      </c>
      <c r="B23" s="273"/>
      <c r="C23" s="159" t="str">
        <f>IFERROR(DATA_QUALITY_CHECKS!B8,"")</f>
        <v>Included property count</v>
      </c>
      <c r="D23" s="155" t="str">
        <f>IFERROR(DATA_QUALITY_CHECKS!C8,"")</f>
        <v>&gt;=1</v>
      </c>
      <c r="E23" s="155">
        <f>IFERROR(DATA_QUALITY_CHECKS!D8,"")</f>
        <v>0</v>
      </c>
      <c r="F23" s="155" t="str">
        <f>IFERROR(DATA_QUALITY_CHECKS!E8,"")</f>
        <v>OPEN</v>
      </c>
      <c r="G23" s="155" t="str">
        <f>IFERROR(DATA_QUALITY_CHECKS!F8,"")</f>
        <v>Financial scope must be explicit.</v>
      </c>
      <c r="H23" s="160" t="str">
        <f>IFERROR(DATA_QUALITY_CHECKS!G8,"")</f>
        <v>Review Included? field.</v>
      </c>
      <c r="I23" s="159" t="s">
        <v>1413</v>
      </c>
      <c r="J23" s="155">
        <f>COUNTIFS(ACTION_DECISION!L7:L206,"&lt;&gt;",ACTION_DECISION!L7:L206,"&lt;&gt;Resolved")</f>
        <v>0</v>
      </c>
      <c r="K23" s="155" t="s">
        <v>1414</v>
      </c>
      <c r="L23" s="330" t="s">
        <v>1415</v>
      </c>
      <c r="M23" s="329"/>
      <c r="N23" s="329"/>
      <c r="O23" s="329"/>
      <c r="P23" s="329"/>
    </row>
    <row r="24" spans="1:16" ht="27.95" customHeight="1">
      <c r="A24" s="273"/>
      <c r="B24" s="273"/>
      <c r="C24" s="159" t="str">
        <f>IFERROR(DATA_QUALITY_CHECKS!B9,"")</f>
        <v>Unit count conflicts</v>
      </c>
      <c r="D24" s="155" t="str">
        <f>IFERROR(DATA_QUALITY_CHECKS!C9,"")</f>
        <v>0 ideal</v>
      </c>
      <c r="E24" s="155">
        <f>IFERROR(DATA_QUALITY_CHECKS!D9,"")</f>
        <v>0</v>
      </c>
      <c r="F24" s="155" t="str">
        <f>IFERROR(DATA_QUALITY_CHECKS!E9,"")</f>
        <v>PASS</v>
      </c>
      <c r="G24" s="155" t="str">
        <f>IFERROR(DATA_QUALITY_CHECKS!F9,"")</f>
        <v>Conflicts must remain visible.</v>
      </c>
      <c r="H24" s="160" t="str">
        <f>IFERROR(DATA_QUALITY_CHECKS!G9,"")</f>
        <v>Confirm Port Moody and 800 Commercial.</v>
      </c>
      <c r="I24" s="159" t="s">
        <v>1416</v>
      </c>
      <c r="J24" s="155">
        <f>COUNTIFS(ACTION_DECISION!I7:I206,"Board",ACTION_DECISION!L7:L206,"&lt;&gt;Resolved")</f>
        <v>0</v>
      </c>
      <c r="K24" s="155" t="s">
        <v>1417</v>
      </c>
      <c r="L24" s="330" t="s">
        <v>1418</v>
      </c>
      <c r="M24" s="329"/>
      <c r="N24" s="329"/>
      <c r="O24" s="329"/>
      <c r="P24" s="329"/>
    </row>
    <row r="25" spans="1:16" ht="27.95" customHeight="1">
      <c r="A25" s="176"/>
      <c r="B25" s="176"/>
      <c r="C25" s="159" t="str">
        <f>IFERROR(DATA_QUALITY_CHECKS!B10,"")</f>
        <v>Unit table reconciliation</v>
      </c>
      <c r="D25" s="155" t="str">
        <f>IFERROR(DATA_QUALITY_CHECKS!C10,"")</f>
        <v>Property master = unit mix</v>
      </c>
      <c r="E25" s="155">
        <f>IFERROR(DATA_QUALITY_CHECKS!D10,"")</f>
        <v>0</v>
      </c>
      <c r="F25" s="155" t="str">
        <f>IFERROR(DATA_QUALITY_CHECKS!E10,"")</f>
        <v>PASS</v>
      </c>
      <c r="G25" s="155" t="str">
        <f>IFERROR(DATA_QUALITY_CHECKS!F10,"")</f>
        <v>Mission categories must reconcile to modeled units.</v>
      </c>
      <c r="H25" s="160" t="str">
        <f>IFERROR(DATA_QUALITY_CHECKS!G10,"")</f>
        <v>Correct unit rows.</v>
      </c>
      <c r="I25" s="159" t="s">
        <v>1419</v>
      </c>
      <c r="J25" s="155">
        <f>COUNTIF(DATA_QUALITY_CHECKS!E7:E206,"OPEN")</f>
        <v>7</v>
      </c>
      <c r="K25" s="155" t="s">
        <v>1420</v>
      </c>
      <c r="L25" s="330" t="s">
        <v>1421</v>
      </c>
      <c r="M25" s="329"/>
      <c r="N25" s="329"/>
      <c r="O25" s="329"/>
      <c r="P25" s="329"/>
    </row>
    <row r="26" spans="1:16" ht="27.95" customHeight="1">
      <c r="A26" s="273" t="s">
        <v>1422</v>
      </c>
      <c r="B26" s="273"/>
      <c r="C26" s="159" t="str">
        <f>IFERROR(DATA_QUALITY_CHECKS!B11,"")</f>
        <v>Source files logged</v>
      </c>
      <c r="D26" s="155" t="str">
        <f>IFERROR(DATA_QUALITY_CHECKS!C11,"")</f>
        <v>&gt;=1</v>
      </c>
      <c r="E26" s="155">
        <f>IFERROR(DATA_QUALITY_CHECKS!D11,"")</f>
        <v>0</v>
      </c>
      <c r="F26" s="155" t="str">
        <f>IFERROR(DATA_QUALITY_CHECKS!E11,"")</f>
        <v>OPEN</v>
      </c>
      <c r="G26" s="155" t="str">
        <f>IFERROR(DATA_QUALITY_CHECKS!F11,"")</f>
        <v>Auditability requires a source log.</v>
      </c>
      <c r="H26" s="160" t="str">
        <f>IFERROR(DATA_QUALITY_CHECKS!G11,"")</f>
        <v>Maintain source hierarchy.</v>
      </c>
      <c r="I26" s="159" t="s">
        <v>1423</v>
      </c>
      <c r="J26" s="155">
        <f>COUNTA(REPORT_SNAPSHOT!A7:A206)</f>
        <v>0</v>
      </c>
      <c r="K26" s="155" t="s">
        <v>1424</v>
      </c>
      <c r="L26" s="330" t="s">
        <v>1425</v>
      </c>
      <c r="M26" s="329"/>
      <c r="N26" s="329"/>
      <c r="O26" s="329"/>
      <c r="P26" s="329"/>
    </row>
    <row r="27" spans="1:16" ht="27.95" customHeight="1">
      <c r="A27" s="273"/>
      <c r="B27" s="273"/>
      <c r="C27" s="161" t="str">
        <f>IFERROR(DATA_QUALITY_CHECKS!B12,"")</f>
        <v>Operating data for selected year</v>
      </c>
      <c r="D27" s="162" t="str">
        <f>IFERROR(DATA_QUALITY_CHECKS!C12,"")</f>
        <v>At least 3 core rows</v>
      </c>
      <c r="E27" s="162">
        <f>IFERROR(DATA_QUALITY_CHECKS!D12,"")</f>
        <v>0</v>
      </c>
      <c r="F27" s="162" t="str">
        <f>IFERROR(DATA_QUALITY_CHECKS!E12,"")</f>
        <v>OPEN</v>
      </c>
      <c r="G27" s="162" t="str">
        <f>IFERROR(DATA_QUALITY_CHECKS!F12,"")</f>
        <v>Snapshot needs selected-year revenue and expenses.</v>
      </c>
      <c r="H27" s="163" t="str">
        <f>IFERROR(DATA_QUALITY_CHECKS!G12,"")</f>
        <v>Load current forecast.</v>
      </c>
      <c r="I27" s="161" t="s">
        <v>1426</v>
      </c>
      <c r="J27" s="162" t="str">
        <f>MVP_CONTROL!B20</f>
        <v>Baseline + recurring updates</v>
      </c>
      <c r="K27" s="162" t="s">
        <v>1427</v>
      </c>
      <c r="L27" s="331" t="s">
        <v>1428</v>
      </c>
      <c r="M27" s="329"/>
      <c r="N27" s="329"/>
      <c r="O27" s="329"/>
      <c r="P27" s="329"/>
    </row>
    <row r="28" spans="1:16" ht="18.95" customHeight="1">
      <c r="A28" s="176"/>
      <c r="B28" s="176"/>
      <c r="C28" s="2"/>
      <c r="D28" s="2"/>
      <c r="E28" s="2"/>
      <c r="F28" s="2"/>
      <c r="G28" s="2"/>
      <c r="H28" s="2"/>
      <c r="I28" s="2"/>
      <c r="J28" s="2"/>
      <c r="K28" s="2"/>
      <c r="L28" s="2"/>
      <c r="M28" s="2"/>
      <c r="N28" s="2"/>
      <c r="O28" s="2"/>
      <c r="P28" s="2"/>
    </row>
    <row r="29" spans="1:16" ht="18.95" customHeight="1">
      <c r="A29" s="176"/>
      <c r="B29" s="176"/>
      <c r="C29" s="332" t="s">
        <v>1429</v>
      </c>
      <c r="D29" s="333"/>
      <c r="E29" s="333"/>
      <c r="F29" s="333"/>
      <c r="G29" s="333"/>
      <c r="H29" s="333"/>
      <c r="I29" s="333"/>
      <c r="J29" s="333"/>
      <c r="K29" s="333"/>
      <c r="L29" s="333"/>
      <c r="M29" s="333"/>
      <c r="N29" s="333"/>
      <c r="O29" s="333"/>
      <c r="P29" s="334"/>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40">
    <mergeCell ref="L26:P26"/>
    <mergeCell ref="L27:P27"/>
    <mergeCell ref="C29:P29"/>
    <mergeCell ref="L21:P21"/>
    <mergeCell ref="L22:P22"/>
    <mergeCell ref="L23:P23"/>
    <mergeCell ref="L24:P24"/>
    <mergeCell ref="L25:P25"/>
    <mergeCell ref="O5:P5"/>
    <mergeCell ref="O6:P8"/>
    <mergeCell ref="C10:H10"/>
    <mergeCell ref="I10:P10"/>
    <mergeCell ref="C20:H20"/>
    <mergeCell ref="I20:P20"/>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36"/>
  <sheetViews>
    <sheetView workbookViewId="0"/>
  </sheetViews>
  <sheetFormatPr defaultRowHeight="14.25"/>
  <cols>
    <col min="1" max="1" width="4" customWidth="1"/>
    <col min="2" max="2" width="23" customWidth="1"/>
    <col min="3" max="4" width="15" customWidth="1"/>
    <col min="5" max="5" width="24" customWidth="1"/>
    <col min="6" max="7" width="15" customWidth="1"/>
    <col min="8" max="8" width="24" customWidth="1"/>
    <col min="9" max="9" width="28" customWidth="1"/>
    <col min="10" max="12" width="18" customWidth="1"/>
    <col min="13" max="14" width="16" customWidth="1"/>
    <col min="15" max="16" width="18" customWidth="1"/>
  </cols>
  <sheetData>
    <row r="1" spans="1:16" ht="27" customHeight="1">
      <c r="A1" s="270" t="s">
        <v>1375</v>
      </c>
      <c r="B1" s="270"/>
      <c r="C1" s="276" t="s">
        <v>1432</v>
      </c>
      <c r="D1" s="276"/>
      <c r="E1" s="276"/>
      <c r="F1" s="276"/>
      <c r="G1" s="276"/>
      <c r="H1" s="276"/>
      <c r="I1" s="276"/>
      <c r="J1" s="276"/>
      <c r="K1" s="276"/>
      <c r="L1" s="276"/>
      <c r="M1" s="276"/>
      <c r="N1" s="276"/>
      <c r="O1" s="276"/>
      <c r="P1" s="276"/>
    </row>
    <row r="2" spans="1:16" ht="27" customHeight="1">
      <c r="A2" s="271" t="s">
        <v>1377</v>
      </c>
      <c r="B2" s="271"/>
      <c r="C2" s="277" t="s">
        <v>1433</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1120</v>
      </c>
      <c r="D5" s="280"/>
      <c r="E5" s="280"/>
      <c r="F5" s="281"/>
      <c r="G5" s="279" t="s">
        <v>1132</v>
      </c>
      <c r="H5" s="280"/>
      <c r="I5" s="280"/>
      <c r="J5" s="281"/>
      <c r="K5" s="279" t="s">
        <v>1434</v>
      </c>
      <c r="L5" s="280"/>
      <c r="M5" s="281"/>
      <c r="N5" s="279" t="s">
        <v>1435</v>
      </c>
      <c r="O5" s="280"/>
      <c r="P5" s="281"/>
    </row>
    <row r="6" spans="1:16" ht="18.95" customHeight="1">
      <c r="A6" s="273"/>
      <c r="B6" s="273"/>
      <c r="C6" s="335">
        <f>IFERROR(MVP_CONTROL!B18,"")</f>
        <v>0</v>
      </c>
      <c r="D6" s="336"/>
      <c r="E6" s="336"/>
      <c r="F6" s="337"/>
      <c r="G6" s="335" t="str">
        <f>IFERROR(OUT_STAGE1_READINESS_SNAPSHOT!C14,"")</f>
        <v>0 included / 0 portfolio records</v>
      </c>
      <c r="H6" s="336"/>
      <c r="I6" s="336"/>
      <c r="J6" s="337"/>
      <c r="K6" s="282">
        <f>COUNTA(DATA_OBLIGATIONS!A7:A206)</f>
        <v>0</v>
      </c>
      <c r="L6" s="283"/>
      <c r="M6" s="284"/>
      <c r="N6" s="344" t="str">
        <f>IF(COUNTA(DATA_OBLIGATIONS!A7:A206)=0,"Not Assessed","In Progress")</f>
        <v>Not Assessed</v>
      </c>
      <c r="O6" s="345"/>
      <c r="P6" s="346"/>
    </row>
    <row r="7" spans="1:16" ht="18.95" customHeight="1">
      <c r="A7" s="176"/>
      <c r="B7" s="176"/>
      <c r="C7" s="338"/>
      <c r="D7" s="339"/>
      <c r="E7" s="339"/>
      <c r="F7" s="340"/>
      <c r="G7" s="338"/>
      <c r="H7" s="339"/>
      <c r="I7" s="339"/>
      <c r="J7" s="340"/>
      <c r="K7" s="285"/>
      <c r="L7" s="286"/>
      <c r="M7" s="287"/>
      <c r="N7" s="347"/>
      <c r="O7" s="348"/>
      <c r="P7" s="349"/>
    </row>
    <row r="8" spans="1:16" ht="18.95" customHeight="1">
      <c r="A8" s="272" t="s">
        <v>1383</v>
      </c>
      <c r="B8" s="272"/>
      <c r="C8" s="341"/>
      <c r="D8" s="342"/>
      <c r="E8" s="342"/>
      <c r="F8" s="343"/>
      <c r="G8" s="341"/>
      <c r="H8" s="342"/>
      <c r="I8" s="342"/>
      <c r="J8" s="343"/>
      <c r="K8" s="288"/>
      <c r="L8" s="289"/>
      <c r="M8" s="290"/>
      <c r="N8" s="350"/>
      <c r="O8" s="351"/>
      <c r="P8" s="352"/>
    </row>
    <row r="9" spans="1:16" ht="18.95" customHeight="1">
      <c r="A9" s="272"/>
      <c r="B9" s="272"/>
      <c r="C9" s="2"/>
      <c r="D9" s="2"/>
      <c r="E9" s="2"/>
      <c r="F9" s="2"/>
      <c r="G9" s="2"/>
      <c r="H9" s="2"/>
      <c r="I9" s="2"/>
      <c r="J9" s="2"/>
      <c r="K9" s="2"/>
      <c r="L9" s="2"/>
      <c r="M9" s="2"/>
      <c r="N9" s="2"/>
      <c r="O9" s="2"/>
      <c r="P9" s="2"/>
    </row>
    <row r="10" spans="1:16" ht="18.95" customHeight="1">
      <c r="A10" s="176"/>
      <c r="B10" s="176"/>
      <c r="C10" s="324" t="s">
        <v>1436</v>
      </c>
      <c r="D10" s="325"/>
      <c r="E10" s="325"/>
      <c r="F10" s="325"/>
      <c r="G10" s="325"/>
      <c r="H10" s="326"/>
      <c r="I10" s="324" t="s">
        <v>1437</v>
      </c>
      <c r="J10" s="325"/>
      <c r="K10" s="325"/>
      <c r="L10" s="325"/>
      <c r="M10" s="325"/>
      <c r="N10" s="325"/>
      <c r="O10" s="325"/>
      <c r="P10" s="326"/>
    </row>
    <row r="11" spans="1:16" ht="18.95" customHeight="1">
      <c r="A11" s="273" t="s">
        <v>1386</v>
      </c>
      <c r="B11" s="273"/>
      <c r="C11" s="170" t="s">
        <v>1267</v>
      </c>
      <c r="D11" s="170" t="s">
        <v>1438</v>
      </c>
      <c r="E11" s="170" t="s">
        <v>1439</v>
      </c>
      <c r="F11" s="327" t="s">
        <v>94</v>
      </c>
      <c r="G11" s="327"/>
      <c r="H11" s="327"/>
      <c r="I11" s="177" t="s">
        <v>1362</v>
      </c>
      <c r="J11" s="178" t="s">
        <v>88</v>
      </c>
      <c r="K11" s="178" t="s">
        <v>308</v>
      </c>
      <c r="L11" s="178" t="s">
        <v>1395</v>
      </c>
      <c r="M11" s="178" t="s">
        <v>1364</v>
      </c>
      <c r="N11" s="178" t="s">
        <v>1440</v>
      </c>
      <c r="O11" s="178" t="s">
        <v>94</v>
      </c>
      <c r="P11" s="179" t="s">
        <v>1441</v>
      </c>
    </row>
    <row r="12" spans="1:16" ht="27.95" customHeight="1">
      <c r="A12" s="273"/>
      <c r="B12" s="273"/>
      <c r="C12" s="156" t="s">
        <v>559</v>
      </c>
      <c r="D12" s="157">
        <f>MVP_CONTROL!B5</f>
        <v>0</v>
      </c>
      <c r="E12" s="157" t="s">
        <v>681</v>
      </c>
      <c r="F12" s="353" t="s">
        <v>1442</v>
      </c>
      <c r="G12" s="353"/>
      <c r="H12" s="328"/>
      <c r="I12" s="156">
        <f>IFERROR(DATA_OBLIGATIONS!E7,"")</f>
        <v>0</v>
      </c>
      <c r="J12" s="157">
        <f>IFERROR(DATA_OBLIGATIONS!D7,"")</f>
        <v>0</v>
      </c>
      <c r="K12" s="157">
        <f>IFERROR(DATA_OBLIGATIONS!G7,"")</f>
        <v>0</v>
      </c>
      <c r="L12" s="157">
        <f>IFERROR(DATA_OBLIGATIONS!H7,"")</f>
        <v>0</v>
      </c>
      <c r="M12" s="157">
        <f>IFERROR(DATA_OBLIGATIONS!I7,"")</f>
        <v>0</v>
      </c>
      <c r="N12" s="157">
        <f>IFERROR(DATA_OBLIGATIONS!J7,"")</f>
        <v>0</v>
      </c>
      <c r="O12" s="157">
        <f>IFERROR(DATA_OBLIGATIONS!K7,"")</f>
        <v>0</v>
      </c>
      <c r="P12" s="158" t="str">
        <f ca="1">IFERROR(DATA_OBLIGATIONS!L7,"")</f>
        <v/>
      </c>
    </row>
    <row r="13" spans="1:16" ht="27.95" customHeight="1">
      <c r="A13" s="176"/>
      <c r="B13" s="176"/>
      <c r="C13" s="159" t="s">
        <v>1205</v>
      </c>
      <c r="D13" s="155">
        <f>DATA_METRIC_LONG!E7</f>
        <v>0</v>
      </c>
      <c r="E13" s="155" t="s">
        <v>184</v>
      </c>
      <c r="F13" s="354" t="s">
        <v>324</v>
      </c>
      <c r="G13" s="354"/>
      <c r="H13" s="330"/>
      <c r="I13" s="159">
        <f>IFERROR(DATA_OBLIGATIONS!E8,"")</f>
        <v>0</v>
      </c>
      <c r="J13" s="155">
        <f>IFERROR(DATA_OBLIGATIONS!D8,"")</f>
        <v>0</v>
      </c>
      <c r="K13" s="155">
        <f>IFERROR(DATA_OBLIGATIONS!G8,"")</f>
        <v>0</v>
      </c>
      <c r="L13" s="155">
        <f>IFERROR(DATA_OBLIGATIONS!H8,"")</f>
        <v>0</v>
      </c>
      <c r="M13" s="155">
        <f>IFERROR(DATA_OBLIGATIONS!I8,"")</f>
        <v>0</v>
      </c>
      <c r="N13" s="155">
        <f>IFERROR(DATA_OBLIGATIONS!J8,"")</f>
        <v>0</v>
      </c>
      <c r="O13" s="155">
        <f>IFERROR(DATA_OBLIGATIONS!K8,"")</f>
        <v>0</v>
      </c>
      <c r="P13" s="160" t="str">
        <f ca="1">IFERROR(DATA_OBLIGATIONS!L8,"")</f>
        <v/>
      </c>
    </row>
    <row r="14" spans="1:16" ht="27.95" customHeight="1">
      <c r="A14" s="273" t="s">
        <v>1398</v>
      </c>
      <c r="B14" s="273"/>
      <c r="C14" s="159" t="s">
        <v>1443</v>
      </c>
      <c r="D14" s="155">
        <f>DATA_METRIC_LONG!E8</f>
        <v>0</v>
      </c>
      <c r="E14" s="155" t="s">
        <v>184</v>
      </c>
      <c r="F14" s="354" t="s">
        <v>324</v>
      </c>
      <c r="G14" s="354"/>
      <c r="H14" s="330"/>
      <c r="I14" s="159">
        <f>IFERROR(DATA_OBLIGATIONS!E9,"")</f>
        <v>0</v>
      </c>
      <c r="J14" s="155">
        <f>IFERROR(DATA_OBLIGATIONS!D9,"")</f>
        <v>0</v>
      </c>
      <c r="K14" s="155">
        <f>IFERROR(DATA_OBLIGATIONS!G9,"")</f>
        <v>0</v>
      </c>
      <c r="L14" s="155">
        <f>IFERROR(DATA_OBLIGATIONS!H9,"")</f>
        <v>0</v>
      </c>
      <c r="M14" s="155">
        <f>IFERROR(DATA_OBLIGATIONS!I9,"")</f>
        <v>0</v>
      </c>
      <c r="N14" s="155">
        <f>IFERROR(DATA_OBLIGATIONS!J9,"")</f>
        <v>0</v>
      </c>
      <c r="O14" s="155">
        <f>IFERROR(DATA_OBLIGATIONS!K9,"")</f>
        <v>0</v>
      </c>
      <c r="P14" s="160" t="str">
        <f ca="1">IFERROR(DATA_OBLIGATIONS!L9,"")</f>
        <v/>
      </c>
    </row>
    <row r="15" spans="1:16" ht="27.95" customHeight="1">
      <c r="A15" s="273"/>
      <c r="B15" s="273"/>
      <c r="C15" s="159" t="s">
        <v>1444</v>
      </c>
      <c r="D15" s="155">
        <f>DATA_METRIC_LONG!E9</f>
        <v>0</v>
      </c>
      <c r="E15" s="155" t="s">
        <v>184</v>
      </c>
      <c r="F15" s="354" t="s">
        <v>324</v>
      </c>
      <c r="G15" s="354"/>
      <c r="H15" s="330"/>
      <c r="I15" s="159">
        <f>IFERROR(DATA_OBLIGATIONS!E10,"")</f>
        <v>0</v>
      </c>
      <c r="J15" s="155">
        <f>IFERROR(DATA_OBLIGATIONS!D10,"")</f>
        <v>0</v>
      </c>
      <c r="K15" s="155">
        <f>IFERROR(DATA_OBLIGATIONS!G10,"")</f>
        <v>0</v>
      </c>
      <c r="L15" s="155">
        <f>IFERROR(DATA_OBLIGATIONS!H10,"")</f>
        <v>0</v>
      </c>
      <c r="M15" s="155">
        <f>IFERROR(DATA_OBLIGATIONS!I10,"")</f>
        <v>0</v>
      </c>
      <c r="N15" s="155">
        <f>IFERROR(DATA_OBLIGATIONS!J10,"")</f>
        <v>0</v>
      </c>
      <c r="O15" s="155">
        <f>IFERROR(DATA_OBLIGATIONS!K10,"")</f>
        <v>0</v>
      </c>
      <c r="P15" s="160" t="str">
        <f ca="1">IFERROR(DATA_OBLIGATIONS!L10,"")</f>
        <v/>
      </c>
    </row>
    <row r="16" spans="1:16" ht="27.95" customHeight="1">
      <c r="A16" s="176"/>
      <c r="B16" s="176"/>
      <c r="C16" s="159" t="s">
        <v>1445</v>
      </c>
      <c r="D16" s="155">
        <f>DATA_METRIC_LONG!E11</f>
        <v>0</v>
      </c>
      <c r="E16" s="155" t="s">
        <v>184</v>
      </c>
      <c r="F16" s="354" t="s">
        <v>324</v>
      </c>
      <c r="G16" s="354"/>
      <c r="H16" s="330"/>
      <c r="I16" s="159">
        <f>IFERROR(DATA_OBLIGATIONS!E11,"")</f>
        <v>0</v>
      </c>
      <c r="J16" s="155">
        <f>IFERROR(DATA_OBLIGATIONS!D11,"")</f>
        <v>0</v>
      </c>
      <c r="K16" s="155">
        <f>IFERROR(DATA_OBLIGATIONS!G11,"")</f>
        <v>0</v>
      </c>
      <c r="L16" s="155">
        <f>IFERROR(DATA_OBLIGATIONS!H11,"")</f>
        <v>0</v>
      </c>
      <c r="M16" s="155">
        <f>IFERROR(DATA_OBLIGATIONS!I11,"")</f>
        <v>0</v>
      </c>
      <c r="N16" s="155">
        <f>IFERROR(DATA_OBLIGATIONS!J11,"")</f>
        <v>0</v>
      </c>
      <c r="O16" s="155">
        <f>IFERROR(DATA_OBLIGATIONS!K11,"")</f>
        <v>0</v>
      </c>
      <c r="P16" s="160" t="str">
        <f ca="1">IFERROR(DATA_OBLIGATIONS!L11,"")</f>
        <v/>
      </c>
    </row>
    <row r="17" spans="1:16" ht="27.95" customHeight="1">
      <c r="A17" s="273" t="s">
        <v>1399</v>
      </c>
      <c r="B17" s="273"/>
      <c r="C17" s="161" t="s">
        <v>1446</v>
      </c>
      <c r="D17" s="162">
        <f>COUNTA(DATA_OBLIGATIONS!A7:A206)</f>
        <v>0</v>
      </c>
      <c r="E17" s="162" t="s">
        <v>785</v>
      </c>
      <c r="F17" s="355" t="s">
        <v>1447</v>
      </c>
      <c r="G17" s="355"/>
      <c r="H17" s="331"/>
      <c r="I17" s="159">
        <f>IFERROR(DATA_OBLIGATIONS!E12,"")</f>
        <v>0</v>
      </c>
      <c r="J17" s="155">
        <f>IFERROR(DATA_OBLIGATIONS!D12,"")</f>
        <v>0</v>
      </c>
      <c r="K17" s="155">
        <f>IFERROR(DATA_OBLIGATIONS!G12,"")</f>
        <v>0</v>
      </c>
      <c r="L17" s="155">
        <f>IFERROR(DATA_OBLIGATIONS!H12,"")</f>
        <v>0</v>
      </c>
      <c r="M17" s="155">
        <f>IFERROR(DATA_OBLIGATIONS!I12,"")</f>
        <v>0</v>
      </c>
      <c r="N17" s="155">
        <f>IFERROR(DATA_OBLIGATIONS!J12,"")</f>
        <v>0</v>
      </c>
      <c r="O17" s="155">
        <f>IFERROR(DATA_OBLIGATIONS!K12,"")</f>
        <v>0</v>
      </c>
      <c r="P17" s="160" t="str">
        <f ca="1">IFERROR(DATA_OBLIGATIONS!L12,"")</f>
        <v/>
      </c>
    </row>
    <row r="18" spans="1:16" ht="27.95" customHeight="1">
      <c r="A18" s="273"/>
      <c r="B18" s="273"/>
      <c r="C18" s="2"/>
      <c r="D18" s="2"/>
      <c r="E18" s="2"/>
      <c r="F18" s="2"/>
      <c r="G18" s="2"/>
      <c r="H18" s="2"/>
      <c r="I18" s="159">
        <f>IFERROR(DATA_OBLIGATIONS!E13,"")</f>
        <v>0</v>
      </c>
      <c r="J18" s="155">
        <f>IFERROR(DATA_OBLIGATIONS!D13,"")</f>
        <v>0</v>
      </c>
      <c r="K18" s="155">
        <f>IFERROR(DATA_OBLIGATIONS!G13,"")</f>
        <v>0</v>
      </c>
      <c r="L18" s="155">
        <f>IFERROR(DATA_OBLIGATIONS!H13,"")</f>
        <v>0</v>
      </c>
      <c r="M18" s="155">
        <f>IFERROR(DATA_OBLIGATIONS!I13,"")</f>
        <v>0</v>
      </c>
      <c r="N18" s="155">
        <f>IFERROR(DATA_OBLIGATIONS!J13,"")</f>
        <v>0</v>
      </c>
      <c r="O18" s="155">
        <f>IFERROR(DATA_OBLIGATIONS!K13,"")</f>
        <v>0</v>
      </c>
      <c r="P18" s="160" t="str">
        <f ca="1">IFERROR(DATA_OBLIGATIONS!L13,"")</f>
        <v/>
      </c>
    </row>
    <row r="19" spans="1:16" ht="27.95" customHeight="1">
      <c r="A19" s="176"/>
      <c r="B19" s="176"/>
      <c r="C19" s="2"/>
      <c r="D19" s="2"/>
      <c r="E19" s="2"/>
      <c r="F19" s="2"/>
      <c r="G19" s="2"/>
      <c r="H19" s="2"/>
      <c r="I19" s="161">
        <f>IFERROR(DATA_OBLIGATIONS!E14,"")</f>
        <v>0</v>
      </c>
      <c r="J19" s="162">
        <f>IFERROR(DATA_OBLIGATIONS!D14,"")</f>
        <v>0</v>
      </c>
      <c r="K19" s="162">
        <f>IFERROR(DATA_OBLIGATIONS!G14,"")</f>
        <v>0</v>
      </c>
      <c r="L19" s="162">
        <f>IFERROR(DATA_OBLIGATIONS!H14,"")</f>
        <v>0</v>
      </c>
      <c r="M19" s="162">
        <f>IFERROR(DATA_OBLIGATIONS!I14,"")</f>
        <v>0</v>
      </c>
      <c r="N19" s="162">
        <f>IFERROR(DATA_OBLIGATIONS!J14,"")</f>
        <v>0</v>
      </c>
      <c r="O19" s="162">
        <f>IFERROR(DATA_OBLIGATIONS!K14,"")</f>
        <v>0</v>
      </c>
      <c r="P19" s="163" t="str">
        <f ca="1">IFERROR(DATA_OBLIGATIONS!L14,"")</f>
        <v/>
      </c>
    </row>
    <row r="20" spans="1:16" ht="18.95" customHeight="1">
      <c r="A20" s="273" t="s">
        <v>1400</v>
      </c>
      <c r="B20" s="273"/>
      <c r="C20" s="2"/>
      <c r="D20" s="2"/>
      <c r="E20" s="2"/>
      <c r="F20" s="2"/>
      <c r="G20" s="2"/>
      <c r="H20" s="2"/>
      <c r="I20" s="2"/>
      <c r="J20" s="2"/>
      <c r="K20" s="2"/>
      <c r="L20" s="2"/>
      <c r="M20" s="2"/>
      <c r="N20" s="2"/>
      <c r="O20" s="2"/>
      <c r="P20" s="2"/>
    </row>
    <row r="21" spans="1:16" ht="18.95" customHeight="1">
      <c r="A21" s="273"/>
      <c r="B21" s="273"/>
      <c r="C21" s="324" t="s">
        <v>1448</v>
      </c>
      <c r="D21" s="325"/>
      <c r="E21" s="325"/>
      <c r="F21" s="325"/>
      <c r="G21" s="325"/>
      <c r="H21" s="326"/>
      <c r="I21" s="324" t="s">
        <v>1449</v>
      </c>
      <c r="J21" s="325"/>
      <c r="K21" s="325"/>
      <c r="L21" s="325"/>
      <c r="M21" s="325"/>
      <c r="N21" s="325"/>
      <c r="O21" s="325"/>
      <c r="P21" s="326"/>
    </row>
    <row r="22" spans="1:16" ht="18.95" customHeight="1">
      <c r="A22" s="176"/>
      <c r="B22" s="176"/>
      <c r="C22" s="177" t="s">
        <v>1450</v>
      </c>
      <c r="D22" s="178" t="s">
        <v>470</v>
      </c>
      <c r="E22" s="178" t="s">
        <v>90</v>
      </c>
      <c r="F22" s="178" t="s">
        <v>308</v>
      </c>
      <c r="G22" s="178" t="s">
        <v>94</v>
      </c>
      <c r="H22" s="179" t="s">
        <v>1451</v>
      </c>
      <c r="I22" s="356" t="s">
        <v>1452</v>
      </c>
      <c r="J22" s="357"/>
      <c r="K22" s="357"/>
      <c r="L22" s="357"/>
      <c r="M22" s="357"/>
      <c r="N22" s="357"/>
      <c r="O22" s="357"/>
      <c r="P22" s="358"/>
    </row>
    <row r="23" spans="1:16" ht="33.950000000000003" customHeight="1">
      <c r="A23" s="273" t="s">
        <v>1412</v>
      </c>
      <c r="B23" s="273"/>
      <c r="C23" s="156">
        <f>IFERROR(ASSUMPTIONS_FLAGS!A12,"")</f>
        <v>0</v>
      </c>
      <c r="D23" s="157">
        <f>IFERROR(ASSUMPTIONS_FLAGS!B12,"")</f>
        <v>0</v>
      </c>
      <c r="E23" s="157">
        <f>IFERROR(ASSUMPTIONS_FLAGS!D12,"")</f>
        <v>0</v>
      </c>
      <c r="F23" s="157">
        <f>IFERROR(ASSUMPTIONS_FLAGS!H12,"")</f>
        <v>0</v>
      </c>
      <c r="G23" s="157">
        <f>IFERROR(ASSUMPTIONS_FLAGS!I12,"")</f>
        <v>0</v>
      </c>
      <c r="H23" s="158">
        <f>IFERROR(ASSUMPTIONS_FLAGS!J12,"")</f>
        <v>0</v>
      </c>
      <c r="I23" s="359"/>
      <c r="J23" s="360"/>
      <c r="K23" s="360"/>
      <c r="L23" s="360"/>
      <c r="M23" s="360"/>
      <c r="N23" s="360"/>
      <c r="O23" s="360"/>
      <c r="P23" s="361"/>
    </row>
    <row r="24" spans="1:16" ht="33.950000000000003" customHeight="1">
      <c r="A24" s="273"/>
      <c r="B24" s="273"/>
      <c r="C24" s="159">
        <f>IFERROR(ASSUMPTIONS_FLAGS!A11,"")</f>
        <v>0</v>
      </c>
      <c r="D24" s="155">
        <f>IFERROR(ASSUMPTIONS_FLAGS!B11,"")</f>
        <v>0</v>
      </c>
      <c r="E24" s="155">
        <f>IFERROR(ASSUMPTIONS_FLAGS!D11,"")</f>
        <v>0</v>
      </c>
      <c r="F24" s="155">
        <f>IFERROR(ASSUMPTIONS_FLAGS!H11,"")</f>
        <v>0</v>
      </c>
      <c r="G24" s="155">
        <f>IFERROR(ASSUMPTIONS_FLAGS!I11,"")</f>
        <v>0</v>
      </c>
      <c r="H24" s="160">
        <f>IFERROR(ASSUMPTIONS_FLAGS!J11,"")</f>
        <v>0</v>
      </c>
      <c r="I24" s="359"/>
      <c r="J24" s="360"/>
      <c r="K24" s="360"/>
      <c r="L24" s="360"/>
      <c r="M24" s="360"/>
      <c r="N24" s="360"/>
      <c r="O24" s="360"/>
      <c r="P24" s="361"/>
    </row>
    <row r="25" spans="1:16" ht="33.950000000000003" customHeight="1">
      <c r="A25" s="176"/>
      <c r="B25" s="176"/>
      <c r="C25" s="159">
        <f>IFERROR(ASSUMPTIONS_FLAGS!A9,"")</f>
        <v>0</v>
      </c>
      <c r="D25" s="155">
        <f>IFERROR(ASSUMPTIONS_FLAGS!B9,"")</f>
        <v>0</v>
      </c>
      <c r="E25" s="155">
        <f>IFERROR(ASSUMPTIONS_FLAGS!D9,"")</f>
        <v>0</v>
      </c>
      <c r="F25" s="155">
        <f>IFERROR(ASSUMPTIONS_FLAGS!H9,"")</f>
        <v>0</v>
      </c>
      <c r="G25" s="155">
        <f>IFERROR(ASSUMPTIONS_FLAGS!I9,"")</f>
        <v>0</v>
      </c>
      <c r="H25" s="160">
        <f>IFERROR(ASSUMPTIONS_FLAGS!J9,"")</f>
        <v>0</v>
      </c>
      <c r="I25" s="359"/>
      <c r="J25" s="360"/>
      <c r="K25" s="360"/>
      <c r="L25" s="360"/>
      <c r="M25" s="360"/>
      <c r="N25" s="360"/>
      <c r="O25" s="360"/>
      <c r="P25" s="361"/>
    </row>
    <row r="26" spans="1:16" ht="33.950000000000003" customHeight="1">
      <c r="A26" s="273" t="s">
        <v>1422</v>
      </c>
      <c r="B26" s="273"/>
      <c r="C26" s="159">
        <f>IFERROR(ASSUMPTIONS_FLAGS!A10,"")</f>
        <v>0</v>
      </c>
      <c r="D26" s="155">
        <f>IFERROR(ASSUMPTIONS_FLAGS!B10,"")</f>
        <v>0</v>
      </c>
      <c r="E26" s="155">
        <f>IFERROR(ASSUMPTIONS_FLAGS!D10,"")</f>
        <v>0</v>
      </c>
      <c r="F26" s="155">
        <f>IFERROR(ASSUMPTIONS_FLAGS!H10,"")</f>
        <v>0</v>
      </c>
      <c r="G26" s="155">
        <f>IFERROR(ASSUMPTIONS_FLAGS!I10,"")</f>
        <v>0</v>
      </c>
      <c r="H26" s="160">
        <f>IFERROR(ASSUMPTIONS_FLAGS!J10,"")</f>
        <v>0</v>
      </c>
      <c r="I26" s="359"/>
      <c r="J26" s="360"/>
      <c r="K26" s="360"/>
      <c r="L26" s="360"/>
      <c r="M26" s="360"/>
      <c r="N26" s="360"/>
      <c r="O26" s="360"/>
      <c r="P26" s="361"/>
    </row>
    <row r="27" spans="1:16" ht="33.950000000000003" customHeight="1">
      <c r="A27" s="273"/>
      <c r="B27" s="273"/>
      <c r="C27" s="159">
        <f>IFERROR(ASSUMPTIONS_FLAGS!A7,"")</f>
        <v>0</v>
      </c>
      <c r="D27" s="155">
        <f>IFERROR(ASSUMPTIONS_FLAGS!B7,"")</f>
        <v>0</v>
      </c>
      <c r="E27" s="155">
        <f>IFERROR(ASSUMPTIONS_FLAGS!D7,"")</f>
        <v>0</v>
      </c>
      <c r="F27" s="155">
        <f>IFERROR(ASSUMPTIONS_FLAGS!H7,"")</f>
        <v>0</v>
      </c>
      <c r="G27" s="155">
        <f>IFERROR(ASSUMPTIONS_FLAGS!I7,"")</f>
        <v>0</v>
      </c>
      <c r="H27" s="160">
        <f>IFERROR(ASSUMPTIONS_FLAGS!J7,"")</f>
        <v>0</v>
      </c>
      <c r="I27" s="359"/>
      <c r="J27" s="360"/>
      <c r="K27" s="360"/>
      <c r="L27" s="360"/>
      <c r="M27" s="360"/>
      <c r="N27" s="360"/>
      <c r="O27" s="360"/>
      <c r="P27" s="361"/>
    </row>
    <row r="28" spans="1:16" ht="33.950000000000003" customHeight="1">
      <c r="A28" s="176"/>
      <c r="B28" s="176"/>
      <c r="C28" s="161">
        <f>IFERROR(ASSUMPTIONS_FLAGS!A8,"")</f>
        <v>0</v>
      </c>
      <c r="D28" s="162">
        <f>IFERROR(ASSUMPTIONS_FLAGS!B8,"")</f>
        <v>0</v>
      </c>
      <c r="E28" s="162">
        <f>IFERROR(ASSUMPTIONS_FLAGS!D8,"")</f>
        <v>0</v>
      </c>
      <c r="F28" s="162">
        <f>IFERROR(ASSUMPTIONS_FLAGS!H8,"")</f>
        <v>0</v>
      </c>
      <c r="G28" s="162">
        <f>IFERROR(ASSUMPTIONS_FLAGS!I8,"")</f>
        <v>0</v>
      </c>
      <c r="H28" s="163">
        <f>IFERROR(ASSUMPTIONS_FLAGS!J8,"")</f>
        <v>0</v>
      </c>
      <c r="I28" s="362"/>
      <c r="J28" s="363"/>
      <c r="K28" s="363"/>
      <c r="L28" s="363"/>
      <c r="M28" s="363"/>
      <c r="N28" s="363"/>
      <c r="O28" s="363"/>
      <c r="P28" s="364"/>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I22:P28"/>
    <mergeCell ref="F15:H15"/>
    <mergeCell ref="F16:H16"/>
    <mergeCell ref="F17:H17"/>
    <mergeCell ref="I10:P10"/>
    <mergeCell ref="C21:H21"/>
    <mergeCell ref="I21:P21"/>
    <mergeCell ref="C10:H10"/>
    <mergeCell ref="F11:H11"/>
    <mergeCell ref="F12:H12"/>
    <mergeCell ref="F13:H13"/>
    <mergeCell ref="F14:H14"/>
    <mergeCell ref="A32:B33"/>
    <mergeCell ref="A35:B36"/>
    <mergeCell ref="C1:P1"/>
    <mergeCell ref="C2:P2"/>
    <mergeCell ref="D3:F3"/>
    <mergeCell ref="H3:J3"/>
    <mergeCell ref="L3:M3"/>
    <mergeCell ref="O3:P3"/>
    <mergeCell ref="C5:F5"/>
    <mergeCell ref="C6:F8"/>
    <mergeCell ref="G5:J5"/>
    <mergeCell ref="G6:J8"/>
    <mergeCell ref="K5:M5"/>
    <mergeCell ref="K6:M8"/>
    <mergeCell ref="N5:P5"/>
    <mergeCell ref="N6:P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6"/>
  <sheetViews>
    <sheetView workbookViewId="0"/>
  </sheetViews>
  <sheetFormatPr defaultRowHeight="14.25"/>
  <cols>
    <col min="1" max="1" width="4" customWidth="1"/>
    <col min="2" max="2" width="23" customWidth="1"/>
    <col min="3" max="5" width="15" customWidth="1"/>
    <col min="6" max="6" width="24" customWidth="1"/>
    <col min="7" max="8" width="15" customWidth="1"/>
    <col min="9" max="9" width="28" customWidth="1"/>
    <col min="10" max="13" width="15" customWidth="1"/>
    <col min="14" max="14" width="20" customWidth="1"/>
    <col min="15" max="16" width="18" customWidth="1"/>
  </cols>
  <sheetData>
    <row r="1" spans="1:16" ht="27" customHeight="1">
      <c r="A1" s="270" t="s">
        <v>1375</v>
      </c>
      <c r="B1" s="270"/>
      <c r="C1" s="276" t="s">
        <v>1453</v>
      </c>
      <c r="D1" s="276"/>
      <c r="E1" s="276"/>
      <c r="F1" s="276"/>
      <c r="G1" s="276"/>
      <c r="H1" s="276"/>
      <c r="I1" s="276"/>
      <c r="J1" s="276"/>
      <c r="K1" s="276"/>
      <c r="L1" s="276"/>
      <c r="M1" s="276"/>
      <c r="N1" s="276"/>
      <c r="O1" s="276"/>
      <c r="P1" s="276"/>
    </row>
    <row r="2" spans="1:16" ht="27" customHeight="1">
      <c r="A2" s="271" t="s">
        <v>1377</v>
      </c>
      <c r="B2" s="271"/>
      <c r="C2" s="277" t="s">
        <v>1454</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1116</v>
      </c>
      <c r="D5" s="280"/>
      <c r="E5" s="281"/>
      <c r="F5" s="279" t="s">
        <v>961</v>
      </c>
      <c r="G5" s="280"/>
      <c r="H5" s="281"/>
      <c r="I5" s="279" t="s">
        <v>964</v>
      </c>
      <c r="J5" s="280"/>
      <c r="K5" s="281"/>
      <c r="L5" s="279" t="s">
        <v>1455</v>
      </c>
      <c r="M5" s="280"/>
      <c r="N5" s="281"/>
      <c r="O5" s="279" t="s">
        <v>973</v>
      </c>
      <c r="P5" s="281"/>
    </row>
    <row r="6" spans="1:16" ht="18.95" customHeight="1">
      <c r="A6" s="273"/>
      <c r="B6" s="273"/>
      <c r="C6" s="282">
        <f>DATA_METRIC_LONG!E7</f>
        <v>0</v>
      </c>
      <c r="D6" s="283"/>
      <c r="E6" s="284"/>
      <c r="F6" s="282">
        <f>DATA_METRIC_LONG!E8</f>
        <v>0</v>
      </c>
      <c r="G6" s="283"/>
      <c r="H6" s="284"/>
      <c r="I6" s="282">
        <f>DATA_METRIC_LONG!E9</f>
        <v>0</v>
      </c>
      <c r="J6" s="283"/>
      <c r="K6" s="284"/>
      <c r="L6" s="282">
        <f>DATA_METRIC_LONG!E11</f>
        <v>0</v>
      </c>
      <c r="M6" s="283"/>
      <c r="N6" s="284"/>
      <c r="O6" s="291">
        <f>DATA_METRIC_LONG!E12</f>
        <v>0</v>
      </c>
      <c r="P6" s="293"/>
    </row>
    <row r="7" spans="1:16" ht="18.95" customHeight="1">
      <c r="A7" s="176"/>
      <c r="B7" s="176"/>
      <c r="C7" s="285"/>
      <c r="D7" s="286"/>
      <c r="E7" s="287"/>
      <c r="F7" s="285"/>
      <c r="G7" s="286"/>
      <c r="H7" s="287"/>
      <c r="I7" s="285"/>
      <c r="J7" s="286"/>
      <c r="K7" s="287"/>
      <c r="L7" s="285"/>
      <c r="M7" s="286"/>
      <c r="N7" s="287"/>
      <c r="O7" s="294"/>
      <c r="P7" s="296"/>
    </row>
    <row r="8" spans="1:16" ht="18.95" customHeight="1">
      <c r="A8" s="273" t="s">
        <v>1383</v>
      </c>
      <c r="B8" s="273"/>
      <c r="C8" s="288"/>
      <c r="D8" s="289"/>
      <c r="E8" s="290"/>
      <c r="F8" s="288"/>
      <c r="G8" s="289"/>
      <c r="H8" s="290"/>
      <c r="I8" s="288"/>
      <c r="J8" s="289"/>
      <c r="K8" s="290"/>
      <c r="L8" s="288"/>
      <c r="M8" s="289"/>
      <c r="N8" s="290"/>
      <c r="O8" s="297"/>
      <c r="P8" s="299"/>
    </row>
    <row r="9" spans="1:16" ht="18.95" customHeight="1">
      <c r="A9" s="273"/>
      <c r="B9" s="273"/>
      <c r="C9" s="2"/>
      <c r="D9" s="2"/>
      <c r="E9" s="2"/>
      <c r="F9" s="2"/>
      <c r="G9" s="2"/>
      <c r="H9" s="2"/>
      <c r="I9" s="2"/>
      <c r="J9" s="2"/>
      <c r="K9" s="2"/>
      <c r="L9" s="2"/>
      <c r="M9" s="2"/>
      <c r="N9" s="2"/>
      <c r="O9" s="2"/>
      <c r="P9" s="2"/>
    </row>
    <row r="10" spans="1:16" ht="18.95" customHeight="1">
      <c r="A10" s="176"/>
      <c r="B10" s="176"/>
      <c r="C10" s="324" t="s">
        <v>1456</v>
      </c>
      <c r="D10" s="325"/>
      <c r="E10" s="325"/>
      <c r="F10" s="325"/>
      <c r="G10" s="325"/>
      <c r="H10" s="326"/>
      <c r="I10" s="324" t="s">
        <v>1457</v>
      </c>
      <c r="J10" s="325"/>
      <c r="K10" s="325"/>
      <c r="L10" s="325"/>
      <c r="M10" s="325"/>
      <c r="N10" s="325"/>
      <c r="O10" s="325"/>
      <c r="P10" s="326"/>
    </row>
    <row r="11" spans="1:16" ht="18.95" customHeight="1">
      <c r="A11" s="272" t="s">
        <v>1386</v>
      </c>
      <c r="B11" s="272"/>
      <c r="C11" s="170" t="s">
        <v>1458</v>
      </c>
      <c r="D11" s="170" t="s">
        <v>1459</v>
      </c>
      <c r="E11" s="170" t="s">
        <v>1460</v>
      </c>
      <c r="F11" s="327" t="s">
        <v>1461</v>
      </c>
      <c r="G11" s="327"/>
      <c r="H11" s="327"/>
      <c r="I11" s="177" t="s">
        <v>1394</v>
      </c>
      <c r="J11" s="178" t="s">
        <v>391</v>
      </c>
      <c r="K11" s="178" t="s">
        <v>94</v>
      </c>
      <c r="L11" s="178" t="s">
        <v>333</v>
      </c>
      <c r="M11" s="178" t="s">
        <v>1458</v>
      </c>
      <c r="N11" s="178" t="s">
        <v>1462</v>
      </c>
      <c r="O11" s="178" t="s">
        <v>400</v>
      </c>
      <c r="P11" s="179" t="s">
        <v>403</v>
      </c>
    </row>
    <row r="12" spans="1:16" ht="26.1" customHeight="1">
      <c r="A12" s="272"/>
      <c r="B12" s="272"/>
      <c r="C12" s="156" t="s">
        <v>1463</v>
      </c>
      <c r="D12" s="157">
        <f>COUNTIF(DATA_PROPERTY_MASTER!F7:F206,"Stable")</f>
        <v>0</v>
      </c>
      <c r="E12" s="157">
        <f>SUMIFS(DATA_PROPERTY_MASTER!I7:I206,DATA_PROPERTY_MASTER!F7:F206,"Stable",DATA_PROPERTY_MASTER!E7:E206,"Yes")</f>
        <v>0</v>
      </c>
      <c r="F12" s="353" t="s">
        <v>1464</v>
      </c>
      <c r="G12" s="353"/>
      <c r="H12" s="328"/>
      <c r="I12" s="156">
        <f>IFERROR(DATA_PROPERTY_MASTER!B7,"")</f>
        <v>0</v>
      </c>
      <c r="J12" s="157">
        <f>IFERROR(DATA_PROPERTY_MASTER!C7,"")</f>
        <v>0</v>
      </c>
      <c r="K12" s="157">
        <f>IFERROR(DATA_PROPERTY_MASTER!D7,"")</f>
        <v>0</v>
      </c>
      <c r="L12" s="157">
        <f>IFERROR(DATA_PROPERTY_MASTER!E7,"")</f>
        <v>0</v>
      </c>
      <c r="M12" s="157">
        <f>IFERROR(DATA_PROPERTY_MASTER!F7,"")</f>
        <v>0</v>
      </c>
      <c r="N12" s="157">
        <f>IFERROR(DATA_PROPERTY_MASTER!I7,"")</f>
        <v>0</v>
      </c>
      <c r="O12" s="157">
        <f>IFERROR(DATA_PROPERTY_MASTER!N7,"")</f>
        <v>0</v>
      </c>
      <c r="P12" s="158" t="str">
        <f>IFERROR(DATA_PROPERTY_MASTER!Q7,"")</f>
        <v/>
      </c>
    </row>
    <row r="13" spans="1:16" ht="26.1" customHeight="1">
      <c r="A13" s="176"/>
      <c r="B13" s="176"/>
      <c r="C13" s="159" t="s">
        <v>1465</v>
      </c>
      <c r="D13" s="155">
        <f>COUNTIF(DATA_PROPERTY_MASTER!F7:F206,"Refi Watch")</f>
        <v>0</v>
      </c>
      <c r="E13" s="155">
        <f>SUMIFS(DATA_PROPERTY_MASTER!I7:I206,DATA_PROPERTY_MASTER!F7:F206,"Refi Watch",DATA_PROPERTY_MASTER!E7:E206,"Yes")</f>
        <v>0</v>
      </c>
      <c r="F13" s="354" t="s">
        <v>1466</v>
      </c>
      <c r="G13" s="354"/>
      <c r="H13" s="330"/>
      <c r="I13" s="159">
        <f>IFERROR(DATA_PROPERTY_MASTER!B8,"")</f>
        <v>0</v>
      </c>
      <c r="J13" s="155">
        <f>IFERROR(DATA_PROPERTY_MASTER!C8,"")</f>
        <v>0</v>
      </c>
      <c r="K13" s="155">
        <f>IFERROR(DATA_PROPERTY_MASTER!D8,"")</f>
        <v>0</v>
      </c>
      <c r="L13" s="155">
        <f>IFERROR(DATA_PROPERTY_MASTER!E8,"")</f>
        <v>0</v>
      </c>
      <c r="M13" s="155">
        <f>IFERROR(DATA_PROPERTY_MASTER!F8,"")</f>
        <v>0</v>
      </c>
      <c r="N13" s="155">
        <f>IFERROR(DATA_PROPERTY_MASTER!I8,"")</f>
        <v>0</v>
      </c>
      <c r="O13" s="155">
        <f>IFERROR(DATA_PROPERTY_MASTER!N8,"")</f>
        <v>0</v>
      </c>
      <c r="P13" s="160" t="str">
        <f>IFERROR(DATA_PROPERTY_MASTER!Q8,"")</f>
        <v/>
      </c>
    </row>
    <row r="14" spans="1:16" ht="26.1" customHeight="1">
      <c r="A14" s="273" t="s">
        <v>1398</v>
      </c>
      <c r="B14" s="273"/>
      <c r="C14" s="159" t="s">
        <v>1467</v>
      </c>
      <c r="D14" s="155">
        <f>COUNTIF(DATA_PROPERTY_MASTER!F7:F206,"Workout")</f>
        <v>0</v>
      </c>
      <c r="E14" s="155">
        <f>SUMIFS(DATA_PROPERTY_MASTER!I7:I206,DATA_PROPERTY_MASTER!F7:F206,"Workout",DATA_PROPERTY_MASTER!E7:E206,"Yes")</f>
        <v>0</v>
      </c>
      <c r="F14" s="354" t="s">
        <v>1468</v>
      </c>
      <c r="G14" s="354"/>
      <c r="H14" s="330"/>
      <c r="I14" s="159">
        <f>IFERROR(DATA_PROPERTY_MASTER!B9,"")</f>
        <v>0</v>
      </c>
      <c r="J14" s="155">
        <f>IFERROR(DATA_PROPERTY_MASTER!C9,"")</f>
        <v>0</v>
      </c>
      <c r="K14" s="155">
        <f>IFERROR(DATA_PROPERTY_MASTER!D9,"")</f>
        <v>0</v>
      </c>
      <c r="L14" s="155">
        <f>IFERROR(DATA_PROPERTY_MASTER!E9,"")</f>
        <v>0</v>
      </c>
      <c r="M14" s="155">
        <f>IFERROR(DATA_PROPERTY_MASTER!F9,"")</f>
        <v>0</v>
      </c>
      <c r="N14" s="155">
        <f>IFERROR(DATA_PROPERTY_MASTER!I9,"")</f>
        <v>0</v>
      </c>
      <c r="O14" s="155">
        <f>IFERROR(DATA_PROPERTY_MASTER!N9,"")</f>
        <v>0</v>
      </c>
      <c r="P14" s="160" t="str">
        <f>IFERROR(DATA_PROPERTY_MASTER!Q9,"")</f>
        <v/>
      </c>
    </row>
    <row r="15" spans="1:16" ht="26.1" customHeight="1">
      <c r="A15" s="273"/>
      <c r="B15" s="273"/>
      <c r="C15" s="159" t="s">
        <v>1469</v>
      </c>
      <c r="D15" s="155">
        <f>COUNTIF(DATA_PROPERTY_MASTER!F7:F206,"New Build")</f>
        <v>0</v>
      </c>
      <c r="E15" s="155">
        <f>SUMIFS(DATA_PROPERTY_MASTER!I7:I206,DATA_PROPERTY_MASTER!F7:F206,"New Build",DATA_PROPERTY_MASTER!E7:E206,"Yes")</f>
        <v>0</v>
      </c>
      <c r="F15" s="354" t="s">
        <v>1470</v>
      </c>
      <c r="G15" s="354"/>
      <c r="H15" s="330"/>
      <c r="I15" s="159">
        <f>IFERROR(DATA_PROPERTY_MASTER!B10,"")</f>
        <v>0</v>
      </c>
      <c r="J15" s="155">
        <f>IFERROR(DATA_PROPERTY_MASTER!C10,"")</f>
        <v>0</v>
      </c>
      <c r="K15" s="155">
        <f>IFERROR(DATA_PROPERTY_MASTER!D10,"")</f>
        <v>0</v>
      </c>
      <c r="L15" s="155">
        <f>IFERROR(DATA_PROPERTY_MASTER!E10,"")</f>
        <v>0</v>
      </c>
      <c r="M15" s="155">
        <f>IFERROR(DATA_PROPERTY_MASTER!F10,"")</f>
        <v>0</v>
      </c>
      <c r="N15" s="155">
        <f>IFERROR(DATA_PROPERTY_MASTER!I10,"")</f>
        <v>0</v>
      </c>
      <c r="O15" s="155">
        <f>IFERROR(DATA_PROPERTY_MASTER!N10,"")</f>
        <v>0</v>
      </c>
      <c r="P15" s="160" t="str">
        <f>IFERROR(DATA_PROPERTY_MASTER!Q10,"")</f>
        <v/>
      </c>
    </row>
    <row r="16" spans="1:16" ht="26.1" customHeight="1">
      <c r="A16" s="176"/>
      <c r="B16" s="176"/>
      <c r="C16" s="161" t="s">
        <v>496</v>
      </c>
      <c r="D16" s="162">
        <f>COUNTIF(DATA_PROPERTY_MASTER!F7:F206,"Excluded")</f>
        <v>0</v>
      </c>
      <c r="E16" s="162">
        <f>SUMIFS(DATA_PROPERTY_MASTER!I7:I206,DATA_PROPERTY_MASTER!F7:F206,"Excluded",DATA_PROPERTY_MASTER!E7:E206,"Yes")</f>
        <v>0</v>
      </c>
      <c r="F16" s="355" t="s">
        <v>1471</v>
      </c>
      <c r="G16" s="355"/>
      <c r="H16" s="331"/>
      <c r="I16" s="159">
        <f>IFERROR(DATA_PROPERTY_MASTER!B11,"")</f>
        <v>0</v>
      </c>
      <c r="J16" s="155">
        <f>IFERROR(DATA_PROPERTY_MASTER!C11,"")</f>
        <v>0</v>
      </c>
      <c r="K16" s="155">
        <f>IFERROR(DATA_PROPERTY_MASTER!D11,"")</f>
        <v>0</v>
      </c>
      <c r="L16" s="155">
        <f>IFERROR(DATA_PROPERTY_MASTER!E11,"")</f>
        <v>0</v>
      </c>
      <c r="M16" s="155">
        <f>IFERROR(DATA_PROPERTY_MASTER!F11,"")</f>
        <v>0</v>
      </c>
      <c r="N16" s="155">
        <f>IFERROR(DATA_PROPERTY_MASTER!I11,"")</f>
        <v>0</v>
      </c>
      <c r="O16" s="155">
        <f>IFERROR(DATA_PROPERTY_MASTER!N11,"")</f>
        <v>0</v>
      </c>
      <c r="P16" s="160" t="str">
        <f>IFERROR(DATA_PROPERTY_MASTER!Q11,"")</f>
        <v/>
      </c>
    </row>
    <row r="17" spans="1:16" ht="26.1" customHeight="1">
      <c r="A17" s="273" t="s">
        <v>1399</v>
      </c>
      <c r="B17" s="273"/>
      <c r="C17" s="2"/>
      <c r="D17" s="2"/>
      <c r="E17" s="2"/>
      <c r="F17" s="2"/>
      <c r="G17" s="2"/>
      <c r="H17" s="2"/>
      <c r="I17" s="159">
        <f>IFERROR(DATA_PROPERTY_MASTER!B12,"")</f>
        <v>0</v>
      </c>
      <c r="J17" s="155">
        <f>IFERROR(DATA_PROPERTY_MASTER!C12,"")</f>
        <v>0</v>
      </c>
      <c r="K17" s="155">
        <f>IFERROR(DATA_PROPERTY_MASTER!D12,"")</f>
        <v>0</v>
      </c>
      <c r="L17" s="155">
        <f>IFERROR(DATA_PROPERTY_MASTER!E12,"")</f>
        <v>0</v>
      </c>
      <c r="M17" s="155">
        <f>IFERROR(DATA_PROPERTY_MASTER!F12,"")</f>
        <v>0</v>
      </c>
      <c r="N17" s="155">
        <f>IFERROR(DATA_PROPERTY_MASTER!I12,"")</f>
        <v>0</v>
      </c>
      <c r="O17" s="155">
        <f>IFERROR(DATA_PROPERTY_MASTER!N12,"")</f>
        <v>0</v>
      </c>
      <c r="P17" s="160" t="str">
        <f>IFERROR(DATA_PROPERTY_MASTER!Q12,"")</f>
        <v/>
      </c>
    </row>
    <row r="18" spans="1:16" ht="26.1" customHeight="1">
      <c r="A18" s="273"/>
      <c r="B18" s="273"/>
      <c r="C18" s="2"/>
      <c r="D18" s="2"/>
      <c r="E18" s="2"/>
      <c r="F18" s="2"/>
      <c r="G18" s="2"/>
      <c r="H18" s="2"/>
      <c r="I18" s="159">
        <f>IFERROR(DATA_PROPERTY_MASTER!B13,"")</f>
        <v>0</v>
      </c>
      <c r="J18" s="155">
        <f>IFERROR(DATA_PROPERTY_MASTER!C13,"")</f>
        <v>0</v>
      </c>
      <c r="K18" s="155">
        <f>IFERROR(DATA_PROPERTY_MASTER!D13,"")</f>
        <v>0</v>
      </c>
      <c r="L18" s="155">
        <f>IFERROR(DATA_PROPERTY_MASTER!E13,"")</f>
        <v>0</v>
      </c>
      <c r="M18" s="155">
        <f>IFERROR(DATA_PROPERTY_MASTER!F13,"")</f>
        <v>0</v>
      </c>
      <c r="N18" s="155">
        <f>IFERROR(DATA_PROPERTY_MASTER!I13,"")</f>
        <v>0</v>
      </c>
      <c r="O18" s="155">
        <f>IFERROR(DATA_PROPERTY_MASTER!N13,"")</f>
        <v>0</v>
      </c>
      <c r="P18" s="160" t="str">
        <f>IFERROR(DATA_PROPERTY_MASTER!Q13,"")</f>
        <v/>
      </c>
    </row>
    <row r="19" spans="1:16" ht="26.1" customHeight="1">
      <c r="A19" s="176"/>
      <c r="B19" s="176"/>
      <c r="C19" s="324" t="s">
        <v>1472</v>
      </c>
      <c r="D19" s="325"/>
      <c r="E19" s="325"/>
      <c r="F19" s="325"/>
      <c r="G19" s="325"/>
      <c r="H19" s="326"/>
      <c r="I19" s="159">
        <f>IFERROR(DATA_PROPERTY_MASTER!B14,"")</f>
        <v>0</v>
      </c>
      <c r="J19" s="155">
        <f>IFERROR(DATA_PROPERTY_MASTER!C14,"")</f>
        <v>0</v>
      </c>
      <c r="K19" s="155">
        <f>IFERROR(DATA_PROPERTY_MASTER!D14,"")</f>
        <v>0</v>
      </c>
      <c r="L19" s="155">
        <f>IFERROR(DATA_PROPERTY_MASTER!E14,"")</f>
        <v>0</v>
      </c>
      <c r="M19" s="155">
        <f>IFERROR(DATA_PROPERTY_MASTER!F14,"")</f>
        <v>0</v>
      </c>
      <c r="N19" s="155">
        <f>IFERROR(DATA_PROPERTY_MASTER!I14,"")</f>
        <v>0</v>
      </c>
      <c r="O19" s="155">
        <f>IFERROR(DATA_PROPERTY_MASTER!N14,"")</f>
        <v>0</v>
      </c>
      <c r="P19" s="160" t="str">
        <f>IFERROR(DATA_PROPERTY_MASTER!Q14,"")</f>
        <v/>
      </c>
    </row>
    <row r="20" spans="1:16" ht="26.1" customHeight="1">
      <c r="A20" s="273" t="s">
        <v>1400</v>
      </c>
      <c r="B20" s="273"/>
      <c r="C20" s="177" t="s">
        <v>1394</v>
      </c>
      <c r="D20" s="178" t="s">
        <v>1473</v>
      </c>
      <c r="E20" s="178" t="s">
        <v>1474</v>
      </c>
      <c r="F20" s="178" t="s">
        <v>1475</v>
      </c>
      <c r="G20" s="178" t="s">
        <v>1392</v>
      </c>
      <c r="H20" s="179" t="s">
        <v>402</v>
      </c>
      <c r="I20" s="159">
        <f>IFERROR(DATA_PROPERTY_MASTER!B15,"")</f>
        <v>0</v>
      </c>
      <c r="J20" s="155">
        <f>IFERROR(DATA_PROPERTY_MASTER!C15,"")</f>
        <v>0</v>
      </c>
      <c r="K20" s="155">
        <f>IFERROR(DATA_PROPERTY_MASTER!D15,"")</f>
        <v>0</v>
      </c>
      <c r="L20" s="155">
        <f>IFERROR(DATA_PROPERTY_MASTER!E15,"")</f>
        <v>0</v>
      </c>
      <c r="M20" s="155">
        <f>IFERROR(DATA_PROPERTY_MASTER!F15,"")</f>
        <v>0</v>
      </c>
      <c r="N20" s="155">
        <f>IFERROR(DATA_PROPERTY_MASTER!I15,"")</f>
        <v>0</v>
      </c>
      <c r="O20" s="155">
        <f>IFERROR(DATA_PROPERTY_MASTER!N15,"")</f>
        <v>0</v>
      </c>
      <c r="P20" s="160" t="str">
        <f>IFERROR(DATA_PROPERTY_MASTER!Q15,"")</f>
        <v/>
      </c>
    </row>
    <row r="21" spans="1:16" ht="33.950000000000003" customHeight="1">
      <c r="A21" s="273"/>
      <c r="B21" s="273"/>
      <c r="C21" s="156">
        <f>IFERROR(DATA_PROPERTY_MASTER!B21,"")</f>
        <v>0</v>
      </c>
      <c r="D21" s="157">
        <f>IFERROR(DATA_PROPERTY_MASTER!I21,"")</f>
        <v>0</v>
      </c>
      <c r="E21" s="157">
        <f>IFERROR(DATA_PROPERTY_MASTER!J21,"")</f>
        <v>0</v>
      </c>
      <c r="F21" s="157" t="str">
        <f>IFERROR(DATA_PROPERTY_MASTER!K21,"")</f>
        <v/>
      </c>
      <c r="G21" s="157">
        <f>IFERROR(DATA_PROPERTY_MASTER!O21,"")</f>
        <v>0</v>
      </c>
      <c r="H21" s="158">
        <f>IFERROR(DATA_PROPERTY_MASTER!P21,"")</f>
        <v>0</v>
      </c>
      <c r="I21" s="159">
        <f>IFERROR(DATA_PROPERTY_MASTER!B16,"")</f>
        <v>0</v>
      </c>
      <c r="J21" s="155">
        <f>IFERROR(DATA_PROPERTY_MASTER!C16,"")</f>
        <v>0</v>
      </c>
      <c r="K21" s="155">
        <f>IFERROR(DATA_PROPERTY_MASTER!D16,"")</f>
        <v>0</v>
      </c>
      <c r="L21" s="155">
        <f>IFERROR(DATA_PROPERTY_MASTER!E16,"")</f>
        <v>0</v>
      </c>
      <c r="M21" s="155">
        <f>IFERROR(DATA_PROPERTY_MASTER!F16,"")</f>
        <v>0</v>
      </c>
      <c r="N21" s="155">
        <f>IFERROR(DATA_PROPERTY_MASTER!I16,"")</f>
        <v>0</v>
      </c>
      <c r="O21" s="155">
        <f>IFERROR(DATA_PROPERTY_MASTER!N16,"")</f>
        <v>0</v>
      </c>
      <c r="P21" s="160" t="str">
        <f>IFERROR(DATA_PROPERTY_MASTER!Q16,"")</f>
        <v/>
      </c>
    </row>
    <row r="22" spans="1:16" ht="33.950000000000003" customHeight="1">
      <c r="A22" s="176"/>
      <c r="B22" s="176"/>
      <c r="C22" s="159">
        <f>IFERROR(DATA_PROPERTY_MASTER!B22,"")</f>
        <v>0</v>
      </c>
      <c r="D22" s="155">
        <f>IFERROR(DATA_PROPERTY_MASTER!I22,"")</f>
        <v>0</v>
      </c>
      <c r="E22" s="155">
        <f>IFERROR(DATA_PROPERTY_MASTER!J22,"")</f>
        <v>0</v>
      </c>
      <c r="F22" s="155" t="str">
        <f>IFERROR(DATA_PROPERTY_MASTER!K22,"")</f>
        <v/>
      </c>
      <c r="G22" s="155">
        <f>IFERROR(DATA_PROPERTY_MASTER!O22,"")</f>
        <v>0</v>
      </c>
      <c r="H22" s="160">
        <f>IFERROR(DATA_PROPERTY_MASTER!P22,"")</f>
        <v>0</v>
      </c>
      <c r="I22" s="159">
        <f>IFERROR(DATA_PROPERTY_MASTER!B17,"")</f>
        <v>0</v>
      </c>
      <c r="J22" s="155">
        <f>IFERROR(DATA_PROPERTY_MASTER!C17,"")</f>
        <v>0</v>
      </c>
      <c r="K22" s="155">
        <f>IFERROR(DATA_PROPERTY_MASTER!D17,"")</f>
        <v>0</v>
      </c>
      <c r="L22" s="155">
        <f>IFERROR(DATA_PROPERTY_MASTER!E17,"")</f>
        <v>0</v>
      </c>
      <c r="M22" s="155">
        <f>IFERROR(DATA_PROPERTY_MASTER!F17,"")</f>
        <v>0</v>
      </c>
      <c r="N22" s="155">
        <f>IFERROR(DATA_PROPERTY_MASTER!I17,"")</f>
        <v>0</v>
      </c>
      <c r="O22" s="155">
        <f>IFERROR(DATA_PROPERTY_MASTER!N17,"")</f>
        <v>0</v>
      </c>
      <c r="P22" s="160" t="str">
        <f>IFERROR(DATA_PROPERTY_MASTER!Q17,"")</f>
        <v/>
      </c>
    </row>
    <row r="23" spans="1:16" ht="33.950000000000003" customHeight="1">
      <c r="A23" s="273" t="s">
        <v>1412</v>
      </c>
      <c r="B23" s="273"/>
      <c r="C23" s="159">
        <f>IFERROR(DATA_PROPERTY_MASTER!B7,"")</f>
        <v>0</v>
      </c>
      <c r="D23" s="155">
        <f>IFERROR(DATA_PROPERTY_MASTER!I7,"")</f>
        <v>0</v>
      </c>
      <c r="E23" s="155">
        <f>IFERROR(DATA_PROPERTY_MASTER!J7,"")</f>
        <v>0</v>
      </c>
      <c r="F23" s="155" t="str">
        <f>IFERROR(DATA_PROPERTY_MASTER!K7,"")</f>
        <v/>
      </c>
      <c r="G23" s="155">
        <f>IFERROR(DATA_PROPERTY_MASTER!O7,"")</f>
        <v>0</v>
      </c>
      <c r="H23" s="160">
        <f>IFERROR(DATA_PROPERTY_MASTER!P7,"")</f>
        <v>0</v>
      </c>
      <c r="I23" s="161">
        <f>IFERROR(DATA_PROPERTY_MASTER!B18,"")</f>
        <v>0</v>
      </c>
      <c r="J23" s="162">
        <f>IFERROR(DATA_PROPERTY_MASTER!C18,"")</f>
        <v>0</v>
      </c>
      <c r="K23" s="162">
        <f>IFERROR(DATA_PROPERTY_MASTER!D18,"")</f>
        <v>0</v>
      </c>
      <c r="L23" s="162">
        <f>IFERROR(DATA_PROPERTY_MASTER!E18,"")</f>
        <v>0</v>
      </c>
      <c r="M23" s="162">
        <f>IFERROR(DATA_PROPERTY_MASTER!F18,"")</f>
        <v>0</v>
      </c>
      <c r="N23" s="162">
        <f>IFERROR(DATA_PROPERTY_MASTER!I18,"")</f>
        <v>0</v>
      </c>
      <c r="O23" s="162">
        <f>IFERROR(DATA_PROPERTY_MASTER!N18,"")</f>
        <v>0</v>
      </c>
      <c r="P23" s="163" t="str">
        <f>IFERROR(DATA_PROPERTY_MASTER!Q18,"")</f>
        <v/>
      </c>
    </row>
    <row r="24" spans="1:16" ht="33.950000000000003" customHeight="1">
      <c r="A24" s="273"/>
      <c r="B24" s="273"/>
      <c r="C24" s="161">
        <f>IFERROR(DATA_PROPERTY_MASTER!B8,"")</f>
        <v>0</v>
      </c>
      <c r="D24" s="162">
        <f>IFERROR(DATA_PROPERTY_MASTER!I8,"")</f>
        <v>0</v>
      </c>
      <c r="E24" s="162">
        <f>IFERROR(DATA_PROPERTY_MASTER!J8,"")</f>
        <v>0</v>
      </c>
      <c r="F24" s="162" t="str">
        <f>IFERROR(DATA_PROPERTY_MASTER!K8,"")</f>
        <v/>
      </c>
      <c r="G24" s="162">
        <f>IFERROR(DATA_PROPERTY_MASTER!O8,"")</f>
        <v>0</v>
      </c>
      <c r="H24" s="163">
        <f>IFERROR(DATA_PROPERTY_MASTER!P8,"")</f>
        <v>0</v>
      </c>
      <c r="I24" s="2"/>
      <c r="J24" s="2"/>
      <c r="K24" s="2"/>
      <c r="L24" s="2"/>
      <c r="M24" s="2"/>
      <c r="N24" s="2"/>
      <c r="O24" s="2"/>
      <c r="P24" s="2"/>
    </row>
    <row r="25" spans="1:16" ht="18.95" customHeight="1">
      <c r="A25" s="176"/>
      <c r="B25" s="176"/>
      <c r="C25" s="2"/>
      <c r="D25" s="2"/>
      <c r="E25" s="2"/>
      <c r="F25" s="2"/>
      <c r="G25" s="2"/>
      <c r="H25" s="2"/>
      <c r="I25" s="2"/>
      <c r="J25" s="2"/>
      <c r="K25" s="2"/>
      <c r="L25" s="2"/>
      <c r="M25" s="2"/>
      <c r="N25" s="2"/>
      <c r="O25" s="2"/>
      <c r="P25" s="2"/>
    </row>
    <row r="26" spans="1:16" ht="18.95" customHeight="1">
      <c r="A26" s="273" t="s">
        <v>1422</v>
      </c>
      <c r="B26" s="273"/>
      <c r="C26" s="365" t="s">
        <v>1476</v>
      </c>
      <c r="D26" s="366"/>
      <c r="E26" s="366"/>
      <c r="F26" s="366"/>
      <c r="G26" s="366"/>
      <c r="H26" s="366"/>
      <c r="I26" s="366"/>
      <c r="J26" s="366"/>
      <c r="K26" s="366"/>
      <c r="L26" s="366"/>
      <c r="M26" s="366"/>
      <c r="N26" s="366"/>
      <c r="O26" s="366"/>
      <c r="P26" s="367"/>
    </row>
    <row r="27" spans="1:16" ht="18.95" customHeight="1">
      <c r="A27" s="273"/>
      <c r="B27" s="273"/>
      <c r="C27" s="368"/>
      <c r="D27" s="369"/>
      <c r="E27" s="369"/>
      <c r="F27" s="369"/>
      <c r="G27" s="369"/>
      <c r="H27" s="369"/>
      <c r="I27" s="369"/>
      <c r="J27" s="369"/>
      <c r="K27" s="369"/>
      <c r="L27" s="369"/>
      <c r="M27" s="369"/>
      <c r="N27" s="369"/>
      <c r="O27" s="369"/>
      <c r="P27" s="370"/>
    </row>
    <row r="28" spans="1:16" ht="18.95" customHeight="1">
      <c r="A28" s="176"/>
      <c r="B28" s="176"/>
      <c r="C28" s="371"/>
      <c r="D28" s="372"/>
      <c r="E28" s="372"/>
      <c r="F28" s="372"/>
      <c r="G28" s="372"/>
      <c r="H28" s="372"/>
      <c r="I28" s="372"/>
      <c r="J28" s="372"/>
      <c r="K28" s="372"/>
      <c r="L28" s="372"/>
      <c r="M28" s="372"/>
      <c r="N28" s="372"/>
      <c r="O28" s="372"/>
      <c r="P28" s="373"/>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C19:H19"/>
    <mergeCell ref="C26:P28"/>
    <mergeCell ref="F13:H13"/>
    <mergeCell ref="F14:H14"/>
    <mergeCell ref="F15:H15"/>
    <mergeCell ref="F16:H16"/>
    <mergeCell ref="I10:P10"/>
    <mergeCell ref="O5:P5"/>
    <mergeCell ref="O6:P8"/>
    <mergeCell ref="C10:H10"/>
    <mergeCell ref="F11:H11"/>
    <mergeCell ref="F12:H12"/>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36"/>
  <sheetViews>
    <sheetView workbookViewId="0"/>
  </sheetViews>
  <sheetFormatPr defaultRowHeight="14.25"/>
  <cols>
    <col min="1" max="1" width="4" customWidth="1"/>
    <col min="2" max="2" width="23" customWidth="1"/>
    <col min="3" max="8" width="15" customWidth="1"/>
    <col min="9" max="9" width="24" customWidth="1"/>
    <col min="10" max="14" width="15" customWidth="1"/>
    <col min="15" max="16" width="18" customWidth="1"/>
  </cols>
  <sheetData>
    <row r="1" spans="1:16" ht="27" customHeight="1">
      <c r="A1" s="270" t="s">
        <v>1375</v>
      </c>
      <c r="B1" s="270"/>
      <c r="C1" s="276" t="s">
        <v>1477</v>
      </c>
      <c r="D1" s="276"/>
      <c r="E1" s="276"/>
      <c r="F1" s="276"/>
      <c r="G1" s="276"/>
      <c r="H1" s="276"/>
      <c r="I1" s="276"/>
      <c r="J1" s="276"/>
      <c r="K1" s="276"/>
      <c r="L1" s="276"/>
      <c r="M1" s="276"/>
      <c r="N1" s="276"/>
      <c r="O1" s="276"/>
      <c r="P1" s="276"/>
    </row>
    <row r="2" spans="1:16" ht="27" customHeight="1">
      <c r="A2" s="271" t="s">
        <v>1377</v>
      </c>
      <c r="B2" s="271"/>
      <c r="C2" s="277" t="s">
        <v>1478</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990</v>
      </c>
      <c r="D5" s="280"/>
      <c r="E5" s="281"/>
      <c r="F5" s="279" t="s">
        <v>1001</v>
      </c>
      <c r="G5" s="280"/>
      <c r="H5" s="281"/>
      <c r="I5" s="279" t="s">
        <v>1004</v>
      </c>
      <c r="J5" s="280"/>
      <c r="K5" s="281"/>
      <c r="L5" s="279" t="s">
        <v>1143</v>
      </c>
      <c r="M5" s="280"/>
      <c r="N5" s="281"/>
      <c r="O5" s="279" t="s">
        <v>1010</v>
      </c>
      <c r="P5" s="281"/>
    </row>
    <row r="6" spans="1:16" ht="18.95" customHeight="1">
      <c r="A6" s="273"/>
      <c r="B6" s="273"/>
      <c r="C6" s="300">
        <f>DATA_METRIC_LONG!E17</f>
        <v>0</v>
      </c>
      <c r="D6" s="301"/>
      <c r="E6" s="302"/>
      <c r="F6" s="300">
        <f>DATA_METRIC_LONG!E21</f>
        <v>0</v>
      </c>
      <c r="G6" s="301"/>
      <c r="H6" s="302"/>
      <c r="I6" s="300">
        <f>DATA_METRIC_LONG!E22</f>
        <v>0</v>
      </c>
      <c r="J6" s="301"/>
      <c r="K6" s="302"/>
      <c r="L6" s="300">
        <f>DATA_METRIC_LONG!E23</f>
        <v>0</v>
      </c>
      <c r="M6" s="301"/>
      <c r="N6" s="302"/>
      <c r="O6" s="309" t="str">
        <f>DATA_METRIC_LONG!E24</f>
        <v/>
      </c>
      <c r="P6" s="311"/>
    </row>
    <row r="7" spans="1:16" ht="18.95" customHeight="1">
      <c r="A7" s="176"/>
      <c r="B7" s="176"/>
      <c r="C7" s="303"/>
      <c r="D7" s="304"/>
      <c r="E7" s="305"/>
      <c r="F7" s="303"/>
      <c r="G7" s="304"/>
      <c r="H7" s="305"/>
      <c r="I7" s="303"/>
      <c r="J7" s="304"/>
      <c r="K7" s="305"/>
      <c r="L7" s="303"/>
      <c r="M7" s="304"/>
      <c r="N7" s="305"/>
      <c r="O7" s="312"/>
      <c r="P7" s="314"/>
    </row>
    <row r="8" spans="1:16" ht="18.95" customHeight="1">
      <c r="A8" s="273" t="s">
        <v>1383</v>
      </c>
      <c r="B8" s="273"/>
      <c r="C8" s="306"/>
      <c r="D8" s="307"/>
      <c r="E8" s="308"/>
      <c r="F8" s="306"/>
      <c r="G8" s="307"/>
      <c r="H8" s="308"/>
      <c r="I8" s="306"/>
      <c r="J8" s="307"/>
      <c r="K8" s="308"/>
      <c r="L8" s="306"/>
      <c r="M8" s="307"/>
      <c r="N8" s="308"/>
      <c r="O8" s="315"/>
      <c r="P8" s="317"/>
    </row>
    <row r="9" spans="1:16" ht="18.95" customHeight="1">
      <c r="A9" s="273"/>
      <c r="B9" s="273"/>
      <c r="C9" s="2"/>
      <c r="D9" s="2"/>
      <c r="E9" s="2"/>
      <c r="F9" s="2"/>
      <c r="G9" s="2"/>
      <c r="H9" s="2"/>
      <c r="I9" s="2"/>
      <c r="J9" s="2"/>
      <c r="K9" s="2"/>
      <c r="L9" s="2"/>
      <c r="M9" s="2"/>
      <c r="N9" s="2"/>
      <c r="O9" s="2"/>
      <c r="P9" s="2"/>
    </row>
    <row r="10" spans="1:16" ht="18.95" customHeight="1">
      <c r="A10" s="176"/>
      <c r="B10" s="176"/>
      <c r="C10" s="324" t="s">
        <v>1479</v>
      </c>
      <c r="D10" s="325"/>
      <c r="E10" s="325"/>
      <c r="F10" s="325"/>
      <c r="G10" s="325"/>
      <c r="H10" s="326"/>
      <c r="I10" s="324" t="s">
        <v>1480</v>
      </c>
      <c r="J10" s="325"/>
      <c r="K10" s="325"/>
      <c r="L10" s="325"/>
      <c r="M10" s="325"/>
      <c r="N10" s="325"/>
      <c r="O10" s="325"/>
      <c r="P10" s="326"/>
    </row>
    <row r="11" spans="1:16" ht="18.95" customHeight="1">
      <c r="A11" s="273" t="s">
        <v>1386</v>
      </c>
      <c r="B11" s="273"/>
      <c r="C11" s="177" t="s">
        <v>1263</v>
      </c>
      <c r="D11" s="178" t="s">
        <v>990</v>
      </c>
      <c r="E11" s="178" t="s">
        <v>1481</v>
      </c>
      <c r="F11" s="178" t="s">
        <v>1482</v>
      </c>
      <c r="G11" s="178" t="s">
        <v>1004</v>
      </c>
      <c r="H11" s="179" t="s">
        <v>1010</v>
      </c>
      <c r="I11" s="177" t="s">
        <v>1137</v>
      </c>
      <c r="J11" s="178" t="s">
        <v>1388</v>
      </c>
      <c r="K11" s="178" t="s">
        <v>1389</v>
      </c>
      <c r="L11" s="178" t="s">
        <v>1390</v>
      </c>
      <c r="M11" s="178" t="s">
        <v>1483</v>
      </c>
      <c r="N11" s="178" t="s">
        <v>1484</v>
      </c>
      <c r="O11" s="178" t="s">
        <v>1392</v>
      </c>
      <c r="P11" s="179" t="s">
        <v>340</v>
      </c>
    </row>
    <row r="12" spans="1:16" ht="24" customHeight="1">
      <c r="A12" s="273"/>
      <c r="B12" s="273"/>
      <c r="C12" s="156">
        <f>IFERROR(OUT_10YR_FINANCIAL_TREND!A4,"")</f>
        <v>0</v>
      </c>
      <c r="D12" s="183">
        <f>IFERROR(OUT_10YR_FINANCIAL_TREND!B4,"")</f>
        <v>0</v>
      </c>
      <c r="E12" s="183">
        <f>IFERROR(OUT_10YR_FINANCIAL_TREND!C4,"")</f>
        <v>0</v>
      </c>
      <c r="F12" s="183">
        <f>IFERROR(OUT_10YR_FINANCIAL_TREND!D4,"")</f>
        <v>0</v>
      </c>
      <c r="G12" s="183">
        <f>IFERROR(OUT_10YR_FINANCIAL_TREND!E4,"")</f>
        <v>0</v>
      </c>
      <c r="H12" s="186" t="str">
        <f>IFERROR(OUT_10YR_FINANCIAL_TREND!G4,"")</f>
        <v/>
      </c>
      <c r="I12" s="156">
        <f>IFERROR(FIELD_HISTORY!E8,"")</f>
        <v>0</v>
      </c>
      <c r="J12" s="180">
        <f>IFERROR(FIELD_HISTORY!F8,"")</f>
        <v>0</v>
      </c>
      <c r="K12" s="180">
        <f>IFERROR(FIELD_HISTORY!G8,"")</f>
        <v>0</v>
      </c>
      <c r="L12" s="180" t="str">
        <f>IFERROR(FIELD_HISTORY!I8,"")</f>
        <v/>
      </c>
      <c r="M12" s="189" t="str">
        <f>IFERROR(FIELD_HISTORY!J8,"")</f>
        <v/>
      </c>
      <c r="N12" s="157">
        <f>IFERROR(FIELD_HISTORY!K8,"")</f>
        <v>0</v>
      </c>
      <c r="O12" s="157">
        <f>IFERROR(FIELD_HISTORY!L8,"")</f>
        <v>0</v>
      </c>
      <c r="P12" s="158">
        <f>IFERROR(FIELD_HISTORY!M8,"")</f>
        <v>0</v>
      </c>
    </row>
    <row r="13" spans="1:16" ht="24" customHeight="1">
      <c r="A13" s="176"/>
      <c r="B13" s="176"/>
      <c r="C13" s="159">
        <f>IFERROR(OUT_10YR_FINANCIAL_TREND!A5,"")</f>
        <v>0</v>
      </c>
      <c r="D13" s="184">
        <f>IFERROR(OUT_10YR_FINANCIAL_TREND!B5,"")</f>
        <v>0</v>
      </c>
      <c r="E13" s="184">
        <f>IFERROR(OUT_10YR_FINANCIAL_TREND!C5,"")</f>
        <v>0</v>
      </c>
      <c r="F13" s="184">
        <f>IFERROR(OUT_10YR_FINANCIAL_TREND!D5,"")</f>
        <v>0</v>
      </c>
      <c r="G13" s="184">
        <f>IFERROR(OUT_10YR_FINANCIAL_TREND!E5,"")</f>
        <v>0</v>
      </c>
      <c r="H13" s="187" t="str">
        <f>IFERROR(OUT_10YR_FINANCIAL_TREND!G5,"")</f>
        <v/>
      </c>
      <c r="I13" s="159">
        <f>IFERROR(FIELD_HISTORY!E9,"")</f>
        <v>0</v>
      </c>
      <c r="J13" s="181">
        <f>IFERROR(FIELD_HISTORY!F9,"")</f>
        <v>0</v>
      </c>
      <c r="K13" s="181">
        <f>IFERROR(FIELD_HISTORY!G9,"")</f>
        <v>0</v>
      </c>
      <c r="L13" s="181" t="str">
        <f>IFERROR(FIELD_HISTORY!I9,"")</f>
        <v/>
      </c>
      <c r="M13" s="174" t="str">
        <f>IFERROR(FIELD_HISTORY!J9,"")</f>
        <v/>
      </c>
      <c r="N13" s="155">
        <f>IFERROR(FIELD_HISTORY!K9,"")</f>
        <v>0</v>
      </c>
      <c r="O13" s="155">
        <f>IFERROR(FIELD_HISTORY!L9,"")</f>
        <v>0</v>
      </c>
      <c r="P13" s="160">
        <f>IFERROR(FIELD_HISTORY!M9,"")</f>
        <v>0</v>
      </c>
    </row>
    <row r="14" spans="1:16" ht="24" customHeight="1">
      <c r="A14" s="272" t="s">
        <v>1398</v>
      </c>
      <c r="B14" s="272"/>
      <c r="C14" s="159">
        <f>IFERROR(OUT_10YR_FINANCIAL_TREND!A6,"")</f>
        <v>0</v>
      </c>
      <c r="D14" s="184">
        <f>IFERROR(OUT_10YR_FINANCIAL_TREND!B6,"")</f>
        <v>0</v>
      </c>
      <c r="E14" s="184">
        <f>IFERROR(OUT_10YR_FINANCIAL_TREND!C6,"")</f>
        <v>0</v>
      </c>
      <c r="F14" s="184">
        <f>IFERROR(OUT_10YR_FINANCIAL_TREND!D6,"")</f>
        <v>0</v>
      </c>
      <c r="G14" s="184">
        <f>IFERROR(OUT_10YR_FINANCIAL_TREND!E6,"")</f>
        <v>0</v>
      </c>
      <c r="H14" s="187" t="str">
        <f>IFERROR(OUT_10YR_FINANCIAL_TREND!G6,"")</f>
        <v/>
      </c>
      <c r="I14" s="159">
        <f>IFERROR(FIELD_HISTORY!E10,"")</f>
        <v>0</v>
      </c>
      <c r="J14" s="181">
        <f>IFERROR(FIELD_HISTORY!F10,"")</f>
        <v>0</v>
      </c>
      <c r="K14" s="181">
        <f>IFERROR(FIELD_HISTORY!G10,"")</f>
        <v>0</v>
      </c>
      <c r="L14" s="181" t="str">
        <f>IFERROR(FIELD_HISTORY!I10,"")</f>
        <v/>
      </c>
      <c r="M14" s="174" t="str">
        <f>IFERROR(FIELD_HISTORY!J10,"")</f>
        <v/>
      </c>
      <c r="N14" s="155">
        <f>IFERROR(FIELD_HISTORY!K10,"")</f>
        <v>0</v>
      </c>
      <c r="O14" s="155">
        <f>IFERROR(FIELD_HISTORY!L10,"")</f>
        <v>0</v>
      </c>
      <c r="P14" s="160">
        <f>IFERROR(FIELD_HISTORY!M10,"")</f>
        <v>0</v>
      </c>
    </row>
    <row r="15" spans="1:16" ht="24" customHeight="1">
      <c r="A15" s="272"/>
      <c r="B15" s="272"/>
      <c r="C15" s="159">
        <f>IFERROR(OUT_10YR_FINANCIAL_TREND!A7,"")</f>
        <v>0</v>
      </c>
      <c r="D15" s="184">
        <f>IFERROR(OUT_10YR_FINANCIAL_TREND!B7,"")</f>
        <v>0</v>
      </c>
      <c r="E15" s="184">
        <f>IFERROR(OUT_10YR_FINANCIAL_TREND!C7,"")</f>
        <v>0</v>
      </c>
      <c r="F15" s="184">
        <f>IFERROR(OUT_10YR_FINANCIAL_TREND!D7,"")</f>
        <v>0</v>
      </c>
      <c r="G15" s="184">
        <f>IFERROR(OUT_10YR_FINANCIAL_TREND!E7,"")</f>
        <v>0</v>
      </c>
      <c r="H15" s="187" t="str">
        <f>IFERROR(OUT_10YR_FINANCIAL_TREND!G7,"")</f>
        <v/>
      </c>
      <c r="I15" s="159">
        <f>IFERROR(FIELD_HISTORY!E11,"")</f>
        <v>0</v>
      </c>
      <c r="J15" s="181">
        <f>IFERROR(FIELD_HISTORY!F11,"")</f>
        <v>0</v>
      </c>
      <c r="K15" s="181">
        <f>IFERROR(FIELD_HISTORY!G11,"")</f>
        <v>0</v>
      </c>
      <c r="L15" s="181" t="str">
        <f>IFERROR(FIELD_HISTORY!I11,"")</f>
        <v/>
      </c>
      <c r="M15" s="174" t="str">
        <f>IFERROR(FIELD_HISTORY!J11,"")</f>
        <v/>
      </c>
      <c r="N15" s="155">
        <f>IFERROR(FIELD_HISTORY!K11,"")</f>
        <v>0</v>
      </c>
      <c r="O15" s="155">
        <f>IFERROR(FIELD_HISTORY!L11,"")</f>
        <v>0</v>
      </c>
      <c r="P15" s="160">
        <f>IFERROR(FIELD_HISTORY!M11,"")</f>
        <v>0</v>
      </c>
    </row>
    <row r="16" spans="1:16" ht="24" customHeight="1">
      <c r="A16" s="176"/>
      <c r="B16" s="176"/>
      <c r="C16" s="159">
        <f>IFERROR(OUT_10YR_FINANCIAL_TREND!A8,"")</f>
        <v>0</v>
      </c>
      <c r="D16" s="184">
        <f>IFERROR(OUT_10YR_FINANCIAL_TREND!B8,"")</f>
        <v>0</v>
      </c>
      <c r="E16" s="184">
        <f>IFERROR(OUT_10YR_FINANCIAL_TREND!C8,"")</f>
        <v>0</v>
      </c>
      <c r="F16" s="184">
        <f>IFERROR(OUT_10YR_FINANCIAL_TREND!D8,"")</f>
        <v>0</v>
      </c>
      <c r="G16" s="184">
        <f>IFERROR(OUT_10YR_FINANCIAL_TREND!E8,"")</f>
        <v>0</v>
      </c>
      <c r="H16" s="187" t="str">
        <f>IFERROR(OUT_10YR_FINANCIAL_TREND!G8,"")</f>
        <v/>
      </c>
      <c r="I16" s="159">
        <f>IFERROR(FIELD_HISTORY!E12,"")</f>
        <v>0</v>
      </c>
      <c r="J16" s="181">
        <f>IFERROR(FIELD_HISTORY!F12,"")</f>
        <v>0</v>
      </c>
      <c r="K16" s="181">
        <f>IFERROR(FIELD_HISTORY!G12,"")</f>
        <v>0</v>
      </c>
      <c r="L16" s="181" t="str">
        <f>IFERROR(FIELD_HISTORY!I12,"")</f>
        <v/>
      </c>
      <c r="M16" s="174" t="str">
        <f>IFERROR(FIELD_HISTORY!J12,"")</f>
        <v/>
      </c>
      <c r="N16" s="155">
        <f>IFERROR(FIELD_HISTORY!K12,"")</f>
        <v>0</v>
      </c>
      <c r="O16" s="155">
        <f>IFERROR(FIELD_HISTORY!L12,"")</f>
        <v>0</v>
      </c>
      <c r="P16" s="160">
        <f>IFERROR(FIELD_HISTORY!M12,"")</f>
        <v>0</v>
      </c>
    </row>
    <row r="17" spans="1:16" ht="24" customHeight="1">
      <c r="A17" s="273" t="s">
        <v>1399</v>
      </c>
      <c r="B17" s="273"/>
      <c r="C17" s="159">
        <f>IFERROR(OUT_10YR_FINANCIAL_TREND!A9,"")</f>
        <v>0</v>
      </c>
      <c r="D17" s="184">
        <f>IFERROR(OUT_10YR_FINANCIAL_TREND!B9,"")</f>
        <v>0</v>
      </c>
      <c r="E17" s="184">
        <f>IFERROR(OUT_10YR_FINANCIAL_TREND!C9,"")</f>
        <v>0</v>
      </c>
      <c r="F17" s="184">
        <f>IFERROR(OUT_10YR_FINANCIAL_TREND!D9,"")</f>
        <v>0</v>
      </c>
      <c r="G17" s="184">
        <f>IFERROR(OUT_10YR_FINANCIAL_TREND!E9,"")</f>
        <v>0</v>
      </c>
      <c r="H17" s="187" t="str">
        <f>IFERROR(OUT_10YR_FINANCIAL_TREND!G9,"")</f>
        <v/>
      </c>
      <c r="I17" s="159">
        <f>IFERROR(FIELD_HISTORY!E13,"")</f>
        <v>0</v>
      </c>
      <c r="J17" s="181">
        <f>IFERROR(FIELD_HISTORY!F13,"")</f>
        <v>0</v>
      </c>
      <c r="K17" s="181">
        <f>IFERROR(FIELD_HISTORY!G13,"")</f>
        <v>0</v>
      </c>
      <c r="L17" s="181" t="str">
        <f>IFERROR(FIELD_HISTORY!I13,"")</f>
        <v/>
      </c>
      <c r="M17" s="174" t="str">
        <f>IFERROR(FIELD_HISTORY!J13,"")</f>
        <v/>
      </c>
      <c r="N17" s="155">
        <f>IFERROR(FIELD_HISTORY!K13,"")</f>
        <v>0</v>
      </c>
      <c r="O17" s="155">
        <f>IFERROR(FIELD_HISTORY!L13,"")</f>
        <v>0</v>
      </c>
      <c r="P17" s="160">
        <f>IFERROR(FIELD_HISTORY!M13,"")</f>
        <v>0</v>
      </c>
    </row>
    <row r="18" spans="1:16" ht="24" customHeight="1">
      <c r="A18" s="273"/>
      <c r="B18" s="273"/>
      <c r="C18" s="159">
        <f>IFERROR(OUT_10YR_FINANCIAL_TREND!A10,"")</f>
        <v>0</v>
      </c>
      <c r="D18" s="184">
        <f>IFERROR(OUT_10YR_FINANCIAL_TREND!B10,"")</f>
        <v>0</v>
      </c>
      <c r="E18" s="184">
        <f>IFERROR(OUT_10YR_FINANCIAL_TREND!C10,"")</f>
        <v>0</v>
      </c>
      <c r="F18" s="184">
        <f>IFERROR(OUT_10YR_FINANCIAL_TREND!D10,"")</f>
        <v>0</v>
      </c>
      <c r="G18" s="184">
        <f>IFERROR(OUT_10YR_FINANCIAL_TREND!E10,"")</f>
        <v>0</v>
      </c>
      <c r="H18" s="187" t="str">
        <f>IFERROR(OUT_10YR_FINANCIAL_TREND!G10,"")</f>
        <v/>
      </c>
      <c r="I18" s="161">
        <f>IFERROR(FIELD_HISTORY!E14,"")</f>
        <v>0</v>
      </c>
      <c r="J18" s="182">
        <f>IFERROR(FIELD_HISTORY!F14,"")</f>
        <v>0</v>
      </c>
      <c r="K18" s="182">
        <f>IFERROR(FIELD_HISTORY!G14,"")</f>
        <v>0</v>
      </c>
      <c r="L18" s="182" t="str">
        <f>IFERROR(FIELD_HISTORY!I14,"")</f>
        <v/>
      </c>
      <c r="M18" s="175" t="str">
        <f>IFERROR(FIELD_HISTORY!J14,"")</f>
        <v/>
      </c>
      <c r="N18" s="162">
        <f>IFERROR(FIELD_HISTORY!K14,"")</f>
        <v>0</v>
      </c>
      <c r="O18" s="162">
        <f>IFERROR(FIELD_HISTORY!L14,"")</f>
        <v>0</v>
      </c>
      <c r="P18" s="163">
        <f>IFERROR(FIELD_HISTORY!M14,"")</f>
        <v>0</v>
      </c>
    </row>
    <row r="19" spans="1:16" ht="24" customHeight="1">
      <c r="A19" s="176"/>
      <c r="B19" s="176"/>
      <c r="C19" s="159">
        <f>IFERROR(OUT_10YR_FINANCIAL_TREND!A11,"")</f>
        <v>0</v>
      </c>
      <c r="D19" s="184">
        <f>IFERROR(OUT_10YR_FINANCIAL_TREND!B11,"")</f>
        <v>0</v>
      </c>
      <c r="E19" s="184">
        <f>IFERROR(OUT_10YR_FINANCIAL_TREND!C11,"")</f>
        <v>0</v>
      </c>
      <c r="F19" s="184">
        <f>IFERROR(OUT_10YR_FINANCIAL_TREND!D11,"")</f>
        <v>0</v>
      </c>
      <c r="G19" s="184">
        <f>IFERROR(OUT_10YR_FINANCIAL_TREND!E11,"")</f>
        <v>0</v>
      </c>
      <c r="H19" s="187" t="str">
        <f>IFERROR(OUT_10YR_FINANCIAL_TREND!G11,"")</f>
        <v/>
      </c>
      <c r="I19" s="2"/>
      <c r="J19" s="2"/>
      <c r="K19" s="2"/>
      <c r="L19" s="2"/>
      <c r="M19" s="2"/>
      <c r="N19" s="2"/>
      <c r="O19" s="2"/>
      <c r="P19" s="2"/>
    </row>
    <row r="20" spans="1:16" ht="24" customHeight="1">
      <c r="A20" s="273" t="s">
        <v>1400</v>
      </c>
      <c r="B20" s="273"/>
      <c r="C20" s="159">
        <f>IFERROR(OUT_10YR_FINANCIAL_TREND!A12,"")</f>
        <v>0</v>
      </c>
      <c r="D20" s="184">
        <f>IFERROR(OUT_10YR_FINANCIAL_TREND!B12,"")</f>
        <v>0</v>
      </c>
      <c r="E20" s="184">
        <f>IFERROR(OUT_10YR_FINANCIAL_TREND!C12,"")</f>
        <v>0</v>
      </c>
      <c r="F20" s="184">
        <f>IFERROR(OUT_10YR_FINANCIAL_TREND!D12,"")</f>
        <v>0</v>
      </c>
      <c r="G20" s="184">
        <f>IFERROR(OUT_10YR_FINANCIAL_TREND!E12,"")</f>
        <v>0</v>
      </c>
      <c r="H20" s="187" t="str">
        <f>IFERROR(OUT_10YR_FINANCIAL_TREND!G12,"")</f>
        <v/>
      </c>
      <c r="I20" s="324" t="s">
        <v>1485</v>
      </c>
      <c r="J20" s="325"/>
      <c r="K20" s="325"/>
      <c r="L20" s="325"/>
      <c r="M20" s="325"/>
      <c r="N20" s="325"/>
      <c r="O20" s="325"/>
      <c r="P20" s="326"/>
    </row>
    <row r="21" spans="1:16" ht="24" customHeight="1">
      <c r="A21" s="273"/>
      <c r="B21" s="273"/>
      <c r="C21" s="161">
        <f>IFERROR(OUT_10YR_FINANCIAL_TREND!A13,"")</f>
        <v>0</v>
      </c>
      <c r="D21" s="185">
        <f>IFERROR(OUT_10YR_FINANCIAL_TREND!B13,"")</f>
        <v>0</v>
      </c>
      <c r="E21" s="185">
        <f>IFERROR(OUT_10YR_FINANCIAL_TREND!C13,"")</f>
        <v>0</v>
      </c>
      <c r="F21" s="185">
        <f>IFERROR(OUT_10YR_FINANCIAL_TREND!D13,"")</f>
        <v>0</v>
      </c>
      <c r="G21" s="185">
        <f>IFERROR(OUT_10YR_FINANCIAL_TREND!E13,"")</f>
        <v>0</v>
      </c>
      <c r="H21" s="188" t="str">
        <f>IFERROR(OUT_10YR_FINANCIAL_TREND!G13,"")</f>
        <v/>
      </c>
      <c r="I21" s="177" t="s">
        <v>1394</v>
      </c>
      <c r="J21" s="178" t="s">
        <v>1486</v>
      </c>
      <c r="K21" s="178" t="s">
        <v>1487</v>
      </c>
      <c r="L21" s="178" t="s">
        <v>1488</v>
      </c>
      <c r="M21" s="178" t="s">
        <v>1489</v>
      </c>
      <c r="N21" s="178" t="s">
        <v>1490</v>
      </c>
      <c r="O21" s="178" t="s">
        <v>1491</v>
      </c>
      <c r="P21" s="179" t="s">
        <v>340</v>
      </c>
    </row>
    <row r="22" spans="1:16" ht="27" customHeight="1">
      <c r="A22" s="176"/>
      <c r="B22" s="176"/>
      <c r="C22" s="2"/>
      <c r="D22" s="2"/>
      <c r="E22" s="2"/>
      <c r="F22" s="2"/>
      <c r="G22" s="2"/>
      <c r="H22" s="2"/>
      <c r="I22" s="156">
        <f>IFERROR(DATA_DEBT_MASTER!C19,"")</f>
        <v>0</v>
      </c>
      <c r="J22" s="157">
        <f>IFERROR(DATA_DEBT_MASTER!F19,"")</f>
        <v>0</v>
      </c>
      <c r="K22" s="190">
        <f>IFERROR(DATA_DEBT_MASTER!G19,"")</f>
        <v>0</v>
      </c>
      <c r="L22" s="193">
        <f>IFERROR(DATA_DEBT_MASTER!H19,"")</f>
        <v>0</v>
      </c>
      <c r="M22" s="157">
        <f>IFERROR(DATA_DEBT_MASTER!T19,"")</f>
        <v>0</v>
      </c>
      <c r="N22" s="190">
        <f>IFERROR(DATA_DEBT_MASTER!S19,"")</f>
        <v>0</v>
      </c>
      <c r="O22" s="157" t="str">
        <f>IFERROR(DATA_DEBT_MASTER!Q19,"")</f>
        <v/>
      </c>
      <c r="P22" s="158">
        <f>IFERROR(DATA_DEBT_MASTER!P19,"")</f>
        <v>0</v>
      </c>
    </row>
    <row r="23" spans="1:16" ht="27" customHeight="1">
      <c r="A23" s="273" t="s">
        <v>1412</v>
      </c>
      <c r="B23" s="273"/>
      <c r="C23" s="2"/>
      <c r="D23" s="2"/>
      <c r="E23" s="2"/>
      <c r="F23" s="2"/>
      <c r="G23" s="2"/>
      <c r="H23" s="2"/>
      <c r="I23" s="159">
        <f>IFERROR(DATA_DEBT_MASTER!C20,"")</f>
        <v>0</v>
      </c>
      <c r="J23" s="155">
        <f>IFERROR(DATA_DEBT_MASTER!F20,"")</f>
        <v>0</v>
      </c>
      <c r="K23" s="191">
        <f>IFERROR(DATA_DEBT_MASTER!G20,"")</f>
        <v>0</v>
      </c>
      <c r="L23" s="194">
        <f>IFERROR(DATA_DEBT_MASTER!H20,"")</f>
        <v>0</v>
      </c>
      <c r="M23" s="155">
        <f>IFERROR(DATA_DEBT_MASTER!T20,"")</f>
        <v>0</v>
      </c>
      <c r="N23" s="191">
        <f>IFERROR(DATA_DEBT_MASTER!S20,"")</f>
        <v>0</v>
      </c>
      <c r="O23" s="155" t="str">
        <f>IFERROR(DATA_DEBT_MASTER!Q20,"")</f>
        <v/>
      </c>
      <c r="P23" s="160">
        <f>IFERROR(DATA_DEBT_MASTER!P20,"")</f>
        <v>0</v>
      </c>
    </row>
    <row r="24" spans="1:16" ht="27" customHeight="1">
      <c r="A24" s="273"/>
      <c r="B24" s="273"/>
      <c r="C24" s="2"/>
      <c r="D24" s="2"/>
      <c r="E24" s="2"/>
      <c r="F24" s="2"/>
      <c r="G24" s="2"/>
      <c r="H24" s="2"/>
      <c r="I24" s="159">
        <f>IFERROR(DATA_DEBT_MASTER!C21,"")</f>
        <v>0</v>
      </c>
      <c r="J24" s="155">
        <f>IFERROR(DATA_DEBT_MASTER!F21,"")</f>
        <v>0</v>
      </c>
      <c r="K24" s="191">
        <f>IFERROR(DATA_DEBT_MASTER!G21,"")</f>
        <v>0</v>
      </c>
      <c r="L24" s="194">
        <f>IFERROR(DATA_DEBT_MASTER!H21,"")</f>
        <v>0</v>
      </c>
      <c r="M24" s="155">
        <f>IFERROR(DATA_DEBT_MASTER!T21,"")</f>
        <v>0</v>
      </c>
      <c r="N24" s="191">
        <f>IFERROR(DATA_DEBT_MASTER!S21,"")</f>
        <v>0</v>
      </c>
      <c r="O24" s="155" t="str">
        <f>IFERROR(DATA_DEBT_MASTER!Q21,"")</f>
        <v/>
      </c>
      <c r="P24" s="160">
        <f>IFERROR(DATA_DEBT_MASTER!P21,"")</f>
        <v>0</v>
      </c>
    </row>
    <row r="25" spans="1:16" ht="27" customHeight="1">
      <c r="A25" s="176"/>
      <c r="B25" s="176"/>
      <c r="C25" s="2"/>
      <c r="D25" s="2"/>
      <c r="E25" s="2"/>
      <c r="F25" s="2"/>
      <c r="G25" s="2"/>
      <c r="H25" s="2"/>
      <c r="I25" s="159">
        <f>IFERROR(DATA_DEBT_MASTER!C22,"")</f>
        <v>0</v>
      </c>
      <c r="J25" s="155">
        <f>IFERROR(DATA_DEBT_MASTER!F22,"")</f>
        <v>0</v>
      </c>
      <c r="K25" s="191">
        <f>IFERROR(DATA_DEBT_MASTER!G22,"")</f>
        <v>0</v>
      </c>
      <c r="L25" s="194">
        <f>IFERROR(DATA_DEBT_MASTER!H22,"")</f>
        <v>0</v>
      </c>
      <c r="M25" s="155">
        <f>IFERROR(DATA_DEBT_MASTER!T22,"")</f>
        <v>0</v>
      </c>
      <c r="N25" s="191">
        <f>IFERROR(DATA_DEBT_MASTER!S22,"")</f>
        <v>0</v>
      </c>
      <c r="O25" s="155" t="str">
        <f>IFERROR(DATA_DEBT_MASTER!Q22,"")</f>
        <v/>
      </c>
      <c r="P25" s="160">
        <f>IFERROR(DATA_DEBT_MASTER!P22,"")</f>
        <v>0</v>
      </c>
    </row>
    <row r="26" spans="1:16" ht="27" customHeight="1">
      <c r="A26" s="273" t="s">
        <v>1422</v>
      </c>
      <c r="B26" s="273"/>
      <c r="C26" s="2"/>
      <c r="D26" s="2"/>
      <c r="E26" s="2"/>
      <c r="F26" s="2"/>
      <c r="G26" s="2"/>
      <c r="H26" s="2"/>
      <c r="I26" s="159">
        <f>IFERROR(DATA_DEBT_MASTER!C23,"")</f>
        <v>0</v>
      </c>
      <c r="J26" s="155">
        <f>IFERROR(DATA_DEBT_MASTER!F23,"")</f>
        <v>0</v>
      </c>
      <c r="K26" s="191">
        <f>IFERROR(DATA_DEBT_MASTER!G23,"")</f>
        <v>0</v>
      </c>
      <c r="L26" s="194">
        <f>IFERROR(DATA_DEBT_MASTER!H23,"")</f>
        <v>0</v>
      </c>
      <c r="M26" s="155">
        <f>IFERROR(DATA_DEBT_MASTER!T23,"")</f>
        <v>0</v>
      </c>
      <c r="N26" s="191">
        <f>IFERROR(DATA_DEBT_MASTER!S23,"")</f>
        <v>0</v>
      </c>
      <c r="O26" s="155" t="str">
        <f>IFERROR(DATA_DEBT_MASTER!Q23,"")</f>
        <v/>
      </c>
      <c r="P26" s="160">
        <f>IFERROR(DATA_DEBT_MASTER!P23,"")</f>
        <v>0</v>
      </c>
    </row>
    <row r="27" spans="1:16" ht="27" customHeight="1">
      <c r="A27" s="273"/>
      <c r="B27" s="273"/>
      <c r="C27" s="2"/>
      <c r="D27" s="2"/>
      <c r="E27" s="2"/>
      <c r="F27" s="2"/>
      <c r="G27" s="2"/>
      <c r="H27" s="2"/>
      <c r="I27" s="161"/>
      <c r="J27" s="162"/>
      <c r="K27" s="192"/>
      <c r="L27" s="195"/>
      <c r="M27" s="162"/>
      <c r="N27" s="192"/>
      <c r="O27" s="162"/>
      <c r="P27" s="163"/>
    </row>
    <row r="28" spans="1:16" ht="18.95" customHeight="1">
      <c r="A28" s="176"/>
      <c r="B28" s="176"/>
      <c r="C28" s="2"/>
      <c r="D28" s="2"/>
      <c r="E28" s="2"/>
      <c r="F28" s="2"/>
      <c r="G28" s="2"/>
      <c r="H28" s="2"/>
      <c r="I28" s="2"/>
      <c r="J28" s="2"/>
      <c r="K28" s="2"/>
      <c r="L28" s="2"/>
      <c r="M28" s="2"/>
      <c r="N28" s="2"/>
      <c r="O28" s="2"/>
      <c r="P28" s="2"/>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1">
    <mergeCell ref="O5:P5"/>
    <mergeCell ref="O6:P8"/>
    <mergeCell ref="C10:H10"/>
    <mergeCell ref="I10:P10"/>
    <mergeCell ref="I20:P20"/>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36"/>
  <sheetViews>
    <sheetView workbookViewId="0"/>
  </sheetViews>
  <sheetFormatPr defaultRowHeight="14.25"/>
  <cols>
    <col min="1" max="1" width="4" customWidth="1"/>
    <col min="2" max="2" width="23" customWidth="1"/>
    <col min="3" max="5" width="15" customWidth="1"/>
    <col min="6" max="6" width="27" customWidth="1"/>
    <col min="7" max="8" width="15" customWidth="1"/>
    <col min="9" max="9" width="24" customWidth="1"/>
    <col min="10" max="13" width="15" customWidth="1"/>
    <col min="14" max="14" width="20" customWidth="1"/>
    <col min="15" max="15" width="15" customWidth="1"/>
    <col min="16" max="16" width="18" customWidth="1"/>
  </cols>
  <sheetData>
    <row r="1" spans="1:16" ht="27" customHeight="1">
      <c r="A1" s="270" t="s">
        <v>1375</v>
      </c>
      <c r="B1" s="270"/>
      <c r="C1" s="276" t="s">
        <v>1492</v>
      </c>
      <c r="D1" s="276"/>
      <c r="E1" s="276"/>
      <c r="F1" s="276"/>
      <c r="G1" s="276"/>
      <c r="H1" s="276"/>
      <c r="I1" s="276"/>
      <c r="J1" s="276"/>
      <c r="K1" s="276"/>
      <c r="L1" s="276"/>
      <c r="M1" s="276"/>
      <c r="N1" s="276"/>
      <c r="O1" s="276"/>
      <c r="P1" s="276"/>
    </row>
    <row r="2" spans="1:16" ht="27" customHeight="1">
      <c r="A2" s="271" t="s">
        <v>1377</v>
      </c>
      <c r="B2" s="271"/>
      <c r="C2" s="277" t="s">
        <v>1493</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973</v>
      </c>
      <c r="D5" s="280"/>
      <c r="E5" s="281"/>
      <c r="F5" s="279" t="s">
        <v>1026</v>
      </c>
      <c r="G5" s="280"/>
      <c r="H5" s="281"/>
      <c r="I5" s="279" t="s">
        <v>1029</v>
      </c>
      <c r="J5" s="280"/>
      <c r="K5" s="281"/>
      <c r="L5" s="279" t="s">
        <v>1494</v>
      </c>
      <c r="M5" s="280"/>
      <c r="N5" s="281"/>
      <c r="O5" s="279" t="s">
        <v>1495</v>
      </c>
      <c r="P5" s="281"/>
    </row>
    <row r="6" spans="1:16" ht="18.95" customHeight="1">
      <c r="A6" s="273"/>
      <c r="B6" s="273"/>
      <c r="C6" s="291">
        <f>DATA_METRIC_LONG!E12</f>
        <v>0</v>
      </c>
      <c r="D6" s="292"/>
      <c r="E6" s="293"/>
      <c r="F6" s="291">
        <f>DATA_METRIC_LONG!E29</f>
        <v>0</v>
      </c>
      <c r="G6" s="292"/>
      <c r="H6" s="293"/>
      <c r="I6" s="291">
        <f>DATA_METRIC_LONG!E30</f>
        <v>0</v>
      </c>
      <c r="J6" s="292"/>
      <c r="K6" s="293"/>
      <c r="L6" s="291">
        <f>DATA_METRIC_LONG!E31</f>
        <v>0</v>
      </c>
      <c r="M6" s="292"/>
      <c r="N6" s="293"/>
      <c r="O6" s="374" t="str">
        <f>DATA_METRIC_LONG!E33</f>
        <v/>
      </c>
      <c r="P6" s="375"/>
    </row>
    <row r="7" spans="1:16" ht="18.95" customHeight="1">
      <c r="A7" s="176"/>
      <c r="B7" s="176"/>
      <c r="C7" s="294"/>
      <c r="D7" s="295"/>
      <c r="E7" s="296"/>
      <c r="F7" s="294"/>
      <c r="G7" s="295"/>
      <c r="H7" s="296"/>
      <c r="I7" s="294"/>
      <c r="J7" s="295"/>
      <c r="K7" s="296"/>
      <c r="L7" s="294"/>
      <c r="M7" s="295"/>
      <c r="N7" s="296"/>
      <c r="O7" s="376"/>
      <c r="P7" s="377"/>
    </row>
    <row r="8" spans="1:16" ht="18.95" customHeight="1">
      <c r="A8" s="273" t="s">
        <v>1383</v>
      </c>
      <c r="B8" s="273"/>
      <c r="C8" s="297"/>
      <c r="D8" s="298"/>
      <c r="E8" s="299"/>
      <c r="F8" s="297"/>
      <c r="G8" s="298"/>
      <c r="H8" s="299"/>
      <c r="I8" s="297"/>
      <c r="J8" s="298"/>
      <c r="K8" s="299"/>
      <c r="L8" s="297"/>
      <c r="M8" s="298"/>
      <c r="N8" s="299"/>
      <c r="O8" s="378"/>
      <c r="P8" s="379"/>
    </row>
    <row r="9" spans="1:16" ht="18.95" customHeight="1">
      <c r="A9" s="273"/>
      <c r="B9" s="273"/>
      <c r="C9" s="2"/>
      <c r="D9" s="2"/>
      <c r="E9" s="2"/>
      <c r="F9" s="2"/>
      <c r="G9" s="2"/>
      <c r="H9" s="2"/>
      <c r="I9" s="2"/>
      <c r="J9" s="2"/>
      <c r="K9" s="2"/>
      <c r="L9" s="2"/>
      <c r="M9" s="2"/>
      <c r="N9" s="2"/>
      <c r="O9" s="2"/>
      <c r="P9" s="2"/>
    </row>
    <row r="10" spans="1:16" ht="18.95" customHeight="1">
      <c r="A10" s="176"/>
      <c r="B10" s="176"/>
      <c r="C10" s="324" t="s">
        <v>1496</v>
      </c>
      <c r="D10" s="325"/>
      <c r="E10" s="325"/>
      <c r="F10" s="325"/>
      <c r="G10" s="325"/>
      <c r="H10" s="326"/>
      <c r="I10" s="324" t="s">
        <v>1497</v>
      </c>
      <c r="J10" s="325"/>
      <c r="K10" s="325"/>
      <c r="L10" s="325"/>
      <c r="M10" s="325"/>
      <c r="N10" s="325"/>
      <c r="O10" s="325"/>
      <c r="P10" s="326"/>
    </row>
    <row r="11" spans="1:16" ht="18.95" customHeight="1">
      <c r="A11" s="273" t="s">
        <v>1386</v>
      </c>
      <c r="B11" s="273"/>
      <c r="C11" s="170" t="s">
        <v>1498</v>
      </c>
      <c r="D11" s="170" t="s">
        <v>1462</v>
      </c>
      <c r="E11" s="170" t="s">
        <v>1499</v>
      </c>
      <c r="F11" s="327" t="s">
        <v>1500</v>
      </c>
      <c r="G11" s="327"/>
      <c r="H11" s="327"/>
      <c r="I11" s="177" t="s">
        <v>1394</v>
      </c>
      <c r="J11" s="178" t="s">
        <v>1501</v>
      </c>
      <c r="K11" s="178" t="s">
        <v>447</v>
      </c>
      <c r="L11" s="178" t="s">
        <v>1502</v>
      </c>
      <c r="M11" s="178" t="s">
        <v>1503</v>
      </c>
      <c r="N11" s="178" t="s">
        <v>1504</v>
      </c>
      <c r="O11" s="178" t="s">
        <v>1505</v>
      </c>
      <c r="P11" s="179" t="s">
        <v>340</v>
      </c>
    </row>
    <row r="12" spans="1:16" ht="27.95" customHeight="1">
      <c r="A12" s="273"/>
      <c r="B12" s="273"/>
      <c r="C12" s="156" t="s">
        <v>1506</v>
      </c>
      <c r="D12" s="157">
        <f>SUMIF(DATA_UNIT_MIX!G7:G206,"Deep Subsidy",DATA_UNIT_MIX!H7:H206)</f>
        <v>0</v>
      </c>
      <c r="E12" s="196" t="str">
        <f>IFERROR(D12/DATA_METRIC_LONG!E12,"")</f>
        <v/>
      </c>
      <c r="F12" s="353" t="s">
        <v>1507</v>
      </c>
      <c r="G12" s="353"/>
      <c r="H12" s="328"/>
      <c r="I12" s="156">
        <f>IFERROR(DATA_AGREEMENTS!C7,"")</f>
        <v>0</v>
      </c>
      <c r="J12" s="157">
        <f>IFERROR(DATA_AGREEMENTS!D7,"")</f>
        <v>0</v>
      </c>
      <c r="K12" s="157">
        <f>IFERROR(DATA_AGREEMENTS!E7,"")</f>
        <v>0</v>
      </c>
      <c r="L12" s="157">
        <f>IFERROR(DATA_AGREEMENTS!G7,"")</f>
        <v>0</v>
      </c>
      <c r="M12" s="157">
        <f>IFERROR(DATA_AGREEMENTS!H7,"")</f>
        <v>0</v>
      </c>
      <c r="N12" s="157">
        <f>IFERROR(DATA_AGREEMENTS!K7,"")</f>
        <v>0</v>
      </c>
      <c r="O12" s="157">
        <f>IFERROR(DATA_AGREEMENTS!L7,"")</f>
        <v>0</v>
      </c>
      <c r="P12" s="158">
        <f>IFERROR(DATA_AGREEMENTS!N7,"")</f>
        <v>0</v>
      </c>
    </row>
    <row r="13" spans="1:16" ht="27.95" customHeight="1">
      <c r="A13" s="176"/>
      <c r="B13" s="176"/>
      <c r="C13" s="159" t="s">
        <v>1508</v>
      </c>
      <c r="D13" s="155">
        <f>SUMIF(DATA_UNIT_MIX!G7:G206,"Subsidized",DATA_UNIT_MIX!H7:H206)</f>
        <v>0</v>
      </c>
      <c r="E13" s="197" t="str">
        <f>IFERROR(D13/DATA_METRIC_LONG!E12,"")</f>
        <v/>
      </c>
      <c r="F13" s="354" t="s">
        <v>1507</v>
      </c>
      <c r="G13" s="354"/>
      <c r="H13" s="330"/>
      <c r="I13" s="159">
        <f>IFERROR(DATA_AGREEMENTS!C8,"")</f>
        <v>0</v>
      </c>
      <c r="J13" s="155">
        <f>IFERROR(DATA_AGREEMENTS!D8,"")</f>
        <v>0</v>
      </c>
      <c r="K13" s="155">
        <f>IFERROR(DATA_AGREEMENTS!E8,"")</f>
        <v>0</v>
      </c>
      <c r="L13" s="155">
        <f>IFERROR(DATA_AGREEMENTS!G8,"")</f>
        <v>0</v>
      </c>
      <c r="M13" s="155">
        <f>IFERROR(DATA_AGREEMENTS!H8,"")</f>
        <v>0</v>
      </c>
      <c r="N13" s="155">
        <f>IFERROR(DATA_AGREEMENTS!K8,"")</f>
        <v>0</v>
      </c>
      <c r="O13" s="155">
        <f>IFERROR(DATA_AGREEMENTS!L8,"")</f>
        <v>0</v>
      </c>
      <c r="P13" s="160">
        <f>IFERROR(DATA_AGREEMENTS!N8,"")</f>
        <v>0</v>
      </c>
    </row>
    <row r="14" spans="1:16" ht="27.95" customHeight="1">
      <c r="A14" s="273" t="s">
        <v>1398</v>
      </c>
      <c r="B14" s="273"/>
      <c r="C14" s="159" t="s">
        <v>1509</v>
      </c>
      <c r="D14" s="155">
        <f>SUMIF(DATA_UNIT_MIX!G7:G206,"Market",DATA_UNIT_MIX!H7:H206)</f>
        <v>0</v>
      </c>
      <c r="E14" s="197" t="str">
        <f>IFERROR(D14/DATA_METRIC_LONG!E12,"")</f>
        <v/>
      </c>
      <c r="F14" s="354" t="s">
        <v>1507</v>
      </c>
      <c r="G14" s="354"/>
      <c r="H14" s="330"/>
      <c r="I14" s="159">
        <f>IFERROR(DATA_AGREEMENTS!C9,"")</f>
        <v>0</v>
      </c>
      <c r="J14" s="155">
        <f>IFERROR(DATA_AGREEMENTS!D9,"")</f>
        <v>0</v>
      </c>
      <c r="K14" s="155">
        <f>IFERROR(DATA_AGREEMENTS!E9,"")</f>
        <v>0</v>
      </c>
      <c r="L14" s="155">
        <f>IFERROR(DATA_AGREEMENTS!G9,"")</f>
        <v>0</v>
      </c>
      <c r="M14" s="155">
        <f>IFERROR(DATA_AGREEMENTS!H9,"")</f>
        <v>0</v>
      </c>
      <c r="N14" s="155">
        <f>IFERROR(DATA_AGREEMENTS!K9,"")</f>
        <v>0</v>
      </c>
      <c r="O14" s="155">
        <f>IFERROR(DATA_AGREEMENTS!L9,"")</f>
        <v>0</v>
      </c>
      <c r="P14" s="160">
        <f>IFERROR(DATA_AGREEMENTS!N9,"")</f>
        <v>0</v>
      </c>
    </row>
    <row r="15" spans="1:16" ht="27.95" customHeight="1">
      <c r="A15" s="273"/>
      <c r="B15" s="273"/>
      <c r="C15" s="159" t="s">
        <v>1510</v>
      </c>
      <c r="D15" s="155">
        <f>SUMIF(DATA_UNIT_MIX!G7:G206,"Unclassified / Existing",DATA_UNIT_MIX!H7:H206)</f>
        <v>0</v>
      </c>
      <c r="E15" s="197" t="str">
        <f>IFERROR(D15/DATA_METRIC_LONG!E12,"")</f>
        <v/>
      </c>
      <c r="F15" s="354" t="s">
        <v>1511</v>
      </c>
      <c r="G15" s="354"/>
      <c r="H15" s="330"/>
      <c r="I15" s="159">
        <f>IFERROR(DATA_AGREEMENTS!C10,"")</f>
        <v>0</v>
      </c>
      <c r="J15" s="155">
        <f>IFERROR(DATA_AGREEMENTS!D10,"")</f>
        <v>0</v>
      </c>
      <c r="K15" s="155">
        <f>IFERROR(DATA_AGREEMENTS!E10,"")</f>
        <v>0</v>
      </c>
      <c r="L15" s="155">
        <f>IFERROR(DATA_AGREEMENTS!G10,"")</f>
        <v>0</v>
      </c>
      <c r="M15" s="155">
        <f>IFERROR(DATA_AGREEMENTS!H10,"")</f>
        <v>0</v>
      </c>
      <c r="N15" s="155">
        <f>IFERROR(DATA_AGREEMENTS!K10,"")</f>
        <v>0</v>
      </c>
      <c r="O15" s="155">
        <f>IFERROR(DATA_AGREEMENTS!L10,"")</f>
        <v>0</v>
      </c>
      <c r="P15" s="160">
        <f>IFERROR(DATA_AGREEMENTS!N10,"")</f>
        <v>0</v>
      </c>
    </row>
    <row r="16" spans="1:16" ht="27.95" customHeight="1">
      <c r="A16" s="176"/>
      <c r="B16" s="176"/>
      <c r="C16" s="161" t="s">
        <v>1512</v>
      </c>
      <c r="D16" s="162">
        <f>SUMIF(DATA_UNIT_MIX!G7:G206,"Commercial",DATA_UNIT_MIX!H7:H206)</f>
        <v>0</v>
      </c>
      <c r="E16" s="198" t="str">
        <f>IFERROR(D16/DATA_METRIC_LONG!E12,"")</f>
        <v/>
      </c>
      <c r="F16" s="355" t="s">
        <v>1507</v>
      </c>
      <c r="G16" s="355"/>
      <c r="H16" s="331"/>
      <c r="I16" s="159">
        <f>IFERROR(DATA_AGREEMENTS!C11,"")</f>
        <v>0</v>
      </c>
      <c r="J16" s="155">
        <f>IFERROR(DATA_AGREEMENTS!D11,"")</f>
        <v>0</v>
      </c>
      <c r="K16" s="155">
        <f>IFERROR(DATA_AGREEMENTS!E11,"")</f>
        <v>0</v>
      </c>
      <c r="L16" s="155">
        <f>IFERROR(DATA_AGREEMENTS!G11,"")</f>
        <v>0</v>
      </c>
      <c r="M16" s="155">
        <f>IFERROR(DATA_AGREEMENTS!H11,"")</f>
        <v>0</v>
      </c>
      <c r="N16" s="155">
        <f>IFERROR(DATA_AGREEMENTS!K11,"")</f>
        <v>0</v>
      </c>
      <c r="O16" s="155">
        <f>IFERROR(DATA_AGREEMENTS!L11,"")</f>
        <v>0</v>
      </c>
      <c r="P16" s="160">
        <f>IFERROR(DATA_AGREEMENTS!N11,"")</f>
        <v>0</v>
      </c>
    </row>
    <row r="17" spans="1:16" ht="27.95" customHeight="1">
      <c r="A17" s="272" t="s">
        <v>1399</v>
      </c>
      <c r="B17" s="272"/>
      <c r="C17" s="2"/>
      <c r="D17" s="2"/>
      <c r="E17" s="2"/>
      <c r="F17" s="2"/>
      <c r="G17" s="2"/>
      <c r="H17" s="2"/>
      <c r="I17" s="159">
        <f>IFERROR(DATA_AGREEMENTS!C12,"")</f>
        <v>0</v>
      </c>
      <c r="J17" s="155">
        <f>IFERROR(DATA_AGREEMENTS!D12,"")</f>
        <v>0</v>
      </c>
      <c r="K17" s="155">
        <f>IFERROR(DATA_AGREEMENTS!E12,"")</f>
        <v>0</v>
      </c>
      <c r="L17" s="155">
        <f>IFERROR(DATA_AGREEMENTS!G12,"")</f>
        <v>0</v>
      </c>
      <c r="M17" s="155">
        <f>IFERROR(DATA_AGREEMENTS!H12,"")</f>
        <v>0</v>
      </c>
      <c r="N17" s="155">
        <f>IFERROR(DATA_AGREEMENTS!K12,"")</f>
        <v>0</v>
      </c>
      <c r="O17" s="155">
        <f>IFERROR(DATA_AGREEMENTS!L12,"")</f>
        <v>0</v>
      </c>
      <c r="P17" s="160">
        <f>IFERROR(DATA_AGREEMENTS!N12,"")</f>
        <v>0</v>
      </c>
    </row>
    <row r="18" spans="1:16" ht="27.95" customHeight="1">
      <c r="A18" s="272"/>
      <c r="B18" s="272"/>
      <c r="C18" s="2"/>
      <c r="D18" s="2"/>
      <c r="E18" s="2"/>
      <c r="F18" s="2"/>
      <c r="G18" s="2"/>
      <c r="H18" s="2"/>
      <c r="I18" s="161">
        <f>IFERROR(DATA_AGREEMENTS!C13,"")</f>
        <v>0</v>
      </c>
      <c r="J18" s="162">
        <f>IFERROR(DATA_AGREEMENTS!D13,"")</f>
        <v>0</v>
      </c>
      <c r="K18" s="162">
        <f>IFERROR(DATA_AGREEMENTS!E13,"")</f>
        <v>0</v>
      </c>
      <c r="L18" s="162">
        <f>IFERROR(DATA_AGREEMENTS!G13,"")</f>
        <v>0</v>
      </c>
      <c r="M18" s="162">
        <f>IFERROR(DATA_AGREEMENTS!H13,"")</f>
        <v>0</v>
      </c>
      <c r="N18" s="162">
        <f>IFERROR(DATA_AGREEMENTS!K13,"")</f>
        <v>0</v>
      </c>
      <c r="O18" s="162">
        <f>IFERROR(DATA_AGREEMENTS!L13,"")</f>
        <v>0</v>
      </c>
      <c r="P18" s="163">
        <f>IFERROR(DATA_AGREEMENTS!N13,"")</f>
        <v>0</v>
      </c>
    </row>
    <row r="19" spans="1:16" ht="18.95" customHeight="1">
      <c r="A19" s="176"/>
      <c r="B19" s="176"/>
      <c r="C19" s="2"/>
      <c r="D19" s="2"/>
      <c r="E19" s="2"/>
      <c r="F19" s="2"/>
      <c r="G19" s="2"/>
      <c r="H19" s="2"/>
      <c r="I19" s="2"/>
      <c r="J19" s="2"/>
      <c r="K19" s="2"/>
      <c r="L19" s="2"/>
      <c r="M19" s="2"/>
      <c r="N19" s="2"/>
      <c r="O19" s="2"/>
      <c r="P19" s="2"/>
    </row>
    <row r="20" spans="1:16" ht="18.95" customHeight="1">
      <c r="A20" s="273" t="s">
        <v>1400</v>
      </c>
      <c r="B20" s="273"/>
      <c r="C20" s="324" t="s">
        <v>1513</v>
      </c>
      <c r="D20" s="325"/>
      <c r="E20" s="325"/>
      <c r="F20" s="325"/>
      <c r="G20" s="325"/>
      <c r="H20" s="326"/>
      <c r="I20" s="380" t="s">
        <v>1514</v>
      </c>
      <c r="J20" s="381"/>
      <c r="K20" s="381"/>
      <c r="L20" s="381"/>
      <c r="M20" s="381"/>
      <c r="N20" s="381"/>
      <c r="O20" s="381"/>
      <c r="P20" s="382"/>
    </row>
    <row r="21" spans="1:16" ht="18.95" customHeight="1">
      <c r="A21" s="273"/>
      <c r="B21" s="273"/>
      <c r="C21" s="177" t="s">
        <v>1406</v>
      </c>
      <c r="D21" s="178" t="s">
        <v>1407</v>
      </c>
      <c r="E21" s="178" t="s">
        <v>1515</v>
      </c>
      <c r="F21" s="178" t="s">
        <v>1516</v>
      </c>
      <c r="G21" s="178" t="s">
        <v>1393</v>
      </c>
      <c r="H21" s="179" t="s">
        <v>1392</v>
      </c>
      <c r="I21" s="383"/>
      <c r="J21" s="384"/>
      <c r="K21" s="384"/>
      <c r="L21" s="384"/>
      <c r="M21" s="384"/>
      <c r="N21" s="384"/>
      <c r="O21" s="384"/>
      <c r="P21" s="385"/>
    </row>
    <row r="22" spans="1:16" ht="36" customHeight="1">
      <c r="A22" s="176"/>
      <c r="B22" s="176"/>
      <c r="C22" s="156" t="s">
        <v>1517</v>
      </c>
      <c r="D22" s="157" t="str">
        <f>DATA_METRIC_LONG!E33</f>
        <v/>
      </c>
      <c r="E22" s="157" t="s">
        <v>1518</v>
      </c>
      <c r="F22" s="157" t="s">
        <v>1519</v>
      </c>
      <c r="G22" s="157" t="s">
        <v>1520</v>
      </c>
      <c r="H22" s="158" t="s">
        <v>344</v>
      </c>
      <c r="I22" s="383"/>
      <c r="J22" s="384"/>
      <c r="K22" s="384"/>
      <c r="L22" s="384"/>
      <c r="M22" s="384"/>
      <c r="N22" s="384"/>
      <c r="O22" s="384"/>
      <c r="P22" s="385"/>
    </row>
    <row r="23" spans="1:16" ht="36" customHeight="1">
      <c r="A23" s="273" t="s">
        <v>1412</v>
      </c>
      <c r="B23" s="273"/>
      <c r="C23" s="159" t="s">
        <v>1106</v>
      </c>
      <c r="D23" s="155" t="str">
        <f>DATA_METRIC_LONG!E34</f>
        <v>Not reviewed</v>
      </c>
      <c r="E23" s="155" t="s">
        <v>1521</v>
      </c>
      <c r="F23" s="155" t="s">
        <v>1522</v>
      </c>
      <c r="G23" s="155" t="s">
        <v>1523</v>
      </c>
      <c r="H23" s="160" t="s">
        <v>376</v>
      </c>
      <c r="I23" s="383"/>
      <c r="J23" s="384"/>
      <c r="K23" s="384"/>
      <c r="L23" s="384"/>
      <c r="M23" s="384"/>
      <c r="N23" s="384"/>
      <c r="O23" s="384"/>
      <c r="P23" s="385"/>
    </row>
    <row r="24" spans="1:16" ht="36" customHeight="1">
      <c r="A24" s="273"/>
      <c r="B24" s="273"/>
      <c r="C24" s="159" t="s">
        <v>1524</v>
      </c>
      <c r="D24" s="155" t="str">
        <f>DATA_METRIC_LONG!E35</f>
        <v>Not reviewed</v>
      </c>
      <c r="E24" s="155" t="s">
        <v>348</v>
      </c>
      <c r="F24" s="155" t="s">
        <v>1525</v>
      </c>
      <c r="G24" s="155" t="s">
        <v>1526</v>
      </c>
      <c r="H24" s="160" t="s">
        <v>369</v>
      </c>
      <c r="I24" s="383"/>
      <c r="J24" s="384"/>
      <c r="K24" s="384"/>
      <c r="L24" s="384"/>
      <c r="M24" s="384"/>
      <c r="N24" s="384"/>
      <c r="O24" s="384"/>
      <c r="P24" s="385"/>
    </row>
    <row r="25" spans="1:16" ht="36" customHeight="1">
      <c r="A25" s="176"/>
      <c r="B25" s="176"/>
      <c r="C25" s="159" t="s">
        <v>1527</v>
      </c>
      <c r="D25" s="155">
        <f>COUNTA(DATA_UNIT_MIX!A7:A206)</f>
        <v>0</v>
      </c>
      <c r="E25" s="155" t="s">
        <v>1528</v>
      </c>
      <c r="F25" s="155" t="s">
        <v>1529</v>
      </c>
      <c r="G25" s="155" t="s">
        <v>1530</v>
      </c>
      <c r="H25" s="160" t="s">
        <v>344</v>
      </c>
      <c r="I25" s="383"/>
      <c r="J25" s="384"/>
      <c r="K25" s="384"/>
      <c r="L25" s="384"/>
      <c r="M25" s="384"/>
      <c r="N25" s="384"/>
      <c r="O25" s="384"/>
      <c r="P25" s="385"/>
    </row>
    <row r="26" spans="1:16" ht="36" customHeight="1">
      <c r="A26" s="273" t="s">
        <v>1422</v>
      </c>
      <c r="B26" s="273"/>
      <c r="C26" s="161" t="s">
        <v>1531</v>
      </c>
      <c r="D26" s="162" t="s">
        <v>1532</v>
      </c>
      <c r="E26" s="162" t="s">
        <v>1533</v>
      </c>
      <c r="F26" s="162" t="s">
        <v>1534</v>
      </c>
      <c r="G26" s="162" t="s">
        <v>1535</v>
      </c>
      <c r="H26" s="163" t="s">
        <v>502</v>
      </c>
      <c r="I26" s="386"/>
      <c r="J26" s="387"/>
      <c r="K26" s="387"/>
      <c r="L26" s="387"/>
      <c r="M26" s="387"/>
      <c r="N26" s="387"/>
      <c r="O26" s="387"/>
      <c r="P26" s="388"/>
    </row>
    <row r="27" spans="1:16" ht="18.95" customHeight="1">
      <c r="A27" s="273"/>
      <c r="B27" s="273"/>
      <c r="C27" s="2"/>
      <c r="D27" s="2"/>
      <c r="E27" s="2"/>
      <c r="F27" s="2"/>
      <c r="G27" s="2"/>
      <c r="H27" s="2"/>
      <c r="I27" s="2"/>
      <c r="J27" s="2"/>
      <c r="K27" s="2"/>
      <c r="L27" s="2"/>
      <c r="M27" s="2"/>
      <c r="N27" s="2"/>
      <c r="O27" s="2"/>
      <c r="P27" s="2"/>
    </row>
    <row r="28" spans="1:16" ht="18.95" customHeight="1">
      <c r="A28" s="176"/>
      <c r="B28" s="176"/>
      <c r="C28" s="2"/>
      <c r="D28" s="2"/>
      <c r="E28" s="2"/>
      <c r="F28" s="2"/>
      <c r="G28" s="2"/>
      <c r="H28" s="2"/>
      <c r="I28" s="2"/>
      <c r="J28" s="2"/>
      <c r="K28" s="2"/>
      <c r="L28" s="2"/>
      <c r="M28" s="2"/>
      <c r="N28" s="2"/>
      <c r="O28" s="2"/>
      <c r="P28" s="2"/>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C20:H20"/>
    <mergeCell ref="I20:P26"/>
    <mergeCell ref="F13:H13"/>
    <mergeCell ref="F14:H14"/>
    <mergeCell ref="F15:H15"/>
    <mergeCell ref="F16:H16"/>
    <mergeCell ref="I10:P10"/>
    <mergeCell ref="O5:P5"/>
    <mergeCell ref="O6:P8"/>
    <mergeCell ref="C10:H10"/>
    <mergeCell ref="F11:H11"/>
    <mergeCell ref="F12:H12"/>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36"/>
  <sheetViews>
    <sheetView workbookViewId="0"/>
  </sheetViews>
  <sheetFormatPr defaultRowHeight="14.25"/>
  <cols>
    <col min="1" max="1" width="4" customWidth="1"/>
    <col min="2" max="2" width="23" customWidth="1"/>
    <col min="3" max="4" width="15" customWidth="1"/>
    <col min="5" max="5" width="32" customWidth="1"/>
    <col min="6" max="6" width="15" customWidth="1"/>
    <col min="7" max="12" width="18" customWidth="1"/>
    <col min="13" max="13" width="15" customWidth="1"/>
    <col min="14" max="14" width="18" customWidth="1"/>
    <col min="15" max="15" width="20" customWidth="1"/>
    <col min="16" max="16" width="30" customWidth="1"/>
  </cols>
  <sheetData>
    <row r="1" spans="1:16" ht="27" customHeight="1">
      <c r="A1" s="270" t="s">
        <v>1375</v>
      </c>
      <c r="B1" s="270"/>
      <c r="C1" s="276" t="s">
        <v>1536</v>
      </c>
      <c r="D1" s="276"/>
      <c r="E1" s="276"/>
      <c r="F1" s="276"/>
      <c r="G1" s="276"/>
      <c r="H1" s="276"/>
      <c r="I1" s="276"/>
      <c r="J1" s="276"/>
      <c r="K1" s="276"/>
      <c r="L1" s="276"/>
      <c r="M1" s="276"/>
      <c r="N1" s="276"/>
      <c r="O1" s="276"/>
      <c r="P1" s="276"/>
    </row>
    <row r="2" spans="1:16" ht="27" customHeight="1">
      <c r="A2" s="271" t="s">
        <v>1377</v>
      </c>
      <c r="B2" s="271"/>
      <c r="C2" s="277" t="s">
        <v>1537</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987</v>
      </c>
      <c r="D5" s="280"/>
      <c r="E5" s="281"/>
      <c r="F5" s="279" t="s">
        <v>1538</v>
      </c>
      <c r="G5" s="280"/>
      <c r="H5" s="281"/>
      <c r="I5" s="279" t="s">
        <v>1539</v>
      </c>
      <c r="J5" s="280"/>
      <c r="K5" s="281"/>
      <c r="L5" s="279" t="s">
        <v>1540</v>
      </c>
      <c r="M5" s="280"/>
      <c r="N5" s="281"/>
      <c r="O5" s="279" t="s">
        <v>1541</v>
      </c>
      <c r="P5" s="281"/>
    </row>
    <row r="6" spans="1:16" ht="18.95" customHeight="1">
      <c r="A6" s="273"/>
      <c r="B6" s="273"/>
      <c r="C6" s="282">
        <f>DATA_METRIC_LONG!E16</f>
        <v>0</v>
      </c>
      <c r="D6" s="283"/>
      <c r="E6" s="284"/>
      <c r="F6" s="282">
        <f>COUNTIFS(ASSUMPTIONS_FLAGS!F7:F206,"High",ASSUMPTIONS_FLAGS!I7:I206,"Open")</f>
        <v>0</v>
      </c>
      <c r="G6" s="283"/>
      <c r="H6" s="284"/>
      <c r="I6" s="282">
        <f>COUNTIFS(ACTION_DECISION!L7:L206,"&lt;&gt;",ACTION_DECISION!L7:L206,"&lt;&gt;Resolved")</f>
        <v>0</v>
      </c>
      <c r="J6" s="283"/>
      <c r="K6" s="284"/>
      <c r="L6" s="282">
        <f>COUNTIFS(ACTION_DECISION!I7:I206,"Board",ACTION_DECISION!L7:L206,"&lt;&gt;Resolved")</f>
        <v>0</v>
      </c>
      <c r="M6" s="283"/>
      <c r="N6" s="284"/>
      <c r="O6" s="282">
        <f>COUNTIF(ACTION_DECISION!L7:L206,"Resolved")</f>
        <v>0</v>
      </c>
      <c r="P6" s="284"/>
    </row>
    <row r="7" spans="1:16" ht="18.95" customHeight="1">
      <c r="A7" s="176"/>
      <c r="B7" s="176"/>
      <c r="C7" s="285"/>
      <c r="D7" s="286"/>
      <c r="E7" s="287"/>
      <c r="F7" s="285"/>
      <c r="G7" s="286"/>
      <c r="H7" s="287"/>
      <c r="I7" s="285"/>
      <c r="J7" s="286"/>
      <c r="K7" s="287"/>
      <c r="L7" s="285"/>
      <c r="M7" s="286"/>
      <c r="N7" s="287"/>
      <c r="O7" s="285"/>
      <c r="P7" s="287"/>
    </row>
    <row r="8" spans="1:16" ht="18.95" customHeight="1">
      <c r="A8" s="273" t="s">
        <v>1383</v>
      </c>
      <c r="B8" s="273"/>
      <c r="C8" s="288"/>
      <c r="D8" s="289"/>
      <c r="E8" s="290"/>
      <c r="F8" s="288"/>
      <c r="G8" s="289"/>
      <c r="H8" s="290"/>
      <c r="I8" s="288"/>
      <c r="J8" s="289"/>
      <c r="K8" s="290"/>
      <c r="L8" s="288"/>
      <c r="M8" s="289"/>
      <c r="N8" s="290"/>
      <c r="O8" s="288"/>
      <c r="P8" s="290"/>
    </row>
    <row r="9" spans="1:16" ht="18.95" customHeight="1">
      <c r="A9" s="273"/>
      <c r="B9" s="273"/>
      <c r="C9" s="2"/>
      <c r="D9" s="2"/>
      <c r="E9" s="2"/>
      <c r="F9" s="2"/>
      <c r="G9" s="2"/>
      <c r="H9" s="2"/>
      <c r="I9" s="2"/>
      <c r="J9" s="2"/>
      <c r="K9" s="2"/>
      <c r="L9" s="2"/>
      <c r="M9" s="2"/>
      <c r="N9" s="2"/>
      <c r="O9" s="2"/>
      <c r="P9" s="2"/>
    </row>
    <row r="10" spans="1:16" ht="18.95" customHeight="1">
      <c r="A10" s="176"/>
      <c r="B10" s="176"/>
      <c r="C10" s="324" t="s">
        <v>1542</v>
      </c>
      <c r="D10" s="325"/>
      <c r="E10" s="325"/>
      <c r="F10" s="325"/>
      <c r="G10" s="325"/>
      <c r="H10" s="325"/>
      <c r="I10" s="325"/>
      <c r="J10" s="325"/>
      <c r="K10" s="325"/>
      <c r="L10" s="325"/>
      <c r="M10" s="325"/>
      <c r="N10" s="325"/>
      <c r="O10" s="325"/>
      <c r="P10" s="326"/>
    </row>
    <row r="11" spans="1:16" ht="18.95" customHeight="1">
      <c r="A11" s="273" t="s">
        <v>1386</v>
      </c>
      <c r="B11" s="273"/>
      <c r="C11" s="177" t="s">
        <v>1543</v>
      </c>
      <c r="D11" s="178" t="s">
        <v>1394</v>
      </c>
      <c r="E11" s="178" t="s">
        <v>1544</v>
      </c>
      <c r="F11" s="178" t="s">
        <v>308</v>
      </c>
      <c r="G11" s="178" t="s">
        <v>1395</v>
      </c>
      <c r="H11" s="178" t="s">
        <v>1545</v>
      </c>
      <c r="I11" s="178" t="s">
        <v>1396</v>
      </c>
      <c r="J11" s="178" t="s">
        <v>94</v>
      </c>
      <c r="K11" s="178" t="s">
        <v>305</v>
      </c>
      <c r="L11" s="178" t="s">
        <v>1546</v>
      </c>
      <c r="M11" s="178" t="s">
        <v>550</v>
      </c>
      <c r="N11" s="178" t="s">
        <v>1397</v>
      </c>
      <c r="O11" s="178" t="s">
        <v>1547</v>
      </c>
      <c r="P11" s="179" t="s">
        <v>309</v>
      </c>
    </row>
    <row r="12" spans="1:16" ht="38.1" customHeight="1">
      <c r="A12" s="273"/>
      <c r="B12" s="273"/>
      <c r="C12" s="156">
        <f>IFERROR(ACTION_DECISION!A7,"")</f>
        <v>0</v>
      </c>
      <c r="D12" s="157">
        <f>IFERROR(ACTION_DECISION!D7,"")</f>
        <v>0</v>
      </c>
      <c r="E12" s="157">
        <f>IFERROR(ACTION_DECISION!G7,"")</f>
        <v>0</v>
      </c>
      <c r="F12" s="157">
        <f>IFERROR(ACTION_DECISION!H7,"")</f>
        <v>0</v>
      </c>
      <c r="G12" s="157">
        <f>IFERROR(ACTION_DECISION!I7,"")</f>
        <v>0</v>
      </c>
      <c r="H12" s="157">
        <f>IFERROR(ACTION_DECISION!J7,"")</f>
        <v>0</v>
      </c>
      <c r="I12" s="157">
        <f>IFERROR(ACTION_DECISION!K7,"")</f>
        <v>0</v>
      </c>
      <c r="J12" s="157">
        <f>IFERROR(ACTION_DECISION!L7,"")</f>
        <v>0</v>
      </c>
      <c r="K12" s="157">
        <f>IFERROR(ACTION_DECISION!M7,"")</f>
        <v>0</v>
      </c>
      <c r="L12" s="157">
        <f>IFERROR(ACTION_DECISION!N7,"")</f>
        <v>0</v>
      </c>
      <c r="M12" s="157">
        <f>IFERROR(ACTION_DECISION!O7,"")</f>
        <v>0</v>
      </c>
      <c r="N12" s="157">
        <f>IFERROR(ACTION_DECISION!P7,"")</f>
        <v>0</v>
      </c>
      <c r="O12" s="157">
        <f>IFERROR(ACTION_DECISION!Q7,"")</f>
        <v>0</v>
      </c>
      <c r="P12" s="158">
        <f>IFERROR(ACTION_DECISION!R7,"")</f>
        <v>0</v>
      </c>
    </row>
    <row r="13" spans="1:16" ht="38.1" customHeight="1">
      <c r="A13" s="176"/>
      <c r="B13" s="176"/>
      <c r="C13" s="159">
        <f>IFERROR(ACTION_DECISION!A8,"")</f>
        <v>0</v>
      </c>
      <c r="D13" s="155">
        <f>IFERROR(ACTION_DECISION!D8,"")</f>
        <v>0</v>
      </c>
      <c r="E13" s="155">
        <f>IFERROR(ACTION_DECISION!G8,"")</f>
        <v>0</v>
      </c>
      <c r="F13" s="155">
        <f>IFERROR(ACTION_DECISION!H8,"")</f>
        <v>0</v>
      </c>
      <c r="G13" s="155">
        <f>IFERROR(ACTION_DECISION!I8,"")</f>
        <v>0</v>
      </c>
      <c r="H13" s="155">
        <f>IFERROR(ACTION_DECISION!J8,"")</f>
        <v>0</v>
      </c>
      <c r="I13" s="155">
        <f>IFERROR(ACTION_DECISION!K8,"")</f>
        <v>0</v>
      </c>
      <c r="J13" s="155">
        <f>IFERROR(ACTION_DECISION!L8,"")</f>
        <v>0</v>
      </c>
      <c r="K13" s="155">
        <f>IFERROR(ACTION_DECISION!M8,"")</f>
        <v>0</v>
      </c>
      <c r="L13" s="155">
        <f>IFERROR(ACTION_DECISION!N8,"")</f>
        <v>0</v>
      </c>
      <c r="M13" s="155">
        <f>IFERROR(ACTION_DECISION!O8,"")</f>
        <v>0</v>
      </c>
      <c r="N13" s="155">
        <f>IFERROR(ACTION_DECISION!P8,"")</f>
        <v>0</v>
      </c>
      <c r="O13" s="155">
        <f>IFERROR(ACTION_DECISION!Q8,"")</f>
        <v>0</v>
      </c>
      <c r="P13" s="160">
        <f>IFERROR(ACTION_DECISION!R8,"")</f>
        <v>0</v>
      </c>
    </row>
    <row r="14" spans="1:16" ht="38.1" customHeight="1">
      <c r="A14" s="273" t="s">
        <v>1398</v>
      </c>
      <c r="B14" s="273"/>
      <c r="C14" s="159">
        <f>IFERROR(ACTION_DECISION!A9,"")</f>
        <v>0</v>
      </c>
      <c r="D14" s="155">
        <f>IFERROR(ACTION_DECISION!D9,"")</f>
        <v>0</v>
      </c>
      <c r="E14" s="155">
        <f>IFERROR(ACTION_DECISION!G9,"")</f>
        <v>0</v>
      </c>
      <c r="F14" s="155">
        <f>IFERROR(ACTION_DECISION!H9,"")</f>
        <v>0</v>
      </c>
      <c r="G14" s="155">
        <f>IFERROR(ACTION_DECISION!I9,"")</f>
        <v>0</v>
      </c>
      <c r="H14" s="155">
        <f>IFERROR(ACTION_DECISION!J9,"")</f>
        <v>0</v>
      </c>
      <c r="I14" s="155">
        <f>IFERROR(ACTION_DECISION!K9,"")</f>
        <v>0</v>
      </c>
      <c r="J14" s="155">
        <f>IFERROR(ACTION_DECISION!L9,"")</f>
        <v>0</v>
      </c>
      <c r="K14" s="155">
        <f>IFERROR(ACTION_DECISION!M9,"")</f>
        <v>0</v>
      </c>
      <c r="L14" s="155">
        <f>IFERROR(ACTION_DECISION!N9,"")</f>
        <v>0</v>
      </c>
      <c r="M14" s="155">
        <f>IFERROR(ACTION_DECISION!O9,"")</f>
        <v>0</v>
      </c>
      <c r="N14" s="155">
        <f>IFERROR(ACTION_DECISION!P9,"")</f>
        <v>0</v>
      </c>
      <c r="O14" s="155">
        <f>IFERROR(ACTION_DECISION!Q9,"")</f>
        <v>0</v>
      </c>
      <c r="P14" s="160">
        <f>IFERROR(ACTION_DECISION!R9,"")</f>
        <v>0</v>
      </c>
    </row>
    <row r="15" spans="1:16" ht="38.1" customHeight="1">
      <c r="A15" s="273"/>
      <c r="B15" s="273"/>
      <c r="C15" s="159">
        <f>IFERROR(ACTION_DECISION!A10,"")</f>
        <v>0</v>
      </c>
      <c r="D15" s="155">
        <f>IFERROR(ACTION_DECISION!D10,"")</f>
        <v>0</v>
      </c>
      <c r="E15" s="155">
        <f>IFERROR(ACTION_DECISION!G10,"")</f>
        <v>0</v>
      </c>
      <c r="F15" s="155">
        <f>IFERROR(ACTION_DECISION!H10,"")</f>
        <v>0</v>
      </c>
      <c r="G15" s="155">
        <f>IFERROR(ACTION_DECISION!I10,"")</f>
        <v>0</v>
      </c>
      <c r="H15" s="155">
        <f>IFERROR(ACTION_DECISION!J10,"")</f>
        <v>0</v>
      </c>
      <c r="I15" s="155">
        <f>IFERROR(ACTION_DECISION!K10,"")</f>
        <v>0</v>
      </c>
      <c r="J15" s="155">
        <f>IFERROR(ACTION_DECISION!L10,"")</f>
        <v>0</v>
      </c>
      <c r="K15" s="155">
        <f>IFERROR(ACTION_DECISION!M10,"")</f>
        <v>0</v>
      </c>
      <c r="L15" s="155">
        <f>IFERROR(ACTION_DECISION!N10,"")</f>
        <v>0</v>
      </c>
      <c r="M15" s="155">
        <f>IFERROR(ACTION_DECISION!O10,"")</f>
        <v>0</v>
      </c>
      <c r="N15" s="155">
        <f>IFERROR(ACTION_DECISION!P10,"")</f>
        <v>0</v>
      </c>
      <c r="O15" s="155">
        <f>IFERROR(ACTION_DECISION!Q10,"")</f>
        <v>0</v>
      </c>
      <c r="P15" s="160">
        <f>IFERROR(ACTION_DECISION!R10,"")</f>
        <v>0</v>
      </c>
    </row>
    <row r="16" spans="1:16" ht="38.1" customHeight="1">
      <c r="A16" s="176"/>
      <c r="B16" s="176"/>
      <c r="C16" s="159">
        <f>IFERROR(ACTION_DECISION!A11,"")</f>
        <v>0</v>
      </c>
      <c r="D16" s="155">
        <f>IFERROR(ACTION_DECISION!D11,"")</f>
        <v>0</v>
      </c>
      <c r="E16" s="155">
        <f>IFERROR(ACTION_DECISION!G11,"")</f>
        <v>0</v>
      </c>
      <c r="F16" s="155">
        <f>IFERROR(ACTION_DECISION!H11,"")</f>
        <v>0</v>
      </c>
      <c r="G16" s="155">
        <f>IFERROR(ACTION_DECISION!I11,"")</f>
        <v>0</v>
      </c>
      <c r="H16" s="155">
        <f>IFERROR(ACTION_DECISION!J11,"")</f>
        <v>0</v>
      </c>
      <c r="I16" s="155">
        <f>IFERROR(ACTION_DECISION!K11,"")</f>
        <v>0</v>
      </c>
      <c r="J16" s="155">
        <f>IFERROR(ACTION_DECISION!L11,"")</f>
        <v>0</v>
      </c>
      <c r="K16" s="155">
        <f>IFERROR(ACTION_DECISION!M11,"")</f>
        <v>0</v>
      </c>
      <c r="L16" s="155">
        <f>IFERROR(ACTION_DECISION!N11,"")</f>
        <v>0</v>
      </c>
      <c r="M16" s="155">
        <f>IFERROR(ACTION_DECISION!O11,"")</f>
        <v>0</v>
      </c>
      <c r="N16" s="155">
        <f>IFERROR(ACTION_DECISION!P11,"")</f>
        <v>0</v>
      </c>
      <c r="O16" s="155">
        <f>IFERROR(ACTION_DECISION!Q11,"")</f>
        <v>0</v>
      </c>
      <c r="P16" s="160">
        <f>IFERROR(ACTION_DECISION!R11,"")</f>
        <v>0</v>
      </c>
    </row>
    <row r="17" spans="1:16" ht="38.1" customHeight="1">
      <c r="A17" s="273" t="s">
        <v>1399</v>
      </c>
      <c r="B17" s="273"/>
      <c r="C17" s="159">
        <f>IFERROR(ACTION_DECISION!A12,"")</f>
        <v>0</v>
      </c>
      <c r="D17" s="155">
        <f>IFERROR(ACTION_DECISION!D12,"")</f>
        <v>0</v>
      </c>
      <c r="E17" s="155">
        <f>IFERROR(ACTION_DECISION!G12,"")</f>
        <v>0</v>
      </c>
      <c r="F17" s="155">
        <f>IFERROR(ACTION_DECISION!H12,"")</f>
        <v>0</v>
      </c>
      <c r="G17" s="155">
        <f>IFERROR(ACTION_DECISION!I12,"")</f>
        <v>0</v>
      </c>
      <c r="H17" s="155">
        <f>IFERROR(ACTION_DECISION!J12,"")</f>
        <v>0</v>
      </c>
      <c r="I17" s="155">
        <f>IFERROR(ACTION_DECISION!K12,"")</f>
        <v>0</v>
      </c>
      <c r="J17" s="155">
        <f>IFERROR(ACTION_DECISION!L12,"")</f>
        <v>0</v>
      </c>
      <c r="K17" s="155">
        <f>IFERROR(ACTION_DECISION!M12,"")</f>
        <v>0</v>
      </c>
      <c r="L17" s="155">
        <f>IFERROR(ACTION_DECISION!N12,"")</f>
        <v>0</v>
      </c>
      <c r="M17" s="155">
        <f>IFERROR(ACTION_DECISION!O12,"")</f>
        <v>0</v>
      </c>
      <c r="N17" s="155">
        <f>IFERROR(ACTION_DECISION!P12,"")</f>
        <v>0</v>
      </c>
      <c r="O17" s="155">
        <f>IFERROR(ACTION_DECISION!Q12,"")</f>
        <v>0</v>
      </c>
      <c r="P17" s="160">
        <f>IFERROR(ACTION_DECISION!R12,"")</f>
        <v>0</v>
      </c>
    </row>
    <row r="18" spans="1:16" ht="38.1" customHeight="1">
      <c r="A18" s="273"/>
      <c r="B18" s="273"/>
      <c r="C18" s="159">
        <f>IFERROR(ACTION_DECISION!A13,"")</f>
        <v>0</v>
      </c>
      <c r="D18" s="155">
        <f>IFERROR(ACTION_DECISION!D13,"")</f>
        <v>0</v>
      </c>
      <c r="E18" s="155">
        <f>IFERROR(ACTION_DECISION!G13,"")</f>
        <v>0</v>
      </c>
      <c r="F18" s="155">
        <f>IFERROR(ACTION_DECISION!H13,"")</f>
        <v>0</v>
      </c>
      <c r="G18" s="155">
        <f>IFERROR(ACTION_DECISION!I13,"")</f>
        <v>0</v>
      </c>
      <c r="H18" s="155">
        <f>IFERROR(ACTION_DECISION!J13,"")</f>
        <v>0</v>
      </c>
      <c r="I18" s="155">
        <f>IFERROR(ACTION_DECISION!K13,"")</f>
        <v>0</v>
      </c>
      <c r="J18" s="155">
        <f>IFERROR(ACTION_DECISION!L13,"")</f>
        <v>0</v>
      </c>
      <c r="K18" s="155">
        <f>IFERROR(ACTION_DECISION!M13,"")</f>
        <v>0</v>
      </c>
      <c r="L18" s="155">
        <f>IFERROR(ACTION_DECISION!N13,"")</f>
        <v>0</v>
      </c>
      <c r="M18" s="155">
        <f>IFERROR(ACTION_DECISION!O13,"")</f>
        <v>0</v>
      </c>
      <c r="N18" s="155">
        <f>IFERROR(ACTION_DECISION!P13,"")</f>
        <v>0</v>
      </c>
      <c r="O18" s="155">
        <f>IFERROR(ACTION_DECISION!Q13,"")</f>
        <v>0</v>
      </c>
      <c r="P18" s="160">
        <f>IFERROR(ACTION_DECISION!R13,"")</f>
        <v>0</v>
      </c>
    </row>
    <row r="19" spans="1:16" ht="38.1" customHeight="1">
      <c r="A19" s="176"/>
      <c r="B19" s="176"/>
      <c r="C19" s="161">
        <f>IFERROR(ACTION_DECISION!A14,"")</f>
        <v>0</v>
      </c>
      <c r="D19" s="162">
        <f>IFERROR(ACTION_DECISION!D14,"")</f>
        <v>0</v>
      </c>
      <c r="E19" s="162">
        <f>IFERROR(ACTION_DECISION!G14,"")</f>
        <v>0</v>
      </c>
      <c r="F19" s="162">
        <f>IFERROR(ACTION_DECISION!H14,"")</f>
        <v>0</v>
      </c>
      <c r="G19" s="162">
        <f>IFERROR(ACTION_DECISION!I14,"")</f>
        <v>0</v>
      </c>
      <c r="H19" s="162">
        <f>IFERROR(ACTION_DECISION!J14,"")</f>
        <v>0</v>
      </c>
      <c r="I19" s="162">
        <f>IFERROR(ACTION_DECISION!K14,"")</f>
        <v>0</v>
      </c>
      <c r="J19" s="162">
        <f>IFERROR(ACTION_DECISION!L14,"")</f>
        <v>0</v>
      </c>
      <c r="K19" s="162">
        <f>IFERROR(ACTION_DECISION!M14,"")</f>
        <v>0</v>
      </c>
      <c r="L19" s="162">
        <f>IFERROR(ACTION_DECISION!N14,"")</f>
        <v>0</v>
      </c>
      <c r="M19" s="162">
        <f>IFERROR(ACTION_DECISION!O14,"")</f>
        <v>0</v>
      </c>
      <c r="N19" s="162">
        <f>IFERROR(ACTION_DECISION!P14,"")</f>
        <v>0</v>
      </c>
      <c r="O19" s="162">
        <f>IFERROR(ACTION_DECISION!Q14,"")</f>
        <v>0</v>
      </c>
      <c r="P19" s="163">
        <f>IFERROR(ACTION_DECISION!R14,"")</f>
        <v>0</v>
      </c>
    </row>
    <row r="20" spans="1:16" ht="18.95" customHeight="1">
      <c r="A20" s="272" t="s">
        <v>1400</v>
      </c>
      <c r="B20" s="272"/>
      <c r="C20" s="2"/>
      <c r="D20" s="2"/>
      <c r="E20" s="2"/>
      <c r="F20" s="2"/>
      <c r="G20" s="2"/>
      <c r="H20" s="2"/>
      <c r="I20" s="2"/>
      <c r="J20" s="2"/>
      <c r="K20" s="2"/>
      <c r="L20" s="2"/>
      <c r="M20" s="2"/>
      <c r="N20" s="2"/>
      <c r="O20" s="2"/>
      <c r="P20" s="2"/>
    </row>
    <row r="21" spans="1:16" ht="18.95" customHeight="1">
      <c r="A21" s="272"/>
      <c r="B21" s="272"/>
      <c r="C21" s="324" t="s">
        <v>1548</v>
      </c>
      <c r="D21" s="325"/>
      <c r="E21" s="325"/>
      <c r="F21" s="325"/>
      <c r="G21" s="325"/>
      <c r="H21" s="326"/>
      <c r="I21" s="324" t="s">
        <v>1549</v>
      </c>
      <c r="J21" s="325"/>
      <c r="K21" s="325"/>
      <c r="L21" s="325"/>
      <c r="M21" s="325"/>
      <c r="N21" s="325"/>
      <c r="O21" s="325"/>
      <c r="P21" s="326"/>
    </row>
    <row r="22" spans="1:16" ht="18.95" customHeight="1">
      <c r="A22" s="176"/>
      <c r="B22" s="176"/>
      <c r="C22" s="177" t="s">
        <v>1450</v>
      </c>
      <c r="D22" s="178" t="s">
        <v>470</v>
      </c>
      <c r="E22" s="178" t="s">
        <v>1394</v>
      </c>
      <c r="F22" s="178" t="s">
        <v>90</v>
      </c>
      <c r="G22" s="178" t="s">
        <v>473</v>
      </c>
      <c r="H22" s="179" t="s">
        <v>94</v>
      </c>
      <c r="I22" s="365" t="s">
        <v>1550</v>
      </c>
      <c r="J22" s="366"/>
      <c r="K22" s="366"/>
      <c r="L22" s="366"/>
      <c r="M22" s="366"/>
      <c r="N22" s="366"/>
      <c r="O22" s="366"/>
      <c r="P22" s="367"/>
    </row>
    <row r="23" spans="1:16" ht="33.950000000000003" customHeight="1">
      <c r="A23" s="273" t="s">
        <v>1412</v>
      </c>
      <c r="B23" s="273"/>
      <c r="C23" s="156">
        <f>IFERROR(ASSUMPTIONS_FLAGS!A7,"")</f>
        <v>0</v>
      </c>
      <c r="D23" s="157">
        <f>IFERROR(ASSUMPTIONS_FLAGS!B7,"")</f>
        <v>0</v>
      </c>
      <c r="E23" s="157">
        <f>IFERROR(ASSUMPTIONS_FLAGS!C7,"")</f>
        <v>0</v>
      </c>
      <c r="F23" s="157">
        <f>IFERROR(ASSUMPTIONS_FLAGS!D7,"")</f>
        <v>0</v>
      </c>
      <c r="G23" s="157">
        <f>IFERROR(ASSUMPTIONS_FLAGS!F7,"")</f>
        <v>0</v>
      </c>
      <c r="H23" s="158">
        <f>IFERROR(ASSUMPTIONS_FLAGS!I7,"")</f>
        <v>0</v>
      </c>
      <c r="I23" s="368"/>
      <c r="J23" s="369"/>
      <c r="K23" s="369"/>
      <c r="L23" s="369"/>
      <c r="M23" s="369"/>
      <c r="N23" s="369"/>
      <c r="O23" s="369"/>
      <c r="P23" s="370"/>
    </row>
    <row r="24" spans="1:16" ht="33.950000000000003" customHeight="1">
      <c r="A24" s="273"/>
      <c r="B24" s="273"/>
      <c r="C24" s="159">
        <f>IFERROR(ASSUMPTIONS_FLAGS!A8,"")</f>
        <v>0</v>
      </c>
      <c r="D24" s="155">
        <f>IFERROR(ASSUMPTIONS_FLAGS!B8,"")</f>
        <v>0</v>
      </c>
      <c r="E24" s="155">
        <f>IFERROR(ASSUMPTIONS_FLAGS!C8,"")</f>
        <v>0</v>
      </c>
      <c r="F24" s="155">
        <f>IFERROR(ASSUMPTIONS_FLAGS!D8,"")</f>
        <v>0</v>
      </c>
      <c r="G24" s="155">
        <f>IFERROR(ASSUMPTIONS_FLAGS!F8,"")</f>
        <v>0</v>
      </c>
      <c r="H24" s="160">
        <f>IFERROR(ASSUMPTIONS_FLAGS!I8,"")</f>
        <v>0</v>
      </c>
      <c r="I24" s="368"/>
      <c r="J24" s="369"/>
      <c r="K24" s="369"/>
      <c r="L24" s="369"/>
      <c r="M24" s="369"/>
      <c r="N24" s="369"/>
      <c r="O24" s="369"/>
      <c r="P24" s="370"/>
    </row>
    <row r="25" spans="1:16" ht="33.950000000000003" customHeight="1">
      <c r="A25" s="176"/>
      <c r="B25" s="176"/>
      <c r="C25" s="159">
        <f>IFERROR(ASSUMPTIONS_FLAGS!A9,"")</f>
        <v>0</v>
      </c>
      <c r="D25" s="155">
        <f>IFERROR(ASSUMPTIONS_FLAGS!B9,"")</f>
        <v>0</v>
      </c>
      <c r="E25" s="155">
        <f>IFERROR(ASSUMPTIONS_FLAGS!C9,"")</f>
        <v>0</v>
      </c>
      <c r="F25" s="155">
        <f>IFERROR(ASSUMPTIONS_FLAGS!D9,"")</f>
        <v>0</v>
      </c>
      <c r="G25" s="155">
        <f>IFERROR(ASSUMPTIONS_FLAGS!F9,"")</f>
        <v>0</v>
      </c>
      <c r="H25" s="160">
        <f>IFERROR(ASSUMPTIONS_FLAGS!I9,"")</f>
        <v>0</v>
      </c>
      <c r="I25" s="368"/>
      <c r="J25" s="369"/>
      <c r="K25" s="369"/>
      <c r="L25" s="369"/>
      <c r="M25" s="369"/>
      <c r="N25" s="369"/>
      <c r="O25" s="369"/>
      <c r="P25" s="370"/>
    </row>
    <row r="26" spans="1:16" ht="33.950000000000003" customHeight="1">
      <c r="A26" s="273" t="s">
        <v>1422</v>
      </c>
      <c r="B26" s="273"/>
      <c r="C26" s="159">
        <f>IFERROR(ASSUMPTIONS_FLAGS!A10,"")</f>
        <v>0</v>
      </c>
      <c r="D26" s="155">
        <f>IFERROR(ASSUMPTIONS_FLAGS!B10,"")</f>
        <v>0</v>
      </c>
      <c r="E26" s="155">
        <f>IFERROR(ASSUMPTIONS_FLAGS!C10,"")</f>
        <v>0</v>
      </c>
      <c r="F26" s="155">
        <f>IFERROR(ASSUMPTIONS_FLAGS!D10,"")</f>
        <v>0</v>
      </c>
      <c r="G26" s="155">
        <f>IFERROR(ASSUMPTIONS_FLAGS!F10,"")</f>
        <v>0</v>
      </c>
      <c r="H26" s="160">
        <f>IFERROR(ASSUMPTIONS_FLAGS!I10,"")</f>
        <v>0</v>
      </c>
      <c r="I26" s="368"/>
      <c r="J26" s="369"/>
      <c r="K26" s="369"/>
      <c r="L26" s="369"/>
      <c r="M26" s="369"/>
      <c r="N26" s="369"/>
      <c r="O26" s="369"/>
      <c r="P26" s="370"/>
    </row>
    <row r="27" spans="1:16" ht="33.950000000000003" customHeight="1">
      <c r="A27" s="273"/>
      <c r="B27" s="273"/>
      <c r="C27" s="159">
        <f>IFERROR(ASSUMPTIONS_FLAGS!A11,"")</f>
        <v>0</v>
      </c>
      <c r="D27" s="155">
        <f>IFERROR(ASSUMPTIONS_FLAGS!B11,"")</f>
        <v>0</v>
      </c>
      <c r="E27" s="155">
        <f>IFERROR(ASSUMPTIONS_FLAGS!C11,"")</f>
        <v>0</v>
      </c>
      <c r="F27" s="155">
        <f>IFERROR(ASSUMPTIONS_FLAGS!D11,"")</f>
        <v>0</v>
      </c>
      <c r="G27" s="155">
        <f>IFERROR(ASSUMPTIONS_FLAGS!F11,"")</f>
        <v>0</v>
      </c>
      <c r="H27" s="160">
        <f>IFERROR(ASSUMPTIONS_FLAGS!I11,"")</f>
        <v>0</v>
      </c>
      <c r="I27" s="368"/>
      <c r="J27" s="369"/>
      <c r="K27" s="369"/>
      <c r="L27" s="369"/>
      <c r="M27" s="369"/>
      <c r="N27" s="369"/>
      <c r="O27" s="369"/>
      <c r="P27" s="370"/>
    </row>
    <row r="28" spans="1:16" ht="33.950000000000003" customHeight="1">
      <c r="A28" s="176"/>
      <c r="B28" s="176"/>
      <c r="C28" s="159">
        <f>IFERROR(ASSUMPTIONS_FLAGS!A12,"")</f>
        <v>0</v>
      </c>
      <c r="D28" s="155">
        <f>IFERROR(ASSUMPTIONS_FLAGS!B12,"")</f>
        <v>0</v>
      </c>
      <c r="E28" s="155">
        <f>IFERROR(ASSUMPTIONS_FLAGS!C12,"")</f>
        <v>0</v>
      </c>
      <c r="F28" s="155">
        <f>IFERROR(ASSUMPTIONS_FLAGS!D12,"")</f>
        <v>0</v>
      </c>
      <c r="G28" s="155">
        <f>IFERROR(ASSUMPTIONS_FLAGS!F12,"")</f>
        <v>0</v>
      </c>
      <c r="H28" s="160">
        <f>IFERROR(ASSUMPTIONS_FLAGS!I12,"")</f>
        <v>0</v>
      </c>
      <c r="I28" s="368"/>
      <c r="J28" s="369"/>
      <c r="K28" s="369"/>
      <c r="L28" s="369"/>
      <c r="M28" s="369"/>
      <c r="N28" s="369"/>
      <c r="O28" s="369"/>
      <c r="P28" s="370"/>
    </row>
    <row r="29" spans="1:16" ht="33.950000000000003" customHeight="1">
      <c r="A29" s="176"/>
      <c r="B29" s="176"/>
      <c r="C29" s="159">
        <f>IFERROR(ASSUMPTIONS_FLAGS!A13,"")</f>
        <v>0</v>
      </c>
      <c r="D29" s="155">
        <f>IFERROR(ASSUMPTIONS_FLAGS!B13,"")</f>
        <v>0</v>
      </c>
      <c r="E29" s="155">
        <f>IFERROR(ASSUMPTIONS_FLAGS!C13,"")</f>
        <v>0</v>
      </c>
      <c r="F29" s="155">
        <f>IFERROR(ASSUMPTIONS_FLAGS!D13,"")</f>
        <v>0</v>
      </c>
      <c r="G29" s="155">
        <f>IFERROR(ASSUMPTIONS_FLAGS!F13,"")</f>
        <v>0</v>
      </c>
      <c r="H29" s="160">
        <f>IFERROR(ASSUMPTIONS_FLAGS!I13,"")</f>
        <v>0</v>
      </c>
      <c r="I29" s="368"/>
      <c r="J29" s="369"/>
      <c r="K29" s="369"/>
      <c r="L29" s="369"/>
      <c r="M29" s="369"/>
      <c r="N29" s="369"/>
      <c r="O29" s="369"/>
      <c r="P29" s="370"/>
    </row>
    <row r="30" spans="1:16" ht="33.950000000000003" customHeight="1">
      <c r="A30" s="176"/>
      <c r="B30" s="176"/>
      <c r="C30" s="161">
        <f>IFERROR(ASSUMPTIONS_FLAGS!A14,"")</f>
        <v>0</v>
      </c>
      <c r="D30" s="162">
        <f>IFERROR(ASSUMPTIONS_FLAGS!B14,"")</f>
        <v>0</v>
      </c>
      <c r="E30" s="162">
        <f>IFERROR(ASSUMPTIONS_FLAGS!C14,"")</f>
        <v>0</v>
      </c>
      <c r="F30" s="162">
        <f>IFERROR(ASSUMPTIONS_FLAGS!D14,"")</f>
        <v>0</v>
      </c>
      <c r="G30" s="162">
        <f>IFERROR(ASSUMPTIONS_FLAGS!F14,"")</f>
        <v>0</v>
      </c>
      <c r="H30" s="163">
        <f>IFERROR(ASSUMPTIONS_FLAGS!I14,"")</f>
        <v>0</v>
      </c>
      <c r="I30" s="371"/>
      <c r="J30" s="372"/>
      <c r="K30" s="372"/>
      <c r="L30" s="372"/>
      <c r="M30" s="372"/>
      <c r="N30" s="372"/>
      <c r="O30" s="372"/>
      <c r="P30" s="373"/>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2">
    <mergeCell ref="I22:P30"/>
    <mergeCell ref="O5:P5"/>
    <mergeCell ref="O6:P8"/>
    <mergeCell ref="C10:P10"/>
    <mergeCell ref="C21:H21"/>
    <mergeCell ref="I21:P21"/>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workbookViewId="0"/>
  </sheetViews>
  <sheetFormatPr defaultRowHeight="14.25"/>
  <cols>
    <col min="1" max="1" width="4" customWidth="1"/>
    <col min="2" max="2" width="23" customWidth="1"/>
    <col min="3" max="3" width="15" customWidth="1"/>
    <col min="4" max="4" width="28" customWidth="1"/>
    <col min="5" max="7" width="15" customWidth="1"/>
    <col min="8" max="8" width="24" customWidth="1"/>
    <col min="9" max="9" width="15" customWidth="1"/>
    <col min="10" max="10" width="22" customWidth="1"/>
    <col min="11" max="14" width="15" customWidth="1"/>
    <col min="15" max="15" width="28" customWidth="1"/>
    <col min="16" max="16" width="24" customWidth="1"/>
  </cols>
  <sheetData>
    <row r="1" spans="1:16" ht="27" customHeight="1">
      <c r="A1" s="270" t="s">
        <v>1375</v>
      </c>
      <c r="B1" s="270"/>
      <c r="C1" s="276" t="s">
        <v>1551</v>
      </c>
      <c r="D1" s="276"/>
      <c r="E1" s="276"/>
      <c r="F1" s="276"/>
      <c r="G1" s="276"/>
      <c r="H1" s="276"/>
      <c r="I1" s="276"/>
      <c r="J1" s="276"/>
      <c r="K1" s="276"/>
      <c r="L1" s="276"/>
      <c r="M1" s="276"/>
      <c r="N1" s="276"/>
      <c r="O1" s="276"/>
      <c r="P1" s="276"/>
    </row>
    <row r="2" spans="1:16" ht="27" customHeight="1">
      <c r="A2" s="271" t="s">
        <v>1377</v>
      </c>
      <c r="B2" s="271"/>
      <c r="C2" s="277" t="s">
        <v>1552</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1134</v>
      </c>
      <c r="D5" s="280"/>
      <c r="E5" s="281"/>
      <c r="F5" s="279" t="s">
        <v>1553</v>
      </c>
      <c r="G5" s="280"/>
      <c r="H5" s="281"/>
      <c r="I5" s="279" t="s">
        <v>987</v>
      </c>
      <c r="J5" s="280"/>
      <c r="K5" s="281"/>
      <c r="L5" s="279" t="s">
        <v>1554</v>
      </c>
      <c r="M5" s="280"/>
      <c r="N5" s="281"/>
      <c r="O5" s="279" t="s">
        <v>1555</v>
      </c>
      <c r="P5" s="281"/>
    </row>
    <row r="6" spans="1:16" ht="18.95" customHeight="1">
      <c r="A6" s="273"/>
      <c r="B6" s="273"/>
      <c r="C6" s="282">
        <f>DATA_METRIC_LONG!E15</f>
        <v>0</v>
      </c>
      <c r="D6" s="283"/>
      <c r="E6" s="284"/>
      <c r="F6" s="282">
        <f>COUNTIF(DATA_QUALITY_CHECKS!E7:E206,"OPEN")</f>
        <v>7</v>
      </c>
      <c r="G6" s="283"/>
      <c r="H6" s="284"/>
      <c r="I6" s="282">
        <f>DATA_METRIC_LONG!E16</f>
        <v>0</v>
      </c>
      <c r="J6" s="283"/>
      <c r="K6" s="284"/>
      <c r="L6" s="282">
        <f>DATA_METRIC_LONG!E14</f>
        <v>0</v>
      </c>
      <c r="M6" s="283"/>
      <c r="N6" s="284"/>
      <c r="O6" s="344" t="str">
        <f>IF(COUNTIF(DATA_QUALITY_CHECKS!E7:E206,"OPEN")&gt;0,"Human Review Required","Clear")</f>
        <v>Human Review Required</v>
      </c>
      <c r="P6" s="346"/>
    </row>
    <row r="7" spans="1:16" ht="18.95" customHeight="1">
      <c r="A7" s="176"/>
      <c r="B7" s="176"/>
      <c r="C7" s="285"/>
      <c r="D7" s="286"/>
      <c r="E7" s="287"/>
      <c r="F7" s="285"/>
      <c r="G7" s="286"/>
      <c r="H7" s="287"/>
      <c r="I7" s="285"/>
      <c r="J7" s="286"/>
      <c r="K7" s="287"/>
      <c r="L7" s="285"/>
      <c r="M7" s="286"/>
      <c r="N7" s="287"/>
      <c r="O7" s="347"/>
      <c r="P7" s="349"/>
    </row>
    <row r="8" spans="1:16" ht="18.95" customHeight="1">
      <c r="A8" s="273" t="s">
        <v>1383</v>
      </c>
      <c r="B8" s="273"/>
      <c r="C8" s="288"/>
      <c r="D8" s="289"/>
      <c r="E8" s="290"/>
      <c r="F8" s="288"/>
      <c r="G8" s="289"/>
      <c r="H8" s="290"/>
      <c r="I8" s="288"/>
      <c r="J8" s="289"/>
      <c r="K8" s="290"/>
      <c r="L8" s="288"/>
      <c r="M8" s="289"/>
      <c r="N8" s="290"/>
      <c r="O8" s="350"/>
      <c r="P8" s="352"/>
    </row>
    <row r="9" spans="1:16" ht="18.95" customHeight="1">
      <c r="A9" s="273"/>
      <c r="B9" s="273"/>
      <c r="C9" s="2"/>
      <c r="D9" s="2"/>
      <c r="E9" s="2"/>
      <c r="F9" s="2"/>
      <c r="G9" s="2"/>
      <c r="H9" s="2"/>
      <c r="I9" s="2"/>
      <c r="J9" s="2"/>
      <c r="K9" s="2"/>
      <c r="L9" s="2"/>
      <c r="M9" s="2"/>
      <c r="N9" s="2"/>
      <c r="O9" s="2"/>
      <c r="P9" s="2"/>
    </row>
    <row r="10" spans="1:16" ht="18.95" customHeight="1">
      <c r="A10" s="176"/>
      <c r="B10" s="176"/>
      <c r="C10" s="324" t="s">
        <v>1556</v>
      </c>
      <c r="D10" s="325"/>
      <c r="E10" s="325"/>
      <c r="F10" s="325"/>
      <c r="G10" s="325"/>
      <c r="H10" s="325"/>
      <c r="I10" s="325"/>
      <c r="J10" s="326"/>
      <c r="K10" s="324" t="s">
        <v>1557</v>
      </c>
      <c r="L10" s="325"/>
      <c r="M10" s="325"/>
      <c r="N10" s="325"/>
      <c r="O10" s="325"/>
      <c r="P10" s="326"/>
    </row>
    <row r="11" spans="1:16" ht="18.95" customHeight="1">
      <c r="A11" s="273" t="s">
        <v>1386</v>
      </c>
      <c r="B11" s="273"/>
      <c r="C11" s="177" t="s">
        <v>1558</v>
      </c>
      <c r="D11" s="178" t="s">
        <v>1559</v>
      </c>
      <c r="E11" s="178" t="s">
        <v>88</v>
      </c>
      <c r="F11" s="178" t="s">
        <v>304</v>
      </c>
      <c r="G11" s="178" t="s">
        <v>305</v>
      </c>
      <c r="H11" s="178" t="s">
        <v>306</v>
      </c>
      <c r="I11" s="178" t="s">
        <v>307</v>
      </c>
      <c r="J11" s="179" t="s">
        <v>310</v>
      </c>
      <c r="K11" s="177" t="s">
        <v>1403</v>
      </c>
      <c r="L11" s="178" t="s">
        <v>40</v>
      </c>
      <c r="M11" s="178" t="s">
        <v>1050</v>
      </c>
      <c r="N11" s="178" t="s">
        <v>94</v>
      </c>
      <c r="O11" s="178" t="s">
        <v>1051</v>
      </c>
      <c r="P11" s="179" t="s">
        <v>95</v>
      </c>
    </row>
    <row r="12" spans="1:16" ht="33.950000000000003" customHeight="1">
      <c r="A12" s="273"/>
      <c r="B12" s="273"/>
      <c r="C12" s="156">
        <f>IFERROR(STG_SOURCE_INTAKE!A5,"")</f>
        <v>0</v>
      </c>
      <c r="D12" s="157">
        <f>IFERROR(STG_SOURCE_INTAKE!B5,"")</f>
        <v>0</v>
      </c>
      <c r="E12" s="157">
        <f>IFERROR(STG_SOURCE_INTAKE!C5,"")</f>
        <v>0</v>
      </c>
      <c r="F12" s="157">
        <f>IFERROR(STG_SOURCE_INTAKE!D5,"")</f>
        <v>0</v>
      </c>
      <c r="G12" s="157">
        <f>IFERROR(STG_SOURCE_INTAKE!E5,"")</f>
        <v>0</v>
      </c>
      <c r="H12" s="157">
        <f>IFERROR(STG_SOURCE_INTAKE!F5,"")</f>
        <v>0</v>
      </c>
      <c r="I12" s="157">
        <f>IFERROR(STG_SOURCE_INTAKE!G5,"")</f>
        <v>0</v>
      </c>
      <c r="J12" s="158">
        <f>IFERROR(STG_SOURCE_INTAKE!J5,"")</f>
        <v>0</v>
      </c>
      <c r="K12" s="156" t="str">
        <f>IFERROR(DATA_QUALITY_CHECKS!A7,"")</f>
        <v>QC-MVP-001</v>
      </c>
      <c r="L12" s="157" t="str">
        <f>IFERROR(DATA_QUALITY_CHECKS!B7,"")</f>
        <v>Portfolio record count</v>
      </c>
      <c r="M12" s="157">
        <f>IFERROR(DATA_QUALITY_CHECKS!D7,"")</f>
        <v>0</v>
      </c>
      <c r="N12" s="157" t="str">
        <f>IFERROR(DATA_QUALITY_CHECKS!E7,"")</f>
        <v>OPEN</v>
      </c>
      <c r="O12" s="157" t="str">
        <f>IFERROR(DATA_QUALITY_CHECKS!F7,"")</f>
        <v>Total portfolio count must be explicit.</v>
      </c>
      <c r="P12" s="158" t="str">
        <f>IFERROR(DATA_QUALITY_CHECKS!G7,"")</f>
        <v>Review property register.</v>
      </c>
    </row>
    <row r="13" spans="1:16" ht="33.950000000000003" customHeight="1">
      <c r="A13" s="176"/>
      <c r="B13" s="176"/>
      <c r="C13" s="159">
        <f>IFERROR(STG_SOURCE_INTAKE!A6,"")</f>
        <v>0</v>
      </c>
      <c r="D13" s="155">
        <f>IFERROR(STG_SOURCE_INTAKE!B6,"")</f>
        <v>0</v>
      </c>
      <c r="E13" s="155">
        <f>IFERROR(STG_SOURCE_INTAKE!C6,"")</f>
        <v>0</v>
      </c>
      <c r="F13" s="155">
        <f>IFERROR(STG_SOURCE_INTAKE!D6,"")</f>
        <v>0</v>
      </c>
      <c r="G13" s="155">
        <f>IFERROR(STG_SOURCE_INTAKE!E6,"")</f>
        <v>0</v>
      </c>
      <c r="H13" s="155">
        <f>IFERROR(STG_SOURCE_INTAKE!F6,"")</f>
        <v>0</v>
      </c>
      <c r="I13" s="155">
        <f>IFERROR(STG_SOURCE_INTAKE!G6,"")</f>
        <v>0</v>
      </c>
      <c r="J13" s="160">
        <f>IFERROR(STG_SOURCE_INTAKE!J6,"")</f>
        <v>0</v>
      </c>
      <c r="K13" s="159" t="str">
        <f>IFERROR(DATA_QUALITY_CHECKS!A8,"")</f>
        <v>QC-MVP-002</v>
      </c>
      <c r="L13" s="155" t="str">
        <f>IFERROR(DATA_QUALITY_CHECKS!B8,"")</f>
        <v>Included property count</v>
      </c>
      <c r="M13" s="155">
        <f>IFERROR(DATA_QUALITY_CHECKS!D8,"")</f>
        <v>0</v>
      </c>
      <c r="N13" s="155" t="str">
        <f>IFERROR(DATA_QUALITY_CHECKS!E8,"")</f>
        <v>OPEN</v>
      </c>
      <c r="O13" s="155" t="str">
        <f>IFERROR(DATA_QUALITY_CHECKS!F8,"")</f>
        <v>Financial scope must be explicit.</v>
      </c>
      <c r="P13" s="160" t="str">
        <f>IFERROR(DATA_QUALITY_CHECKS!G8,"")</f>
        <v>Review Included? field.</v>
      </c>
    </row>
    <row r="14" spans="1:16" ht="33.950000000000003" customHeight="1">
      <c r="A14" s="273" t="s">
        <v>1398</v>
      </c>
      <c r="B14" s="273"/>
      <c r="C14" s="159">
        <f>IFERROR(STG_SOURCE_INTAKE!A7,"")</f>
        <v>0</v>
      </c>
      <c r="D14" s="155">
        <f>IFERROR(STG_SOURCE_INTAKE!B7,"")</f>
        <v>0</v>
      </c>
      <c r="E14" s="155">
        <f>IFERROR(STG_SOURCE_INTAKE!C7,"")</f>
        <v>0</v>
      </c>
      <c r="F14" s="155">
        <f>IFERROR(STG_SOURCE_INTAKE!D7,"")</f>
        <v>0</v>
      </c>
      <c r="G14" s="155">
        <f>IFERROR(STG_SOURCE_INTAKE!E7,"")</f>
        <v>0</v>
      </c>
      <c r="H14" s="155">
        <f>IFERROR(STG_SOURCE_INTAKE!F7,"")</f>
        <v>0</v>
      </c>
      <c r="I14" s="155">
        <f>IFERROR(STG_SOURCE_INTAKE!G7,"")</f>
        <v>0</v>
      </c>
      <c r="J14" s="160">
        <f>IFERROR(STG_SOURCE_INTAKE!J7,"")</f>
        <v>0</v>
      </c>
      <c r="K14" s="159" t="str">
        <f>IFERROR(DATA_QUALITY_CHECKS!A9,"")</f>
        <v>QC-MVP-003</v>
      </c>
      <c r="L14" s="155" t="str">
        <f>IFERROR(DATA_QUALITY_CHECKS!B9,"")</f>
        <v>Unit count conflicts</v>
      </c>
      <c r="M14" s="155">
        <f>IFERROR(DATA_QUALITY_CHECKS!D9,"")</f>
        <v>0</v>
      </c>
      <c r="N14" s="155" t="str">
        <f>IFERROR(DATA_QUALITY_CHECKS!E9,"")</f>
        <v>PASS</v>
      </c>
      <c r="O14" s="155" t="str">
        <f>IFERROR(DATA_QUALITY_CHECKS!F9,"")</f>
        <v>Conflicts must remain visible.</v>
      </c>
      <c r="P14" s="160" t="str">
        <f>IFERROR(DATA_QUALITY_CHECKS!G9,"")</f>
        <v>Confirm Port Moody and 800 Commercial.</v>
      </c>
    </row>
    <row r="15" spans="1:16" ht="33.950000000000003" customHeight="1">
      <c r="A15" s="273"/>
      <c r="B15" s="273"/>
      <c r="C15" s="159">
        <f>IFERROR(STG_SOURCE_INTAKE!A8,"")</f>
        <v>0</v>
      </c>
      <c r="D15" s="155">
        <f>IFERROR(STG_SOURCE_INTAKE!B8,"")</f>
        <v>0</v>
      </c>
      <c r="E15" s="155">
        <f>IFERROR(STG_SOURCE_INTAKE!C8,"")</f>
        <v>0</v>
      </c>
      <c r="F15" s="155">
        <f>IFERROR(STG_SOURCE_INTAKE!D8,"")</f>
        <v>0</v>
      </c>
      <c r="G15" s="155">
        <f>IFERROR(STG_SOURCE_INTAKE!E8,"")</f>
        <v>0</v>
      </c>
      <c r="H15" s="155">
        <f>IFERROR(STG_SOURCE_INTAKE!F8,"")</f>
        <v>0</v>
      </c>
      <c r="I15" s="155">
        <f>IFERROR(STG_SOURCE_INTAKE!G8,"")</f>
        <v>0</v>
      </c>
      <c r="J15" s="160">
        <f>IFERROR(STG_SOURCE_INTAKE!J8,"")</f>
        <v>0</v>
      </c>
      <c r="K15" s="159" t="str">
        <f>IFERROR(DATA_QUALITY_CHECKS!A10,"")</f>
        <v>QC-MVP-004</v>
      </c>
      <c r="L15" s="155" t="str">
        <f>IFERROR(DATA_QUALITY_CHECKS!B10,"")</f>
        <v>Unit table reconciliation</v>
      </c>
      <c r="M15" s="155">
        <f>IFERROR(DATA_QUALITY_CHECKS!D10,"")</f>
        <v>0</v>
      </c>
      <c r="N15" s="155" t="str">
        <f>IFERROR(DATA_QUALITY_CHECKS!E10,"")</f>
        <v>PASS</v>
      </c>
      <c r="O15" s="155" t="str">
        <f>IFERROR(DATA_QUALITY_CHECKS!F10,"")</f>
        <v>Mission categories must reconcile to modeled units.</v>
      </c>
      <c r="P15" s="160" t="str">
        <f>IFERROR(DATA_QUALITY_CHECKS!G10,"")</f>
        <v>Correct unit rows.</v>
      </c>
    </row>
    <row r="16" spans="1:16" ht="33.950000000000003" customHeight="1">
      <c r="A16" s="176"/>
      <c r="B16" s="176"/>
      <c r="C16" s="159">
        <f>IFERROR(STG_SOURCE_INTAKE!A9,"")</f>
        <v>0</v>
      </c>
      <c r="D16" s="155">
        <f>IFERROR(STG_SOURCE_INTAKE!B9,"")</f>
        <v>0</v>
      </c>
      <c r="E16" s="155">
        <f>IFERROR(STG_SOURCE_INTAKE!C9,"")</f>
        <v>0</v>
      </c>
      <c r="F16" s="155">
        <f>IFERROR(STG_SOURCE_INTAKE!D9,"")</f>
        <v>0</v>
      </c>
      <c r="G16" s="155">
        <f>IFERROR(STG_SOURCE_INTAKE!E9,"")</f>
        <v>0</v>
      </c>
      <c r="H16" s="155">
        <f>IFERROR(STG_SOURCE_INTAKE!F9,"")</f>
        <v>0</v>
      </c>
      <c r="I16" s="155">
        <f>IFERROR(STG_SOURCE_INTAKE!G9,"")</f>
        <v>0</v>
      </c>
      <c r="J16" s="160">
        <f>IFERROR(STG_SOURCE_INTAKE!J9,"")</f>
        <v>0</v>
      </c>
      <c r="K16" s="159" t="str">
        <f>IFERROR(DATA_QUALITY_CHECKS!A11,"")</f>
        <v>QC-MVP-005</v>
      </c>
      <c r="L16" s="155" t="str">
        <f>IFERROR(DATA_QUALITY_CHECKS!B11,"")</f>
        <v>Source files logged</v>
      </c>
      <c r="M16" s="155">
        <f>IFERROR(DATA_QUALITY_CHECKS!D11,"")</f>
        <v>0</v>
      </c>
      <c r="N16" s="155" t="str">
        <f>IFERROR(DATA_QUALITY_CHECKS!E11,"")</f>
        <v>OPEN</v>
      </c>
      <c r="O16" s="155" t="str">
        <f>IFERROR(DATA_QUALITY_CHECKS!F11,"")</f>
        <v>Auditability requires a source log.</v>
      </c>
      <c r="P16" s="160" t="str">
        <f>IFERROR(DATA_QUALITY_CHECKS!G11,"")</f>
        <v>Maintain source hierarchy.</v>
      </c>
    </row>
    <row r="17" spans="1:16" ht="33.950000000000003" customHeight="1">
      <c r="A17" s="273" t="s">
        <v>1399</v>
      </c>
      <c r="B17" s="273"/>
      <c r="C17" s="159">
        <f>IFERROR(STG_SOURCE_INTAKE!A10,"")</f>
        <v>0</v>
      </c>
      <c r="D17" s="155">
        <f>IFERROR(STG_SOURCE_INTAKE!B10,"")</f>
        <v>0</v>
      </c>
      <c r="E17" s="155">
        <f>IFERROR(STG_SOURCE_INTAKE!C10,"")</f>
        <v>0</v>
      </c>
      <c r="F17" s="155">
        <f>IFERROR(STG_SOURCE_INTAKE!D10,"")</f>
        <v>0</v>
      </c>
      <c r="G17" s="155">
        <f>IFERROR(STG_SOURCE_INTAKE!E10,"")</f>
        <v>0</v>
      </c>
      <c r="H17" s="155">
        <f>IFERROR(STG_SOURCE_INTAKE!F10,"")</f>
        <v>0</v>
      </c>
      <c r="I17" s="155">
        <f>IFERROR(STG_SOURCE_INTAKE!G10,"")</f>
        <v>0</v>
      </c>
      <c r="J17" s="160">
        <f>IFERROR(STG_SOURCE_INTAKE!J10,"")</f>
        <v>0</v>
      </c>
      <c r="K17" s="159" t="str">
        <f>IFERROR(DATA_QUALITY_CHECKS!A12,"")</f>
        <v>QC-MVP-006</v>
      </c>
      <c r="L17" s="155" t="str">
        <f>IFERROR(DATA_QUALITY_CHECKS!B12,"")</f>
        <v>Operating data for selected year</v>
      </c>
      <c r="M17" s="155">
        <f>IFERROR(DATA_QUALITY_CHECKS!D12,"")</f>
        <v>0</v>
      </c>
      <c r="N17" s="155" t="str">
        <f>IFERROR(DATA_QUALITY_CHECKS!E12,"")</f>
        <v>OPEN</v>
      </c>
      <c r="O17" s="155" t="str">
        <f>IFERROR(DATA_QUALITY_CHECKS!F12,"")</f>
        <v>Snapshot needs selected-year revenue and expenses.</v>
      </c>
      <c r="P17" s="160" t="str">
        <f>IFERROR(DATA_QUALITY_CHECKS!G12,"")</f>
        <v>Load current forecast.</v>
      </c>
    </row>
    <row r="18" spans="1:16" ht="33.950000000000003" customHeight="1">
      <c r="A18" s="273"/>
      <c r="B18" s="273"/>
      <c r="C18" s="161">
        <f>IFERROR(STG_SOURCE_INTAKE!A11,"")</f>
        <v>0</v>
      </c>
      <c r="D18" s="162">
        <f>IFERROR(STG_SOURCE_INTAKE!B11,"")</f>
        <v>0</v>
      </c>
      <c r="E18" s="162">
        <f>IFERROR(STG_SOURCE_INTAKE!C11,"")</f>
        <v>0</v>
      </c>
      <c r="F18" s="162">
        <f>IFERROR(STG_SOURCE_INTAKE!D11,"")</f>
        <v>0</v>
      </c>
      <c r="G18" s="162">
        <f>IFERROR(STG_SOURCE_INTAKE!E11,"")</f>
        <v>0</v>
      </c>
      <c r="H18" s="162">
        <f>IFERROR(STG_SOURCE_INTAKE!F11,"")</f>
        <v>0</v>
      </c>
      <c r="I18" s="162">
        <f>IFERROR(STG_SOURCE_INTAKE!G11,"")</f>
        <v>0</v>
      </c>
      <c r="J18" s="163">
        <f>IFERROR(STG_SOURCE_INTAKE!J11,"")</f>
        <v>0</v>
      </c>
      <c r="K18" s="159" t="str">
        <f>IFERROR(DATA_QUALITY_CHECKS!A13,"")</f>
        <v>QC-MVP-007</v>
      </c>
      <c r="L18" s="155" t="str">
        <f>IFERROR(DATA_QUALITY_CHECKS!B13,"")</f>
        <v>Debt schedule for selected year</v>
      </c>
      <c r="M18" s="155">
        <f>IFERROR(DATA_QUALITY_CHECKS!D13,"")</f>
        <v>0</v>
      </c>
      <c r="N18" s="155" t="str">
        <f>IFERROR(DATA_QUALITY_CHECKS!E13,"")</f>
        <v>OPEN</v>
      </c>
      <c r="O18" s="155" t="str">
        <f>IFERROR(DATA_QUALITY_CHECKS!F13,"")</f>
        <v>Prevents period mismatch in DSCR.</v>
      </c>
      <c r="P18" s="160" t="str">
        <f>IFERROR(DATA_QUALITY_CHECKS!G13,"")</f>
        <v>Maintain annual debt schedule.</v>
      </c>
    </row>
    <row r="19" spans="1:16" ht="33.950000000000003" customHeight="1">
      <c r="A19" s="176"/>
      <c r="B19" s="176"/>
      <c r="C19" s="2"/>
      <c r="D19" s="2"/>
      <c r="E19" s="2"/>
      <c r="F19" s="2"/>
      <c r="G19" s="2"/>
      <c r="H19" s="2"/>
      <c r="I19" s="2"/>
      <c r="J19" s="2"/>
      <c r="K19" s="161" t="str">
        <f>IFERROR(DATA_QUALITY_CHECKS!A14,"")</f>
        <v>QC-MVP-008</v>
      </c>
      <c r="L19" s="162" t="str">
        <f>IFERROR(DATA_QUALITY_CHECKS!B14,"")</f>
        <v>Financial reconciliation</v>
      </c>
      <c r="M19" s="162">
        <f>IFERROR(DATA_QUALITY_CHECKS!D14,"")</f>
        <v>0</v>
      </c>
      <c r="N19" s="162" t="str">
        <f>IFERROR(DATA_QUALITY_CHECKS!E14,"")</f>
        <v>N/A</v>
      </c>
      <c r="O19" s="162" t="str">
        <f>IFERROR(DATA_QUALITY_CHECKS!F14,"")</f>
        <v>Output should tie to source model.</v>
      </c>
      <c r="P19" s="163" t="str">
        <f>IFERROR(DATA_QUALITY_CHECKS!G14,"")</f>
        <v>Investigate any difference.</v>
      </c>
    </row>
    <row r="20" spans="1:16" ht="18.95" customHeight="1">
      <c r="A20" s="273" t="s">
        <v>1400</v>
      </c>
      <c r="B20" s="273"/>
      <c r="C20" s="2"/>
      <c r="D20" s="2"/>
      <c r="E20" s="2"/>
      <c r="F20" s="2"/>
      <c r="G20" s="2"/>
      <c r="H20" s="2"/>
      <c r="I20" s="2"/>
      <c r="J20" s="2"/>
      <c r="K20" s="2"/>
      <c r="L20" s="2"/>
      <c r="M20" s="2"/>
      <c r="N20" s="2"/>
      <c r="O20" s="2"/>
      <c r="P20" s="2"/>
    </row>
    <row r="21" spans="1:16" ht="18.95" customHeight="1">
      <c r="A21" s="273"/>
      <c r="B21" s="273"/>
      <c r="C21" s="324" t="s">
        <v>1560</v>
      </c>
      <c r="D21" s="325"/>
      <c r="E21" s="325"/>
      <c r="F21" s="325"/>
      <c r="G21" s="325"/>
      <c r="H21" s="326"/>
      <c r="I21" s="324" t="s">
        <v>1561</v>
      </c>
      <c r="J21" s="325"/>
      <c r="K21" s="325"/>
      <c r="L21" s="325"/>
      <c r="M21" s="325"/>
      <c r="N21" s="325"/>
      <c r="O21" s="325"/>
      <c r="P21" s="326"/>
    </row>
    <row r="22" spans="1:16" ht="18.95" customHeight="1">
      <c r="A22" s="176"/>
      <c r="B22" s="176"/>
      <c r="C22" s="171" t="s">
        <v>1562</v>
      </c>
      <c r="D22" s="172" t="s">
        <v>1563</v>
      </c>
      <c r="E22" s="173" t="s">
        <v>679</v>
      </c>
      <c r="F22" s="380" t="s">
        <v>1564</v>
      </c>
      <c r="G22" s="381"/>
      <c r="H22" s="382"/>
      <c r="I22" s="177" t="s">
        <v>1565</v>
      </c>
      <c r="J22" s="178" t="s">
        <v>1388</v>
      </c>
      <c r="K22" s="178" t="s">
        <v>1389</v>
      </c>
      <c r="L22" s="178" t="s">
        <v>1566</v>
      </c>
      <c r="M22" s="178" t="s">
        <v>1390</v>
      </c>
      <c r="N22" s="178" t="s">
        <v>1484</v>
      </c>
      <c r="O22" s="178" t="s">
        <v>1392</v>
      </c>
      <c r="P22" s="179" t="s">
        <v>340</v>
      </c>
    </row>
    <row r="23" spans="1:16" ht="32.1" customHeight="1">
      <c r="A23" s="272" t="s">
        <v>1412</v>
      </c>
      <c r="B23" s="272"/>
      <c r="C23" s="159" t="s">
        <v>1567</v>
      </c>
      <c r="D23" s="155" t="s">
        <v>1568</v>
      </c>
      <c r="E23" s="160" t="s">
        <v>679</v>
      </c>
      <c r="F23" s="383"/>
      <c r="G23" s="384"/>
      <c r="H23" s="385"/>
      <c r="I23" s="156">
        <f>IFERROR(FIELD_HISTORY!E7,"")</f>
        <v>0</v>
      </c>
      <c r="J23" s="157">
        <f>IFERROR(FIELD_HISTORY!F7,"")</f>
        <v>0</v>
      </c>
      <c r="K23" s="157">
        <f>IFERROR(FIELD_HISTORY!G7,"")</f>
        <v>0</v>
      </c>
      <c r="L23" s="157">
        <f>IFERROR(FIELD_HISTORY!H7,"")</f>
        <v>0</v>
      </c>
      <c r="M23" s="157" t="str">
        <f>IFERROR(FIELD_HISTORY!I7,"")</f>
        <v/>
      </c>
      <c r="N23" s="157">
        <f>IFERROR(FIELD_HISTORY!K7,"")</f>
        <v>0</v>
      </c>
      <c r="O23" s="157">
        <f>IFERROR(FIELD_HISTORY!L7,"")</f>
        <v>0</v>
      </c>
      <c r="P23" s="158">
        <f>IFERROR(FIELD_HISTORY!M7,"")</f>
        <v>0</v>
      </c>
    </row>
    <row r="24" spans="1:16" ht="32.1" customHeight="1">
      <c r="A24" s="272"/>
      <c r="B24" s="272"/>
      <c r="C24" s="159" t="s">
        <v>1569</v>
      </c>
      <c r="D24" s="155" t="s">
        <v>1570</v>
      </c>
      <c r="E24" s="160" t="s">
        <v>679</v>
      </c>
      <c r="F24" s="383"/>
      <c r="G24" s="384"/>
      <c r="H24" s="385"/>
      <c r="I24" s="159">
        <f>IFERROR(FIELD_HISTORY!E8,"")</f>
        <v>0</v>
      </c>
      <c r="J24" s="155">
        <f>IFERROR(FIELD_HISTORY!F8,"")</f>
        <v>0</v>
      </c>
      <c r="K24" s="155">
        <f>IFERROR(FIELD_HISTORY!G8,"")</f>
        <v>0</v>
      </c>
      <c r="L24" s="155">
        <f>IFERROR(FIELD_HISTORY!H8,"")</f>
        <v>0</v>
      </c>
      <c r="M24" s="155" t="str">
        <f>IFERROR(FIELD_HISTORY!I8,"")</f>
        <v/>
      </c>
      <c r="N24" s="155">
        <f>IFERROR(FIELD_HISTORY!K8,"")</f>
        <v>0</v>
      </c>
      <c r="O24" s="155">
        <f>IFERROR(FIELD_HISTORY!L8,"")</f>
        <v>0</v>
      </c>
      <c r="P24" s="160">
        <f>IFERROR(FIELD_HISTORY!M8,"")</f>
        <v>0</v>
      </c>
    </row>
    <row r="25" spans="1:16" ht="32.1" customHeight="1">
      <c r="A25" s="176"/>
      <c r="B25" s="176"/>
      <c r="C25" s="159" t="s">
        <v>1571</v>
      </c>
      <c r="D25" s="155" t="s">
        <v>1572</v>
      </c>
      <c r="E25" s="160" t="s">
        <v>679</v>
      </c>
      <c r="F25" s="383"/>
      <c r="G25" s="384"/>
      <c r="H25" s="385"/>
      <c r="I25" s="159">
        <f>IFERROR(FIELD_HISTORY!E9,"")</f>
        <v>0</v>
      </c>
      <c r="J25" s="155">
        <f>IFERROR(FIELD_HISTORY!F9,"")</f>
        <v>0</v>
      </c>
      <c r="K25" s="155">
        <f>IFERROR(FIELD_HISTORY!G9,"")</f>
        <v>0</v>
      </c>
      <c r="L25" s="155">
        <f>IFERROR(FIELD_HISTORY!H9,"")</f>
        <v>0</v>
      </c>
      <c r="M25" s="155" t="str">
        <f>IFERROR(FIELD_HISTORY!I9,"")</f>
        <v/>
      </c>
      <c r="N25" s="155">
        <f>IFERROR(FIELD_HISTORY!K9,"")</f>
        <v>0</v>
      </c>
      <c r="O25" s="155">
        <f>IFERROR(FIELD_HISTORY!L9,"")</f>
        <v>0</v>
      </c>
      <c r="P25" s="160">
        <f>IFERROR(FIELD_HISTORY!M9,"")</f>
        <v>0</v>
      </c>
    </row>
    <row r="26" spans="1:16" ht="32.1" customHeight="1">
      <c r="A26" s="273" t="s">
        <v>1422</v>
      </c>
      <c r="B26" s="273"/>
      <c r="C26" s="159" t="s">
        <v>1573</v>
      </c>
      <c r="D26" s="155" t="s">
        <v>1574</v>
      </c>
      <c r="E26" s="160" t="s">
        <v>679</v>
      </c>
      <c r="F26" s="383"/>
      <c r="G26" s="384"/>
      <c r="H26" s="385"/>
      <c r="I26" s="159">
        <f>IFERROR(FIELD_HISTORY!E10,"")</f>
        <v>0</v>
      </c>
      <c r="J26" s="155">
        <f>IFERROR(FIELD_HISTORY!F10,"")</f>
        <v>0</v>
      </c>
      <c r="K26" s="155">
        <f>IFERROR(FIELD_HISTORY!G10,"")</f>
        <v>0</v>
      </c>
      <c r="L26" s="155">
        <f>IFERROR(FIELD_HISTORY!H10,"")</f>
        <v>0</v>
      </c>
      <c r="M26" s="155" t="str">
        <f>IFERROR(FIELD_HISTORY!I10,"")</f>
        <v/>
      </c>
      <c r="N26" s="155">
        <f>IFERROR(FIELD_HISTORY!K10,"")</f>
        <v>0</v>
      </c>
      <c r="O26" s="155">
        <f>IFERROR(FIELD_HISTORY!L10,"")</f>
        <v>0</v>
      </c>
      <c r="P26" s="160">
        <f>IFERROR(FIELD_HISTORY!M10,"")</f>
        <v>0</v>
      </c>
    </row>
    <row r="27" spans="1:16" ht="32.1" customHeight="1">
      <c r="A27" s="273"/>
      <c r="B27" s="273"/>
      <c r="C27" s="161" t="s">
        <v>1575</v>
      </c>
      <c r="D27" s="162" t="s">
        <v>1576</v>
      </c>
      <c r="E27" s="163" t="s">
        <v>767</v>
      </c>
      <c r="F27" s="386"/>
      <c r="G27" s="387"/>
      <c r="H27" s="388"/>
      <c r="I27" s="159">
        <f>IFERROR(FIELD_HISTORY!E11,"")</f>
        <v>0</v>
      </c>
      <c r="J27" s="155">
        <f>IFERROR(FIELD_HISTORY!F11,"")</f>
        <v>0</v>
      </c>
      <c r="K27" s="155">
        <f>IFERROR(FIELD_HISTORY!G11,"")</f>
        <v>0</v>
      </c>
      <c r="L27" s="155">
        <f>IFERROR(FIELD_HISTORY!H11,"")</f>
        <v>0</v>
      </c>
      <c r="M27" s="155" t="str">
        <f>IFERROR(FIELD_HISTORY!I11,"")</f>
        <v/>
      </c>
      <c r="N27" s="155">
        <f>IFERROR(FIELD_HISTORY!K11,"")</f>
        <v>0</v>
      </c>
      <c r="O27" s="155">
        <f>IFERROR(FIELD_HISTORY!L11,"")</f>
        <v>0</v>
      </c>
      <c r="P27" s="160">
        <f>IFERROR(FIELD_HISTORY!M11,"")</f>
        <v>0</v>
      </c>
    </row>
    <row r="28" spans="1:16" ht="32.1" customHeight="1">
      <c r="A28" s="176"/>
      <c r="B28" s="176"/>
      <c r="C28" s="2"/>
      <c r="D28" s="2"/>
      <c r="E28" s="2"/>
      <c r="F28" s="2"/>
      <c r="G28" s="2"/>
      <c r="H28" s="2"/>
      <c r="I28" s="161">
        <f>IFERROR(FIELD_HISTORY!E12,"")</f>
        <v>0</v>
      </c>
      <c r="J28" s="162">
        <f>IFERROR(FIELD_HISTORY!F12,"")</f>
        <v>0</v>
      </c>
      <c r="K28" s="162">
        <f>IFERROR(FIELD_HISTORY!G12,"")</f>
        <v>0</v>
      </c>
      <c r="L28" s="162">
        <f>IFERROR(FIELD_HISTORY!H12,"")</f>
        <v>0</v>
      </c>
      <c r="M28" s="162" t="str">
        <f>IFERROR(FIELD_HISTORY!I12,"")</f>
        <v/>
      </c>
      <c r="N28" s="162">
        <f>IFERROR(FIELD_HISTORY!K12,"")</f>
        <v>0</v>
      </c>
      <c r="O28" s="162">
        <f>IFERROR(FIELD_HISTORY!L12,"")</f>
        <v>0</v>
      </c>
      <c r="P28" s="163">
        <f>IFERROR(FIELD_HISTORY!M12,"")</f>
        <v>0</v>
      </c>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3">
    <mergeCell ref="F22:H27"/>
    <mergeCell ref="I21:P21"/>
    <mergeCell ref="O5:P5"/>
    <mergeCell ref="O6:P8"/>
    <mergeCell ref="C10:J10"/>
    <mergeCell ref="K10:P10"/>
    <mergeCell ref="C21:H21"/>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6"/>
  <sheetViews>
    <sheetView workbookViewId="0"/>
  </sheetViews>
  <sheetFormatPr defaultRowHeight="14.25"/>
  <cols>
    <col min="1" max="1" width="4" customWidth="1"/>
    <col min="2" max="2" width="23" customWidth="1"/>
    <col min="3" max="4" width="15" customWidth="1"/>
    <col min="5" max="5" width="28" customWidth="1"/>
    <col min="6" max="10" width="15" customWidth="1"/>
    <col min="11" max="11" width="25" customWidth="1"/>
    <col min="12" max="12" width="30" customWidth="1"/>
    <col min="13" max="13" width="15" customWidth="1"/>
    <col min="14" max="14" width="24" customWidth="1"/>
    <col min="15" max="15" width="15" customWidth="1"/>
    <col min="16" max="16" width="30" customWidth="1"/>
  </cols>
  <sheetData>
    <row r="1" spans="1:16" ht="27" customHeight="1">
      <c r="A1" s="270" t="s">
        <v>1375</v>
      </c>
      <c r="B1" s="270"/>
      <c r="C1" s="276" t="s">
        <v>1577</v>
      </c>
      <c r="D1" s="276"/>
      <c r="E1" s="276"/>
      <c r="F1" s="276"/>
      <c r="G1" s="276"/>
      <c r="H1" s="276"/>
      <c r="I1" s="276"/>
      <c r="J1" s="276"/>
      <c r="K1" s="276"/>
      <c r="L1" s="276"/>
      <c r="M1" s="276"/>
      <c r="N1" s="276"/>
      <c r="O1" s="276"/>
      <c r="P1" s="276"/>
    </row>
    <row r="2" spans="1:16" ht="27" customHeight="1">
      <c r="A2" s="271" t="s">
        <v>1377</v>
      </c>
      <c r="B2" s="271"/>
      <c r="C2" s="277" t="s">
        <v>1578</v>
      </c>
      <c r="D2" s="277"/>
      <c r="E2" s="277"/>
      <c r="F2" s="277"/>
      <c r="G2" s="277"/>
      <c r="H2" s="277"/>
      <c r="I2" s="277"/>
      <c r="J2" s="277"/>
      <c r="K2" s="277"/>
      <c r="L2" s="277"/>
      <c r="M2" s="277"/>
      <c r="N2" s="277"/>
      <c r="O2" s="277"/>
      <c r="P2" s="277"/>
    </row>
    <row r="3" spans="1:16" ht="18.95" customHeight="1">
      <c r="A3" s="176"/>
      <c r="B3" s="176"/>
      <c r="C3" s="199" t="s">
        <v>1120</v>
      </c>
      <c r="D3" s="278">
        <f>IFERROR(MVP_CONTROL!B18,"")</f>
        <v>0</v>
      </c>
      <c r="E3" s="278"/>
      <c r="F3" s="278"/>
      <c r="G3" s="199" t="s">
        <v>559</v>
      </c>
      <c r="H3" s="278">
        <f>IFERROR(MVP_CONTROL!B5,"")</f>
        <v>0</v>
      </c>
      <c r="I3" s="278"/>
      <c r="J3" s="278"/>
      <c r="K3" s="199" t="s">
        <v>1379</v>
      </c>
      <c r="L3" s="278">
        <f>IFERROR(MVP_CONTROL!B6,"")</f>
        <v>0</v>
      </c>
      <c r="M3" s="278"/>
      <c r="N3" s="199" t="s">
        <v>1380</v>
      </c>
      <c r="O3" s="278">
        <f>IFERROR(ASSESSMENT_VERSION!A7,"Not established")</f>
        <v>0</v>
      </c>
      <c r="P3" s="278"/>
    </row>
    <row r="4" spans="1:16" ht="18.95" customHeight="1">
      <c r="A4" s="176"/>
      <c r="B4" s="176"/>
      <c r="C4" s="2"/>
      <c r="D4" s="2"/>
      <c r="E4" s="2"/>
      <c r="F4" s="2"/>
      <c r="G4" s="2"/>
      <c r="H4" s="2"/>
      <c r="I4" s="2"/>
      <c r="J4" s="2"/>
      <c r="K4" s="2"/>
      <c r="L4" s="2"/>
      <c r="M4" s="2"/>
      <c r="N4" s="2"/>
      <c r="O4" s="2"/>
      <c r="P4" s="2"/>
    </row>
    <row r="5" spans="1:16" ht="18.95" customHeight="1">
      <c r="A5" s="273" t="s">
        <v>1381</v>
      </c>
      <c r="B5" s="273"/>
      <c r="C5" s="279" t="s">
        <v>1579</v>
      </c>
      <c r="D5" s="280"/>
      <c r="E5" s="281"/>
      <c r="F5" s="279" t="s">
        <v>1161</v>
      </c>
      <c r="G5" s="280"/>
      <c r="H5" s="281"/>
      <c r="I5" s="279" t="s">
        <v>1170</v>
      </c>
      <c r="J5" s="280"/>
      <c r="K5" s="281"/>
      <c r="L5" s="279" t="s">
        <v>1175</v>
      </c>
      <c r="M5" s="280"/>
      <c r="N5" s="281"/>
      <c r="O5" s="279" t="s">
        <v>1238</v>
      </c>
      <c r="P5" s="281"/>
    </row>
    <row r="6" spans="1:16" ht="18.95" customHeight="1">
      <c r="A6" s="273"/>
      <c r="B6" s="273"/>
      <c r="C6" s="282">
        <f>COUNTA(REPORT_SNAPSHOT!A7:A206)</f>
        <v>0</v>
      </c>
      <c r="D6" s="283"/>
      <c r="E6" s="284"/>
      <c r="F6" s="282">
        <f>COUNTIF(REPORT_SNAPSHOT!F7:F206,"Draft")</f>
        <v>0</v>
      </c>
      <c r="G6" s="283"/>
      <c r="H6" s="284"/>
      <c r="I6" s="282">
        <f>COUNTIF(REPORT_SNAPSHOT!F7:F206,"Approved")</f>
        <v>0</v>
      </c>
      <c r="J6" s="283"/>
      <c r="K6" s="284"/>
      <c r="L6" s="282">
        <f>COUNTIF(REPORT_SNAPSHOT!F7:F206,"Shared")</f>
        <v>0</v>
      </c>
      <c r="M6" s="283"/>
      <c r="N6" s="284"/>
      <c r="O6" s="344" t="str">
        <f>MVP_CONTROL!B27</f>
        <v>Human review required</v>
      </c>
      <c r="P6" s="346"/>
    </row>
    <row r="7" spans="1:16" ht="18.95" customHeight="1">
      <c r="A7" s="176"/>
      <c r="B7" s="176"/>
      <c r="C7" s="285"/>
      <c r="D7" s="286"/>
      <c r="E7" s="287"/>
      <c r="F7" s="285"/>
      <c r="G7" s="286"/>
      <c r="H7" s="287"/>
      <c r="I7" s="285"/>
      <c r="J7" s="286"/>
      <c r="K7" s="287"/>
      <c r="L7" s="285"/>
      <c r="M7" s="286"/>
      <c r="N7" s="287"/>
      <c r="O7" s="347"/>
      <c r="P7" s="349"/>
    </row>
    <row r="8" spans="1:16" ht="18.95" customHeight="1">
      <c r="A8" s="273" t="s">
        <v>1383</v>
      </c>
      <c r="B8" s="273"/>
      <c r="C8" s="288"/>
      <c r="D8" s="289"/>
      <c r="E8" s="290"/>
      <c r="F8" s="288"/>
      <c r="G8" s="289"/>
      <c r="H8" s="290"/>
      <c r="I8" s="288"/>
      <c r="J8" s="289"/>
      <c r="K8" s="290"/>
      <c r="L8" s="288"/>
      <c r="M8" s="289"/>
      <c r="N8" s="290"/>
      <c r="O8" s="350"/>
      <c r="P8" s="352"/>
    </row>
    <row r="9" spans="1:16" ht="18.95" customHeight="1">
      <c r="A9" s="273"/>
      <c r="B9" s="273"/>
      <c r="C9" s="2"/>
      <c r="D9" s="2"/>
      <c r="E9" s="2"/>
      <c r="F9" s="2"/>
      <c r="G9" s="2"/>
      <c r="H9" s="2"/>
      <c r="I9" s="2"/>
      <c r="J9" s="2"/>
      <c r="K9" s="2"/>
      <c r="L9" s="2"/>
      <c r="M9" s="2"/>
      <c r="N9" s="2"/>
      <c r="O9" s="2"/>
      <c r="P9" s="2"/>
    </row>
    <row r="10" spans="1:16" ht="18.95" customHeight="1">
      <c r="A10" s="176"/>
      <c r="B10" s="176"/>
      <c r="C10" s="324" t="s">
        <v>1580</v>
      </c>
      <c r="D10" s="325"/>
      <c r="E10" s="325"/>
      <c r="F10" s="325"/>
      <c r="G10" s="325"/>
      <c r="H10" s="325"/>
      <c r="I10" s="325"/>
      <c r="J10" s="325"/>
      <c r="K10" s="325"/>
      <c r="L10" s="325"/>
      <c r="M10" s="325"/>
      <c r="N10" s="325"/>
      <c r="O10" s="325"/>
      <c r="P10" s="326"/>
    </row>
    <row r="11" spans="1:16" ht="18.95" customHeight="1">
      <c r="A11" s="273" t="s">
        <v>1386</v>
      </c>
      <c r="B11" s="273"/>
      <c r="C11" s="177" t="s">
        <v>1581</v>
      </c>
      <c r="D11" s="178" t="s">
        <v>1582</v>
      </c>
      <c r="E11" s="178" t="s">
        <v>1583</v>
      </c>
      <c r="F11" s="178" t="s">
        <v>422</v>
      </c>
      <c r="G11" s="178" t="s">
        <v>1584</v>
      </c>
      <c r="H11" s="178" t="s">
        <v>94</v>
      </c>
      <c r="I11" s="178" t="s">
        <v>1585</v>
      </c>
      <c r="J11" s="178" t="s">
        <v>1586</v>
      </c>
      <c r="K11" s="178" t="s">
        <v>1587</v>
      </c>
      <c r="L11" s="178" t="s">
        <v>1372</v>
      </c>
      <c r="M11" s="178" t="s">
        <v>1588</v>
      </c>
      <c r="N11" s="178" t="s">
        <v>522</v>
      </c>
      <c r="O11" s="178" t="s">
        <v>1589</v>
      </c>
      <c r="P11" s="179" t="s">
        <v>309</v>
      </c>
    </row>
    <row r="12" spans="1:16" ht="36" customHeight="1">
      <c r="A12" s="273"/>
      <c r="B12" s="273"/>
      <c r="C12" s="156">
        <f>IFERROR(REPORT_SNAPSHOT!A7,"")</f>
        <v>0</v>
      </c>
      <c r="D12" s="157">
        <f>IFERROR(REPORT_SNAPSHOT!B7,"")</f>
        <v>0</v>
      </c>
      <c r="E12" s="157">
        <f>IFERROR(REPORT_SNAPSHOT!C7,"")</f>
        <v>0</v>
      </c>
      <c r="F12" s="157">
        <f>IFERROR(REPORT_SNAPSHOT!D7,"")</f>
        <v>0</v>
      </c>
      <c r="G12" s="157">
        <f>IFERROR(REPORT_SNAPSHOT!E7,"")</f>
        <v>0</v>
      </c>
      <c r="H12" s="157">
        <f>IFERROR(REPORT_SNAPSHOT!F7,"")</f>
        <v>0</v>
      </c>
      <c r="I12" s="157">
        <f>IFERROR(REPORT_SNAPSHOT!G7,"")</f>
        <v>0</v>
      </c>
      <c r="J12" s="157">
        <f>IFERROR(REPORT_SNAPSHOT!H7,"")</f>
        <v>0</v>
      </c>
      <c r="K12" s="157">
        <f>IFERROR(REPORT_SNAPSHOT!I7,"")</f>
        <v>0</v>
      </c>
      <c r="L12" s="157">
        <f>IFERROR(REPORT_SNAPSHOT!J7,"")</f>
        <v>0</v>
      </c>
      <c r="M12" s="157">
        <f>IFERROR(REPORT_SNAPSHOT!K7,"")</f>
        <v>0</v>
      </c>
      <c r="N12" s="157">
        <f>IFERROR(REPORT_SNAPSHOT!L7,"")</f>
        <v>0</v>
      </c>
      <c r="O12" s="157">
        <f>IFERROR(REPORT_SNAPSHOT!M7,"")</f>
        <v>0</v>
      </c>
      <c r="P12" s="158">
        <f>IFERROR(REPORT_SNAPSHOT!N7,"")</f>
        <v>0</v>
      </c>
    </row>
    <row r="13" spans="1:16" ht="36" customHeight="1">
      <c r="A13" s="176"/>
      <c r="B13" s="176"/>
      <c r="C13" s="159">
        <f>IFERROR(REPORT_SNAPSHOT!A8,"")</f>
        <v>0</v>
      </c>
      <c r="D13" s="155">
        <f>IFERROR(REPORT_SNAPSHOT!B8,"")</f>
        <v>0</v>
      </c>
      <c r="E13" s="155">
        <f>IFERROR(REPORT_SNAPSHOT!C8,"")</f>
        <v>0</v>
      </c>
      <c r="F13" s="155">
        <f>IFERROR(REPORT_SNAPSHOT!D8,"")</f>
        <v>0</v>
      </c>
      <c r="G13" s="155">
        <f>IFERROR(REPORT_SNAPSHOT!E8,"")</f>
        <v>0</v>
      </c>
      <c r="H13" s="155">
        <f>IFERROR(REPORT_SNAPSHOT!F8,"")</f>
        <v>0</v>
      </c>
      <c r="I13" s="155">
        <f>IFERROR(REPORT_SNAPSHOT!G8,"")</f>
        <v>0</v>
      </c>
      <c r="J13" s="155">
        <f>IFERROR(REPORT_SNAPSHOT!H8,"")</f>
        <v>0</v>
      </c>
      <c r="K13" s="155">
        <f>IFERROR(REPORT_SNAPSHOT!I8,"")</f>
        <v>0</v>
      </c>
      <c r="L13" s="155">
        <f>IFERROR(REPORT_SNAPSHOT!J8,"")</f>
        <v>0</v>
      </c>
      <c r="M13" s="155">
        <f>IFERROR(REPORT_SNAPSHOT!K8,"")</f>
        <v>0</v>
      </c>
      <c r="N13" s="155">
        <f>IFERROR(REPORT_SNAPSHOT!L8,"")</f>
        <v>0</v>
      </c>
      <c r="O13" s="155">
        <f>IFERROR(REPORT_SNAPSHOT!M8,"")</f>
        <v>0</v>
      </c>
      <c r="P13" s="160">
        <f>IFERROR(REPORT_SNAPSHOT!N8,"")</f>
        <v>0</v>
      </c>
    </row>
    <row r="14" spans="1:16" ht="36" customHeight="1">
      <c r="A14" s="273" t="s">
        <v>1398</v>
      </c>
      <c r="B14" s="273"/>
      <c r="C14" s="159">
        <f>IFERROR(REPORT_SNAPSHOT!A9,"")</f>
        <v>0</v>
      </c>
      <c r="D14" s="155">
        <f>IFERROR(REPORT_SNAPSHOT!B9,"")</f>
        <v>0</v>
      </c>
      <c r="E14" s="155">
        <f>IFERROR(REPORT_SNAPSHOT!C9,"")</f>
        <v>0</v>
      </c>
      <c r="F14" s="155">
        <f>IFERROR(REPORT_SNAPSHOT!D9,"")</f>
        <v>0</v>
      </c>
      <c r="G14" s="155">
        <f>IFERROR(REPORT_SNAPSHOT!E9,"")</f>
        <v>0</v>
      </c>
      <c r="H14" s="155">
        <f>IFERROR(REPORT_SNAPSHOT!F9,"")</f>
        <v>0</v>
      </c>
      <c r="I14" s="155">
        <f>IFERROR(REPORT_SNAPSHOT!G9,"")</f>
        <v>0</v>
      </c>
      <c r="J14" s="155">
        <f>IFERROR(REPORT_SNAPSHOT!H9,"")</f>
        <v>0</v>
      </c>
      <c r="K14" s="155">
        <f>IFERROR(REPORT_SNAPSHOT!I9,"")</f>
        <v>0</v>
      </c>
      <c r="L14" s="155">
        <f>IFERROR(REPORT_SNAPSHOT!J9,"")</f>
        <v>0</v>
      </c>
      <c r="M14" s="155">
        <f>IFERROR(REPORT_SNAPSHOT!K9,"")</f>
        <v>0</v>
      </c>
      <c r="N14" s="155">
        <f>IFERROR(REPORT_SNAPSHOT!L9,"")</f>
        <v>0</v>
      </c>
      <c r="O14" s="155">
        <f>IFERROR(REPORT_SNAPSHOT!M9,"")</f>
        <v>0</v>
      </c>
      <c r="P14" s="160">
        <f>IFERROR(REPORT_SNAPSHOT!N9,"")</f>
        <v>0</v>
      </c>
    </row>
    <row r="15" spans="1:16" ht="36" customHeight="1">
      <c r="A15" s="273"/>
      <c r="B15" s="273"/>
      <c r="C15" s="159">
        <f>IFERROR(REPORT_SNAPSHOT!A10,"")</f>
        <v>0</v>
      </c>
      <c r="D15" s="155">
        <f>IFERROR(REPORT_SNAPSHOT!B10,"")</f>
        <v>0</v>
      </c>
      <c r="E15" s="155">
        <f>IFERROR(REPORT_SNAPSHOT!C10,"")</f>
        <v>0</v>
      </c>
      <c r="F15" s="155">
        <f>IFERROR(REPORT_SNAPSHOT!D10,"")</f>
        <v>0</v>
      </c>
      <c r="G15" s="155">
        <f>IFERROR(REPORT_SNAPSHOT!E10,"")</f>
        <v>0</v>
      </c>
      <c r="H15" s="155">
        <f>IFERROR(REPORT_SNAPSHOT!F10,"")</f>
        <v>0</v>
      </c>
      <c r="I15" s="155">
        <f>IFERROR(REPORT_SNAPSHOT!G10,"")</f>
        <v>0</v>
      </c>
      <c r="J15" s="155">
        <f>IFERROR(REPORT_SNAPSHOT!H10,"")</f>
        <v>0</v>
      </c>
      <c r="K15" s="155">
        <f>IFERROR(REPORT_SNAPSHOT!I10,"")</f>
        <v>0</v>
      </c>
      <c r="L15" s="155">
        <f>IFERROR(REPORT_SNAPSHOT!J10,"")</f>
        <v>0</v>
      </c>
      <c r="M15" s="155">
        <f>IFERROR(REPORT_SNAPSHOT!K10,"")</f>
        <v>0</v>
      </c>
      <c r="N15" s="155">
        <f>IFERROR(REPORT_SNAPSHOT!L10,"")</f>
        <v>0</v>
      </c>
      <c r="O15" s="155">
        <f>IFERROR(REPORT_SNAPSHOT!M10,"")</f>
        <v>0</v>
      </c>
      <c r="P15" s="160">
        <f>IFERROR(REPORT_SNAPSHOT!N10,"")</f>
        <v>0</v>
      </c>
    </row>
    <row r="16" spans="1:16" ht="36" customHeight="1">
      <c r="A16" s="176"/>
      <c r="B16" s="176"/>
      <c r="C16" s="159">
        <f>IFERROR(REPORT_SNAPSHOT!A11,"")</f>
        <v>0</v>
      </c>
      <c r="D16" s="155">
        <f>IFERROR(REPORT_SNAPSHOT!B11,"")</f>
        <v>0</v>
      </c>
      <c r="E16" s="155">
        <f>IFERROR(REPORT_SNAPSHOT!C11,"")</f>
        <v>0</v>
      </c>
      <c r="F16" s="155">
        <f>IFERROR(REPORT_SNAPSHOT!D11,"")</f>
        <v>0</v>
      </c>
      <c r="G16" s="155">
        <f>IFERROR(REPORT_SNAPSHOT!E11,"")</f>
        <v>0</v>
      </c>
      <c r="H16" s="155">
        <f>IFERROR(REPORT_SNAPSHOT!F11,"")</f>
        <v>0</v>
      </c>
      <c r="I16" s="155">
        <f>IFERROR(REPORT_SNAPSHOT!G11,"")</f>
        <v>0</v>
      </c>
      <c r="J16" s="155">
        <f>IFERROR(REPORT_SNAPSHOT!H11,"")</f>
        <v>0</v>
      </c>
      <c r="K16" s="155">
        <f>IFERROR(REPORT_SNAPSHOT!I11,"")</f>
        <v>0</v>
      </c>
      <c r="L16" s="155">
        <f>IFERROR(REPORT_SNAPSHOT!J11,"")</f>
        <v>0</v>
      </c>
      <c r="M16" s="155">
        <f>IFERROR(REPORT_SNAPSHOT!K11,"")</f>
        <v>0</v>
      </c>
      <c r="N16" s="155">
        <f>IFERROR(REPORT_SNAPSHOT!L11,"")</f>
        <v>0</v>
      </c>
      <c r="O16" s="155">
        <f>IFERROR(REPORT_SNAPSHOT!M11,"")</f>
        <v>0</v>
      </c>
      <c r="P16" s="160">
        <f>IFERROR(REPORT_SNAPSHOT!N11,"")</f>
        <v>0</v>
      </c>
    </row>
    <row r="17" spans="1:16" ht="36" customHeight="1">
      <c r="A17" s="273" t="s">
        <v>1399</v>
      </c>
      <c r="B17" s="273"/>
      <c r="C17" s="159">
        <f>IFERROR(REPORT_SNAPSHOT!A12,"")</f>
        <v>0</v>
      </c>
      <c r="D17" s="155">
        <f>IFERROR(REPORT_SNAPSHOT!B12,"")</f>
        <v>0</v>
      </c>
      <c r="E17" s="155">
        <f>IFERROR(REPORT_SNAPSHOT!C12,"")</f>
        <v>0</v>
      </c>
      <c r="F17" s="155">
        <f>IFERROR(REPORT_SNAPSHOT!D12,"")</f>
        <v>0</v>
      </c>
      <c r="G17" s="155">
        <f>IFERROR(REPORT_SNAPSHOT!E12,"")</f>
        <v>0</v>
      </c>
      <c r="H17" s="155">
        <f>IFERROR(REPORT_SNAPSHOT!F12,"")</f>
        <v>0</v>
      </c>
      <c r="I17" s="155">
        <f>IFERROR(REPORT_SNAPSHOT!G12,"")</f>
        <v>0</v>
      </c>
      <c r="J17" s="155">
        <f>IFERROR(REPORT_SNAPSHOT!H12,"")</f>
        <v>0</v>
      </c>
      <c r="K17" s="155">
        <f>IFERROR(REPORT_SNAPSHOT!I12,"")</f>
        <v>0</v>
      </c>
      <c r="L17" s="155">
        <f>IFERROR(REPORT_SNAPSHOT!J12,"")</f>
        <v>0</v>
      </c>
      <c r="M17" s="155">
        <f>IFERROR(REPORT_SNAPSHOT!K12,"")</f>
        <v>0</v>
      </c>
      <c r="N17" s="155">
        <f>IFERROR(REPORT_SNAPSHOT!L12,"")</f>
        <v>0</v>
      </c>
      <c r="O17" s="155">
        <f>IFERROR(REPORT_SNAPSHOT!M12,"")</f>
        <v>0</v>
      </c>
      <c r="P17" s="160">
        <f>IFERROR(REPORT_SNAPSHOT!N12,"")</f>
        <v>0</v>
      </c>
    </row>
    <row r="18" spans="1:16" ht="36" customHeight="1">
      <c r="A18" s="273"/>
      <c r="B18" s="273"/>
      <c r="C18" s="159">
        <f>IFERROR(REPORT_SNAPSHOT!A13,"")</f>
        <v>0</v>
      </c>
      <c r="D18" s="155">
        <f>IFERROR(REPORT_SNAPSHOT!B13,"")</f>
        <v>0</v>
      </c>
      <c r="E18" s="155">
        <f>IFERROR(REPORT_SNAPSHOT!C13,"")</f>
        <v>0</v>
      </c>
      <c r="F18" s="155">
        <f>IFERROR(REPORT_SNAPSHOT!D13,"")</f>
        <v>0</v>
      </c>
      <c r="G18" s="155">
        <f>IFERROR(REPORT_SNAPSHOT!E13,"")</f>
        <v>0</v>
      </c>
      <c r="H18" s="155">
        <f>IFERROR(REPORT_SNAPSHOT!F13,"")</f>
        <v>0</v>
      </c>
      <c r="I18" s="155">
        <f>IFERROR(REPORT_SNAPSHOT!G13,"")</f>
        <v>0</v>
      </c>
      <c r="J18" s="155">
        <f>IFERROR(REPORT_SNAPSHOT!H13,"")</f>
        <v>0</v>
      </c>
      <c r="K18" s="155">
        <f>IFERROR(REPORT_SNAPSHOT!I13,"")</f>
        <v>0</v>
      </c>
      <c r="L18" s="155">
        <f>IFERROR(REPORT_SNAPSHOT!J13,"")</f>
        <v>0</v>
      </c>
      <c r="M18" s="155">
        <f>IFERROR(REPORT_SNAPSHOT!K13,"")</f>
        <v>0</v>
      </c>
      <c r="N18" s="155">
        <f>IFERROR(REPORT_SNAPSHOT!L13,"")</f>
        <v>0</v>
      </c>
      <c r="O18" s="155">
        <f>IFERROR(REPORT_SNAPSHOT!M13,"")</f>
        <v>0</v>
      </c>
      <c r="P18" s="160">
        <f>IFERROR(REPORT_SNAPSHOT!N13,"")</f>
        <v>0</v>
      </c>
    </row>
    <row r="19" spans="1:16" ht="36" customHeight="1">
      <c r="A19" s="176"/>
      <c r="B19" s="176"/>
      <c r="C19" s="161">
        <f>IFERROR(REPORT_SNAPSHOT!A14,"")</f>
        <v>0</v>
      </c>
      <c r="D19" s="162">
        <f>IFERROR(REPORT_SNAPSHOT!B14,"")</f>
        <v>0</v>
      </c>
      <c r="E19" s="162">
        <f>IFERROR(REPORT_SNAPSHOT!C14,"")</f>
        <v>0</v>
      </c>
      <c r="F19" s="162">
        <f>IFERROR(REPORT_SNAPSHOT!D14,"")</f>
        <v>0</v>
      </c>
      <c r="G19" s="162">
        <f>IFERROR(REPORT_SNAPSHOT!E14,"")</f>
        <v>0</v>
      </c>
      <c r="H19" s="162">
        <f>IFERROR(REPORT_SNAPSHOT!F14,"")</f>
        <v>0</v>
      </c>
      <c r="I19" s="162">
        <f>IFERROR(REPORT_SNAPSHOT!G14,"")</f>
        <v>0</v>
      </c>
      <c r="J19" s="162">
        <f>IFERROR(REPORT_SNAPSHOT!H14,"")</f>
        <v>0</v>
      </c>
      <c r="K19" s="162">
        <f>IFERROR(REPORT_SNAPSHOT!I14,"")</f>
        <v>0</v>
      </c>
      <c r="L19" s="162">
        <f>IFERROR(REPORT_SNAPSHOT!J14,"")</f>
        <v>0</v>
      </c>
      <c r="M19" s="162">
        <f>IFERROR(REPORT_SNAPSHOT!K14,"")</f>
        <v>0</v>
      </c>
      <c r="N19" s="162">
        <f>IFERROR(REPORT_SNAPSHOT!L14,"")</f>
        <v>0</v>
      </c>
      <c r="O19" s="162">
        <f>IFERROR(REPORT_SNAPSHOT!M14,"")</f>
        <v>0</v>
      </c>
      <c r="P19" s="163">
        <f>IFERROR(REPORT_SNAPSHOT!N14,"")</f>
        <v>0</v>
      </c>
    </row>
    <row r="20" spans="1:16" ht="18.95" customHeight="1">
      <c r="A20" s="273" t="s">
        <v>1400</v>
      </c>
      <c r="B20" s="273"/>
      <c r="C20" s="2"/>
      <c r="D20" s="2"/>
      <c r="E20" s="2"/>
      <c r="F20" s="2"/>
      <c r="G20" s="2"/>
      <c r="H20" s="2"/>
      <c r="I20" s="2"/>
      <c r="J20" s="2"/>
      <c r="K20" s="2"/>
      <c r="L20" s="2"/>
      <c r="M20" s="2"/>
      <c r="N20" s="2"/>
      <c r="O20" s="2"/>
      <c r="P20" s="2"/>
    </row>
    <row r="21" spans="1:16" ht="18.95" customHeight="1">
      <c r="A21" s="273"/>
      <c r="B21" s="273"/>
      <c r="C21" s="324" t="s">
        <v>1590</v>
      </c>
      <c r="D21" s="325"/>
      <c r="E21" s="325"/>
      <c r="F21" s="325"/>
      <c r="G21" s="325"/>
      <c r="H21" s="326"/>
      <c r="I21" s="324" t="s">
        <v>1591</v>
      </c>
      <c r="J21" s="325"/>
      <c r="K21" s="325"/>
      <c r="L21" s="325"/>
      <c r="M21" s="325"/>
      <c r="N21" s="325"/>
      <c r="O21" s="325"/>
      <c r="P21" s="326"/>
    </row>
    <row r="22" spans="1:16" ht="32.1" customHeight="1">
      <c r="A22" s="176"/>
      <c r="B22" s="176"/>
      <c r="C22" s="171" t="s">
        <v>1592</v>
      </c>
      <c r="D22" s="172" t="s">
        <v>1593</v>
      </c>
      <c r="E22" s="172" t="s">
        <v>1594</v>
      </c>
      <c r="F22" s="173"/>
      <c r="G22" s="380" t="s">
        <v>1595</v>
      </c>
      <c r="H22" s="382"/>
      <c r="I22" s="170" t="s">
        <v>1596</v>
      </c>
      <c r="J22" s="170" t="s">
        <v>1597</v>
      </c>
      <c r="K22" s="170" t="s">
        <v>1051</v>
      </c>
      <c r="L22" s="170" t="s">
        <v>1598</v>
      </c>
      <c r="M22" s="170" t="s">
        <v>94</v>
      </c>
      <c r="N22" s="170"/>
      <c r="O22" s="170"/>
      <c r="P22" s="170"/>
    </row>
    <row r="23" spans="1:16" ht="32.1" customHeight="1">
      <c r="A23" s="273" t="s">
        <v>1412</v>
      </c>
      <c r="B23" s="273"/>
      <c r="C23" s="159" t="s">
        <v>1599</v>
      </c>
      <c r="D23" s="155" t="s">
        <v>1600</v>
      </c>
      <c r="E23" s="155" t="s">
        <v>1601</v>
      </c>
      <c r="F23" s="160"/>
      <c r="G23" s="383"/>
      <c r="H23" s="385"/>
      <c r="I23" s="156" t="s">
        <v>1602</v>
      </c>
      <c r="J23" s="157" t="s">
        <v>1603</v>
      </c>
      <c r="K23" s="157" t="s">
        <v>1604</v>
      </c>
      <c r="L23" s="157" t="s">
        <v>1605</v>
      </c>
      <c r="M23" s="157" t="s">
        <v>767</v>
      </c>
      <c r="N23" s="353" t="s">
        <v>1606</v>
      </c>
      <c r="O23" s="353"/>
      <c r="P23" s="328"/>
    </row>
    <row r="24" spans="1:16" ht="32.1" customHeight="1">
      <c r="A24" s="273"/>
      <c r="B24" s="273"/>
      <c r="C24" s="159" t="s">
        <v>1607</v>
      </c>
      <c r="D24" s="155" t="s">
        <v>1608</v>
      </c>
      <c r="E24" s="155" t="s">
        <v>1609</v>
      </c>
      <c r="F24" s="160"/>
      <c r="G24" s="383"/>
      <c r="H24" s="385"/>
      <c r="I24" s="159" t="s">
        <v>1610</v>
      </c>
      <c r="J24" s="155" t="s">
        <v>1611</v>
      </c>
      <c r="K24" s="155" t="s">
        <v>98</v>
      </c>
      <c r="L24" s="155" t="s">
        <v>1612</v>
      </c>
      <c r="M24" s="155" t="s">
        <v>767</v>
      </c>
      <c r="N24" s="354" t="s">
        <v>1606</v>
      </c>
      <c r="O24" s="354"/>
      <c r="P24" s="330"/>
    </row>
    <row r="25" spans="1:16" ht="32.1" customHeight="1">
      <c r="A25" s="176"/>
      <c r="B25" s="176"/>
      <c r="C25" s="159" t="s">
        <v>1613</v>
      </c>
      <c r="D25" s="155" t="s">
        <v>1614</v>
      </c>
      <c r="E25" s="155" t="s">
        <v>1615</v>
      </c>
      <c r="F25" s="160"/>
      <c r="G25" s="383"/>
      <c r="H25" s="385"/>
      <c r="I25" s="159" t="s">
        <v>1616</v>
      </c>
      <c r="J25" s="155" t="s">
        <v>1617</v>
      </c>
      <c r="K25" s="155" t="s">
        <v>1618</v>
      </c>
      <c r="L25" s="155" t="s">
        <v>1619</v>
      </c>
      <c r="M25" s="155" t="s">
        <v>767</v>
      </c>
      <c r="N25" s="354" t="s">
        <v>1606</v>
      </c>
      <c r="O25" s="354"/>
      <c r="P25" s="330"/>
    </row>
    <row r="26" spans="1:16" ht="32.1" customHeight="1">
      <c r="A26" s="272" t="s">
        <v>1422</v>
      </c>
      <c r="B26" s="272"/>
      <c r="C26" s="159" t="s">
        <v>1620</v>
      </c>
      <c r="D26" s="155" t="s">
        <v>1621</v>
      </c>
      <c r="E26" s="155" t="s">
        <v>1622</v>
      </c>
      <c r="F26" s="160"/>
      <c r="G26" s="383"/>
      <c r="H26" s="385"/>
      <c r="I26" s="159" t="s">
        <v>1623</v>
      </c>
      <c r="J26" s="155" t="s">
        <v>1624</v>
      </c>
      <c r="K26" s="155" t="s">
        <v>1625</v>
      </c>
      <c r="L26" s="155" t="s">
        <v>1626</v>
      </c>
      <c r="M26" s="155" t="s">
        <v>789</v>
      </c>
      <c r="N26" s="354" t="s">
        <v>1606</v>
      </c>
      <c r="O26" s="354"/>
      <c r="P26" s="330"/>
    </row>
    <row r="27" spans="1:16" ht="32.1" customHeight="1">
      <c r="A27" s="272"/>
      <c r="B27" s="272"/>
      <c r="C27" s="161" t="s">
        <v>1627</v>
      </c>
      <c r="D27" s="162" t="s">
        <v>1628</v>
      </c>
      <c r="E27" s="162" t="s">
        <v>1629</v>
      </c>
      <c r="F27" s="163"/>
      <c r="G27" s="386"/>
      <c r="H27" s="388"/>
      <c r="I27" s="161" t="s">
        <v>1630</v>
      </c>
      <c r="J27" s="162" t="s">
        <v>1631</v>
      </c>
      <c r="K27" s="162" t="s">
        <v>1632</v>
      </c>
      <c r="L27" s="162" t="s">
        <v>1633</v>
      </c>
      <c r="M27" s="162" t="s">
        <v>789</v>
      </c>
      <c r="N27" s="355" t="s">
        <v>1606</v>
      </c>
      <c r="O27" s="355"/>
      <c r="P27" s="331"/>
    </row>
    <row r="28" spans="1:16" ht="32.1" customHeight="1">
      <c r="A28" s="176"/>
      <c r="B28" s="176"/>
      <c r="C28" s="2"/>
      <c r="D28" s="2"/>
      <c r="E28" s="2"/>
      <c r="F28" s="2"/>
      <c r="G28" s="2"/>
      <c r="H28" s="2"/>
      <c r="I28" s="2"/>
      <c r="J28" s="2"/>
      <c r="K28" s="2"/>
      <c r="L28" s="2"/>
      <c r="M28" s="2"/>
      <c r="N28" s="2"/>
      <c r="O28" s="2"/>
      <c r="P28" s="2"/>
    </row>
    <row r="29" spans="1:16" ht="18.95" customHeight="1">
      <c r="A29" s="176"/>
      <c r="B29" s="176"/>
      <c r="C29" s="2"/>
      <c r="D29" s="2"/>
      <c r="E29" s="2"/>
      <c r="F29" s="2"/>
      <c r="G29" s="2"/>
      <c r="H29" s="2"/>
      <c r="I29" s="2"/>
      <c r="J29" s="2"/>
      <c r="K29" s="2"/>
      <c r="L29" s="2"/>
      <c r="M29" s="2"/>
      <c r="N29" s="2"/>
      <c r="O29" s="2"/>
      <c r="P29" s="2"/>
    </row>
    <row r="30" spans="1:16" ht="18.95" customHeight="1">
      <c r="A30" s="176"/>
      <c r="B30" s="176"/>
      <c r="C30" s="2"/>
      <c r="D30" s="2"/>
      <c r="E30" s="2"/>
      <c r="F30" s="2"/>
      <c r="G30" s="2"/>
      <c r="H30" s="2"/>
      <c r="I30" s="2"/>
      <c r="J30" s="2"/>
      <c r="K30" s="2"/>
      <c r="L30" s="2"/>
      <c r="M30" s="2"/>
      <c r="N30" s="2"/>
      <c r="O30" s="2"/>
      <c r="P30" s="2"/>
    </row>
    <row r="31" spans="1:16" ht="18.95" customHeight="1">
      <c r="A31" s="176"/>
      <c r="B31" s="176"/>
      <c r="C31" s="2"/>
      <c r="D31" s="2"/>
      <c r="E31" s="2"/>
      <c r="F31" s="2"/>
      <c r="G31" s="2"/>
      <c r="H31" s="2"/>
      <c r="I31" s="2"/>
      <c r="J31" s="2"/>
      <c r="K31" s="2"/>
      <c r="L31" s="2"/>
      <c r="M31" s="2"/>
      <c r="N31" s="2"/>
      <c r="O31" s="2"/>
      <c r="P31" s="2"/>
    </row>
    <row r="32" spans="1:16" ht="18.95" customHeight="1">
      <c r="A32" s="274" t="s">
        <v>1430</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6"/>
      <c r="B34" s="176"/>
      <c r="C34" s="2"/>
      <c r="D34" s="2"/>
      <c r="E34" s="2"/>
      <c r="F34" s="2"/>
      <c r="G34" s="2"/>
      <c r="H34" s="2"/>
      <c r="I34" s="2"/>
      <c r="J34" s="2"/>
      <c r="K34" s="2"/>
      <c r="L34" s="2"/>
      <c r="M34" s="2"/>
      <c r="N34" s="2"/>
      <c r="O34" s="2"/>
      <c r="P34" s="2"/>
    </row>
    <row r="35" spans="1:16" ht="18.95" customHeight="1">
      <c r="A35" s="275" t="s">
        <v>1431</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7">
    <mergeCell ref="O5:P5"/>
    <mergeCell ref="O6:P8"/>
    <mergeCell ref="C10:P10"/>
    <mergeCell ref="C21:H21"/>
    <mergeCell ref="G22:H27"/>
    <mergeCell ref="I21:P21"/>
    <mergeCell ref="N23:P23"/>
    <mergeCell ref="N24:P24"/>
    <mergeCell ref="N25:P25"/>
    <mergeCell ref="N26:P26"/>
    <mergeCell ref="N27:P27"/>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Business Rules</vt:lpstr>
      <vt:lpstr>00_CHANGE_LOG</vt:lpstr>
      <vt:lpstr>00_PLATFORM_INDEX</vt:lpstr>
      <vt:lpstr>INPUT_CONTROL_MAP</vt:lpstr>
      <vt:lpstr>STG_SOURCE_INTAKE</vt:lpstr>
      <vt:lpstr>MAP_FIELD_MAPPING</vt:lpstr>
      <vt:lpstr>DATA_PROPERTY_MASTER</vt:lpstr>
      <vt:lpstr>DATA_UNIT_MIX</vt:lpstr>
      <vt:lpstr>DATA_RENT_ROLL</vt:lpstr>
      <vt:lpstr>DATA_OPERATING_ACTUALS</vt:lpstr>
      <vt:lpstr>DATA_DEBT_MASTER</vt:lpstr>
      <vt:lpstr>DATA_CASH_RESERVES</vt:lpstr>
      <vt:lpstr>DATA_AGREEMENTS</vt:lpstr>
      <vt:lpstr>DATA_CAPITAL_NEEDS</vt:lpstr>
      <vt:lpstr>ASSUMPTIONS_FLAGS</vt:lpstr>
      <vt:lpstr>DATA_METRIC_LONG</vt:lpstr>
      <vt:lpstr>DATA_QUALITY_CHECKS</vt:lpstr>
      <vt:lpstr>OUT_STAGE1_READINESS_SNAPSHOT</vt:lpstr>
      <vt:lpstr>_LISTS</vt:lpstr>
      <vt:lpstr>MVP_CONTROL</vt:lpstr>
      <vt:lpstr>DATA_DEBT_SCHEDULE</vt:lpstr>
      <vt:lpstr>RECONCILIATION_SUMMARY</vt:lpstr>
      <vt:lpstr>OUT_PHASE1_REPORT_UPDATE</vt:lpstr>
      <vt:lpstr>OUT_10YR_FINANCIAL_TREND</vt:lpstr>
      <vt:lpstr>RERUN_MANIFEST</vt:lpstr>
      <vt:lpstr>V2_CHANGE_SPEC</vt:lpstr>
      <vt:lpstr>ASSESSMENT_VERSION</vt:lpstr>
      <vt:lpstr>FIELD_HISTORY</vt:lpstr>
      <vt:lpstr>CHANGE_EVENT</vt:lpstr>
      <vt:lpstr>ACTION_DECISION</vt:lpstr>
      <vt:lpstr>DATA_OBLIGATIONS</vt:lpstr>
      <vt:lpstr>REPORT_SNAPSHOT</vt:lpstr>
      <vt:lpstr>DASH_01_PORTFOLIO</vt:lpstr>
      <vt:lpstr>DASH_02_GOVERNANCE</vt:lpstr>
      <vt:lpstr>DASH_03_PROPERTIES</vt:lpstr>
      <vt:lpstr>DASH_04_FINANCIAL</vt:lpstr>
      <vt:lpstr>DASH_05_MISSION</vt:lpstr>
      <vt:lpstr>DASH_06_RISKS_ACTIONS</vt:lpstr>
      <vt:lpstr>DASH_07_EVIDENCE_QUALITY</vt:lpstr>
      <vt:lpstr>DASH_08_REPORTS_SHARING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P. Lin</dc:creator>
  <cp:lastModifiedBy>Kelly P. Lin</cp:lastModifiedBy>
  <dcterms:created xsi:type="dcterms:W3CDTF">2026-08-20T15:50:05Z</dcterms:created>
  <dcterms:modified xsi:type="dcterms:W3CDTF">2026-08-20T15:50:05Z</dcterms:modified>
</cp:coreProperties>
</file>