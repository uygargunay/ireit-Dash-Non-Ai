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elly\Desktop\Impact Real Estate Infrastructure\4.0 Products\4.1 Product I-REI\MVP\"/>
    </mc:Choice>
  </mc:AlternateContent>
  <xr:revisionPtr revIDLastSave="0" documentId="8_{5F314271-94E9-4E14-9F11-6871B5986BFB}" xr6:coauthVersionLast="47" xr6:coauthVersionMax="47" xr10:uidLastSave="{00000000-0000-0000-0000-000000000000}"/>
  <bookViews>
    <workbookView xWindow="28680" yWindow="-120" windowWidth="29040" windowHeight="15720" xr2:uid="{00000000-000D-0000-FFFF-FFFF00000000}"/>
  </bookViews>
  <sheets>
    <sheet name="Business Rules" sheetId="1" r:id="rId1"/>
    <sheet name="00_CHANGE_LOG" sheetId="2" r:id="rId2"/>
    <sheet name="00_PLATFORM_INDEX" sheetId="3" r:id="rId3"/>
    <sheet name="INPUT_CONTROL_MAP" sheetId="4" r:id="rId4"/>
    <sheet name="STG_SOURCE_INTAKE" sheetId="5" r:id="rId5"/>
    <sheet name="MAP_FIELD_MAPPING" sheetId="6" r:id="rId6"/>
    <sheet name="DATA_PROPERTY_MASTER" sheetId="7" r:id="rId7"/>
    <sheet name="DATA_UNIT_MIX" sheetId="8" r:id="rId8"/>
    <sheet name="DATA_RENT_ROLL" sheetId="9" r:id="rId9"/>
    <sheet name="DATA_OPERATING_ACTUALS" sheetId="10" r:id="rId10"/>
    <sheet name="DATA_DEBT_MASTER" sheetId="11" r:id="rId11"/>
    <sheet name="DATA_CASH_RESERVES" sheetId="12" r:id="rId12"/>
    <sheet name="DATA_AGREEMENTS" sheetId="13" r:id="rId13"/>
    <sheet name="DATA_CAPITAL_NEEDS" sheetId="14" r:id="rId14"/>
    <sheet name="ASSUMPTIONS_FLAGS" sheetId="15" r:id="rId15"/>
    <sheet name="DATA_METRIC_LONG" sheetId="16" r:id="rId16"/>
    <sheet name="DATA_QUALITY_CHECKS" sheetId="17" r:id="rId17"/>
    <sheet name="OUT_STAGE1_READINESS_SNAPSHOT" sheetId="18" r:id="rId18"/>
    <sheet name="_LISTS" sheetId="19" r:id="rId19"/>
  </sheet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8" l="1"/>
  <c r="A32" i="18"/>
  <c r="A31" i="18"/>
  <c r="A30" i="18"/>
  <c r="A29" i="18"/>
  <c r="A28" i="18"/>
  <c r="A27" i="18"/>
  <c r="J23" i="18"/>
  <c r="J21" i="18"/>
  <c r="J19" i="18"/>
  <c r="G5" i="18"/>
  <c r="D16" i="17"/>
  <c r="E16" i="17" s="1"/>
  <c r="D15" i="17"/>
  <c r="E15" i="17" s="1"/>
  <c r="I15" i="18" s="1"/>
  <c r="D14" i="17"/>
  <c r="E14" i="17" s="1"/>
  <c r="I14" i="18" s="1"/>
  <c r="D13" i="17"/>
  <c r="E13" i="17" s="1"/>
  <c r="I13" i="18" s="1"/>
  <c r="D11" i="17"/>
  <c r="E11" i="17" s="1"/>
  <c r="D10" i="17"/>
  <c r="E10" i="17" s="1"/>
  <c r="I16" i="18" s="1"/>
  <c r="D8" i="17"/>
  <c r="E8" i="17" s="1"/>
  <c r="D7" i="17"/>
  <c r="E7" i="17" s="1"/>
  <c r="E24" i="16"/>
  <c r="D24" i="16"/>
  <c r="E23" i="16"/>
  <c r="J22" i="18" s="1"/>
  <c r="D23" i="16"/>
  <c r="E22" i="16"/>
  <c r="D22" i="16"/>
  <c r="E21" i="16"/>
  <c r="J20" i="18" s="1"/>
  <c r="D21" i="16"/>
  <c r="E16" i="16"/>
  <c r="C20" i="18" s="1"/>
  <c r="D16" i="16"/>
  <c r="E15" i="16"/>
  <c r="C19" i="18" s="1"/>
  <c r="D15" i="16"/>
  <c r="E14" i="16"/>
  <c r="D14" i="16"/>
  <c r="E13" i="16"/>
  <c r="D13" i="16"/>
  <c r="E11" i="16"/>
  <c r="D11" i="16"/>
  <c r="E10" i="16"/>
  <c r="D10" i="16"/>
  <c r="E9" i="16"/>
  <c r="D5" i="18" s="1"/>
  <c r="D9" i="16"/>
  <c r="E8" i="16"/>
  <c r="D8" i="16"/>
  <c r="E7" i="16"/>
  <c r="A5" i="18" s="1"/>
  <c r="D7" i="16"/>
  <c r="J206" i="14"/>
  <c r="J205" i="14"/>
  <c r="J204" i="14"/>
  <c r="J203" i="14"/>
  <c r="J202" i="14"/>
  <c r="J201" i="14"/>
  <c r="J200" i="14"/>
  <c r="J199" i="14"/>
  <c r="J198" i="14"/>
  <c r="J197" i="14"/>
  <c r="J196" i="14"/>
  <c r="J195" i="14"/>
  <c r="J194"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70" i="14"/>
  <c r="J169" i="14"/>
  <c r="J168" i="14"/>
  <c r="J167" i="14"/>
  <c r="J166" i="14"/>
  <c r="J165" i="14"/>
  <c r="J164" i="14"/>
  <c r="J163" i="14"/>
  <c r="J162" i="14"/>
  <c r="J161" i="14"/>
  <c r="J160" i="14"/>
  <c r="J159" i="14"/>
  <c r="J158" i="14"/>
  <c r="J157" i="14"/>
  <c r="J156" i="14"/>
  <c r="J155" i="14"/>
  <c r="J154" i="14"/>
  <c r="J153" i="14"/>
  <c r="J152" i="14"/>
  <c r="J151" i="14"/>
  <c r="J150" i="14"/>
  <c r="J149" i="14"/>
  <c r="J148" i="14"/>
  <c r="J147" i="14"/>
  <c r="J146" i="14"/>
  <c r="J145" i="14"/>
  <c r="J144" i="14"/>
  <c r="J143" i="14"/>
  <c r="J142" i="14"/>
  <c r="J141" i="14"/>
  <c r="J140" i="14"/>
  <c r="J139" i="14"/>
  <c r="J138" i="14"/>
  <c r="J137" i="14"/>
  <c r="J136" i="14"/>
  <c r="J135" i="14"/>
  <c r="J134" i="14"/>
  <c r="J133" i="14"/>
  <c r="J132" i="14"/>
  <c r="J131" i="14"/>
  <c r="J130" i="14"/>
  <c r="J129" i="14"/>
  <c r="J128" i="14"/>
  <c r="J127" i="14"/>
  <c r="J126" i="14"/>
  <c r="J125" i="14"/>
  <c r="J124" i="14"/>
  <c r="J123" i="14"/>
  <c r="J122" i="14"/>
  <c r="J121" i="14"/>
  <c r="J120" i="14"/>
  <c r="J119" i="14"/>
  <c r="J118" i="14"/>
  <c r="J117" i="14"/>
  <c r="J116" i="14"/>
  <c r="J115" i="14"/>
  <c r="J114" i="14"/>
  <c r="J113" i="14"/>
  <c r="J112" i="14"/>
  <c r="J111" i="14"/>
  <c r="J110" i="14"/>
  <c r="J109" i="14"/>
  <c r="J108" i="14"/>
  <c r="J107" i="14"/>
  <c r="J106" i="14"/>
  <c r="J105" i="14"/>
  <c r="J104" i="14"/>
  <c r="J103" i="14"/>
  <c r="J102" i="14"/>
  <c r="J101" i="14"/>
  <c r="J100" i="14"/>
  <c r="J99" i="14"/>
  <c r="J98" i="14"/>
  <c r="J97" i="14"/>
  <c r="J96" i="14"/>
  <c r="J95" i="14"/>
  <c r="J94" i="14"/>
  <c r="J93" i="14"/>
  <c r="J92" i="14"/>
  <c r="J91" i="14"/>
  <c r="J90" i="14"/>
  <c r="J89" i="14"/>
  <c r="J88" i="14"/>
  <c r="J87" i="14"/>
  <c r="J86" i="14"/>
  <c r="J85" i="14"/>
  <c r="J84" i="14"/>
  <c r="J83" i="14"/>
  <c r="J82" i="14"/>
  <c r="J81" i="14"/>
  <c r="J80" i="14"/>
  <c r="J79" i="14"/>
  <c r="J78" i="14"/>
  <c r="J77" i="14"/>
  <c r="J76" i="14"/>
  <c r="J75" i="14"/>
  <c r="J74" i="14"/>
  <c r="J73" i="14"/>
  <c r="J72" i="14"/>
  <c r="J71" i="14"/>
  <c r="J70" i="14"/>
  <c r="J69" i="14"/>
  <c r="J68" i="14"/>
  <c r="J67" i="14"/>
  <c r="J66" i="14"/>
  <c r="J65" i="14"/>
  <c r="J64" i="14"/>
  <c r="J63" i="14"/>
  <c r="J62" i="14"/>
  <c r="J61" i="14"/>
  <c r="J60" i="14"/>
  <c r="J59" i="14"/>
  <c r="J58" i="14"/>
  <c r="J57" i="14"/>
  <c r="J56" i="14"/>
  <c r="J55" i="14"/>
  <c r="J54" i="14"/>
  <c r="J53" i="14"/>
  <c r="J52" i="14"/>
  <c r="J51" i="14"/>
  <c r="J50" i="14"/>
  <c r="J49" i="14"/>
  <c r="J48" i="14"/>
  <c r="J47" i="14"/>
  <c r="J46" i="14"/>
  <c r="J45" i="14"/>
  <c r="J44" i="14"/>
  <c r="J43" i="14"/>
  <c r="J42" i="14"/>
  <c r="J41" i="14"/>
  <c r="J40" i="14"/>
  <c r="J39" i="14"/>
  <c r="J38" i="14"/>
  <c r="J37" i="14"/>
  <c r="J36" i="14"/>
  <c r="J35" i="14"/>
  <c r="J34" i="14"/>
  <c r="J33" i="14"/>
  <c r="J32" i="14"/>
  <c r="J31" i="14"/>
  <c r="J30" i="14"/>
  <c r="J29" i="14"/>
  <c r="J28" i="14"/>
  <c r="J27" i="14"/>
  <c r="J26" i="14"/>
  <c r="J25" i="14"/>
  <c r="J24" i="14"/>
  <c r="J23" i="14"/>
  <c r="J22" i="14"/>
  <c r="J21" i="14"/>
  <c r="J20" i="14"/>
  <c r="J19" i="14"/>
  <c r="J18" i="14"/>
  <c r="J17" i="14"/>
  <c r="J16" i="14"/>
  <c r="J15" i="14"/>
  <c r="J14" i="14"/>
  <c r="J13" i="14"/>
  <c r="J12" i="14"/>
  <c r="J11" i="14"/>
  <c r="J10" i="14"/>
  <c r="J9" i="14"/>
  <c r="J8" i="14"/>
  <c r="J7" i="14"/>
  <c r="Q206" i="11"/>
  <c r="M206" i="11"/>
  <c r="L206" i="11"/>
  <c r="K206" i="11"/>
  <c r="Q205" i="11"/>
  <c r="M205" i="11"/>
  <c r="L205" i="11"/>
  <c r="K205" i="11"/>
  <c r="Q204" i="11"/>
  <c r="M204" i="11"/>
  <c r="L204" i="11"/>
  <c r="K204" i="11"/>
  <c r="Q203" i="11"/>
  <c r="M203" i="11"/>
  <c r="L203" i="11"/>
  <c r="K203" i="11"/>
  <c r="Q202" i="11"/>
  <c r="M202" i="11"/>
  <c r="L202" i="11"/>
  <c r="K202" i="11"/>
  <c r="Q201" i="11"/>
  <c r="M201" i="11"/>
  <c r="L201" i="11"/>
  <c r="K201" i="11"/>
  <c r="Q200" i="11"/>
  <c r="M200" i="11"/>
  <c r="L200" i="11"/>
  <c r="K200" i="11"/>
  <c r="Q199" i="11"/>
  <c r="M199" i="11"/>
  <c r="L199" i="11"/>
  <c r="K199" i="11"/>
  <c r="Q198" i="11"/>
  <c r="M198" i="11"/>
  <c r="L198" i="11"/>
  <c r="K198" i="11"/>
  <c r="Q197" i="11"/>
  <c r="M197" i="11"/>
  <c r="L197" i="11"/>
  <c r="K197" i="11"/>
  <c r="Q196" i="11"/>
  <c r="M196" i="11"/>
  <c r="L196" i="11"/>
  <c r="K196" i="11"/>
  <c r="Q195" i="11"/>
  <c r="M195" i="11"/>
  <c r="L195" i="11"/>
  <c r="K195" i="11"/>
  <c r="Q194" i="11"/>
  <c r="M194" i="11"/>
  <c r="L194" i="11"/>
  <c r="K194" i="11"/>
  <c r="Q193" i="11"/>
  <c r="M193" i="11"/>
  <c r="L193" i="11"/>
  <c r="K193" i="11"/>
  <c r="Q192" i="11"/>
  <c r="M192" i="11"/>
  <c r="L192" i="11"/>
  <c r="K192" i="11"/>
  <c r="Q191" i="11"/>
  <c r="M191" i="11"/>
  <c r="L191" i="11"/>
  <c r="K191" i="11"/>
  <c r="Q190" i="11"/>
  <c r="M190" i="11"/>
  <c r="L190" i="11"/>
  <c r="K190" i="11"/>
  <c r="Q189" i="11"/>
  <c r="M189" i="11"/>
  <c r="L189" i="11"/>
  <c r="K189" i="11"/>
  <c r="Q188" i="11"/>
  <c r="M188" i="11"/>
  <c r="L188" i="11"/>
  <c r="K188" i="11"/>
  <c r="Q187" i="11"/>
  <c r="M187" i="11"/>
  <c r="L187" i="11"/>
  <c r="K187" i="11"/>
  <c r="Q186" i="11"/>
  <c r="M186" i="11"/>
  <c r="L186" i="11"/>
  <c r="K186" i="11"/>
  <c r="Q185" i="11"/>
  <c r="M185" i="11"/>
  <c r="L185" i="11"/>
  <c r="K185" i="11"/>
  <c r="Q184" i="11"/>
  <c r="M184" i="11"/>
  <c r="L184" i="11"/>
  <c r="K184" i="11"/>
  <c r="Q183" i="11"/>
  <c r="M183" i="11"/>
  <c r="L183" i="11"/>
  <c r="K183" i="11"/>
  <c r="Q182" i="11"/>
  <c r="M182" i="11"/>
  <c r="L182" i="11"/>
  <c r="K182" i="11"/>
  <c r="Q181" i="11"/>
  <c r="M181" i="11"/>
  <c r="L181" i="11"/>
  <c r="K181" i="11"/>
  <c r="Q180" i="11"/>
  <c r="M180" i="11"/>
  <c r="L180" i="11"/>
  <c r="K180" i="11"/>
  <c r="Q179" i="11"/>
  <c r="M179" i="11"/>
  <c r="L179" i="11"/>
  <c r="K179" i="11"/>
  <c r="Q178" i="11"/>
  <c r="M178" i="11"/>
  <c r="L178" i="11"/>
  <c r="K178" i="11"/>
  <c r="Q177" i="11"/>
  <c r="M177" i="11"/>
  <c r="L177" i="11"/>
  <c r="K177" i="11"/>
  <c r="Q176" i="11"/>
  <c r="M176" i="11"/>
  <c r="L176" i="11"/>
  <c r="K176" i="11"/>
  <c r="Q175" i="11"/>
  <c r="M175" i="11"/>
  <c r="L175" i="11"/>
  <c r="K175" i="11"/>
  <c r="Q174" i="11"/>
  <c r="M174" i="11"/>
  <c r="L174" i="11"/>
  <c r="K174" i="11"/>
  <c r="Q173" i="11"/>
  <c r="M173" i="11"/>
  <c r="L173" i="11"/>
  <c r="K173" i="11"/>
  <c r="Q172" i="11"/>
  <c r="M172" i="11"/>
  <c r="L172" i="11"/>
  <c r="K172" i="11"/>
  <c r="Q171" i="11"/>
  <c r="M171" i="11"/>
  <c r="L171" i="11"/>
  <c r="K171" i="11"/>
  <c r="Q170" i="11"/>
  <c r="M170" i="11"/>
  <c r="L170" i="11"/>
  <c r="K170" i="11"/>
  <c r="Q169" i="11"/>
  <c r="M169" i="11"/>
  <c r="L169" i="11"/>
  <c r="K169" i="11"/>
  <c r="Q168" i="11"/>
  <c r="M168" i="11"/>
  <c r="L168" i="11"/>
  <c r="K168" i="11"/>
  <c r="Q167" i="11"/>
  <c r="M167" i="11"/>
  <c r="L167" i="11"/>
  <c r="K167" i="11"/>
  <c r="Q166" i="11"/>
  <c r="M166" i="11"/>
  <c r="L166" i="11"/>
  <c r="K166" i="11"/>
  <c r="Q165" i="11"/>
  <c r="M165" i="11"/>
  <c r="L165" i="11"/>
  <c r="K165" i="11"/>
  <c r="Q164" i="11"/>
  <c r="M164" i="11"/>
  <c r="L164" i="11"/>
  <c r="K164" i="11"/>
  <c r="Q163" i="11"/>
  <c r="M163" i="11"/>
  <c r="L163" i="11"/>
  <c r="K163" i="11"/>
  <c r="Q162" i="11"/>
  <c r="M162" i="11"/>
  <c r="L162" i="11"/>
  <c r="K162" i="11"/>
  <c r="Q161" i="11"/>
  <c r="M161" i="11"/>
  <c r="L161" i="11"/>
  <c r="K161" i="11"/>
  <c r="Q160" i="11"/>
  <c r="M160" i="11"/>
  <c r="L160" i="11"/>
  <c r="K160" i="11"/>
  <c r="Q159" i="11"/>
  <c r="M159" i="11"/>
  <c r="L159" i="11"/>
  <c r="K159" i="11"/>
  <c r="Q158" i="11"/>
  <c r="M158" i="11"/>
  <c r="L158" i="11"/>
  <c r="K158" i="11"/>
  <c r="Q157" i="11"/>
  <c r="M157" i="11"/>
  <c r="L157" i="11"/>
  <c r="K157" i="11"/>
  <c r="Q156" i="11"/>
  <c r="M156" i="11"/>
  <c r="L156" i="11"/>
  <c r="K156" i="11"/>
  <c r="Q155" i="11"/>
  <c r="M155" i="11"/>
  <c r="L155" i="11"/>
  <c r="K155" i="11"/>
  <c r="Q154" i="11"/>
  <c r="M154" i="11"/>
  <c r="L154" i="11"/>
  <c r="K154" i="11"/>
  <c r="Q153" i="11"/>
  <c r="M153" i="11"/>
  <c r="L153" i="11"/>
  <c r="K153" i="11"/>
  <c r="Q152" i="11"/>
  <c r="M152" i="11"/>
  <c r="L152" i="11"/>
  <c r="K152" i="11"/>
  <c r="Q151" i="11"/>
  <c r="M151" i="11"/>
  <c r="L151" i="11"/>
  <c r="K151" i="11"/>
  <c r="Q150" i="11"/>
  <c r="M150" i="11"/>
  <c r="L150" i="11"/>
  <c r="K150" i="11"/>
  <c r="Q149" i="11"/>
  <c r="M149" i="11"/>
  <c r="L149" i="11"/>
  <c r="K149" i="11"/>
  <c r="Q148" i="11"/>
  <c r="M148" i="11"/>
  <c r="L148" i="11"/>
  <c r="K148" i="11"/>
  <c r="Q147" i="11"/>
  <c r="M147" i="11"/>
  <c r="L147" i="11"/>
  <c r="K147" i="11"/>
  <c r="Q146" i="11"/>
  <c r="M146" i="11"/>
  <c r="L146" i="11"/>
  <c r="K146" i="11"/>
  <c r="Q145" i="11"/>
  <c r="M145" i="11"/>
  <c r="L145" i="11"/>
  <c r="K145" i="11"/>
  <c r="Q144" i="11"/>
  <c r="M144" i="11"/>
  <c r="L144" i="11"/>
  <c r="K144" i="11"/>
  <c r="Q143" i="11"/>
  <c r="M143" i="11"/>
  <c r="L143" i="11"/>
  <c r="K143" i="11"/>
  <c r="Q142" i="11"/>
  <c r="M142" i="11"/>
  <c r="L142" i="11"/>
  <c r="K142" i="11"/>
  <c r="Q141" i="11"/>
  <c r="M141" i="11"/>
  <c r="L141" i="11"/>
  <c r="K141" i="11"/>
  <c r="Q140" i="11"/>
  <c r="M140" i="11"/>
  <c r="L140" i="11"/>
  <c r="K140" i="11"/>
  <c r="Q139" i="11"/>
  <c r="M139" i="11"/>
  <c r="L139" i="11"/>
  <c r="K139" i="11"/>
  <c r="Q138" i="11"/>
  <c r="M138" i="11"/>
  <c r="L138" i="11"/>
  <c r="K138" i="11"/>
  <c r="Q137" i="11"/>
  <c r="M137" i="11"/>
  <c r="L137" i="11"/>
  <c r="K137" i="11"/>
  <c r="Q136" i="11"/>
  <c r="M136" i="11"/>
  <c r="L136" i="11"/>
  <c r="K136" i="11"/>
  <c r="Q135" i="11"/>
  <c r="M135" i="11"/>
  <c r="L135" i="11"/>
  <c r="K135" i="11"/>
  <c r="Q134" i="11"/>
  <c r="M134" i="11"/>
  <c r="L134" i="11"/>
  <c r="K134" i="11"/>
  <c r="Q133" i="11"/>
  <c r="M133" i="11"/>
  <c r="L133" i="11"/>
  <c r="K133" i="11"/>
  <c r="Q132" i="11"/>
  <c r="M132" i="11"/>
  <c r="L132" i="11"/>
  <c r="K132" i="11"/>
  <c r="Q131" i="11"/>
  <c r="M131" i="11"/>
  <c r="L131" i="11"/>
  <c r="K131" i="11"/>
  <c r="Q130" i="11"/>
  <c r="M130" i="11"/>
  <c r="L130" i="11"/>
  <c r="K130" i="11"/>
  <c r="Q129" i="11"/>
  <c r="M129" i="11"/>
  <c r="L129" i="11"/>
  <c r="K129" i="11"/>
  <c r="Q128" i="11"/>
  <c r="M128" i="11"/>
  <c r="L128" i="11"/>
  <c r="K128" i="11"/>
  <c r="Q127" i="11"/>
  <c r="M127" i="11"/>
  <c r="L127" i="11"/>
  <c r="K127" i="11"/>
  <c r="Q126" i="11"/>
  <c r="M126" i="11"/>
  <c r="L126" i="11"/>
  <c r="K126" i="11"/>
  <c r="Q125" i="11"/>
  <c r="M125" i="11"/>
  <c r="L125" i="11"/>
  <c r="K125" i="11"/>
  <c r="Q124" i="11"/>
  <c r="M124" i="11"/>
  <c r="L124" i="11"/>
  <c r="K124" i="11"/>
  <c r="Q123" i="11"/>
  <c r="M123" i="11"/>
  <c r="L123" i="11"/>
  <c r="K123" i="11"/>
  <c r="Q122" i="11"/>
  <c r="M122" i="11"/>
  <c r="L122" i="11"/>
  <c r="K122" i="11"/>
  <c r="Q121" i="11"/>
  <c r="M121" i="11"/>
  <c r="L121" i="11"/>
  <c r="K121" i="11"/>
  <c r="Q120" i="11"/>
  <c r="M120" i="11"/>
  <c r="L120" i="11"/>
  <c r="K120" i="11"/>
  <c r="Q119" i="11"/>
  <c r="M119" i="11"/>
  <c r="L119" i="11"/>
  <c r="K119" i="11"/>
  <c r="Q118" i="11"/>
  <c r="M118" i="11"/>
  <c r="L118" i="11"/>
  <c r="K118" i="11"/>
  <c r="Q117" i="11"/>
  <c r="M117" i="11"/>
  <c r="L117" i="11"/>
  <c r="K117" i="11"/>
  <c r="Q116" i="11"/>
  <c r="M116" i="11"/>
  <c r="L116" i="11"/>
  <c r="K116" i="11"/>
  <c r="Q115" i="11"/>
  <c r="M115" i="11"/>
  <c r="L115" i="11"/>
  <c r="K115" i="11"/>
  <c r="Q114" i="11"/>
  <c r="M114" i="11"/>
  <c r="L114" i="11"/>
  <c r="K114" i="11"/>
  <c r="Q113" i="11"/>
  <c r="M113" i="11"/>
  <c r="L113" i="11"/>
  <c r="K113" i="11"/>
  <c r="Q112" i="11"/>
  <c r="M112" i="11"/>
  <c r="L112" i="11"/>
  <c r="K112" i="11"/>
  <c r="Q111" i="11"/>
  <c r="M111" i="11"/>
  <c r="L111" i="11"/>
  <c r="K111" i="11"/>
  <c r="Q110" i="11"/>
  <c r="M110" i="11"/>
  <c r="L110" i="11"/>
  <c r="K110" i="11"/>
  <c r="Q109" i="11"/>
  <c r="M109" i="11"/>
  <c r="L109" i="11"/>
  <c r="K109" i="11"/>
  <c r="Q108" i="11"/>
  <c r="M108" i="11"/>
  <c r="L108" i="11"/>
  <c r="K108" i="11"/>
  <c r="Q107" i="11"/>
  <c r="M107" i="11"/>
  <c r="L107" i="11"/>
  <c r="K107" i="11"/>
  <c r="Q106" i="11"/>
  <c r="M106" i="11"/>
  <c r="L106" i="11"/>
  <c r="K106" i="11"/>
  <c r="Q105" i="11"/>
  <c r="M105" i="11"/>
  <c r="L105" i="11"/>
  <c r="K105" i="11"/>
  <c r="Q104" i="11"/>
  <c r="M104" i="11"/>
  <c r="L104" i="11"/>
  <c r="K104" i="11"/>
  <c r="Q103" i="11"/>
  <c r="M103" i="11"/>
  <c r="L103" i="11"/>
  <c r="K103" i="11"/>
  <c r="Q102" i="11"/>
  <c r="M102" i="11"/>
  <c r="L102" i="11"/>
  <c r="K102" i="11"/>
  <c r="Q101" i="11"/>
  <c r="M101" i="11"/>
  <c r="L101" i="11"/>
  <c r="K101" i="11"/>
  <c r="Q100" i="11"/>
  <c r="M100" i="11"/>
  <c r="L100" i="11"/>
  <c r="K100" i="11"/>
  <c r="Q99" i="11"/>
  <c r="M99" i="11"/>
  <c r="L99" i="11"/>
  <c r="K99" i="11"/>
  <c r="Q98" i="11"/>
  <c r="M98" i="11"/>
  <c r="L98" i="11"/>
  <c r="K98" i="11"/>
  <c r="Q97" i="11"/>
  <c r="M97" i="11"/>
  <c r="L97" i="11"/>
  <c r="K97" i="11"/>
  <c r="Q96" i="11"/>
  <c r="M96" i="11"/>
  <c r="L96" i="11"/>
  <c r="K96" i="11"/>
  <c r="Q95" i="11"/>
  <c r="M95" i="11"/>
  <c r="L95" i="11"/>
  <c r="K95" i="11"/>
  <c r="Q94" i="11"/>
  <c r="M94" i="11"/>
  <c r="L94" i="11"/>
  <c r="K94" i="11"/>
  <c r="Q93" i="11"/>
  <c r="M93" i="11"/>
  <c r="L93" i="11"/>
  <c r="K93" i="11"/>
  <c r="Q92" i="11"/>
  <c r="M92" i="11"/>
  <c r="L92" i="11"/>
  <c r="K92" i="11"/>
  <c r="Q91" i="11"/>
  <c r="M91" i="11"/>
  <c r="L91" i="11"/>
  <c r="K91" i="11"/>
  <c r="Q90" i="11"/>
  <c r="M90" i="11"/>
  <c r="L90" i="11"/>
  <c r="K90" i="11"/>
  <c r="Q89" i="11"/>
  <c r="M89" i="11"/>
  <c r="L89" i="11"/>
  <c r="K89" i="11"/>
  <c r="Q88" i="11"/>
  <c r="M88" i="11"/>
  <c r="L88" i="11"/>
  <c r="K88" i="11"/>
  <c r="Q87" i="11"/>
  <c r="M87" i="11"/>
  <c r="L87" i="11"/>
  <c r="K87" i="11"/>
  <c r="Q86" i="11"/>
  <c r="M86" i="11"/>
  <c r="L86" i="11"/>
  <c r="K86" i="11"/>
  <c r="Q85" i="11"/>
  <c r="M85" i="11"/>
  <c r="L85" i="11"/>
  <c r="K85" i="11"/>
  <c r="Q84" i="11"/>
  <c r="M84" i="11"/>
  <c r="L84" i="11"/>
  <c r="K84" i="11"/>
  <c r="Q83" i="11"/>
  <c r="M83" i="11"/>
  <c r="L83" i="11"/>
  <c r="K83" i="11"/>
  <c r="Q82" i="11"/>
  <c r="M82" i="11"/>
  <c r="L82" i="11"/>
  <c r="K82" i="11"/>
  <c r="Q81" i="11"/>
  <c r="M81" i="11"/>
  <c r="L81" i="11"/>
  <c r="K81" i="11"/>
  <c r="Q80" i="11"/>
  <c r="M80" i="11"/>
  <c r="L80" i="11"/>
  <c r="K80" i="11"/>
  <c r="Q79" i="11"/>
  <c r="M79" i="11"/>
  <c r="L79" i="11"/>
  <c r="K79" i="11"/>
  <c r="Q78" i="11"/>
  <c r="M78" i="11"/>
  <c r="L78" i="11"/>
  <c r="K78" i="11"/>
  <c r="Q77" i="11"/>
  <c r="M77" i="11"/>
  <c r="L77" i="11"/>
  <c r="K77" i="11"/>
  <c r="Q76" i="11"/>
  <c r="M76" i="11"/>
  <c r="L76" i="11"/>
  <c r="K76" i="11"/>
  <c r="Q75" i="11"/>
  <c r="M75" i="11"/>
  <c r="L75" i="11"/>
  <c r="K75" i="11"/>
  <c r="Q74" i="11"/>
  <c r="M74" i="11"/>
  <c r="L74" i="11"/>
  <c r="K74" i="11"/>
  <c r="Q73" i="11"/>
  <c r="M73" i="11"/>
  <c r="L73" i="11"/>
  <c r="K73" i="11"/>
  <c r="Q72" i="11"/>
  <c r="M72" i="11"/>
  <c r="L72" i="11"/>
  <c r="K72" i="11"/>
  <c r="Q71" i="11"/>
  <c r="M71" i="11"/>
  <c r="L71" i="11"/>
  <c r="K71" i="11"/>
  <c r="Q70" i="11"/>
  <c r="M70" i="11"/>
  <c r="L70" i="11"/>
  <c r="K70" i="11"/>
  <c r="Q69" i="11"/>
  <c r="M69" i="11"/>
  <c r="L69" i="11"/>
  <c r="K69" i="11"/>
  <c r="Q68" i="11"/>
  <c r="M68" i="11"/>
  <c r="L68" i="11"/>
  <c r="K68" i="11"/>
  <c r="Q67" i="11"/>
  <c r="M67" i="11"/>
  <c r="L67" i="11"/>
  <c r="K67" i="11"/>
  <c r="Q66" i="11"/>
  <c r="M66" i="11"/>
  <c r="L66" i="11"/>
  <c r="K66" i="11"/>
  <c r="Q65" i="11"/>
  <c r="M65" i="11"/>
  <c r="L65" i="11"/>
  <c r="K65" i="11"/>
  <c r="Q64" i="11"/>
  <c r="M64" i="11"/>
  <c r="L64" i="11"/>
  <c r="K64" i="11"/>
  <c r="Q63" i="11"/>
  <c r="M63" i="11"/>
  <c r="L63" i="11"/>
  <c r="K63" i="11"/>
  <c r="Q62" i="11"/>
  <c r="M62" i="11"/>
  <c r="L62" i="11"/>
  <c r="K62" i="11"/>
  <c r="Q61" i="11"/>
  <c r="M61" i="11"/>
  <c r="L61" i="11"/>
  <c r="K61" i="11"/>
  <c r="Q60" i="11"/>
  <c r="M60" i="11"/>
  <c r="L60" i="11"/>
  <c r="K60" i="11"/>
  <c r="Q59" i="11"/>
  <c r="M59" i="11"/>
  <c r="L59" i="11"/>
  <c r="K59" i="11"/>
  <c r="Q58" i="11"/>
  <c r="M58" i="11"/>
  <c r="L58" i="11"/>
  <c r="K58" i="11"/>
  <c r="Q57" i="11"/>
  <c r="M57" i="11"/>
  <c r="L57" i="11"/>
  <c r="K57" i="11"/>
  <c r="Q56" i="11"/>
  <c r="M56" i="11"/>
  <c r="L56" i="11"/>
  <c r="K56" i="11"/>
  <c r="Q55" i="11"/>
  <c r="M55" i="11"/>
  <c r="L55" i="11"/>
  <c r="K55" i="11"/>
  <c r="Q54" i="11"/>
  <c r="M54" i="11"/>
  <c r="L54" i="11"/>
  <c r="K54" i="11"/>
  <c r="Q53" i="11"/>
  <c r="M53" i="11"/>
  <c r="L53" i="11"/>
  <c r="K53" i="11"/>
  <c r="Q52" i="11"/>
  <c r="M52" i="11"/>
  <c r="L52" i="11"/>
  <c r="K52" i="11"/>
  <c r="Q51" i="11"/>
  <c r="M51" i="11"/>
  <c r="L51" i="11"/>
  <c r="K51" i="11"/>
  <c r="Q50" i="11"/>
  <c r="M50" i="11"/>
  <c r="L50" i="11"/>
  <c r="K50" i="11"/>
  <c r="Q49" i="11"/>
  <c r="M49" i="11"/>
  <c r="L49" i="11"/>
  <c r="K49" i="11"/>
  <c r="Q48" i="11"/>
  <c r="M48" i="11"/>
  <c r="L48" i="11"/>
  <c r="K48" i="11"/>
  <c r="Q47" i="11"/>
  <c r="M47" i="11"/>
  <c r="L47" i="11"/>
  <c r="K47" i="11"/>
  <c r="Q46" i="11"/>
  <c r="M46" i="11"/>
  <c r="L46" i="11"/>
  <c r="K46" i="11"/>
  <c r="Q45" i="11"/>
  <c r="M45" i="11"/>
  <c r="L45" i="11"/>
  <c r="K45" i="11"/>
  <c r="Q44" i="11"/>
  <c r="M44" i="11"/>
  <c r="L44" i="11"/>
  <c r="K44" i="11"/>
  <c r="Q43" i="11"/>
  <c r="M43" i="11"/>
  <c r="L43" i="11"/>
  <c r="K43" i="11"/>
  <c r="Q42" i="11"/>
  <c r="M42" i="11"/>
  <c r="L42" i="11"/>
  <c r="K42" i="11"/>
  <c r="Q41" i="11"/>
  <c r="M41" i="11"/>
  <c r="L41" i="11"/>
  <c r="K41" i="11"/>
  <c r="Q40" i="11"/>
  <c r="M40" i="11"/>
  <c r="L40" i="11"/>
  <c r="K40" i="11"/>
  <c r="Q39" i="11"/>
  <c r="M39" i="11"/>
  <c r="L39" i="11"/>
  <c r="K39" i="11"/>
  <c r="Q38" i="11"/>
  <c r="M38" i="11"/>
  <c r="L38" i="11"/>
  <c r="K38" i="11"/>
  <c r="Q37" i="11"/>
  <c r="M37" i="11"/>
  <c r="L37" i="11"/>
  <c r="K37" i="11"/>
  <c r="Q36" i="11"/>
  <c r="M36" i="11"/>
  <c r="L36" i="11"/>
  <c r="K36" i="11"/>
  <c r="Q35" i="11"/>
  <c r="M35" i="11"/>
  <c r="L35" i="11"/>
  <c r="K35" i="11"/>
  <c r="Q34" i="11"/>
  <c r="M34" i="11"/>
  <c r="L34" i="11"/>
  <c r="K34" i="11"/>
  <c r="Q33" i="11"/>
  <c r="M33" i="11"/>
  <c r="L33" i="11"/>
  <c r="K33" i="11"/>
  <c r="Q32" i="11"/>
  <c r="M32" i="11"/>
  <c r="L32" i="11"/>
  <c r="K32" i="11"/>
  <c r="Q31" i="11"/>
  <c r="M31" i="11"/>
  <c r="L31" i="11"/>
  <c r="K31" i="11"/>
  <c r="Q30" i="11"/>
  <c r="M30" i="11"/>
  <c r="L30" i="11"/>
  <c r="K30" i="11"/>
  <c r="Q29" i="11"/>
  <c r="M29" i="11"/>
  <c r="L29" i="11"/>
  <c r="K29" i="11"/>
  <c r="Q28" i="11"/>
  <c r="M28" i="11"/>
  <c r="L28" i="11"/>
  <c r="K28" i="11"/>
  <c r="Q27" i="11"/>
  <c r="M27" i="11"/>
  <c r="L27" i="11"/>
  <c r="K27" i="11"/>
  <c r="Q26" i="11"/>
  <c r="M26" i="11"/>
  <c r="L26" i="11"/>
  <c r="K26" i="11"/>
  <c r="Q25" i="11"/>
  <c r="M25" i="11"/>
  <c r="L25" i="11"/>
  <c r="K25" i="11"/>
  <c r="Q24" i="11"/>
  <c r="M24" i="11"/>
  <c r="L24" i="11"/>
  <c r="K24" i="11"/>
  <c r="M23" i="11"/>
  <c r="Q23" i="11" s="1"/>
  <c r="L23" i="11"/>
  <c r="K23" i="11"/>
  <c r="M22" i="11"/>
  <c r="Q22" i="11" s="1"/>
  <c r="L22" i="11"/>
  <c r="K22" i="11"/>
  <c r="M21" i="11"/>
  <c r="Q21" i="11" s="1"/>
  <c r="L21" i="11"/>
  <c r="K21" i="11"/>
  <c r="M20" i="11"/>
  <c r="Q20" i="11" s="1"/>
  <c r="L20" i="11"/>
  <c r="K20" i="11"/>
  <c r="M19" i="11"/>
  <c r="Q19" i="11" s="1"/>
  <c r="L19" i="11"/>
  <c r="K19" i="11"/>
  <c r="M18" i="11"/>
  <c r="Q18" i="11" s="1"/>
  <c r="L18" i="11"/>
  <c r="K18" i="11"/>
  <c r="Q17" i="11"/>
  <c r="M17" i="11"/>
  <c r="L17" i="11"/>
  <c r="K17" i="11"/>
  <c r="M16" i="11"/>
  <c r="Q16" i="11" s="1"/>
  <c r="L16" i="11"/>
  <c r="K16" i="11"/>
  <c r="M15" i="11"/>
  <c r="Q15" i="11" s="1"/>
  <c r="L15" i="11"/>
  <c r="K15" i="11"/>
  <c r="M14" i="11"/>
  <c r="Q14" i="11" s="1"/>
  <c r="L14" i="11"/>
  <c r="K14" i="11"/>
  <c r="M13" i="11"/>
  <c r="Q13" i="11" s="1"/>
  <c r="L13" i="11"/>
  <c r="K13" i="11"/>
  <c r="M12" i="11"/>
  <c r="Q12" i="11" s="1"/>
  <c r="L12" i="11"/>
  <c r="K12" i="11"/>
  <c r="M11" i="11"/>
  <c r="Q11" i="11" s="1"/>
  <c r="L11" i="11"/>
  <c r="K11" i="11"/>
  <c r="Q10" i="11"/>
  <c r="M10" i="11"/>
  <c r="L10" i="11"/>
  <c r="K10" i="11"/>
  <c r="M9" i="11"/>
  <c r="Q9" i="11" s="1"/>
  <c r="L9" i="11"/>
  <c r="K9" i="11"/>
  <c r="Q8" i="11"/>
  <c r="M8" i="11"/>
  <c r="L8" i="11"/>
  <c r="K8" i="11"/>
  <c r="Q7" i="11"/>
  <c r="M7" i="11"/>
  <c r="L7" i="11"/>
  <c r="K7" i="11"/>
  <c r="K23" i="7"/>
  <c r="Q23" i="7" s="1"/>
  <c r="K22" i="7"/>
  <c r="Q22" i="7" s="1"/>
  <c r="K21" i="7"/>
  <c r="Q21" i="7" s="1"/>
  <c r="K20" i="7"/>
  <c r="Q20" i="7" s="1"/>
  <c r="K19" i="7"/>
  <c r="Q19" i="7" s="1"/>
  <c r="K18" i="7"/>
  <c r="Q18" i="7" s="1"/>
  <c r="K17" i="7"/>
  <c r="Q17" i="7" s="1"/>
  <c r="K16" i="7"/>
  <c r="Q16" i="7" s="1"/>
  <c r="Q15" i="7"/>
  <c r="K15" i="7"/>
  <c r="K14" i="7"/>
  <c r="Q14" i="7" s="1"/>
  <c r="K13" i="7"/>
  <c r="Q13" i="7" s="1"/>
  <c r="K12" i="7"/>
  <c r="Q12" i="7" s="1"/>
  <c r="K11" i="7"/>
  <c r="Q11" i="7" s="1"/>
  <c r="K10" i="7"/>
  <c r="Q10" i="7" s="1"/>
  <c r="Q9" i="7"/>
  <c r="K9" i="7"/>
  <c r="K8" i="7"/>
  <c r="Q8" i="7" s="1"/>
  <c r="K7" i="7"/>
  <c r="D18" i="16" l="1"/>
  <c r="D17" i="16"/>
  <c r="D9" i="17"/>
  <c r="E9" i="17" s="1"/>
  <c r="I10" i="18" s="1"/>
  <c r="E18" i="16"/>
  <c r="C22" i="18" s="1"/>
  <c r="D12" i="17"/>
  <c r="E12" i="17" s="1"/>
  <c r="I12" i="18" s="1"/>
  <c r="I9" i="18"/>
  <c r="D36" i="18"/>
  <c r="I11" i="18"/>
  <c r="E17" i="16"/>
  <c r="D12" i="16"/>
  <c r="Q7" i="7"/>
  <c r="E12" i="16"/>
  <c r="J36" i="18" l="1"/>
  <c r="J5" i="18"/>
  <c r="A36" i="18"/>
  <c r="C13" i="18"/>
  <c r="E20" i="16"/>
  <c r="C24" i="18" s="1"/>
  <c r="D20" i="16"/>
  <c r="C21" i="18"/>
  <c r="E19" i="16"/>
  <c r="C23" i="18" s="1"/>
  <c r="D19" i="16"/>
</calcChain>
</file>

<file path=xl/sharedStrings.xml><?xml version="1.0" encoding="utf-8"?>
<sst xmlns="http://schemas.openxmlformats.org/spreadsheetml/2006/main" count="1824" uniqueCount="1073">
  <si>
    <t>IREI MVP Build Template — Business Rules</t>
  </si>
  <si>
    <t>This sheet preserves the NGO B v12 workbook logic and states how it is simplified for the one-time MVP v1 build. Colour coding follows v12: blue=input, black=formula, purple=generated, orange=review, grey=legacy/reference, green=output.</t>
  </si>
  <si>
    <t>Colour</t>
  </si>
  <si>
    <t>Meaning</t>
  </si>
  <si>
    <t>Who may edit?</t>
  </si>
  <si>
    <t>MVP v1 treatment</t>
  </si>
  <si>
    <t>Example tabs</t>
  </si>
  <si>
    <t>Rule</t>
  </si>
  <si>
    <t>Blue</t>
  </si>
  <si>
    <t>Writable input zones</t>
  </si>
  <si>
    <t>Human / AI / analyst</t>
  </si>
  <si>
    <t>Manual or import data entry</t>
  </si>
  <si>
    <t>DATA_* input tabs</t>
  </si>
  <si>
    <t>Only blue cells are user-write zones.</t>
  </si>
  <si>
    <t>Black / no fill</t>
  </si>
  <si>
    <t>Live formula cells</t>
  </si>
  <si>
    <t>No direct edit</t>
  </si>
  <si>
    <t>Keep formulas live</t>
  </si>
  <si>
    <t>DATA_METRIC_LONG, DATA_QUALITY_CHECKS</t>
  </si>
  <si>
    <t>Do not overwrite formulas.</t>
  </si>
  <si>
    <t>Purple</t>
  </si>
  <si>
    <t>Generated bridge data</t>
  </si>
  <si>
    <t>No direct edit unless documented</t>
  </si>
  <si>
    <t>Formula-generated from inputs</t>
  </si>
  <si>
    <t>DATA_PROPERTY_MASTER, DATA_DEBT_MASTER</t>
  </si>
  <si>
    <t>Can be generated by future digital engine.</t>
  </si>
  <si>
    <t>Orange</t>
  </si>
  <si>
    <t>Review / unresolved / assumptions</t>
  </si>
  <si>
    <t>Analyst may update status/note</t>
  </si>
  <si>
    <t>Used for assumptions and flags</t>
  </si>
  <si>
    <t>ASSUMPTIONS_FLAGS</t>
  </si>
  <si>
    <t>Must include reviewer rationale.</t>
  </si>
  <si>
    <t>Grey</t>
  </si>
  <si>
    <t>Legacy / reference</t>
  </si>
  <si>
    <t>Reference only</t>
  </si>
  <si>
    <t>Not MVP engine</t>
  </si>
  <si>
    <t>NGO B v12 source workbook</t>
  </si>
  <si>
    <t>Do not build software from legacy tabs directly.</t>
  </si>
  <si>
    <t>Green</t>
  </si>
  <si>
    <t>Output</t>
  </si>
  <si>
    <t>No direct edit to formulas</t>
  </si>
  <si>
    <t>Dashboard/readiness output</t>
  </si>
  <si>
    <t>OUT_STAGE1_READINESS_SNAPSHOT</t>
  </si>
  <si>
    <t>Output pulls from data and checks.</t>
  </si>
  <si>
    <t>Rule ID</t>
  </si>
  <si>
    <t>Area</t>
  </si>
  <si>
    <t>Business Rule</t>
  </si>
  <si>
    <t>MVP v1 implementation</t>
  </si>
  <si>
    <t>BR-MVP-001</t>
  </si>
  <si>
    <t>Purpose</t>
  </si>
  <si>
    <t>MVP v1 is a one-time, semi-manual demonstration product using NGO B / ENF as the pilot case.</t>
  </si>
  <si>
    <t>Keep scope narrow; do not build a full investor dashboard or SaaS product yet.</t>
  </si>
  <si>
    <t>BR-MVP-002</t>
  </si>
  <si>
    <t>Source hierarchy</t>
  </si>
  <si>
    <t>NGO B v12 is the business-logic prototype. Tapestry / ENF July 7 is the latest demo source of truth where it supersedes generic NGO B assumptions.</t>
  </si>
  <si>
    <t>Log every source in STG_SOURCE_INTAKE.</t>
  </si>
  <si>
    <t>BR-MVP-003</t>
  </si>
  <si>
    <t>Build principle</t>
  </si>
  <si>
    <t>Build the clean template from the MVP-ready parts of v12; do not ask Uygar to rebuild the full legacy workbook.</t>
  </si>
  <si>
    <t>This template is the build abstraction.</t>
  </si>
  <si>
    <t>BR-MVP-004</t>
  </si>
  <si>
    <t>Input control</t>
  </si>
  <si>
    <t>Human / AI / analyst may write only in blue input cells or orange assumption-review cells.</t>
  </si>
  <si>
    <t>Formula cells remain black/no fill; generated bridge fields use purple.</t>
  </si>
  <si>
    <t>BR-MVP-005</t>
  </si>
  <si>
    <t>Live calculations</t>
  </si>
  <si>
    <t>Metric rows, quality checks, and readiness snapshot must use formulas pulling from data tabs.</t>
  </si>
  <si>
    <t>No hardcoded output values unless clearly marked as demonstration input.</t>
  </si>
  <si>
    <t>BR-MVP-006</t>
  </si>
  <si>
    <t>Original logic, simplified</t>
  </si>
  <si>
    <t>Preserve v12 logic pattern: input/source log → canonical DATA tables → checks/metrics → OUT readiness output.</t>
  </si>
  <si>
    <t>Investor distribution, NAV, IRR, and Stage 2/3 capital pathway logic are deferred.</t>
  </si>
  <si>
    <t>BR-MVP-007</t>
  </si>
  <si>
    <t>Auditability</t>
  </si>
  <si>
    <t>Every source conflict or manual override must be recorded in ASSUMPTIONS_FLAGS.</t>
  </si>
  <si>
    <t>Port Moody 245 vs 328 remains a visible flag.</t>
  </si>
  <si>
    <t>BR-MVP-008</t>
  </si>
  <si>
    <t>Outcome</t>
  </si>
  <si>
    <t>The MVP outcome is OUT_STAGE1_READINESS_SNAPSHOT, not a polished investor summary.</t>
  </si>
  <si>
    <t>Investor pages may be later presentation layer.</t>
  </si>
  <si>
    <t>BR-MVP-009</t>
  </si>
  <si>
    <t>Template/demo structure</t>
  </si>
  <si>
    <t>This workbook combines Build 1 template structure and Build 2 NGO B / ENF demo rows. The 17 populated rows are examples, not the fixed future platform shape.</t>
  </si>
  <si>
    <t>Digital build must support additional organizations and properties using the same DATA_* structure.</t>
  </si>
  <si>
    <t>Preserved NGO B v12 business-rule excerpt</t>
  </si>
  <si>
    <t>Original row</t>
  </si>
  <si>
    <t>Original Business Rules text</t>
  </si>
  <si>
    <t>IREI Underwriting Template Prototype</t>
  </si>
  <si>
    <t>Business Rules Organized by Epics and User Stories</t>
  </si>
  <si>
    <t>1. Purpose of the Model</t>
  </si>
  <si>
    <t>The model is designed to convert non-profit / Indigenous / mission-driven housing organization data into a standardized, auditable underwriting structure.</t>
  </si>
  <si>
    <t>It has two purposes:</t>
  </si>
  <si>
    <t>1. Current use: underwrite NGO B’s portfolio using the existing live Excel calculation engine.</t>
  </si>
  <si>
    <t>2. Future platform use: establish the data architecture and business rules for an AI / analyst-assisted IREI underwriting platform.</t>
  </si>
  <si>
    <t>The model is not yet a fully automated platform engine. The current financial calculations still rely on legacy NGO B tabs, while the new DATA and OUT layers define the future standardized model structure.</t>
  </si>
  <si>
    <t>Epic 1 — Workbook Navigation and User Control</t>
  </si>
  <si>
    <t>Business Objective</t>
  </si>
  <si>
    <t>Ensure analysts and AI agents understand where to enter data, where formulas live, what not to overwrite, and how to follow the workbook structure.</t>
  </si>
  <si>
    <t>Key Tabs</t>
  </si>
  <si>
    <t>00_PLATFORM_INDEX</t>
  </si>
  <si>
    <t>INPUT_CONTROL_MAP</t>
  </si>
  <si>
    <t>00_CHANGE_LOG</t>
  </si>
  <si>
    <t>DATA_QUALITY_CHECKS</t>
  </si>
  <si>
    <t>00_MODEL_CHECKS</t>
  </si>
  <si>
    <t>Business Rules</t>
  </si>
  <si>
    <t>BR-1.1 — Users must start with the platform index</t>
  </si>
  <si>
    <t>All users should begin with 00_PLATFORM_INDEX to understand the workbook zones, colour code, and navigation structure.</t>
  </si>
  <si>
    <t>BR-1.2 — INPUT_CONTROL_MAP is the operating manual</t>
  </si>
  <si>
    <t>INPUT_CONTROL_MAP defines which tabs and ranges can be edited and which tabs are generated, calculated, output-only, or legacy.</t>
  </si>
  <si>
    <t>BR-1.3 — Only blue cells are intended for analyst / AI entry</t>
  </si>
  <si>
    <t>Blue cells represent approved input areas. Users should not write into black formula cells, green output cells, purple normalized data cells unless marked as writable, orange warning cells, or grey legacy-engine cells unless specifically instructed.</t>
  </si>
  <si>
    <t>BR-1.4 — Formula cells must remain live</t>
  </si>
  <si>
    <t>Formula-driven cells must not be overwritten. If a formula is changed, the change must be logged in 00_CHANGE_LOG.</t>
  </si>
  <si>
    <t>BR-1.5 — Change log is mandatory</t>
  </si>
  <si>
    <t>Every structural, formula, mapping, documentation, control, or output change must be recorded in 00_CHANGE_LOG.</t>
  </si>
  <si>
    <t>User Stories</t>
  </si>
  <si>
    <t>Story 1.1 — Analyst starts the model</t>
  </si>
  <si>
    <t>As an analyst, I want a clear starting tab so I can understand how the workbook is structured before entering or reviewing data.</t>
  </si>
  <si>
    <t>Acceptance Criteria</t>
  </si>
  <si>
    <t>00_PLATFORM_INDEX explains model zones.</t>
  </si>
  <si>
    <t>Colour-code legend is visible.</t>
  </si>
  <si>
    <t>Key tabs are listed with purpose and status.</t>
  </si>
  <si>
    <t>Story 1.2 — AI agent knows where to write</t>
  </si>
  <si>
    <t>As an AI agent, I want a single control map so I know which tabs and ranges are approved for data entry.</t>
  </si>
  <si>
    <t>INPUT_CONTROL_MAP identifies editable blue ranges.</t>
  </si>
  <si>
    <t>Formula and output areas are clearly marked as non-editable.</t>
  </si>
  <si>
    <t>CHANGE LOG — IREI MVP Build Template</t>
  </si>
  <si>
    <t>Audit trail for extracting/simplifying NGO B v12 into the MVP v1 build template. Keep this sheet current with every workbook revision.</t>
  </si>
  <si>
    <t>Change ID</t>
  </si>
  <si>
    <t>Date</t>
  </si>
  <si>
    <t>Type</t>
  </si>
  <si>
    <t>Sheet / Range</t>
  </si>
  <si>
    <t>Issue</t>
  </si>
  <si>
    <t>Change Made</t>
  </si>
  <si>
    <t>Assumption Changed?</t>
  </si>
  <si>
    <t>Calculation Impact</t>
  </si>
  <si>
    <t>Status</t>
  </si>
  <si>
    <t>Next Step</t>
  </si>
  <si>
    <t>CL-001</t>
  </si>
  <si>
    <t>2026-07-07</t>
  </si>
  <si>
    <t>Governance</t>
  </si>
  <si>
    <t>No workbook-level audit trail existed.</t>
  </si>
  <si>
    <t>Added change log sheet with change IDs and affected ranges.</t>
  </si>
  <si>
    <t>No</t>
  </si>
  <si>
    <t>None; documentation only.</t>
  </si>
  <si>
    <t>Complete</t>
  </si>
  <si>
    <t>Use for every future model revision.</t>
  </si>
  <si>
    <t>CL-002</t>
  </si>
  <si>
    <t>00_MODEL_CONTROL</t>
  </si>
  <si>
    <t>Portfolio inclusion logic was embedded in rollup row 8 only.</t>
  </si>
  <si>
    <t>Added central scope-control sheet and linked rollup toggles to it.</t>
  </si>
  <si>
    <t>No intended output change; BLD_AB remains excluded and all other assets remain included.</t>
  </si>
  <si>
    <t>Use this tab for future include/exclude decisions.</t>
  </si>
  <si>
    <t>CL-003</t>
  </si>
  <si>
    <t>No live structural checks tab existed.</t>
  </si>
  <si>
    <t>Added live checks for scope, register totals, label references, and bucket reconciliation.</t>
  </si>
  <si>
    <t>None; documentation/checking only.</t>
  </si>
  <si>
    <t>Expand with debt and development checks in next pass.</t>
  </si>
  <si>
    <t>CL-004</t>
  </si>
  <si>
    <t>Formula Fix</t>
  </si>
  <si>
    <t>00_PORTFOLIO_REGISTER!C5:C21</t>
  </si>
  <si>
    <t>City lookup matched BLD_ID against property name, causing #N/A results.</t>
  </si>
  <si>
    <t>Changed lookup to match BLD_ID against Property Summary Tab ID.</t>
  </si>
  <si>
    <t>Register city field now calculates live from Property Summary.</t>
  </si>
  <si>
    <t>Review other register columns for full institutionalization.</t>
  </si>
  <si>
    <t>CL-005</t>
  </si>
  <si>
    <t>Formula Addition</t>
  </si>
  <si>
    <t>00_PORTFOLIO_REGISTER!D5:I21</t>
  </si>
  <si>
    <t>Register had blank units, NOI, lender, and debt-term fields.</t>
  </si>
  <si>
    <t>Added live formulas for units, 2025/2029/2035 NOI, lender/program, and debt term.</t>
  </si>
  <si>
    <t>Register now ties to Property Summary, property tabs, and Debt Engine.</t>
  </si>
  <si>
    <t>Later replace hardcoded bucket and issue narrative with formula-controlled classification.</t>
  </si>
  <si>
    <t>CL-006</t>
  </si>
  <si>
    <t>00_PORTFOLIO_REGISTER!E23:G23</t>
  </si>
  <si>
    <t>Portfolio total formulas contained #REF!.</t>
  </si>
  <si>
    <t>Replaced with SUM formulas over live NOI detail rows.</t>
  </si>
  <si>
    <t>Register totals now calculate live.</t>
  </si>
  <si>
    <t>Cross-check against portfolio rollup inclusion logic if the register is meant to be scoped.</t>
  </si>
  <si>
    <t>CL-007</t>
  </si>
  <si>
    <t>Formatting Fix</t>
  </si>
  <si>
    <t>00_PORTFOLIO SUMMARY!C5</t>
  </si>
  <si>
    <t>Current year formula displayed as an Excel serial date.</t>
  </si>
  <si>
    <t>Changed number format to year/number display.</t>
  </si>
  <si>
    <t>Presentation only.</t>
  </si>
  <si>
    <t>None.</t>
  </si>
  <si>
    <t>CL-008</t>
  </si>
  <si>
    <t>00_PORTFOLIO ROLLUP!C72</t>
  </si>
  <si>
    <t>GAV label referenced rollup toggle instead of cap-rate assumption.</t>
  </si>
  <si>
    <t>Changed label to reference Exit Cap Rate and format as %.</t>
  </si>
  <si>
    <t>Presentation only; GAV formulas unchanged.</t>
  </si>
  <si>
    <t>CL-009</t>
  </si>
  <si>
    <t>00_PORTFOLIO ROLLUP!C79,E79:Y79,C86,E86:Y86</t>
  </si>
  <si>
    <t>Yield labels/markers referenced wrong cells.</t>
  </si>
  <si>
    <t>Changed labels and STAB. YR. markers to reference stabilization year assumption.</t>
  </si>
  <si>
    <t>Presentation only; yield formulas unchanged.</t>
  </si>
  <si>
    <t>CL-010</t>
  </si>
  <si>
    <t>00_PORTFOLIO ROLLUP!E60:Y60,E75:Y75</t>
  </si>
  <si>
    <t>Refi marker rows referenced payout ratio instead of actual event rows.</t>
  </si>
  <si>
    <t>Changed markers to flag when balloon, loan proceeds, or net refi/gap rows are non-zero.</t>
  </si>
  <si>
    <t>Presentation only; underlying refi rows unchanged.</t>
  </si>
  <si>
    <t>Later separate residual funding gaps from equity-return language.</t>
  </si>
  <si>
    <t>CL-011</t>
  </si>
  <si>
    <t>Control Fix</t>
  </si>
  <si>
    <t>00_PORTFOLIO SUMMARY!C5; 00_MODEL_CONTROL!B31</t>
  </si>
  <si>
    <t>Current year used volatile TODAY() and displayed as a serial date.</t>
  </si>
  <si>
    <t>Moved selected current year to an explicit control input and linked the summary output to it.</t>
  </si>
  <si>
    <t>Controls display-year selection only; formulas remain live off the selected year.</t>
  </si>
  <si>
    <t>Change B31 if a different current-year test is required.</t>
  </si>
  <si>
    <t>CL-012</t>
  </si>
  <si>
    <t>Platform Architecture</t>
  </si>
  <si>
    <t>No platform architecture layer existed.</t>
  </si>
  <si>
    <t>Added platform index and model-layer map.</t>
  </si>
  <si>
    <t>Documentation/governance only.</t>
  </si>
  <si>
    <t>CL-013</t>
  </si>
  <si>
    <t>Intake Architecture</t>
  </si>
  <si>
    <t>STG_SOURCE_INTAKE</t>
  </si>
  <si>
    <t>Future NGO/Yardi files had no intake log.</t>
  </si>
  <si>
    <t>Added source intake register.</t>
  </si>
  <si>
    <t>No model output change.</t>
  </si>
  <si>
    <t>CL-014</t>
  </si>
  <si>
    <t>Mapping Architecture</t>
  </si>
  <si>
    <t>MAP_FIELD_MAPPING</t>
  </si>
  <si>
    <t>No field mapping layer existed.</t>
  </si>
  <si>
    <t>Added source-to-canonical field map.</t>
  </si>
  <si>
    <t>CL-015</t>
  </si>
  <si>
    <t>Data Architecture</t>
  </si>
  <si>
    <t>DATA_PROPERTY_MASTER</t>
  </si>
  <si>
    <t>Property identity was spread across tabs.</t>
  </si>
  <si>
    <t>Added live canonical property master.</t>
  </si>
  <si>
    <t>Live links; assumptions unchanged.</t>
  </si>
  <si>
    <t>CL-016</t>
  </si>
  <si>
    <t>DATA_DEBT_MASTER</t>
  </si>
  <si>
    <t>Debt profile was not normalized.</t>
  </si>
  <si>
    <t>Added live canonical debt master.</t>
  </si>
  <si>
    <t>CL-017</t>
  </si>
  <si>
    <t>Model Architecture</t>
  </si>
  <si>
    <t>DATA_METRIC_LONG</t>
  </si>
  <si>
    <t>Outputs were property-tab driven.</t>
  </si>
  <si>
    <t>Added live long-format property-year-metric table for key years.</t>
  </si>
  <si>
    <t>No intended output change.</t>
  </si>
  <si>
    <t>CL-018</t>
  </si>
  <si>
    <t>Checks</t>
  </si>
  <si>
    <t>No platform-readiness checks existed.</t>
  </si>
  <si>
    <t>Added live checks for platform migration.</t>
  </si>
  <si>
    <t>Flags open migration items.</t>
  </si>
  <si>
    <t>CL-019</t>
  </si>
  <si>
    <t>OUT_PLATFORM_READINESS</t>
  </si>
  <si>
    <t>No readiness dashboard existed.</t>
  </si>
  <si>
    <t>Added live platform-readiness dashboard.</t>
  </si>
  <si>
    <t>CL-020</t>
  </si>
  <si>
    <t>Calculation Control</t>
  </si>
  <si>
    <t>Workbook calculation settings</t>
  </si>
  <si>
    <t>New sheets contain formulas.</t>
  </si>
  <si>
    <t>Confirmed automatic full recalculation on open.</t>
  </si>
  <si>
    <t>Keeps formulas live.</t>
  </si>
  <si>
    <t>CL-021</t>
  </si>
  <si>
    <t>DATA_ASSET_CLASSIFICATION</t>
  </si>
  <si>
    <t>No single authoritative asset-classification table existed.</t>
  </si>
  <si>
    <t>Added live authoritative classification table for Excluded / Stable / Refi Watch / Workout / New Build.</t>
  </si>
  <si>
    <t>No assumption changes; classification is formula-linked to existing model data.</t>
  </si>
  <si>
    <t>Use as single source of truth for classification.</t>
  </si>
  <si>
    <t>CL-022</t>
  </si>
  <si>
    <t>Formula Link</t>
  </si>
  <si>
    <t>00_PORTFOLIO SUMMARY!C10:C26</t>
  </si>
  <si>
    <t>Portfolio Summary classified assets independently.</t>
  </si>
  <si>
    <t>Redirected Bucket column to Final Classification from DATA_ASSET_CLASSIFICATION.</t>
  </si>
  <si>
    <t>Output classification now uses single source of truth.</t>
  </si>
  <si>
    <t>Do not hardcode classification in Summary.</t>
  </si>
  <si>
    <t>CL-023</t>
  </si>
  <si>
    <t>00_MODEL_CONTROL!F5:F21</t>
  </si>
  <si>
    <t>Model Control Summary Bucket was not authoritative.</t>
  </si>
  <si>
    <t>Linked Summary Bucket to DATA_ASSET_CLASSIFICATION final classification.</t>
  </si>
  <si>
    <t>Control sheet now uses classification authority.</t>
  </si>
  <si>
    <t>Use F for final classification.</t>
  </si>
  <si>
    <t>CL-024</t>
  </si>
  <si>
    <t>00_PORTFOLIO_REGISTER!J5:J21</t>
  </si>
  <si>
    <t>Register Bucket was hardcoded manual text and remained a second source.</t>
  </si>
  <si>
    <t>Replaced manual bucket text with formula pulling final classification and mapping it to controlled register buckets.</t>
  </si>
  <si>
    <t>Register now follows authority table; no model assumptions changed.</t>
  </si>
  <si>
    <t>Protect from manual overwrite.</t>
  </si>
  <si>
    <t>CL-025</t>
  </si>
  <si>
    <t>DATA_ASSET_CLASSIFICATION!AA7:AB13</t>
  </si>
  <si>
    <t>Register bucket mapping was embedded in text rather than governed.</t>
  </si>
  <si>
    <t>Added visible classification-to-register-bucket mapping table used by Register formulas.</t>
  </si>
  <si>
    <t>Improves auditability; classification values stay live.</t>
  </si>
  <si>
    <t>Edit mapping table only if bucket taxonomy changes.</t>
  </si>
  <si>
    <t>CL-MVP-001</t>
  </si>
  <si>
    <t>2026-07-10</t>
  </si>
  <si>
    <t>MVP Extraction</t>
  </si>
  <si>
    <t>Workbook</t>
  </si>
  <si>
    <t>Previous MVP template did not preserve v12 build rules, colour coding, live calculations, or change log sufficiently.</t>
  </si>
  <si>
    <t>Rebuilt as a clean v12-aligned template with Business Rules, input-control map, source log, canonical DATA tabs, formulas, quality checks, and readiness output.</t>
  </si>
  <si>
    <t>Architecture and presentation only; formulas remain live.</t>
  </si>
  <si>
    <t>Use this v0.2 template for Uygar handoff.</t>
  </si>
  <si>
    <t>CL-MVP-002</t>
  </si>
  <si>
    <t>MVP scope needed to be clearly separated from investor dashboard scope.</t>
  </si>
  <si>
    <t>Added MVP-specific rules while preserving original v12 business-rule excerpt.</t>
  </si>
  <si>
    <t>Documentation only.</t>
  </si>
  <si>
    <t>Keep this sheet as first-read tab.</t>
  </si>
  <si>
    <t>CL-MVP-003</t>
  </si>
  <si>
    <t>Input Control</t>
  </si>
  <si>
    <t>INPUT_CONTROL_MAP; DATA_*</t>
  </si>
  <si>
    <t>Writable versus generated cells needed to match v12 colour discipline.</t>
  </si>
  <si>
    <t>Applied blue input zones, purple generated bridge cells, orange review flags, green output, grey legacy/reference indicators.</t>
  </si>
  <si>
    <t>Improves auditability; no calculation logic change.</t>
  </si>
  <si>
    <t>Use blue cells for analyst/AI input.</t>
  </si>
  <si>
    <t>CL-MVP-004</t>
  </si>
  <si>
    <t>Live Calculation</t>
  </si>
  <si>
    <t>DATA_METRIC_LONG; DATA_QUALITY_CHECKS; OUT_STAGE1_READINESS_SNAPSHOT</t>
  </si>
  <si>
    <t>Output needed to be formula-driven, not static.</t>
  </si>
  <si>
    <t>Added live formulas for property count, included count, units, new projects, source flags, revenue, expenses, NOI, debt service, AFFO, DSCR, and readiness status.</t>
  </si>
  <si>
    <t>Output updates when input tabs change.</t>
  </si>
  <si>
    <t>Review formulas before digital translation.</t>
  </si>
  <si>
    <t>CL-MVP-005</t>
  </si>
  <si>
    <t>Source Conflict</t>
  </si>
  <si>
    <t>Port Moody unit count remains 245 vs 328.</t>
  </si>
  <si>
    <t>Added explicit unresolved issue flag for Port Moody.</t>
  </si>
  <si>
    <t>Does not change final source assumption; flag remains open.</t>
  </si>
  <si>
    <t>Open</t>
  </si>
  <si>
    <t>Confirm with ENF before final demo.</t>
  </si>
  <si>
    <t>v0.3</t>
  </si>
  <si>
    <t>Fixed omission</t>
  </si>
  <si>
    <t>Restored legacy mortgage principal/rate/amortization/source annual debt service from v12/v0.1 extraction for included existing properties.</t>
  </si>
  <si>
    <t>Kelly review / ChatGPT</t>
  </si>
  <si>
    <t>OpenAI</t>
  </si>
  <si>
    <t>High</t>
  </si>
  <si>
    <t>Completed</t>
  </si>
  <si>
    <t>Corrects DSCR/AFFO blind spot.</t>
  </si>
  <si>
    <t>Formula control</t>
  </si>
  <si>
    <t>Tightened QC-MVP-006 to count included rows still marked Partial instead of passing when any debt row is Ready.</t>
  </si>
  <si>
    <t>Prevents silent debt completeness gaps.</t>
  </si>
  <si>
    <t>_LISTS / validations</t>
  </si>
  <si>
    <t>Control structure</t>
  </si>
  <si>
    <t>Reintroduced controlled vocabulary lists and data validation for key blue/status fields.</t>
  </si>
  <si>
    <t>Medium</t>
  </si>
  <si>
    <t>Creates authoritative enum/dropdown source for engineer.</t>
  </si>
  <si>
    <t>Business Rules / 00_PLATFORM_INDEX</t>
  </si>
  <si>
    <t>Documentation</t>
  </si>
  <si>
    <t>Added explicit workbook-level note that the file combines template structure and NGO B / ENF demo seed data.</t>
  </si>
  <si>
    <t>Clarifies demo rows are not fixed platform shape.</t>
  </si>
  <si>
    <t>Renamed column D to Live Formula Mirror and documented that plain-English calculations belong in CALC_RULES/Notes.</t>
  </si>
  <si>
    <t>Low</t>
  </si>
  <si>
    <t>Avoids engineer confusion.</t>
  </si>
  <si>
    <t>38</t>
  </si>
  <si>
    <t>v0.4</t>
  </si>
  <si>
    <t>DATA_QUALITY_CHECKS!C7:E7</t>
  </si>
  <si>
    <t>QC-MVP-001 type mismatch risk</t>
  </si>
  <si>
    <t>Changed expected property count to numeric 17 and made the status formula compare D7 against VALUE(C7), so the row-count check does not show REVIEW because of text-vs-number typing.</t>
  </si>
  <si>
    <t>No calculation logic change; prevents a false REVIEW flag on a clean property count.</t>
  </si>
  <si>
    <t>Use v0.4 for Uygar handoff.</t>
  </si>
  <si>
    <t>00_PLATFORM_INDEX — IREI MVP v1 Build Map</t>
  </si>
  <si>
    <t>Use this index to understand which tabs are inputs, generated bridge data, checks, and output. This preserves the v12 layer logic in a simplified MVP form.</t>
  </si>
  <si>
    <t>Layer</t>
  </si>
  <si>
    <t>Tab</t>
  </si>
  <si>
    <t>Role</t>
  </si>
  <si>
    <t>Edit rule</t>
  </si>
  <si>
    <t>Feeds / Uses</t>
  </si>
  <si>
    <t>MVP status</t>
  </si>
  <si>
    <t>Notes</t>
  </si>
  <si>
    <t>Business rules and colour-code standard</t>
  </si>
  <si>
    <t>Read only except rule updates</t>
  </si>
  <si>
    <t>All tabs</t>
  </si>
  <si>
    <t>Required</t>
  </si>
  <si>
    <t>Start here.</t>
  </si>
  <si>
    <t>Audit trail</t>
  </si>
  <si>
    <t>Update on every revision</t>
  </si>
  <si>
    <t>Workbook governance</t>
  </si>
  <si>
    <t>Preserved from v12 plus MVP changes.</t>
  </si>
  <si>
    <t>Where analyst/AI may write</t>
  </si>
  <si>
    <t>Read before editing</t>
  </si>
  <si>
    <t>All DATA tabs</t>
  </si>
  <si>
    <t>Defines blue cells.</t>
  </si>
  <si>
    <t>Source intake</t>
  </si>
  <si>
    <t>Source file log</t>
  </si>
  <si>
    <t>Blue input</t>
  </si>
  <si>
    <t>Data confidence / source hierarchy</t>
  </si>
  <si>
    <t>Tapestry and v12 logged.</t>
  </si>
  <si>
    <t>Mapping</t>
  </si>
  <si>
    <t>Source-to-canonical mapping</t>
  </si>
  <si>
    <t>Review/update as needed</t>
  </si>
  <si>
    <t>Orange/Purple</t>
  </si>
  <si>
    <t>Digital build schema</t>
  </si>
  <si>
    <t>Shows future platform fields.</t>
  </si>
  <si>
    <t>Canonical data</t>
  </si>
  <si>
    <t>One row per property/project</t>
  </si>
  <si>
    <t>Blue input + purple generated checks</t>
  </si>
  <si>
    <t>Blue/Purple</t>
  </si>
  <si>
    <t>Metrics and snapshot</t>
  </si>
  <si>
    <t>v12 property list extracted.</t>
  </si>
  <si>
    <t>DATA_UNIT_MIX</t>
  </si>
  <si>
    <t>Unit mix and affordability bands</t>
  </si>
  <si>
    <t>Affordability metrics</t>
  </si>
  <si>
    <t>Blank/template + demo-ready.</t>
  </si>
  <si>
    <t>DATA_OPERATING_ACTUALS</t>
  </si>
  <si>
    <t>Operating budgets/actuals/projections</t>
  </si>
  <si>
    <t>Financial metrics</t>
  </si>
  <si>
    <t>Keep line items standardized.</t>
  </si>
  <si>
    <t>Debt/mortgage/financing records</t>
  </si>
  <si>
    <t>Blue input + formula checks</t>
  </si>
  <si>
    <t>DSCR / debt snapshot</t>
  </si>
  <si>
    <t>New project assumptions can use Tapestry.</t>
  </si>
  <si>
    <t>DATA_CASH_RESERVES</t>
  </si>
  <si>
    <t>Cash/reserve availability</t>
  </si>
  <si>
    <t>Readiness flags</t>
  </si>
  <si>
    <t>Restricted cash remains review item.</t>
  </si>
  <si>
    <t>DATA_AGREEMENTS</t>
  </si>
  <si>
    <t>Agreements/covenants/restrictions</t>
  </si>
  <si>
    <t>Mission/restriction review</t>
  </si>
  <si>
    <t>Required placeholder</t>
  </si>
  <si>
    <t>May be incomplete in MVP.</t>
  </si>
  <si>
    <t>DATA_CAPITAL_NEEDS</t>
  </si>
  <si>
    <t>Capital needs / repairs</t>
  </si>
  <si>
    <t>Risk/readiness flags</t>
  </si>
  <si>
    <t>Review layer</t>
  </si>
  <si>
    <t>Unresolved issues and reviewer notes</t>
  </si>
  <si>
    <t>Orange review cells</t>
  </si>
  <si>
    <t>Quality checks / snapshot</t>
  </si>
  <si>
    <t>Do not hide uncertainty.</t>
  </si>
  <si>
    <t>Calculation layer</t>
  </si>
  <si>
    <t>Live long-format metrics</t>
  </si>
  <si>
    <t>Formula-driven</t>
  </si>
  <si>
    <t>Black/Purple</t>
  </si>
  <si>
    <t>Snapshot</t>
  </si>
  <si>
    <t>Simplified v12 metric logic.</t>
  </si>
  <si>
    <t>Quality layer</t>
  </si>
  <si>
    <t>Live checks and status</t>
  </si>
  <si>
    <t>Open items are roadmap/checks.</t>
  </si>
  <si>
    <t>BUILD NOTE</t>
  </si>
  <si>
    <t>Workbook-level instruction</t>
  </si>
  <si>
    <t>Template + demo combined</t>
  </si>
  <si>
    <t>The 17 NGO B / ENF rows are demo seed data only. Digital product must treat the DATA_* tabs as reusable template structures, not fixed ENF-only tables.</t>
  </si>
  <si>
    <t>INPUT_CONTROL_MAP — MVP v1 analyst / AI write map</t>
  </si>
  <si>
    <t>Rule: blue cells are writable input zones. Black/no fill cells are formulas. Purple = generated bridge data. Orange = review/assumption. Green = output. Grey = legacy/reference.</t>
  </si>
  <si>
    <t>Zone</t>
  </si>
  <si>
    <t>Range / Columns</t>
  </si>
  <si>
    <t>Field / Purpose</t>
  </si>
  <si>
    <t>Write Permission</t>
  </si>
  <si>
    <t>Table Exists?</t>
  </si>
  <si>
    <t>Feeds To</t>
  </si>
  <si>
    <t>PRIMARY INPUT</t>
  </si>
  <si>
    <t>A7:J206</t>
  </si>
  <si>
    <t>Source file log: file name, version, role, source priority, review status</t>
  </si>
  <si>
    <t>Human / AI may write blue cells</t>
  </si>
  <si>
    <t>Yes</t>
  </si>
  <si>
    <t>SOURCE_LOG and readiness snapshot</t>
  </si>
  <si>
    <t>First place to document NGO package.</t>
  </si>
  <si>
    <t>A7:J206; N:Q</t>
  </si>
  <si>
    <t>Property identity, status, units, source confidence, notes</t>
  </si>
  <si>
    <t>DATA_METRIC_LONG; snapshot</t>
  </si>
  <si>
    <t>In v12 this was generated; in MVP template this is the primary property-entry table.</t>
  </si>
  <si>
    <t>A7:O206</t>
  </si>
  <si>
    <t>Unit mix / affordability bands / rent categories</t>
  </si>
  <si>
    <t>Mission/affordability metrics</t>
  </si>
  <si>
    <t>May remain partial for MVP.</t>
  </si>
  <si>
    <t>DATA_RENT_ROLL</t>
  </si>
  <si>
    <t>A7:M206</t>
  </si>
  <si>
    <t>Rent roll / unit group rent detail</t>
  </si>
  <si>
    <t>Future rent engine</t>
  </si>
  <si>
    <t>Optional for MVP if operating forecast is enough.</t>
  </si>
  <si>
    <t>A7:M306</t>
  </si>
  <si>
    <t>Operating budgets/actuals by property-year-line item</t>
  </si>
  <si>
    <t>Financial snapshot</t>
  </si>
  <si>
    <t>Core MVP input.</t>
  </si>
  <si>
    <t>Debt, mortgage, financing, annual debt service</t>
  </si>
  <si>
    <t>Human / AI may write blue cells; formula checks in generated columns</t>
  </si>
  <si>
    <t>DSCR/debt metrics</t>
  </si>
  <si>
    <t>Use Tapestry for four new/future projects.</t>
  </si>
  <si>
    <t>A7:L206</t>
  </si>
  <si>
    <t>Opening/closing cash, restricted/unrestricted, reserve availability</t>
  </si>
  <si>
    <t>Readiness flags and cash metrics</t>
  </si>
  <si>
    <t>Restricted cash can remain unknown.</t>
  </si>
  <si>
    <t>A7:N206</t>
  </si>
  <si>
    <t>Operating agreements, covenants, affordability and refinance restrictions</t>
  </si>
  <si>
    <t>Placeholder acceptable in MVP.</t>
  </si>
  <si>
    <t>Capital repairs, reserves, deferred maintenance, funded/unfunded amount</t>
  </si>
  <si>
    <t>Capital needs readiness</t>
  </si>
  <si>
    <t>CONTROLLED REVIEW</t>
  </si>
  <si>
    <t>Assumptions, source conflicts, unresolved issues, reviewer notes</t>
  </si>
  <si>
    <t>Human / AI may write orange review cells</t>
  </si>
  <si>
    <t>Quality checks and snapshot</t>
  </si>
  <si>
    <t>Every override/conflict must be logged.</t>
  </si>
  <si>
    <t>GENERATED DATA</t>
  </si>
  <si>
    <t>A7:H100</t>
  </si>
  <si>
    <t>Standardized metrics calculated from DATA tabs</t>
  </si>
  <si>
    <t>Do not manually edit formula cells</t>
  </si>
  <si>
    <t>Live formulas translate source data into IREI metrics.</t>
  </si>
  <si>
    <t>QUALITY CONTROL</t>
  </si>
  <si>
    <t>A7:G100</t>
  </si>
  <si>
    <t>Live MVP checks</t>
  </si>
  <si>
    <t>Snapshot readiness statuses</t>
  </si>
  <si>
    <t>Open items may be legitimate roadmap items.</t>
  </si>
  <si>
    <t>OUTPUT</t>
  </si>
  <si>
    <t>A1:K45</t>
  </si>
  <si>
    <t>One-page MVP outcome</t>
  </si>
  <si>
    <t>Do not manually edit formulas</t>
  </si>
  <si>
    <t>MVP demonstration output</t>
  </si>
  <si>
    <t>This is the outcome page for Uygar to reproduce digitally.</t>
  </si>
  <si>
    <t>LEGACY REFERENCE</t>
  </si>
  <si>
    <t>NGO B v12 workbook</t>
  </si>
  <si>
    <t>External file</t>
  </si>
  <si>
    <t>Business logic prototype and original calculation engine</t>
  </si>
  <si>
    <t>Build logic reference</t>
  </si>
  <si>
    <t>Do not build the digital product directly from v12.</t>
  </si>
  <si>
    <t>STG_SOURCE_INTAKE — Source Package Log</t>
  </si>
  <si>
    <t>Blue cells are writable. Log source files before entering data. Source hierarchy matters for auditability.</t>
  </si>
  <si>
    <t>Source_ID</t>
  </si>
  <si>
    <t>File / Source Name</t>
  </si>
  <si>
    <t>Source Type</t>
  </si>
  <si>
    <t>Version / Date</t>
  </si>
  <si>
    <t>Priority</t>
  </si>
  <si>
    <t>Used For</t>
  </si>
  <si>
    <t>Review Status</t>
  </si>
  <si>
    <t>Owner</t>
  </si>
  <si>
    <t>Supersedes / Related</t>
  </si>
  <si>
    <t>SRC-001</t>
  </si>
  <si>
    <t>NGO_B_Modeling_2026-07-07 Structural change v12 final(2).xlsx</t>
  </si>
  <si>
    <t>IREI prototype workbook</t>
  </si>
  <si>
    <t>Reference / architecture</t>
  </si>
  <si>
    <t>Business logic, property structure, DATA/OUT layer pattern</t>
  </si>
  <si>
    <t>Reviewed for MVP extraction</t>
  </si>
  <si>
    <t>Kelly / IREI</t>
  </si>
  <si>
    <t>Use as source workbook, not as digital build architecture.</t>
  </si>
  <si>
    <t>Earlier v12 working model</t>
  </si>
  <si>
    <t>SRC-002</t>
  </si>
  <si>
    <t>260707 ENFHS 800 CD Tapestry Financial Model v.7.xlsx</t>
  </si>
  <si>
    <t>ENF / Tapestry source model</t>
  </si>
  <si>
    <t>Primary demo source</t>
  </si>
  <si>
    <t>Latest ENF assumptions for demonstration case</t>
  </si>
  <si>
    <t>Partial review</t>
  </si>
  <si>
    <t>Primary source where it supersedes generic NGO B assumptions.</t>
  </si>
  <si>
    <t>Earlier generic assumptions</t>
  </si>
  <si>
    <t>SRC-003</t>
  </si>
  <si>
    <t>260707 ENFHS Building Amortization and Mortgage Schedule v.4.xlsx</t>
  </si>
  <si>
    <t>Debt schedule</t>
  </si>
  <si>
    <t>Supporting debt detail</t>
  </si>
  <si>
    <t>Principal/interest timing, amortization, mortgage schedule</t>
  </si>
  <si>
    <t>Use for debt timing where Tapestry needs support.</t>
  </si>
  <si>
    <t>Debt assumptions in v12</t>
  </si>
  <si>
    <t>SRC-004</t>
  </si>
  <si>
    <t>260707 ENFHS 10 YR FINANCIAL PROJECT BOND VERSION V. 15.xlsx</t>
  </si>
  <si>
    <t>Project bond model</t>
  </si>
  <si>
    <t>Supporting reference</t>
  </si>
  <si>
    <t>Project/bond/cash flow context</t>
  </si>
  <si>
    <t>Reference only unless source hierarchy says otherwise.</t>
  </si>
  <si>
    <t>Tapestry detail</t>
  </si>
  <si>
    <t>SRC-005</t>
  </si>
  <si>
    <t>ENF confirmation email</t>
  </si>
  <si>
    <t>External confirmation</t>
  </si>
  <si>
    <t>Pending</t>
  </si>
  <si>
    <t>Targeted confirmation only</t>
  </si>
  <si>
    <t>Port Moody 245 vs 328 unit count</t>
  </si>
  <si>
    <t>ENF</t>
  </si>
  <si>
    <t>Ask only targeted question; do not ask ENF to rebuild model.</t>
  </si>
  <si>
    <t>Source conflict flag</t>
  </si>
  <si>
    <t>MAP_FIELD_MAPPING — Source to Canonical MVP Fields</t>
  </si>
  <si>
    <t>Shows how NGO source material maps into the simplified digital MVP template. Purple rows are generated/structured fields; orange rows require review.</t>
  </si>
  <si>
    <t>Map_ID</t>
  </si>
  <si>
    <t>Source / Document Field</t>
  </si>
  <si>
    <t>Canonical Tab</t>
  </si>
  <si>
    <t>Canonical Field</t>
  </si>
  <si>
    <t>Required for MVP?</t>
  </si>
  <si>
    <t>Current MVP Source</t>
  </si>
  <si>
    <t>MAP-001</t>
  </si>
  <si>
    <t>Property name / project name</t>
  </si>
  <si>
    <t>Property_Name</t>
  </si>
  <si>
    <t>NGO B v12 property master</t>
  </si>
  <si>
    <t>Live</t>
  </si>
  <si>
    <t>One row per property/project.</t>
  </si>
  <si>
    <t>MAP-002</t>
  </si>
  <si>
    <t>Property ID / tab ID</t>
  </si>
  <si>
    <t>Property_ID</t>
  </si>
  <si>
    <t>NGO B v12</t>
  </si>
  <si>
    <t>Preserves v12 BLD_* identifiers for traceability.</t>
  </si>
  <si>
    <t>MAP-003</t>
  </si>
  <si>
    <t>Included / excluded scope</t>
  </si>
  <si>
    <t>Included?</t>
  </si>
  <si>
    <t>v12 model control</t>
  </si>
  <si>
    <t>Alma Blackwell remains excluded unless changed.</t>
  </si>
  <si>
    <t>MAP-004</t>
  </si>
  <si>
    <t>Unit count</t>
  </si>
  <si>
    <t>Modeled_Unit_Count</t>
  </si>
  <si>
    <t>v12 + Tapestry where updated</t>
  </si>
  <si>
    <t>Review</t>
  </si>
  <si>
    <t>Port Moody 245 vs 328 unresolved; 800 Commercial source update should be documented.</t>
  </si>
  <si>
    <t>MAP-005</t>
  </si>
  <si>
    <t>Affordability / unit bands</t>
  </si>
  <si>
    <t>Affordability_Band; Unit_Count</t>
  </si>
  <si>
    <t>Yes, if available</t>
  </si>
  <si>
    <t>Tapestry / rent roll / NGO data</t>
  </si>
  <si>
    <t>Partial</t>
  </si>
  <si>
    <t>Can be partial in MVP.</t>
  </si>
  <si>
    <t>MAP-006</t>
  </si>
  <si>
    <t>Operating budget / actuals</t>
  </si>
  <si>
    <t>IREI_Category; Amount</t>
  </si>
  <si>
    <t>Tapestry / budgets</t>
  </si>
  <si>
    <t>Core financial snapshot input.</t>
  </si>
  <si>
    <t>MAP-007</t>
  </si>
  <si>
    <t>Mortgage / debt schedule</t>
  </si>
  <si>
    <t>Principal; Rate; Amortization; Debt Service</t>
  </si>
  <si>
    <t>Tapestry + amortization schedule</t>
  </si>
  <si>
    <t>Use latest Tapestry assumptions for four projects.</t>
  </si>
  <si>
    <t>MAP-008</t>
  </si>
  <si>
    <t>Cash balance / reserves</t>
  </si>
  <si>
    <t>Restricted / unrestricted / available flags</t>
  </si>
  <si>
    <t>Tapestry / financials</t>
  </si>
  <si>
    <t>Restricted cash may remain unknown.</t>
  </si>
  <si>
    <t>MAP-009</t>
  </si>
  <si>
    <t>Capital plan / BCA</t>
  </si>
  <si>
    <t>Estimated cost; timing; funded status</t>
  </si>
  <si>
    <t>Placeholder</t>
  </si>
  <si>
    <t>Not fully available</t>
  </si>
  <si>
    <t>MVP should flag the gap, not hide it.</t>
  </si>
  <si>
    <t>MAP-010</t>
  </si>
  <si>
    <t>Operating agreements / covenants</t>
  </si>
  <si>
    <t>Restriction fields</t>
  </si>
  <si>
    <t>Not fully reviewed</t>
  </si>
  <si>
    <t>Mission/restriction review remains partial.</t>
  </si>
  <si>
    <t>MAP-011</t>
  </si>
  <si>
    <t>Quality checks</t>
  </si>
  <si>
    <t>Formulas</t>
  </si>
  <si>
    <t>Calculates from source logs and flags.</t>
  </si>
  <si>
    <t>MAP-012</t>
  </si>
  <si>
    <t>Readiness outcome</t>
  </si>
  <si>
    <t>Overall status</t>
  </si>
  <si>
    <t>MVP final output.</t>
  </si>
  <si>
    <t>DATA_PROPERTY_MASTER — MVP Property / Project Master</t>
  </si>
  <si>
    <t>Blue cells are analyst/AI input. Purple columns are generated checks. Extracted from NGO B v12 and simplified for the MVP template.</t>
  </si>
  <si>
    <t>City</t>
  </si>
  <si>
    <t>Final Classification</t>
  </si>
  <si>
    <t>Register Bucket Mapping</t>
  </si>
  <si>
    <t>Total Units</t>
  </si>
  <si>
    <t>Modeled Unit Count</t>
  </si>
  <si>
    <t>Alternate Unit Count</t>
  </si>
  <si>
    <t>Unit Conflict?</t>
  </si>
  <si>
    <t>Start Year</t>
  </si>
  <si>
    <t>Lender / Program</t>
  </si>
  <si>
    <t>Source Confidence</t>
  </si>
  <si>
    <t>Source Document ID</t>
  </si>
  <si>
    <t>Review Note</t>
  </si>
  <si>
    <t>Data Status</t>
  </si>
  <si>
    <t>BLD_AB</t>
  </si>
  <si>
    <t>Alma Blackwell</t>
  </si>
  <si>
    <t>Vancouver</t>
  </si>
  <si>
    <t>Active</t>
  </si>
  <si>
    <t>Excluded</t>
  </si>
  <si>
    <t>Bucket 0 · Excluded</t>
  </si>
  <si>
    <t>N/A</t>
  </si>
  <si>
    <t>BLD_AC</t>
  </si>
  <si>
    <t>Antkiw Court</t>
  </si>
  <si>
    <t>Stable</t>
  </si>
  <si>
    <t>Bucket 2 · Legacy</t>
  </si>
  <si>
    <t>BCHMC/NPAT</t>
  </si>
  <si>
    <t>BLD_BT</t>
  </si>
  <si>
    <t>Beatrice Terrace</t>
  </si>
  <si>
    <t>BLD_CH</t>
  </si>
  <si>
    <t>Capilano House</t>
  </si>
  <si>
    <t>DNV</t>
  </si>
  <si>
    <t>BLD_CC</t>
  </si>
  <si>
    <t>Constance Court</t>
  </si>
  <si>
    <t>Refi Watch</t>
  </si>
  <si>
    <t>BCHMC</t>
  </si>
  <si>
    <t>BLD_EA</t>
  </si>
  <si>
    <t>Evergreen Apartments</t>
  </si>
  <si>
    <t>New Westminster</t>
  </si>
  <si>
    <t>Vancity</t>
  </si>
  <si>
    <t>BLD_EE</t>
  </si>
  <si>
    <t>Evelyn Estates</t>
  </si>
  <si>
    <t>Surrey</t>
  </si>
  <si>
    <t>BLD_JP</t>
  </si>
  <si>
    <t>Jessica Place</t>
  </si>
  <si>
    <t>BLD_MH</t>
  </si>
  <si>
    <t>Margaret Heights</t>
  </si>
  <si>
    <t>CNV</t>
  </si>
  <si>
    <t>BLD_MM</t>
  </si>
  <si>
    <t>Murray Manor</t>
  </si>
  <si>
    <t>Burnaby</t>
  </si>
  <si>
    <t>BLD_NT</t>
  </si>
  <si>
    <t>Natalia Terrace</t>
  </si>
  <si>
    <t>BLD_NG</t>
  </si>
  <si>
    <t>Newton Green</t>
  </si>
  <si>
    <t>CMLS</t>
  </si>
  <si>
    <t>BLD_RG</t>
  </si>
  <si>
    <t>Rosemary Green</t>
  </si>
  <si>
    <t>Peoples Group</t>
  </si>
  <si>
    <t>BLD_AS</t>
  </si>
  <si>
    <t>1656 Adanac Street</t>
  </si>
  <si>
    <t>New Dev</t>
  </si>
  <si>
    <t>New Build</t>
  </si>
  <si>
    <t>Bucket 1 · New Build</t>
  </si>
  <si>
    <t>BCH CHF</t>
  </si>
  <si>
    <t>BLD_PS</t>
  </si>
  <si>
    <t>450 Pacific Street</t>
  </si>
  <si>
    <t>BLD_PM</t>
  </si>
  <si>
    <t>The Creek, Port Moody</t>
  </si>
  <si>
    <t>Port Moody</t>
  </si>
  <si>
    <t>CMHC</t>
  </si>
  <si>
    <t>Conflict</t>
  </si>
  <si>
    <t>Port Moody source conflict: v12 shows 328; Tapestry/ENF appears to show 245 modeled rental units. Confirm with ENF.</t>
  </si>
  <si>
    <t>BLD_CD</t>
  </si>
  <si>
    <t>800 Commercial Drive</t>
  </si>
  <si>
    <t>Tapestry/ENF appears to show 108 total units / 107 residential + 1 commercial; v12 shows 93. Use source hierarchy before final demo.</t>
  </si>
  <si>
    <t>DATA_UNIT_MIX — Unit Mix / Affordability Inputs</t>
  </si>
  <si>
    <t>Blue cells are writable input zones. This tab mirrors v12 canonical input logic and remains separate from live calculations until mapped.</t>
  </si>
  <si>
    <t>Record_ID</t>
  </si>
  <si>
    <t>Unit_Group_ID</t>
  </si>
  <si>
    <t>Bedroom_Type</t>
  </si>
  <si>
    <t>Unit_Type</t>
  </si>
  <si>
    <t>Affordability_Band</t>
  </si>
  <si>
    <t>Unit_Count</t>
  </si>
  <si>
    <t>Affordable_Units</t>
  </si>
  <si>
    <t>Market_Units</t>
  </si>
  <si>
    <t>Supportive_Units</t>
  </si>
  <si>
    <t>Avg_Current_Rent</t>
  </si>
  <si>
    <t>Avg_Market_Rent</t>
  </si>
  <si>
    <t>Source_File_ID</t>
  </si>
  <si>
    <t>Review_Status</t>
  </si>
  <si>
    <t>UM-001</t>
  </si>
  <si>
    <t>CD-Deep</t>
  </si>
  <si>
    <t>Mixed</t>
  </si>
  <si>
    <t>Residential</t>
  </si>
  <si>
    <t>Deep Subsidy</t>
  </si>
  <si>
    <t>UM-002</t>
  </si>
  <si>
    <t>CD-Subsidy</t>
  </si>
  <si>
    <t>Subsidized</t>
  </si>
  <si>
    <t>UM-003</t>
  </si>
  <si>
    <t>CD-Market</t>
  </si>
  <si>
    <t>Market</t>
  </si>
  <si>
    <t>UM-004</t>
  </si>
  <si>
    <t>CD-Commercial</t>
  </si>
  <si>
    <t>Commercial</t>
  </si>
  <si>
    <t>UM-005</t>
  </si>
  <si>
    <t>PM-SourceConflict</t>
  </si>
  <si>
    <t>TBD</t>
  </si>
  <si>
    <t>Conflict: confirm 245 vs 328</t>
  </si>
  <si>
    <t>DATA_RENT_ROLL — Optional Rent Roll Detail</t>
  </si>
  <si>
    <t>Blue cells are writable. MVP v1 can work from operating forecast if detailed rent roll is unavailable.</t>
  </si>
  <si>
    <t>Rent_Record_Level</t>
  </si>
  <si>
    <t>Unit_ID_or_Group</t>
  </si>
  <si>
    <t>Tenant_Status</t>
  </si>
  <si>
    <t>Vacancy_Status</t>
  </si>
  <si>
    <t>Current_Monthly_Rent</t>
  </si>
  <si>
    <t>Market_Monthly_Rent</t>
  </si>
  <si>
    <t>DATA_OPERATING_ACTUALS — Operating Budgets / Actuals / Forecasts</t>
  </si>
  <si>
    <t>Blue cells are writable. Standardize source lines into IREI categories for live MVP metrics.</t>
  </si>
  <si>
    <t>Fiscal_Year</t>
  </si>
  <si>
    <t>Period</t>
  </si>
  <si>
    <t>Scenario</t>
  </si>
  <si>
    <t>Actual_Budget_Projection</t>
  </si>
  <si>
    <t>Source_Line_Item</t>
  </si>
  <si>
    <t>IREI_Category</t>
  </si>
  <si>
    <t>Amount</t>
  </si>
  <si>
    <t>Cash_or_Accrual</t>
  </si>
  <si>
    <t>OP-001</t>
  </si>
  <si>
    <t>PORTFOLIO</t>
  </si>
  <si>
    <t>Portfolio-level</t>
  </si>
  <si>
    <t>2026</t>
  </si>
  <si>
    <t>Annual</t>
  </si>
  <si>
    <t>Base</t>
  </si>
  <si>
    <t>Projection</t>
  </si>
  <si>
    <t>Total operating revenue</t>
  </si>
  <si>
    <t>Revenue</t>
  </si>
  <si>
    <t>Accrual</t>
  </si>
  <si>
    <t>Demo</t>
  </si>
  <si>
    <t>OP-002</t>
  </si>
  <si>
    <t>Total operating expenses</t>
  </si>
  <si>
    <t>Operating Expense</t>
  </si>
  <si>
    <t>OP-003</t>
  </si>
  <si>
    <t>Replacement reserve / reserve deduction</t>
  </si>
  <si>
    <t>Reserve Deduction</t>
  </si>
  <si>
    <t>DATA_DEBT_MASTER — Debt / Mortgage / Financing Inputs</t>
  </si>
  <si>
    <t>Blue cells are writable. Purple columns are formula checks. Use Tapestry / ENF for updated demo assumptions where it supersedes v12 generic assumptions.</t>
  </si>
  <si>
    <t>Debt_ID</t>
  </si>
  <si>
    <t>Debt_Type</t>
  </si>
  <si>
    <t>Principal_Amount</t>
  </si>
  <si>
    <t>Interest_Rate</t>
  </si>
  <si>
    <t>Term_Years</t>
  </si>
  <si>
    <t>Amortization_Years</t>
  </si>
  <si>
    <t>Annual_Principal_Calc</t>
  </si>
  <si>
    <t>Annual_Interest_Calc</t>
  </si>
  <si>
    <t>Annual_Debt_Service</t>
  </si>
  <si>
    <t>Source_Annual_Debt_Service</t>
  </si>
  <si>
    <t>Debt_Status</t>
  </si>
  <si>
    <t>DEBT-001</t>
  </si>
  <si>
    <t>Mortgage / Financing</t>
  </si>
  <si>
    <t>From v12 / review</t>
  </si>
  <si>
    <t>Excluded from analysis.</t>
  </si>
  <si>
    <t>DEBT-002</t>
  </si>
  <si>
    <t>From v12 Property Summary</t>
  </si>
  <si>
    <t>Legacy mortgage data restored from v12 / v0.1 extraction.</t>
  </si>
  <si>
    <t>DEBT-003</t>
  </si>
  <si>
    <t>DEBT-004</t>
  </si>
  <si>
    <t>No Debt / N/A</t>
  </si>
  <si>
    <t>No mortgage terms in v12 source extract; marked No Debt / N/A rather than missing.</t>
  </si>
  <si>
    <t>DEBT-005</t>
  </si>
  <si>
    <t>DEBT-006</t>
  </si>
  <si>
    <t>DEBT-007</t>
  </si>
  <si>
    <t>DEBT-008</t>
  </si>
  <si>
    <t>DEBT-009</t>
  </si>
  <si>
    <t>DEBT-010</t>
  </si>
  <si>
    <t>DEBT-011</t>
  </si>
  <si>
    <t>DEBT-012</t>
  </si>
  <si>
    <t>DEBT-013</t>
  </si>
  <si>
    <t>DEBT-014</t>
  </si>
  <si>
    <t>SRC-002/SRC-003</t>
  </si>
  <si>
    <t>Updated source assumption</t>
  </si>
  <si>
    <t>Tapestry/ENF project-specific financing; replaces v12 generic assumption.</t>
  </si>
  <si>
    <t>DEBT-015</t>
  </si>
  <si>
    <t>DEBT-016</t>
  </si>
  <si>
    <t>Tapestry/ENF project-specific financing; unit count conflict remains separate.</t>
  </si>
  <si>
    <t>DEBT-017</t>
  </si>
  <si>
    <t>Includes senior/other financing + community bond; confirm separate vs combined stack if needed.</t>
  </si>
  <si>
    <t>DATA_CASH_RESERVES — Cash / Reserve Availability Inputs</t>
  </si>
  <si>
    <t>Blue cells are writable. Restricted cash treatment is a key MVP flag if not confirmed.</t>
  </si>
  <si>
    <t>Cash_ID</t>
  </si>
  <si>
    <t>Organization_ID</t>
  </si>
  <si>
    <t>Year</t>
  </si>
  <si>
    <t>Opening_Cash</t>
  </si>
  <si>
    <t>Closing_Cash</t>
  </si>
  <si>
    <t>Restricted_Cash</t>
  </si>
  <si>
    <t>Unrestricted_Cash</t>
  </si>
  <si>
    <t>Available_for_Operations</t>
  </si>
  <si>
    <t>Available_for_Debt_Service</t>
  </si>
  <si>
    <t>CASH-001</t>
  </si>
  <si>
    <t>ORG-001</t>
  </si>
  <si>
    <t>Unknown</t>
  </si>
  <si>
    <t>Restricted cash treatment not confirmed</t>
  </si>
  <si>
    <t>DATA_AGREEMENTS — Agreements / Restrictions Inputs</t>
  </si>
  <si>
    <t>Blue cells are writable. This tab tracks mission-lock, affordability, covenant, cash, refinance, and disposition restrictions. Placeholder is acceptable in MVP v1.</t>
  </si>
  <si>
    <t>Agreement_ID</t>
  </si>
  <si>
    <t>Agreement_Type</t>
  </si>
  <si>
    <t>Counterparty</t>
  </si>
  <si>
    <t>Start_Date</t>
  </si>
  <si>
    <t>End_Date</t>
  </si>
  <si>
    <t>Affordability_Requirement</t>
  </si>
  <si>
    <t>Rent_Restriction</t>
  </si>
  <si>
    <t>Use_Restriction</t>
  </si>
  <si>
    <t>Refinance_Restriction</t>
  </si>
  <si>
    <t>Disposition_Restriction</t>
  </si>
  <si>
    <t>DATA_CAPITAL_NEEDS — Capital Needs / Deferred Maintenance Inputs</t>
  </si>
  <si>
    <t>Blue cells are writable. Purple unfunded amount formula remains live. Missing capital plan should be flagged, not hidden.</t>
  </si>
  <si>
    <t>Capital_Item_ID</t>
  </si>
  <si>
    <t>Capital_Item</t>
  </si>
  <si>
    <t>Capital_Category</t>
  </si>
  <si>
    <t>Required_or_Discretionary</t>
  </si>
  <si>
    <t>Year_Needed</t>
  </si>
  <si>
    <t>Estimated_Cost</t>
  </si>
  <si>
    <t>Funded_Amount</t>
  </si>
  <si>
    <t>Unfunded_Amount</t>
  </si>
  <si>
    <t>Funding_Source</t>
  </si>
  <si>
    <t>Deferred_Maintenance_Flag</t>
  </si>
  <si>
    <t>CN-001</t>
  </si>
  <si>
    <t>Capital needs plan not fully reviewed</t>
  </si>
  <si>
    <t>ASSUMPTIONS_FLAGS — Review Flags / Source Conflicts / Assumptions</t>
  </si>
  <si>
    <t>Orange cells are controlled review areas. Keep unresolved issues visible until confirmed.</t>
  </si>
  <si>
    <t>Flag_ID</t>
  </si>
  <si>
    <t>Category</t>
  </si>
  <si>
    <t>Issue / Assumption</t>
  </si>
  <si>
    <t>Current Treatment</t>
  </si>
  <si>
    <t>Severity</t>
  </si>
  <si>
    <t>Requires Confirmation?</t>
  </si>
  <si>
    <t>Reviewer Note</t>
  </si>
  <si>
    <t>FLAG-001</t>
  </si>
  <si>
    <t>Port Moody unit count conflict: 245 vs 328</t>
  </si>
  <si>
    <t>Show both values in DATA_PROPERTY_MASTER; do not finalize until ENF confirms.</t>
  </si>
  <si>
    <t>Kelly / ENF</t>
  </si>
  <si>
    <t>Ask ENF targeted question only.</t>
  </si>
  <si>
    <t>FLAG-002</t>
  </si>
  <si>
    <t>Cash / reserves</t>
  </si>
  <si>
    <t>Restricted vs unrestricted cash not confirmed</t>
  </si>
  <si>
    <t>Treat cash availability as unknown / conditional in MVP output.</t>
  </si>
  <si>
    <t>Do not assume all cash supports debt service.</t>
  </si>
  <si>
    <t>FLAG-003</t>
  </si>
  <si>
    <t>Capital needs</t>
  </si>
  <si>
    <t>Keep DATA_CAPITAL_NEEDS placeholder and readiness flag conditional.</t>
  </si>
  <si>
    <t>Need future BCA/reserve/capital plan review.</t>
  </si>
  <si>
    <t>FLAG-004</t>
  </si>
  <si>
    <t>Agreements / restrictions</t>
  </si>
  <si>
    <t>Affordability/covenant/refinance restrictions pending review</t>
  </si>
  <si>
    <t>Keep agreement review status partial.</t>
  </si>
  <si>
    <t>Future legal/agreement review item.</t>
  </si>
  <si>
    <t>FLAG-005</t>
  </si>
  <si>
    <t>Tapestry / ENF source data supersedes generic v12 assumptions where more current</t>
  </si>
  <si>
    <t>Use Tapestry for demo assumptions; retain v12 architecture as build logic.</t>
  </si>
  <si>
    <t>Documented in Business Rules and SOURCE_LOG.</t>
  </si>
  <si>
    <t>FLAG-006</t>
  </si>
  <si>
    <t>800 Commercial units</t>
  </si>
  <si>
    <t>800 Commercial unit count differs between v12 and Tapestry indication</t>
  </si>
  <si>
    <t>Show v12 unit count and alternate Tapestry count; decide in demo data update.</t>
  </si>
  <si>
    <t>Not as urgent as Port Moody but should be logged.</t>
  </si>
  <si>
    <t>DATA_METRIC_LONG — Live MVP Metrics</t>
  </si>
  <si>
    <t>Formula-driven output metrics. Column D intentionally mirrors the live formula output for QA; Column E is the output value used by the snapshot. Plain-English documentation belongs in CALC_RULES / Notes.</t>
  </si>
  <si>
    <t>Metric_ID</t>
  </si>
  <si>
    <t>Metric_Name</t>
  </si>
  <si>
    <t>Metric_Category</t>
  </si>
  <si>
    <t>Live Formula Mirror</t>
  </si>
  <si>
    <t>Metric_Value</t>
  </si>
  <si>
    <t>Metric_Status</t>
  </si>
  <si>
    <t>Source_Confidence</t>
  </si>
  <si>
    <t>MET-001</t>
  </si>
  <si>
    <t>Total Properties</t>
  </si>
  <si>
    <t>Portfolio</t>
  </si>
  <si>
    <t>Formula-linked</t>
  </si>
  <si>
    <t>MET-002</t>
  </si>
  <si>
    <t>Included Properties</t>
  </si>
  <si>
    <t>Excludes properties marked No.</t>
  </si>
  <si>
    <t>MET-003</t>
  </si>
  <si>
    <t>Existing Assets</t>
  </si>
  <si>
    <t>Active/included assets.</t>
  </si>
  <si>
    <t>MET-004</t>
  </si>
  <si>
    <t>New / Future Projects</t>
  </si>
  <si>
    <t>New dev/future projects.</t>
  </si>
  <si>
    <t>MET-005</t>
  </si>
  <si>
    <t>Modeled Units</t>
  </si>
  <si>
    <t>Source conflict</t>
  </si>
  <si>
    <t>Includes v12 unit counts unless updated.</t>
  </si>
  <si>
    <t>MET-006</t>
  </si>
  <si>
    <t>Unit Count Conflicts</t>
  </si>
  <si>
    <t>Data Readiness</t>
  </si>
  <si>
    <t>Shows source conflicts.</t>
  </si>
  <si>
    <t>MET-007</t>
  </si>
  <si>
    <t>Source Documents Logged</t>
  </si>
  <si>
    <t>Logged sources.</t>
  </si>
  <si>
    <t>MET-008</t>
  </si>
  <si>
    <t>Open Assumption Flags</t>
  </si>
  <si>
    <t>Unresolved items.</t>
  </si>
  <si>
    <t>MET-009</t>
  </si>
  <si>
    <t>Financial</t>
  </si>
  <si>
    <t>Source-based revenue.</t>
  </si>
  <si>
    <t>MET-010</t>
  </si>
  <si>
    <t>Operating Expenses</t>
  </si>
  <si>
    <t>Source-based expenses.</t>
  </si>
  <si>
    <t>MET-011</t>
  </si>
  <si>
    <t>NOI</t>
  </si>
  <si>
    <t>Revenue minus operating expenses.</t>
  </si>
  <si>
    <t>MET-012</t>
  </si>
  <si>
    <t>Debt Service</t>
  </si>
  <si>
    <t>Scheduled debt service.</t>
  </si>
  <si>
    <t>MET-013</t>
  </si>
  <si>
    <t>AFFO / Cash Flow After Debt</t>
  </si>
  <si>
    <t>Simplified MVP AFFO before reserve/capital deductions.</t>
  </si>
  <si>
    <t>MET-014</t>
  </si>
  <si>
    <t>DSCR</t>
  </si>
  <si>
    <t>NOI divided by debt service.</t>
  </si>
  <si>
    <t>MET-015</t>
  </si>
  <si>
    <t>Affordable Units</t>
  </si>
  <si>
    <t>Mission / Affordability</t>
  </si>
  <si>
    <t>Source-linked</t>
  </si>
  <si>
    <t>May be partial if unit mix incomplete.</t>
  </si>
  <si>
    <t>MET-016</t>
  </si>
  <si>
    <t>Market / Other Units</t>
  </si>
  <si>
    <t>May be partial.</t>
  </si>
  <si>
    <t>MET-017</t>
  </si>
  <si>
    <t>Agreement Review Status</t>
  </si>
  <si>
    <t>Mission / Restrictions</t>
  </si>
  <si>
    <t>MVP placeholder.</t>
  </si>
  <si>
    <t>MET-018</t>
  </si>
  <si>
    <t>Capital Needs Review Status</t>
  </si>
  <si>
    <t>Capital Needs</t>
  </si>
  <si>
    <t>DATA_QUALITY_CHECKS — Live MVP Quality / Readiness Checks</t>
  </si>
  <si>
    <t>Formula-driven checks. Open items are not always failures; they show what must be confirmed before investor-facing outputs.</t>
  </si>
  <si>
    <t>Check_ID</t>
  </si>
  <si>
    <t>Check Area</t>
  </si>
  <si>
    <t>Expected / Rule</t>
  </si>
  <si>
    <t>Actual</t>
  </si>
  <si>
    <t>Why It Matters</t>
  </si>
  <si>
    <t>QC-MVP-001</t>
  </si>
  <si>
    <t>Property master row count</t>
  </si>
  <si>
    <t>Property count must reconcile to NGO B / ENF demo scope.</t>
  </si>
  <si>
    <t>Review property list.</t>
  </si>
  <si>
    <t>QC-MVP-002</t>
  </si>
  <si>
    <t>Included property count</t>
  </si>
  <si>
    <t>At least 1</t>
  </si>
  <si>
    <t>Scope must be usable for calculations.</t>
  </si>
  <si>
    <t>Set Included? in blue cells.</t>
  </si>
  <si>
    <t>QC-MVP-003</t>
  </si>
  <si>
    <t>Unit count conflicts</t>
  </si>
  <si>
    <t>0 ideal</t>
  </si>
  <si>
    <t>Unit conflicts must be visible before outputs are trusted.</t>
  </si>
  <si>
    <t>Confirm Port Moody 245 vs 328.</t>
  </si>
  <si>
    <t>QC-MVP-004</t>
  </si>
  <si>
    <t>Source files logged</t>
  </si>
  <si>
    <t>At least 4</t>
  </si>
  <si>
    <t>Evidence tracking is core to IREI.</t>
  </si>
  <si>
    <t>Maintain source log.</t>
  </si>
  <si>
    <t>QC-MVP-005</t>
  </si>
  <si>
    <t>Operating data present</t>
  </si>
  <si>
    <t>Revenue + expense rows</t>
  </si>
  <si>
    <t>MVP financial snapshot needs operating data.</t>
  </si>
  <si>
    <t>Add budgets/actuals.</t>
  </si>
  <si>
    <t>QC-MVP-006</t>
  </si>
  <si>
    <t>Debt data present</t>
  </si>
  <si>
    <t>0 included rows with Partial debt status</t>
  </si>
  <si>
    <t>Debt service, AFFO, and DSCR require complete debt status for included properties.</t>
  </si>
  <si>
    <t>Populate debt terms/source annual debt service or mark No Debt / N/A.</t>
  </si>
  <si>
    <t>QC-MVP-007</t>
  </si>
  <si>
    <t>Cash restriction status</t>
  </si>
  <si>
    <t>Known preferred</t>
  </si>
  <si>
    <t>Cash availability affects readiness.</t>
  </si>
  <si>
    <t>Confirm restricted/unrestricted cash.</t>
  </si>
  <si>
    <t>QC-MVP-008</t>
  </si>
  <si>
    <t>Capital needs reviewed</t>
  </si>
  <si>
    <t>Partial/review allowed</t>
  </si>
  <si>
    <t>Capital needs gap must be visible.</t>
  </si>
  <si>
    <t>Review BCA/capital plan later.</t>
  </si>
  <si>
    <t>QC-MVP-009</t>
  </si>
  <si>
    <t>Agreement review</t>
  </si>
  <si>
    <t>Restrictions are core to mission protection.</t>
  </si>
  <si>
    <t>Future agreement review.</t>
  </si>
  <si>
    <t>QC-MVP-010</t>
  </si>
  <si>
    <t>Open assumption flags</t>
  </si>
  <si>
    <t>Open flags drive readiness conclusion.</t>
  </si>
  <si>
    <t>Resolve flags where possible.</t>
  </si>
  <si>
    <t>IREI Stage 1 Readiness Snapshot</t>
  </si>
  <si>
    <t>NGO B / ENF Demonstration Case — Draft MVP output, demonstration only</t>
  </si>
  <si>
    <t>Properties</t>
  </si>
  <si>
    <t>Overall Status</t>
  </si>
  <si>
    <t>1. Portfolio Profile</t>
  </si>
  <si>
    <t>2. Data Readiness</t>
  </si>
  <si>
    <t>Organization</t>
  </si>
  <si>
    <t>NGO B / ENF Demo</t>
  </si>
  <si>
    <t>Property List</t>
  </si>
  <si>
    <t>Review Type</t>
  </si>
  <si>
    <t>Stage 1 Readiness Review</t>
  </si>
  <si>
    <t>Unit Counts</t>
  </si>
  <si>
    <t>Reporting Period</t>
  </si>
  <si>
    <t>Operating Budgets</t>
  </si>
  <si>
    <t>Primary Source Package</t>
  </si>
  <si>
    <t>Tapestry / ENF July 7</t>
  </si>
  <si>
    <t>Debt / Mortgage Data</t>
  </si>
  <si>
    <t>Data Confidence</t>
  </si>
  <si>
    <t>Cash / Reserves</t>
  </si>
  <si>
    <t>Property Scope</t>
  </si>
  <si>
    <t>Existing + New Projects</t>
  </si>
  <si>
    <t>Agreements / Restrictions</t>
  </si>
  <si>
    <t>Source Documents</t>
  </si>
  <si>
    <t>3. Financial Snapshot</t>
  </si>
  <si>
    <t>Metric</t>
  </si>
  <si>
    <t>Value</t>
  </si>
  <si>
    <t>4. Mission / Affordability Snapshot</t>
  </si>
  <si>
    <t>Source-based</t>
  </si>
  <si>
    <t>IREI calculated</t>
  </si>
  <si>
    <t>Formula/source-based</t>
  </si>
  <si>
    <t>Agreement Review</t>
  </si>
  <si>
    <t>Simplified MVP</t>
  </si>
  <si>
    <t>Restriction Review Status</t>
  </si>
  <si>
    <t>NOI / debt service</t>
  </si>
  <si>
    <t>5. Key Flags / Unresolved Items</t>
  </si>
  <si>
    <t>6. Readiness Conclusion</t>
  </si>
  <si>
    <t>Financial Readiness</t>
  </si>
  <si>
    <t>Mission / Restriction Review</t>
  </si>
  <si>
    <t>Overall Stage 1 Readiness</t>
  </si>
  <si>
    <t>Key data gaps remain</t>
  </si>
  <si>
    <t>Financial detail partially reviewed</t>
  </si>
  <si>
    <t>Affordability and restrictions partially confirmed</t>
  </si>
  <si>
    <t>Not fully ready for Stage 2 consideration</t>
  </si>
  <si>
    <t>Preliminary result: conditionally ready for Stage 1 review, subject to confirmation of unit counts, cash restrictions, capital needs, and agreement review.</t>
  </si>
  <si>
    <t>Included_Status</t>
  </si>
  <si>
    <t>Property_Status</t>
  </si>
  <si>
    <t>Audit_Status</t>
  </si>
  <si>
    <t>Assumption_Status</t>
  </si>
  <si>
    <t>Availability_Status</t>
  </si>
  <si>
    <t>Yes_No_Unknown</t>
  </si>
  <si>
    <t>Agreement_Status</t>
  </si>
  <si>
    <t>Ready</t>
  </si>
  <si>
    <t>PASS</t>
  </si>
  <si>
    <t>Reviewed</t>
  </si>
  <si>
    <t>OPEN</t>
  </si>
  <si>
    <t>REVIEW</t>
  </si>
  <si>
    <t>Not reviewed</t>
  </si>
  <si>
    <t>Future</t>
  </si>
  <si>
    <t>FAIL</t>
  </si>
  <si>
    <t>PARTIAL</t>
  </si>
  <si>
    <t>Conditional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</si>
</sst>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x"/>
    <numFmt numFmtId="166" formatCode="0.000%"/>
  </numFmts>
  <fonts count="8">
    <font>
      <sz val="11"/>
      <name val="Carlito"/>
    </font>
    <font>
      <b/>
      <sz val="14"/>
      <color rgb="FFFFFFFF"/>
      <name val="Carlito"/>
    </font>
    <font>
      <b/>
      <sz val="11"/>
      <color rgb="FFFFFFFF"/>
      <name val="Carlito"/>
    </font>
    <font>
      <b/>
      <sz val="10"/>
      <color rgb="FF111827"/>
      <name val="Aptos"/>
    </font>
    <font>
      <sz val="10"/>
      <color rgb="FF111827"/>
      <name val="Aptos"/>
    </font>
    <font>
      <i/>
      <sz val="10"/>
      <color rgb="FF111827"/>
      <name val="Aptos"/>
    </font>
    <font>
      <b/>
      <sz val="14"/>
      <color rgb="FFFFFFFF"/>
      <name val="Aptos"/>
    </font>
    <font>
      <b/>
      <sz val="10"/>
      <color rgb="FFFFFFFF"/>
      <name val="Aptos"/>
    </font>
  </fonts>
  <fills count="20">
    <fill>
      <patternFill patternType="none"/>
    </fill>
    <fill>
      <patternFill patternType="gray125"/>
    </fill>
    <fill>
      <patternFill patternType="solid">
        <fgColor rgb="FF0B1F4D"/>
      </patternFill>
    </fill>
    <fill>
      <patternFill patternType="solid">
        <fgColor rgb="FFF3F4F6"/>
      </patternFill>
    </fill>
    <fill>
      <patternFill patternType="solid">
        <fgColor rgb="FF008C8C"/>
      </patternFill>
    </fill>
    <fill>
      <patternFill patternType="solid">
        <fgColor rgb="FFD9EAF7"/>
      </patternFill>
    </fill>
    <fill>
      <patternFill patternType="solid">
        <fgColor rgb="FFE9D5FF"/>
      </patternFill>
    </fill>
    <fill>
      <patternFill patternType="solid">
        <fgColor rgb="FFFFE8CC"/>
      </patternFill>
    </fill>
    <fill>
      <patternFill patternType="solid">
        <fgColor rgb="FFE5E7EB"/>
      </patternFill>
    </fill>
    <fill>
      <patternFill patternType="solid">
        <fgColor rgb="FFDCFCE7"/>
      </patternFill>
    </fill>
    <fill>
      <patternFill patternType="solid">
        <fgColor rgb="FFE7F6F6"/>
      </patternFill>
    </fill>
    <fill>
      <patternFill patternType="solid">
        <fgColor rgb="FFFFFFFF"/>
      </patternFill>
    </fill>
    <fill>
      <patternFill patternType="solid">
        <fgColor rgb="FFB91C1C"/>
      </patternFill>
    </fill>
    <fill>
      <patternFill patternType="solid">
        <fgColor rgb="FFFEE2E2"/>
      </patternFill>
    </fill>
    <fill>
      <patternFill patternType="solid">
        <fgColor rgb="FFE0F2FE"/>
      </patternFill>
    </fill>
    <fill>
      <patternFill patternType="solid">
        <fgColor rgb="FF0B1F4D"/>
      </patternFill>
    </fill>
    <fill>
      <patternFill patternType="solid">
        <fgColor rgb="FF003B5C"/>
      </patternFill>
    </fill>
    <fill>
      <patternFill patternType="solid">
        <fgColor rgb="FFD9EAF7"/>
      </patternFill>
    </fill>
    <fill>
      <patternFill patternType="solid">
        <fgColor rgb="FFE9D5FF"/>
      </patternFill>
    </fill>
    <fill>
      <patternFill patternType="solid">
        <fgColor rgb="FFFCE4D6"/>
      </patternFill>
    </fill>
  </fills>
  <borders count="1">
    <border>
      <left/>
      <right/>
      <top/>
      <bottom/>
      <diagonal/>
    </border>
  </borders>
  <cellStyleXfs count="1">
    <xf numFmtId="0" fontId="0" fillId="0" borderId="0"/>
  </cellStyleXfs>
  <cellXfs count="52">
    <xf numFmtId="0" fontId="0" fillId="0" borderId="0" xfId="0"/>
    <xf numFmtId="0" fontId="0" fillId="5" borderId="0" xfId="0" applyFill="1" applyAlignment="1">
      <alignment wrapText="1"/>
    </xf>
    <xf numFmtId="0" fontId="0" fillId="0" borderId="0" xfId="0" applyAlignment="1">
      <alignment wrapText="1"/>
    </xf>
    <xf numFmtId="0" fontId="4" fillId="0" borderId="0" xfId="0" applyFont="1"/>
    <xf numFmtId="0" fontId="3" fillId="4" borderId="0" xfId="0" applyFont="1" applyFill="1" applyAlignment="1">
      <alignment horizontal="center" vertical="center" wrapText="1"/>
    </xf>
    <xf numFmtId="0" fontId="4" fillId="5" borderId="0" xfId="0" applyFont="1" applyFill="1" applyAlignment="1">
      <alignment wrapText="1"/>
    </xf>
    <xf numFmtId="0" fontId="4" fillId="3" borderId="0" xfId="0" applyFont="1" applyFill="1" applyAlignment="1">
      <alignment wrapText="1"/>
    </xf>
    <xf numFmtId="0" fontId="4" fillId="6" borderId="0" xfId="0" applyFont="1" applyFill="1" applyAlignment="1">
      <alignment wrapText="1"/>
    </xf>
    <xf numFmtId="0" fontId="4" fillId="7" borderId="0" xfId="0" applyFont="1" applyFill="1" applyAlignment="1">
      <alignment wrapText="1"/>
    </xf>
    <xf numFmtId="0" fontId="4" fillId="8" borderId="0" xfId="0" applyFont="1" applyFill="1" applyAlignment="1">
      <alignment wrapText="1"/>
    </xf>
    <xf numFmtId="0" fontId="4" fillId="9" borderId="0" xfId="0" applyFont="1" applyFill="1" applyAlignment="1">
      <alignment wrapText="1"/>
    </xf>
    <xf numFmtId="0" fontId="4" fillId="0" borderId="0" xfId="0" applyFont="1" applyAlignment="1">
      <alignment wrapText="1"/>
    </xf>
    <xf numFmtId="0" fontId="4" fillId="5" borderId="0" xfId="0" applyFont="1" applyFill="1"/>
    <xf numFmtId="164" fontId="4" fillId="6" borderId="0" xfId="0" applyNumberFormat="1" applyFont="1" applyFill="1" applyAlignment="1">
      <alignment wrapText="1"/>
    </xf>
    <xf numFmtId="164" fontId="4" fillId="0" borderId="0" xfId="0" applyNumberFormat="1" applyFont="1" applyAlignment="1">
      <alignment wrapText="1"/>
    </xf>
    <xf numFmtId="164" fontId="4" fillId="5" borderId="0" xfId="0" applyNumberFormat="1" applyFont="1" applyFill="1"/>
    <xf numFmtId="164" fontId="4" fillId="6" borderId="0" xfId="0" applyNumberFormat="1" applyFont="1" applyFill="1"/>
    <xf numFmtId="165" fontId="4" fillId="6" borderId="0" xfId="0" applyNumberFormat="1" applyFont="1" applyFill="1" applyAlignment="1">
      <alignment wrapText="1"/>
    </xf>
    <xf numFmtId="0" fontId="3" fillId="3" borderId="0" xfId="0" applyFont="1" applyFill="1" applyAlignment="1">
      <alignment wrapText="1"/>
    </xf>
    <xf numFmtId="164" fontId="4" fillId="0" borderId="0" xfId="0" applyNumberFormat="1" applyFont="1"/>
    <xf numFmtId="165" fontId="4" fillId="0" borderId="0" xfId="0" applyNumberFormat="1" applyFont="1"/>
    <xf numFmtId="0" fontId="4" fillId="2" borderId="0" xfId="0" applyFont="1" applyFill="1"/>
    <xf numFmtId="0" fontId="1" fillId="15" borderId="0" xfId="0" applyFont="1" applyFill="1" applyAlignment="1">
      <alignment horizontal="left"/>
    </xf>
    <xf numFmtId="0" fontId="7" fillId="16" borderId="0" xfId="0" applyFont="1" applyFill="1" applyAlignment="1">
      <alignment horizontal="center" vertical="center" wrapText="1"/>
    </xf>
    <xf numFmtId="0" fontId="4" fillId="17" borderId="0" xfId="0" applyFont="1" applyFill="1" applyAlignment="1">
      <alignment wrapText="1"/>
    </xf>
    <xf numFmtId="164" fontId="4" fillId="17" borderId="0" xfId="0" applyNumberFormat="1" applyFont="1" applyFill="1" applyAlignment="1">
      <alignment wrapText="1"/>
    </xf>
    <xf numFmtId="0" fontId="4" fillId="18" borderId="0" xfId="0" applyFont="1" applyFill="1" applyAlignment="1">
      <alignment wrapText="1"/>
    </xf>
    <xf numFmtId="166" fontId="4" fillId="17" borderId="0" xfId="0" applyNumberFormat="1" applyFont="1" applyFill="1" applyAlignment="1">
      <alignment wrapText="1"/>
    </xf>
    <xf numFmtId="0" fontId="2" fillId="16" borderId="0" xfId="0" applyFont="1" applyFill="1" applyAlignment="1">
      <alignment horizontal="center" vertical="center" wrapText="1"/>
    </xf>
    <xf numFmtId="0" fontId="0" fillId="19" borderId="0" xfId="0" applyFill="1" applyAlignment="1">
      <alignment wrapText="1"/>
    </xf>
    <xf numFmtId="0" fontId="4" fillId="19" borderId="0" xfId="0" applyFont="1" applyFill="1" applyAlignment="1">
      <alignment wrapText="1"/>
    </xf>
    <xf numFmtId="0" fontId="2" fillId="16" borderId="0" xfId="0" applyFont="1" applyFill="1" applyAlignment="1">
      <alignment horizontal="center" wrapText="1"/>
    </xf>
    <xf numFmtId="0" fontId="6" fillId="2" borderId="0" xfId="0" applyFont="1" applyFill="1"/>
    <xf numFmtId="0" fontId="4" fillId="2" borderId="0" xfId="0" applyFont="1" applyFill="1"/>
    <xf numFmtId="0" fontId="5" fillId="3" borderId="0" xfId="0" applyFont="1" applyFill="1" applyAlignment="1">
      <alignment wrapText="1"/>
    </xf>
    <xf numFmtId="0" fontId="4" fillId="0" borderId="0" xfId="0" applyFont="1"/>
    <xf numFmtId="0" fontId="3" fillId="8" borderId="0" xfId="0" applyFont="1" applyFill="1"/>
    <xf numFmtId="0" fontId="6" fillId="15" borderId="0" xfId="0" applyFont="1" applyFill="1" applyAlignment="1">
      <alignment horizontal="left"/>
    </xf>
    <xf numFmtId="0" fontId="3" fillId="10" borderId="0" xfId="0" applyFont="1" applyFill="1"/>
    <xf numFmtId="0" fontId="3" fillId="3" borderId="0" xfId="0" applyFont="1" applyFill="1" applyAlignment="1">
      <alignment horizontal="center"/>
    </xf>
    <xf numFmtId="0" fontId="3" fillId="11" borderId="0" xfId="0" applyFont="1" applyFill="1" applyAlignment="1">
      <alignment horizontal="center" vertical="center"/>
    </xf>
    <xf numFmtId="0" fontId="3" fillId="4" borderId="0" xfId="0" applyFont="1" applyFill="1"/>
    <xf numFmtId="0" fontId="4" fillId="11" borderId="0" xfId="0" applyFont="1" applyFill="1" applyAlignment="1">
      <alignment wrapText="1"/>
    </xf>
    <xf numFmtId="0" fontId="3" fillId="3" borderId="0" xfId="0" applyFont="1" applyFill="1"/>
    <xf numFmtId="0" fontId="4" fillId="11" borderId="0" xfId="0" applyFont="1" applyFill="1"/>
    <xf numFmtId="0" fontId="4" fillId="3" borderId="0" xfId="0" applyFont="1" applyFill="1"/>
    <xf numFmtId="0" fontId="3" fillId="12" borderId="0" xfId="0" applyFont="1" applyFill="1"/>
    <xf numFmtId="0" fontId="4" fillId="13" borderId="0" xfId="0" applyFont="1" applyFill="1" applyAlignment="1">
      <alignment wrapText="1"/>
    </xf>
    <xf numFmtId="0" fontId="3" fillId="2" borderId="0" xfId="0" applyFont="1" applyFill="1"/>
    <xf numFmtId="0" fontId="4" fillId="11" borderId="0" xfId="0" applyFont="1" applyFill="1" applyAlignment="1">
      <alignment horizontal="center" vertical="center" wrapText="1"/>
    </xf>
    <xf numFmtId="0" fontId="3" fillId="11" borderId="0" xfId="0" applyFont="1" applyFill="1" applyAlignment="1">
      <alignment horizontal="center" vertical="center" wrapText="1"/>
    </xf>
    <xf numFmtId="0" fontId="5" fillId="1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0"/>
  <sheetViews>
    <sheetView tabSelected="1" workbookViewId="0">
      <selection sqref="A1:K1"/>
    </sheetView>
  </sheetViews>
  <sheetFormatPr defaultRowHeight="14.25"/>
  <cols>
    <col min="1" max="1" width="14" customWidth="1"/>
    <col min="2" max="4" width="70" customWidth="1"/>
    <col min="5" max="5" width="24" customWidth="1"/>
    <col min="6" max="6" width="36" customWidth="1"/>
  </cols>
  <sheetData>
    <row r="1" spans="1:17" ht="24" customHeight="1">
      <c r="A1" s="32" t="s">
        <v>0</v>
      </c>
      <c r="B1" s="33"/>
      <c r="C1" s="33"/>
      <c r="D1" s="33"/>
      <c r="E1" s="33"/>
      <c r="F1" s="33"/>
      <c r="G1" s="33"/>
      <c r="H1" s="33"/>
      <c r="I1" s="33"/>
      <c r="J1" s="33"/>
      <c r="K1" s="33"/>
      <c r="L1" s="3"/>
      <c r="M1" s="3"/>
      <c r="N1" s="3"/>
      <c r="O1" s="3"/>
      <c r="P1" s="3"/>
      <c r="Q1" s="3"/>
    </row>
    <row r="2" spans="1:17" ht="33.950000000000003" customHeight="1">
      <c r="A2" s="34" t="s">
        <v>1</v>
      </c>
      <c r="B2" s="35"/>
      <c r="C2" s="35"/>
      <c r="D2" s="35"/>
      <c r="E2" s="35"/>
      <c r="F2" s="35"/>
      <c r="G2" s="35"/>
      <c r="H2" s="35"/>
      <c r="I2" s="35"/>
      <c r="J2" s="35"/>
      <c r="K2" s="35"/>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2</v>
      </c>
      <c r="B4" s="4" t="s">
        <v>3</v>
      </c>
      <c r="C4" s="4" t="s">
        <v>4</v>
      </c>
      <c r="D4" s="4" t="s">
        <v>5</v>
      </c>
      <c r="E4" s="4" t="s">
        <v>6</v>
      </c>
      <c r="F4" s="4" t="s">
        <v>7</v>
      </c>
      <c r="G4" s="3"/>
      <c r="H4" s="3"/>
      <c r="I4" s="3"/>
      <c r="J4" s="3"/>
      <c r="K4" s="3"/>
      <c r="L4" s="3"/>
      <c r="M4" s="3"/>
      <c r="N4" s="3"/>
      <c r="O4" s="3"/>
      <c r="P4" s="3"/>
      <c r="Q4" s="3"/>
    </row>
    <row r="5" spans="1:17" ht="15">
      <c r="A5" s="5" t="s">
        <v>8</v>
      </c>
      <c r="B5" s="5" t="s">
        <v>9</v>
      </c>
      <c r="C5" s="5" t="s">
        <v>10</v>
      </c>
      <c r="D5" s="5" t="s">
        <v>11</v>
      </c>
      <c r="E5" s="5" t="s">
        <v>12</v>
      </c>
      <c r="F5" s="5" t="s">
        <v>13</v>
      </c>
      <c r="G5" s="3"/>
      <c r="H5" s="3"/>
      <c r="I5" s="3"/>
      <c r="J5" s="3"/>
      <c r="K5" s="3"/>
      <c r="L5" s="3"/>
      <c r="M5" s="3"/>
      <c r="N5" s="3"/>
      <c r="O5" s="3"/>
      <c r="P5" s="3"/>
      <c r="Q5" s="3"/>
    </row>
    <row r="6" spans="1:17" ht="27">
      <c r="A6" s="6" t="s">
        <v>14</v>
      </c>
      <c r="B6" s="6" t="s">
        <v>15</v>
      </c>
      <c r="C6" s="6" t="s">
        <v>16</v>
      </c>
      <c r="D6" s="6" t="s">
        <v>17</v>
      </c>
      <c r="E6" s="6" t="s">
        <v>18</v>
      </c>
      <c r="F6" s="6" t="s">
        <v>19</v>
      </c>
      <c r="G6" s="3"/>
      <c r="H6" s="3"/>
      <c r="I6" s="3"/>
      <c r="J6" s="3"/>
      <c r="K6" s="3"/>
      <c r="L6" s="3"/>
      <c r="M6" s="3"/>
      <c r="N6" s="3"/>
      <c r="O6" s="3"/>
      <c r="P6" s="3"/>
      <c r="Q6" s="3"/>
    </row>
    <row r="7" spans="1:17" ht="27">
      <c r="A7" s="7" t="s">
        <v>20</v>
      </c>
      <c r="B7" s="7" t="s">
        <v>21</v>
      </c>
      <c r="C7" s="7" t="s">
        <v>22</v>
      </c>
      <c r="D7" s="7" t="s">
        <v>23</v>
      </c>
      <c r="E7" s="7" t="s">
        <v>24</v>
      </c>
      <c r="F7" s="7" t="s">
        <v>25</v>
      </c>
      <c r="G7" s="3"/>
      <c r="H7" s="3"/>
      <c r="I7" s="3"/>
      <c r="J7" s="3"/>
      <c r="K7" s="3"/>
      <c r="L7" s="3"/>
      <c r="M7" s="3"/>
      <c r="N7" s="3"/>
      <c r="O7" s="3"/>
      <c r="P7" s="3"/>
      <c r="Q7" s="3"/>
    </row>
    <row r="8" spans="1:17" ht="15">
      <c r="A8" s="8" t="s">
        <v>26</v>
      </c>
      <c r="B8" s="8" t="s">
        <v>27</v>
      </c>
      <c r="C8" s="8" t="s">
        <v>28</v>
      </c>
      <c r="D8" s="8" t="s">
        <v>29</v>
      </c>
      <c r="E8" s="8" t="s">
        <v>30</v>
      </c>
      <c r="F8" s="8" t="s">
        <v>31</v>
      </c>
      <c r="G8" s="3"/>
      <c r="H8" s="3"/>
      <c r="I8" s="3"/>
      <c r="J8" s="3"/>
      <c r="K8" s="3"/>
      <c r="L8" s="3"/>
      <c r="M8" s="3"/>
      <c r="N8" s="3"/>
      <c r="O8" s="3"/>
      <c r="P8" s="3"/>
      <c r="Q8" s="3"/>
    </row>
    <row r="9" spans="1:17" ht="15">
      <c r="A9" s="9" t="s">
        <v>32</v>
      </c>
      <c r="B9" s="9" t="s">
        <v>33</v>
      </c>
      <c r="C9" s="9" t="s">
        <v>34</v>
      </c>
      <c r="D9" s="9" t="s">
        <v>35</v>
      </c>
      <c r="E9" s="9" t="s">
        <v>36</v>
      </c>
      <c r="F9" s="9" t="s">
        <v>37</v>
      </c>
      <c r="G9" s="3"/>
      <c r="H9" s="3"/>
      <c r="I9" s="3"/>
      <c r="J9" s="3"/>
      <c r="K9" s="3"/>
      <c r="L9" s="3"/>
      <c r="M9" s="3"/>
      <c r="N9" s="3"/>
      <c r="O9" s="3"/>
      <c r="P9" s="3"/>
      <c r="Q9" s="3"/>
    </row>
    <row r="10" spans="1:17" ht="27">
      <c r="A10" s="10" t="s">
        <v>38</v>
      </c>
      <c r="B10" s="10" t="s">
        <v>39</v>
      </c>
      <c r="C10" s="10" t="s">
        <v>40</v>
      </c>
      <c r="D10" s="10" t="s">
        <v>41</v>
      </c>
      <c r="E10" s="10" t="s">
        <v>42</v>
      </c>
      <c r="F10" s="10" t="s">
        <v>43</v>
      </c>
      <c r="G10" s="3"/>
      <c r="H10" s="3"/>
      <c r="I10" s="3"/>
      <c r="J10" s="3"/>
      <c r="K10" s="3"/>
      <c r="L10" s="3"/>
      <c r="M10" s="3"/>
      <c r="N10" s="3"/>
      <c r="O10" s="3"/>
      <c r="P10" s="3"/>
      <c r="Q10" s="3"/>
    </row>
    <row r="11" spans="1:17" ht="15">
      <c r="A11" s="3"/>
      <c r="B11" s="3"/>
      <c r="C11" s="3"/>
      <c r="D11" s="3"/>
      <c r="E11" s="3"/>
      <c r="F11" s="3"/>
      <c r="G11" s="3"/>
      <c r="H11" s="3"/>
      <c r="I11" s="3"/>
      <c r="J11" s="3"/>
      <c r="K11" s="3"/>
      <c r="L11" s="3"/>
      <c r="M11" s="3"/>
      <c r="N11" s="3"/>
      <c r="O11" s="3"/>
      <c r="P11" s="3"/>
      <c r="Q11" s="3"/>
    </row>
    <row r="12" spans="1:17" ht="15">
      <c r="A12" s="3"/>
      <c r="B12" s="3"/>
      <c r="C12" s="3"/>
      <c r="D12" s="3"/>
      <c r="E12" s="3"/>
      <c r="F12" s="3"/>
      <c r="G12" s="3"/>
      <c r="H12" s="3"/>
      <c r="I12" s="3"/>
      <c r="J12" s="3"/>
      <c r="K12" s="3"/>
      <c r="L12" s="3"/>
      <c r="M12" s="3"/>
      <c r="N12" s="3"/>
      <c r="O12" s="3"/>
      <c r="P12" s="3"/>
      <c r="Q12" s="3"/>
    </row>
    <row r="13" spans="1:17" ht="26.1" customHeight="1">
      <c r="A13" s="4" t="s">
        <v>44</v>
      </c>
      <c r="B13" s="4" t="s">
        <v>45</v>
      </c>
      <c r="C13" s="4" t="s">
        <v>46</v>
      </c>
      <c r="D13" s="4" t="s">
        <v>47</v>
      </c>
      <c r="E13" s="3"/>
      <c r="F13" s="3"/>
      <c r="G13" s="3"/>
      <c r="H13" s="3"/>
      <c r="I13" s="3"/>
      <c r="J13" s="3"/>
      <c r="K13" s="3"/>
      <c r="L13" s="3"/>
      <c r="M13" s="3"/>
      <c r="N13" s="3"/>
      <c r="O13" s="3"/>
      <c r="P13" s="3"/>
      <c r="Q13" s="3"/>
    </row>
    <row r="14" spans="1:17" ht="15">
      <c r="A14" s="11" t="s">
        <v>48</v>
      </c>
      <c r="B14" s="11" t="s">
        <v>49</v>
      </c>
      <c r="C14" s="11" t="s">
        <v>50</v>
      </c>
      <c r="D14" s="11" t="s">
        <v>51</v>
      </c>
      <c r="E14" s="3"/>
      <c r="F14" s="3"/>
      <c r="G14" s="3"/>
      <c r="H14" s="3"/>
      <c r="I14" s="3"/>
      <c r="J14" s="3"/>
      <c r="K14" s="3"/>
      <c r="L14" s="3"/>
      <c r="M14" s="3"/>
      <c r="N14" s="3"/>
      <c r="O14" s="3"/>
      <c r="P14" s="3"/>
      <c r="Q14" s="3"/>
    </row>
    <row r="15" spans="1:17" ht="27">
      <c r="A15" s="11" t="s">
        <v>52</v>
      </c>
      <c r="B15" s="11" t="s">
        <v>53</v>
      </c>
      <c r="C15" s="11" t="s">
        <v>54</v>
      </c>
      <c r="D15" s="11" t="s">
        <v>55</v>
      </c>
      <c r="E15" s="3"/>
      <c r="F15" s="3"/>
      <c r="G15" s="3"/>
      <c r="H15" s="3"/>
      <c r="I15" s="3"/>
      <c r="J15" s="3"/>
      <c r="K15" s="3"/>
      <c r="L15" s="3"/>
      <c r="M15" s="3"/>
      <c r="N15" s="3"/>
      <c r="O15" s="3"/>
      <c r="P15" s="3"/>
      <c r="Q15" s="3"/>
    </row>
    <row r="16" spans="1:17" ht="27">
      <c r="A16" s="11" t="s">
        <v>56</v>
      </c>
      <c r="B16" s="11" t="s">
        <v>57</v>
      </c>
      <c r="C16" s="11" t="s">
        <v>58</v>
      </c>
      <c r="D16" s="11" t="s">
        <v>59</v>
      </c>
      <c r="E16" s="3"/>
      <c r="F16" s="3"/>
      <c r="G16" s="3"/>
      <c r="H16" s="3"/>
      <c r="I16" s="3"/>
      <c r="J16" s="3"/>
      <c r="K16" s="3"/>
      <c r="L16" s="3"/>
      <c r="M16" s="3"/>
      <c r="N16" s="3"/>
      <c r="O16" s="3"/>
      <c r="P16" s="3"/>
      <c r="Q16" s="3"/>
    </row>
    <row r="17" spans="1:17" ht="15">
      <c r="A17" s="11" t="s">
        <v>60</v>
      </c>
      <c r="B17" s="11" t="s">
        <v>61</v>
      </c>
      <c r="C17" s="11" t="s">
        <v>62</v>
      </c>
      <c r="D17" s="11" t="s">
        <v>63</v>
      </c>
      <c r="E17" s="3"/>
      <c r="F17" s="3"/>
      <c r="G17" s="3"/>
      <c r="H17" s="3"/>
      <c r="I17" s="3"/>
      <c r="J17" s="3"/>
      <c r="K17" s="3"/>
      <c r="L17" s="3"/>
      <c r="M17" s="3"/>
      <c r="N17" s="3"/>
      <c r="O17" s="3"/>
      <c r="P17" s="3"/>
      <c r="Q17" s="3"/>
    </row>
    <row r="18" spans="1:17" ht="15">
      <c r="A18" s="11" t="s">
        <v>64</v>
      </c>
      <c r="B18" s="11" t="s">
        <v>65</v>
      </c>
      <c r="C18" s="11" t="s">
        <v>66</v>
      </c>
      <c r="D18" s="11" t="s">
        <v>67</v>
      </c>
      <c r="E18" s="3"/>
      <c r="F18" s="3"/>
      <c r="G18" s="3"/>
      <c r="H18" s="3"/>
      <c r="I18" s="3"/>
      <c r="J18" s="3"/>
      <c r="K18" s="3"/>
      <c r="L18" s="3"/>
      <c r="M18" s="3"/>
      <c r="N18" s="3"/>
      <c r="O18" s="3"/>
      <c r="P18" s="3"/>
      <c r="Q18" s="3"/>
    </row>
    <row r="19" spans="1:17" ht="27">
      <c r="A19" s="11" t="s">
        <v>68</v>
      </c>
      <c r="B19" s="11" t="s">
        <v>69</v>
      </c>
      <c r="C19" s="11" t="s">
        <v>70</v>
      </c>
      <c r="D19" s="11" t="s">
        <v>71</v>
      </c>
      <c r="E19" s="3"/>
      <c r="F19" s="3"/>
      <c r="G19" s="3"/>
      <c r="H19" s="3"/>
      <c r="I19" s="3"/>
      <c r="J19" s="3"/>
      <c r="K19" s="3"/>
      <c r="L19" s="3"/>
      <c r="M19" s="3"/>
      <c r="N19" s="3"/>
      <c r="O19" s="3"/>
      <c r="P19" s="3"/>
      <c r="Q19" s="3"/>
    </row>
    <row r="20" spans="1:17" ht="15">
      <c r="A20" s="11" t="s">
        <v>72</v>
      </c>
      <c r="B20" s="11" t="s">
        <v>73</v>
      </c>
      <c r="C20" s="11" t="s">
        <v>74</v>
      </c>
      <c r="D20" s="11" t="s">
        <v>75</v>
      </c>
      <c r="E20" s="3"/>
      <c r="F20" s="3"/>
      <c r="G20" s="3"/>
      <c r="H20" s="3"/>
      <c r="I20" s="3"/>
      <c r="J20" s="3"/>
      <c r="K20" s="3"/>
      <c r="L20" s="3"/>
      <c r="M20" s="3"/>
      <c r="N20" s="3"/>
      <c r="O20" s="3"/>
      <c r="P20" s="3"/>
      <c r="Q20" s="3"/>
    </row>
    <row r="21" spans="1:17" ht="15">
      <c r="A21" s="11" t="s">
        <v>76</v>
      </c>
      <c r="B21" s="11" t="s">
        <v>77</v>
      </c>
      <c r="C21" s="11" t="s">
        <v>78</v>
      </c>
      <c r="D21" s="11" t="s">
        <v>79</v>
      </c>
      <c r="E21" s="3"/>
      <c r="F21" s="3"/>
      <c r="G21" s="3"/>
      <c r="H21" s="3"/>
      <c r="I21" s="3"/>
      <c r="J21" s="3"/>
      <c r="K21" s="3"/>
      <c r="L21" s="3"/>
      <c r="M21" s="3"/>
      <c r="N21" s="3"/>
      <c r="O21" s="3"/>
      <c r="P21" s="3"/>
      <c r="Q21" s="3"/>
    </row>
    <row r="22" spans="1:17" ht="27">
      <c r="A22" s="30" t="s">
        <v>80</v>
      </c>
      <c r="B22" s="30" t="s">
        <v>81</v>
      </c>
      <c r="C22" s="30" t="s">
        <v>82</v>
      </c>
      <c r="D22" s="30" t="s">
        <v>83</v>
      </c>
      <c r="E22" s="3"/>
      <c r="F22" s="3"/>
      <c r="G22" s="3"/>
      <c r="H22" s="3"/>
      <c r="I22" s="3"/>
      <c r="J22" s="3"/>
      <c r="K22" s="3"/>
      <c r="L22" s="3"/>
      <c r="M22" s="3"/>
      <c r="N22" s="3"/>
      <c r="O22" s="3"/>
      <c r="P22" s="3"/>
      <c r="Q22" s="3"/>
    </row>
    <row r="23" spans="1:17" ht="15">
      <c r="A23" s="36" t="s">
        <v>84</v>
      </c>
      <c r="B23" s="35"/>
      <c r="C23" s="35"/>
      <c r="D23" s="35"/>
      <c r="E23" s="3"/>
      <c r="F23" s="3"/>
      <c r="G23" s="3"/>
      <c r="H23" s="3"/>
      <c r="I23" s="3"/>
      <c r="J23" s="3"/>
      <c r="K23" s="3"/>
      <c r="L23" s="3"/>
      <c r="M23" s="3"/>
      <c r="N23" s="3"/>
      <c r="O23" s="3"/>
      <c r="P23" s="3"/>
      <c r="Q23" s="3"/>
    </row>
    <row r="24" spans="1:17" ht="26.1" customHeight="1">
      <c r="A24" s="4" t="s">
        <v>85</v>
      </c>
      <c r="B24" s="4" t="s">
        <v>86</v>
      </c>
      <c r="C24" s="3"/>
      <c r="D24" s="3"/>
      <c r="E24" s="3"/>
      <c r="F24" s="3"/>
      <c r="G24" s="3"/>
      <c r="H24" s="3"/>
      <c r="I24" s="3"/>
      <c r="J24" s="3"/>
      <c r="K24" s="3"/>
      <c r="L24" s="3"/>
      <c r="M24" s="3"/>
      <c r="N24" s="3"/>
      <c r="O24" s="3"/>
      <c r="P24" s="3"/>
      <c r="Q24" s="3"/>
    </row>
    <row r="25" spans="1:17" ht="15">
      <c r="A25" s="3">
        <v>1</v>
      </c>
      <c r="B25" s="3" t="s">
        <v>87</v>
      </c>
      <c r="C25" s="3"/>
      <c r="D25" s="3"/>
      <c r="E25" s="3"/>
      <c r="F25" s="3"/>
      <c r="G25" s="3"/>
      <c r="H25" s="3"/>
      <c r="I25" s="3"/>
      <c r="J25" s="3"/>
      <c r="K25" s="3"/>
      <c r="L25" s="3"/>
      <c r="M25" s="3"/>
      <c r="N25" s="3"/>
      <c r="O25" s="3"/>
      <c r="P25" s="3"/>
      <c r="Q25" s="3"/>
    </row>
    <row r="26" spans="1:17" ht="15">
      <c r="A26" s="3">
        <v>3</v>
      </c>
      <c r="B26" s="3" t="s">
        <v>88</v>
      </c>
      <c r="C26" s="3"/>
      <c r="D26" s="3"/>
      <c r="E26" s="3"/>
      <c r="F26" s="3"/>
      <c r="G26" s="3"/>
      <c r="H26" s="3"/>
      <c r="I26" s="3"/>
      <c r="J26" s="3"/>
      <c r="K26" s="3"/>
      <c r="L26" s="3"/>
      <c r="M26" s="3"/>
      <c r="N26" s="3"/>
      <c r="O26" s="3"/>
      <c r="P26" s="3"/>
      <c r="Q26" s="3"/>
    </row>
    <row r="27" spans="1:17" ht="15">
      <c r="A27" s="3">
        <v>5</v>
      </c>
      <c r="B27" s="3" t="s">
        <v>89</v>
      </c>
      <c r="C27" s="3"/>
      <c r="D27" s="3"/>
      <c r="E27" s="3"/>
      <c r="F27" s="3"/>
      <c r="G27" s="3"/>
      <c r="H27" s="3"/>
      <c r="I27" s="3"/>
      <c r="J27" s="3"/>
      <c r="K27" s="3"/>
      <c r="L27" s="3"/>
      <c r="M27" s="3"/>
      <c r="N27" s="3"/>
      <c r="O27" s="3"/>
      <c r="P27" s="3"/>
      <c r="Q27" s="3"/>
    </row>
    <row r="28" spans="1:17" ht="15">
      <c r="A28" s="3">
        <v>7</v>
      </c>
      <c r="B28" s="3" t="s">
        <v>90</v>
      </c>
      <c r="C28" s="3"/>
      <c r="D28" s="3"/>
      <c r="E28" s="3"/>
      <c r="F28" s="3"/>
      <c r="G28" s="3"/>
      <c r="H28" s="3"/>
      <c r="I28" s="3"/>
      <c r="J28" s="3"/>
      <c r="K28" s="3"/>
      <c r="L28" s="3"/>
      <c r="M28" s="3"/>
      <c r="N28" s="3"/>
      <c r="O28" s="3"/>
      <c r="P28" s="3"/>
      <c r="Q28" s="3"/>
    </row>
    <row r="29" spans="1:17" ht="15">
      <c r="A29" s="3">
        <v>9</v>
      </c>
      <c r="B29" s="3" t="s">
        <v>91</v>
      </c>
      <c r="C29" s="3"/>
      <c r="D29" s="3"/>
      <c r="E29" s="3"/>
      <c r="F29" s="3"/>
      <c r="G29" s="3"/>
      <c r="H29" s="3"/>
      <c r="I29" s="3"/>
      <c r="J29" s="3"/>
      <c r="K29" s="3"/>
      <c r="L29" s="3"/>
      <c r="M29" s="3"/>
      <c r="N29" s="3"/>
      <c r="O29" s="3"/>
      <c r="P29" s="3"/>
      <c r="Q29" s="3"/>
    </row>
    <row r="30" spans="1:17" ht="15">
      <c r="A30" s="3">
        <v>11</v>
      </c>
      <c r="B30" s="3" t="s">
        <v>92</v>
      </c>
      <c r="C30" s="3"/>
      <c r="D30" s="3"/>
      <c r="E30" s="3"/>
      <c r="F30" s="3"/>
      <c r="G30" s="3"/>
      <c r="H30" s="3"/>
      <c r="I30" s="3"/>
      <c r="J30" s="3"/>
      <c r="K30" s="3"/>
      <c r="L30" s="3"/>
      <c r="M30" s="3"/>
      <c r="N30" s="3"/>
      <c r="O30" s="3"/>
      <c r="P30" s="3"/>
      <c r="Q30" s="3"/>
    </row>
    <row r="31" spans="1:17" ht="15">
      <c r="A31" s="3">
        <v>13</v>
      </c>
      <c r="B31" s="3" t="s">
        <v>93</v>
      </c>
      <c r="C31" s="3"/>
      <c r="D31" s="3"/>
      <c r="E31" s="3"/>
      <c r="F31" s="3"/>
      <c r="G31" s="3"/>
      <c r="H31" s="3"/>
      <c r="I31" s="3"/>
      <c r="J31" s="3"/>
      <c r="K31" s="3"/>
      <c r="L31" s="3"/>
      <c r="M31" s="3"/>
      <c r="N31" s="3"/>
      <c r="O31" s="3"/>
      <c r="P31" s="3"/>
      <c r="Q31" s="3"/>
    </row>
    <row r="32" spans="1:17" ht="15">
      <c r="A32" s="3">
        <v>15</v>
      </c>
      <c r="B32" s="3" t="s">
        <v>94</v>
      </c>
      <c r="C32" s="3"/>
      <c r="D32" s="3"/>
      <c r="E32" s="3"/>
      <c r="F32" s="3"/>
      <c r="G32" s="3"/>
      <c r="H32" s="3"/>
      <c r="I32" s="3"/>
      <c r="J32" s="3"/>
      <c r="K32" s="3"/>
      <c r="L32" s="3"/>
      <c r="M32" s="3"/>
      <c r="N32" s="3"/>
      <c r="O32" s="3"/>
      <c r="P32" s="3"/>
      <c r="Q32" s="3"/>
    </row>
    <row r="33" spans="1:17" ht="15">
      <c r="A33" s="3">
        <v>19</v>
      </c>
      <c r="B33" s="3" t="s">
        <v>95</v>
      </c>
      <c r="C33" s="3"/>
      <c r="D33" s="3"/>
      <c r="E33" s="3"/>
      <c r="F33" s="3"/>
      <c r="G33" s="3"/>
      <c r="H33" s="3"/>
      <c r="I33" s="3"/>
      <c r="J33" s="3"/>
      <c r="K33" s="3"/>
      <c r="L33" s="3"/>
      <c r="M33" s="3"/>
      <c r="N33" s="3"/>
      <c r="O33" s="3"/>
      <c r="P33" s="3"/>
      <c r="Q33" s="3"/>
    </row>
    <row r="34" spans="1:17" ht="15">
      <c r="A34" s="3">
        <v>21</v>
      </c>
      <c r="B34" s="3" t="s">
        <v>96</v>
      </c>
      <c r="C34" s="3"/>
      <c r="D34" s="3"/>
      <c r="E34" s="3"/>
      <c r="F34" s="3"/>
      <c r="G34" s="3"/>
      <c r="H34" s="3"/>
      <c r="I34" s="3"/>
      <c r="J34" s="3"/>
      <c r="K34" s="3"/>
      <c r="L34" s="3"/>
      <c r="M34" s="3"/>
      <c r="N34" s="3"/>
      <c r="O34" s="3"/>
      <c r="P34" s="3"/>
      <c r="Q34" s="3"/>
    </row>
    <row r="35" spans="1:17" ht="15">
      <c r="A35" s="3">
        <v>23</v>
      </c>
      <c r="B35" s="3" t="s">
        <v>97</v>
      </c>
      <c r="C35" s="3"/>
      <c r="D35" s="3"/>
      <c r="E35" s="3"/>
      <c r="F35" s="3"/>
      <c r="G35" s="3"/>
      <c r="H35" s="3"/>
      <c r="I35" s="3"/>
      <c r="J35" s="3"/>
      <c r="K35" s="3"/>
      <c r="L35" s="3"/>
      <c r="M35" s="3"/>
      <c r="N35" s="3"/>
      <c r="O35" s="3"/>
      <c r="P35" s="3"/>
      <c r="Q35" s="3"/>
    </row>
    <row r="36" spans="1:17" ht="15">
      <c r="A36" s="3">
        <v>25</v>
      </c>
      <c r="B36" s="3" t="s">
        <v>98</v>
      </c>
      <c r="C36" s="3"/>
      <c r="D36" s="3"/>
      <c r="E36" s="3"/>
      <c r="F36" s="3"/>
      <c r="G36" s="3"/>
      <c r="H36" s="3"/>
      <c r="I36" s="3"/>
      <c r="J36" s="3"/>
      <c r="K36" s="3"/>
      <c r="L36" s="3"/>
      <c r="M36" s="3"/>
      <c r="N36" s="3"/>
      <c r="O36" s="3"/>
      <c r="P36" s="3"/>
      <c r="Q36" s="3"/>
    </row>
    <row r="37" spans="1:17" ht="15">
      <c r="A37" s="3">
        <v>27</v>
      </c>
      <c r="B37" s="3" t="s">
        <v>99</v>
      </c>
      <c r="C37" s="3"/>
      <c r="D37" s="3"/>
      <c r="E37" s="3"/>
      <c r="F37" s="3"/>
      <c r="G37" s="3"/>
      <c r="H37" s="3"/>
      <c r="I37" s="3"/>
      <c r="J37" s="3"/>
      <c r="K37" s="3"/>
      <c r="L37" s="3"/>
      <c r="M37" s="3"/>
      <c r="N37" s="3"/>
      <c r="O37" s="3"/>
      <c r="P37" s="3"/>
      <c r="Q37" s="3"/>
    </row>
    <row r="38" spans="1:17" ht="15">
      <c r="A38" s="3">
        <v>29</v>
      </c>
      <c r="B38" s="3" t="s">
        <v>100</v>
      </c>
      <c r="C38" s="3"/>
      <c r="D38" s="3"/>
      <c r="E38" s="3"/>
      <c r="F38" s="3"/>
      <c r="G38" s="3"/>
      <c r="H38" s="3"/>
      <c r="I38" s="3"/>
      <c r="J38" s="3"/>
      <c r="K38" s="3"/>
      <c r="L38" s="3"/>
      <c r="M38" s="3"/>
      <c r="N38" s="3"/>
      <c r="O38" s="3"/>
      <c r="P38" s="3"/>
      <c r="Q38" s="3"/>
    </row>
    <row r="39" spans="1:17" ht="15">
      <c r="A39" s="3">
        <v>31</v>
      </c>
      <c r="B39" s="3" t="s">
        <v>101</v>
      </c>
      <c r="C39" s="3"/>
      <c r="D39" s="3"/>
      <c r="E39" s="3"/>
      <c r="F39" s="3"/>
      <c r="G39" s="3"/>
      <c r="H39" s="3"/>
      <c r="I39" s="3"/>
      <c r="J39" s="3"/>
      <c r="K39" s="3"/>
      <c r="L39" s="3"/>
      <c r="M39" s="3"/>
      <c r="N39" s="3"/>
      <c r="O39" s="3"/>
      <c r="P39" s="3"/>
      <c r="Q39" s="3"/>
    </row>
    <row r="40" spans="1:17" ht="15">
      <c r="A40" s="3">
        <v>33</v>
      </c>
      <c r="B40" s="3" t="s">
        <v>102</v>
      </c>
      <c r="C40" s="3"/>
      <c r="D40" s="3"/>
      <c r="E40" s="3"/>
      <c r="F40" s="3"/>
      <c r="G40" s="3"/>
      <c r="H40" s="3"/>
      <c r="I40" s="3"/>
      <c r="J40" s="3"/>
      <c r="K40" s="3"/>
      <c r="L40" s="3"/>
      <c r="M40" s="3"/>
      <c r="N40" s="3"/>
      <c r="O40" s="3"/>
      <c r="P40" s="3"/>
      <c r="Q40" s="3"/>
    </row>
    <row r="41" spans="1:17" ht="15">
      <c r="A41" s="3">
        <v>35</v>
      </c>
      <c r="B41" s="3" t="s">
        <v>103</v>
      </c>
      <c r="C41" s="3"/>
      <c r="D41" s="3"/>
      <c r="E41" s="3"/>
      <c r="F41" s="3"/>
      <c r="G41" s="3"/>
      <c r="H41" s="3"/>
      <c r="I41" s="3"/>
      <c r="J41" s="3"/>
      <c r="K41" s="3"/>
      <c r="L41" s="3"/>
      <c r="M41" s="3"/>
      <c r="N41" s="3"/>
      <c r="O41" s="3"/>
      <c r="P41" s="3"/>
      <c r="Q41" s="3"/>
    </row>
    <row r="42" spans="1:17" ht="15">
      <c r="A42" s="3">
        <v>37</v>
      </c>
      <c r="B42" s="3" t="s">
        <v>104</v>
      </c>
      <c r="C42" s="3"/>
      <c r="D42" s="3"/>
      <c r="E42" s="3"/>
      <c r="F42" s="3"/>
      <c r="G42" s="3"/>
      <c r="H42" s="3"/>
      <c r="I42" s="3"/>
      <c r="J42" s="3"/>
      <c r="K42" s="3"/>
      <c r="L42" s="3"/>
      <c r="M42" s="3"/>
      <c r="N42" s="3"/>
      <c r="O42" s="3"/>
      <c r="P42" s="3"/>
      <c r="Q42" s="3"/>
    </row>
    <row r="43" spans="1:17" ht="15">
      <c r="A43" s="3">
        <v>39</v>
      </c>
      <c r="B43" s="3" t="s">
        <v>105</v>
      </c>
      <c r="C43" s="3"/>
      <c r="D43" s="3"/>
      <c r="E43" s="3"/>
      <c r="F43" s="3"/>
      <c r="G43" s="3"/>
      <c r="H43" s="3"/>
      <c r="I43" s="3"/>
      <c r="J43" s="3"/>
      <c r="K43" s="3"/>
      <c r="L43" s="3"/>
      <c r="M43" s="3"/>
      <c r="N43" s="3"/>
      <c r="O43" s="3"/>
      <c r="P43" s="3"/>
      <c r="Q43" s="3"/>
    </row>
    <row r="44" spans="1:17" ht="15">
      <c r="A44" s="3">
        <v>41</v>
      </c>
      <c r="B44" s="3" t="s">
        <v>106</v>
      </c>
      <c r="C44" s="3"/>
      <c r="D44" s="3"/>
      <c r="E44" s="3"/>
      <c r="F44" s="3"/>
      <c r="G44" s="3"/>
      <c r="H44" s="3"/>
      <c r="I44" s="3"/>
      <c r="J44" s="3"/>
      <c r="K44" s="3"/>
      <c r="L44" s="3"/>
      <c r="M44" s="3"/>
      <c r="N44" s="3"/>
      <c r="O44" s="3"/>
      <c r="P44" s="3"/>
      <c r="Q44" s="3"/>
    </row>
    <row r="45" spans="1:17" ht="15">
      <c r="A45" s="3">
        <v>43</v>
      </c>
      <c r="B45" s="3" t="s">
        <v>107</v>
      </c>
      <c r="C45" s="3"/>
      <c r="D45" s="3"/>
      <c r="E45" s="3"/>
      <c r="F45" s="3"/>
      <c r="G45" s="3"/>
      <c r="H45" s="3"/>
      <c r="I45" s="3"/>
      <c r="J45" s="3"/>
      <c r="K45" s="3"/>
      <c r="L45" s="3"/>
      <c r="M45" s="3"/>
      <c r="N45" s="3"/>
      <c r="O45" s="3"/>
      <c r="P45" s="3"/>
      <c r="Q45" s="3"/>
    </row>
    <row r="46" spans="1:17" ht="15">
      <c r="A46" s="3">
        <v>45</v>
      </c>
      <c r="B46" s="3" t="s">
        <v>108</v>
      </c>
      <c r="C46" s="3"/>
      <c r="D46" s="3"/>
      <c r="E46" s="3"/>
      <c r="F46" s="3"/>
      <c r="G46" s="3"/>
      <c r="H46" s="3"/>
      <c r="I46" s="3"/>
      <c r="J46" s="3"/>
      <c r="K46" s="3"/>
      <c r="L46" s="3"/>
      <c r="M46" s="3"/>
      <c r="N46" s="3"/>
      <c r="O46" s="3"/>
      <c r="P46" s="3"/>
      <c r="Q46" s="3"/>
    </row>
    <row r="47" spans="1:17" ht="15">
      <c r="A47" s="3">
        <v>47</v>
      </c>
      <c r="B47" s="3" t="s">
        <v>109</v>
      </c>
      <c r="C47" s="3"/>
      <c r="D47" s="3"/>
      <c r="E47" s="3"/>
      <c r="F47" s="3"/>
      <c r="G47" s="3"/>
      <c r="H47" s="3"/>
      <c r="I47" s="3"/>
      <c r="J47" s="3"/>
      <c r="K47" s="3"/>
      <c r="L47" s="3"/>
      <c r="M47" s="3"/>
      <c r="N47" s="3"/>
      <c r="O47" s="3"/>
      <c r="P47" s="3"/>
      <c r="Q47" s="3"/>
    </row>
    <row r="48" spans="1:17" ht="15">
      <c r="A48" s="3">
        <v>49</v>
      </c>
      <c r="B48" s="3" t="s">
        <v>110</v>
      </c>
      <c r="C48" s="3"/>
      <c r="D48" s="3"/>
      <c r="E48" s="3"/>
      <c r="F48" s="3"/>
      <c r="G48" s="3"/>
      <c r="H48" s="3"/>
      <c r="I48" s="3"/>
      <c r="J48" s="3"/>
      <c r="K48" s="3"/>
      <c r="L48" s="3"/>
      <c r="M48" s="3"/>
      <c r="N48" s="3"/>
      <c r="O48" s="3"/>
      <c r="P48" s="3"/>
      <c r="Q48" s="3"/>
    </row>
    <row r="49" spans="1:17" ht="15">
      <c r="A49" s="3">
        <v>51</v>
      </c>
      <c r="B49" s="3" t="s">
        <v>111</v>
      </c>
      <c r="C49" s="3"/>
      <c r="D49" s="3"/>
      <c r="E49" s="3"/>
      <c r="F49" s="3"/>
      <c r="G49" s="3"/>
      <c r="H49" s="3"/>
      <c r="I49" s="3"/>
      <c r="J49" s="3"/>
      <c r="K49" s="3"/>
      <c r="L49" s="3"/>
      <c r="M49" s="3"/>
      <c r="N49" s="3"/>
      <c r="O49" s="3"/>
      <c r="P49" s="3"/>
      <c r="Q49" s="3"/>
    </row>
    <row r="50" spans="1:17" ht="15">
      <c r="A50" s="3">
        <v>53</v>
      </c>
      <c r="B50" s="3" t="s">
        <v>112</v>
      </c>
      <c r="C50" s="3"/>
      <c r="D50" s="3"/>
      <c r="E50" s="3"/>
      <c r="F50" s="3"/>
      <c r="G50" s="3"/>
      <c r="H50" s="3"/>
      <c r="I50" s="3"/>
      <c r="J50" s="3"/>
      <c r="K50" s="3"/>
      <c r="L50" s="3"/>
      <c r="M50" s="3"/>
      <c r="N50" s="3"/>
      <c r="O50" s="3"/>
      <c r="P50" s="3"/>
      <c r="Q50" s="3"/>
    </row>
    <row r="51" spans="1:17" ht="15">
      <c r="A51" s="3">
        <v>55</v>
      </c>
      <c r="B51" s="3" t="s">
        <v>113</v>
      </c>
      <c r="C51" s="3"/>
      <c r="D51" s="3"/>
      <c r="E51" s="3"/>
      <c r="F51" s="3"/>
      <c r="G51" s="3"/>
      <c r="H51" s="3"/>
      <c r="I51" s="3"/>
      <c r="J51" s="3"/>
      <c r="K51" s="3"/>
      <c r="L51" s="3"/>
      <c r="M51" s="3"/>
      <c r="N51" s="3"/>
      <c r="O51" s="3"/>
      <c r="P51" s="3"/>
      <c r="Q51" s="3"/>
    </row>
    <row r="52" spans="1:17" ht="15">
      <c r="A52" s="3">
        <v>57</v>
      </c>
      <c r="B52" s="3" t="s">
        <v>114</v>
      </c>
      <c r="C52" s="3"/>
      <c r="D52" s="3"/>
      <c r="E52" s="3"/>
      <c r="F52" s="3"/>
      <c r="G52" s="3"/>
      <c r="H52" s="3"/>
      <c r="I52" s="3"/>
      <c r="J52" s="3"/>
      <c r="K52" s="3"/>
      <c r="L52" s="3"/>
      <c r="M52" s="3"/>
      <c r="N52" s="3"/>
      <c r="O52" s="3"/>
      <c r="P52" s="3"/>
      <c r="Q52" s="3"/>
    </row>
    <row r="53" spans="1:17" ht="15">
      <c r="A53" s="3">
        <v>59</v>
      </c>
      <c r="B53" s="3" t="s">
        <v>115</v>
      </c>
      <c r="C53" s="3"/>
      <c r="D53" s="3"/>
      <c r="E53" s="3"/>
      <c r="F53" s="3"/>
      <c r="G53" s="3"/>
      <c r="H53" s="3"/>
      <c r="I53" s="3"/>
      <c r="J53" s="3"/>
      <c r="K53" s="3"/>
      <c r="L53" s="3"/>
      <c r="M53" s="3"/>
      <c r="N53" s="3"/>
      <c r="O53" s="3"/>
      <c r="P53" s="3"/>
      <c r="Q53" s="3"/>
    </row>
    <row r="54" spans="1:17" ht="15">
      <c r="A54" s="3">
        <v>61</v>
      </c>
      <c r="B54" s="3" t="s">
        <v>116</v>
      </c>
      <c r="C54" s="3"/>
      <c r="D54" s="3"/>
      <c r="E54" s="3"/>
      <c r="F54" s="3"/>
      <c r="G54" s="3"/>
      <c r="H54" s="3"/>
      <c r="I54" s="3"/>
      <c r="J54" s="3"/>
      <c r="K54" s="3"/>
      <c r="L54" s="3"/>
      <c r="M54" s="3"/>
      <c r="N54" s="3"/>
      <c r="O54" s="3"/>
      <c r="P54" s="3"/>
      <c r="Q54" s="3"/>
    </row>
    <row r="55" spans="1:17" ht="15">
      <c r="A55" s="3">
        <v>63</v>
      </c>
      <c r="B55" s="3" t="s">
        <v>117</v>
      </c>
      <c r="C55" s="3"/>
      <c r="D55" s="3"/>
      <c r="E55" s="3"/>
      <c r="F55" s="3"/>
      <c r="G55" s="3"/>
      <c r="H55" s="3"/>
      <c r="I55" s="3"/>
      <c r="J55" s="3"/>
      <c r="K55" s="3"/>
      <c r="L55" s="3"/>
      <c r="M55" s="3"/>
      <c r="N55" s="3"/>
      <c r="O55" s="3"/>
      <c r="P55" s="3"/>
      <c r="Q55" s="3"/>
    </row>
    <row r="56" spans="1:17" ht="15">
      <c r="A56" s="3">
        <v>65</v>
      </c>
      <c r="B56" s="3" t="s">
        <v>118</v>
      </c>
      <c r="C56" s="3"/>
      <c r="D56" s="3"/>
      <c r="E56" s="3"/>
      <c r="F56" s="3"/>
      <c r="G56" s="3"/>
      <c r="H56" s="3"/>
      <c r="I56" s="3"/>
      <c r="J56" s="3"/>
      <c r="K56" s="3"/>
      <c r="L56" s="3"/>
      <c r="M56" s="3"/>
      <c r="N56" s="3"/>
      <c r="O56" s="3"/>
      <c r="P56" s="3"/>
      <c r="Q56" s="3"/>
    </row>
    <row r="57" spans="1:17" ht="15">
      <c r="A57" s="3">
        <v>67</v>
      </c>
      <c r="B57" s="3" t="s">
        <v>119</v>
      </c>
      <c r="C57" s="3"/>
      <c r="D57" s="3"/>
      <c r="E57" s="3"/>
      <c r="F57" s="3"/>
      <c r="G57" s="3"/>
      <c r="H57" s="3"/>
      <c r="I57" s="3"/>
      <c r="J57" s="3"/>
      <c r="K57" s="3"/>
      <c r="L57" s="3"/>
      <c r="M57" s="3"/>
      <c r="N57" s="3"/>
      <c r="O57" s="3"/>
      <c r="P57" s="3"/>
      <c r="Q57" s="3"/>
    </row>
    <row r="58" spans="1:17" ht="15">
      <c r="A58" s="3">
        <v>69</v>
      </c>
      <c r="B58" s="3" t="s">
        <v>120</v>
      </c>
      <c r="C58" s="3"/>
      <c r="D58" s="3"/>
      <c r="E58" s="3"/>
      <c r="F58" s="3"/>
      <c r="G58" s="3"/>
      <c r="H58" s="3"/>
      <c r="I58" s="3"/>
      <c r="J58" s="3"/>
      <c r="K58" s="3"/>
      <c r="L58" s="3"/>
      <c r="M58" s="3"/>
      <c r="N58" s="3"/>
      <c r="O58" s="3"/>
      <c r="P58" s="3"/>
      <c r="Q58" s="3"/>
    </row>
    <row r="59" spans="1:17" ht="15">
      <c r="A59" s="3">
        <v>71</v>
      </c>
      <c r="B59" s="3" t="s">
        <v>121</v>
      </c>
      <c r="C59" s="3"/>
      <c r="D59" s="3"/>
      <c r="E59" s="3"/>
      <c r="F59" s="3"/>
      <c r="G59" s="3"/>
      <c r="H59" s="3"/>
      <c r="I59" s="3"/>
      <c r="J59" s="3"/>
      <c r="K59" s="3"/>
      <c r="L59" s="3"/>
      <c r="M59" s="3"/>
      <c r="N59" s="3"/>
      <c r="O59" s="3"/>
      <c r="P59" s="3"/>
      <c r="Q59" s="3"/>
    </row>
    <row r="60" spans="1:17" ht="15">
      <c r="A60" s="3">
        <v>73</v>
      </c>
      <c r="B60" s="3" t="s">
        <v>122</v>
      </c>
      <c r="C60" s="3"/>
      <c r="D60" s="3"/>
      <c r="E60" s="3"/>
      <c r="F60" s="3"/>
      <c r="G60" s="3"/>
      <c r="H60" s="3"/>
      <c r="I60" s="3"/>
      <c r="J60" s="3"/>
      <c r="K60" s="3"/>
      <c r="L60" s="3"/>
      <c r="M60" s="3"/>
      <c r="N60" s="3"/>
      <c r="O60" s="3"/>
      <c r="P60" s="3"/>
      <c r="Q60" s="3"/>
    </row>
    <row r="61" spans="1:17" ht="15">
      <c r="A61" s="3">
        <v>75</v>
      </c>
      <c r="B61" s="3" t="s">
        <v>123</v>
      </c>
      <c r="C61" s="3"/>
      <c r="D61" s="3"/>
      <c r="E61" s="3"/>
      <c r="F61" s="3"/>
      <c r="G61" s="3"/>
      <c r="H61" s="3"/>
      <c r="I61" s="3"/>
      <c r="J61" s="3"/>
      <c r="K61" s="3"/>
      <c r="L61" s="3"/>
      <c r="M61" s="3"/>
      <c r="N61" s="3"/>
      <c r="O61" s="3"/>
      <c r="P61" s="3"/>
      <c r="Q61" s="3"/>
    </row>
    <row r="62" spans="1:17" ht="15">
      <c r="A62" s="3">
        <v>77</v>
      </c>
      <c r="B62" s="3" t="s">
        <v>118</v>
      </c>
      <c r="C62" s="3"/>
      <c r="D62" s="3"/>
      <c r="E62" s="3"/>
      <c r="F62" s="3"/>
      <c r="G62" s="3"/>
      <c r="H62" s="3"/>
      <c r="I62" s="3"/>
      <c r="J62" s="3"/>
      <c r="K62" s="3"/>
      <c r="L62" s="3"/>
      <c r="M62" s="3"/>
      <c r="N62" s="3"/>
      <c r="O62" s="3"/>
      <c r="P62" s="3"/>
      <c r="Q62" s="3"/>
    </row>
    <row r="63" spans="1:17" ht="15">
      <c r="A63" s="3">
        <v>79</v>
      </c>
      <c r="B63" s="3" t="s">
        <v>124</v>
      </c>
      <c r="C63" s="3"/>
      <c r="D63" s="3"/>
      <c r="E63" s="3"/>
      <c r="F63" s="3"/>
      <c r="G63" s="3"/>
      <c r="H63" s="3"/>
      <c r="I63" s="3"/>
      <c r="J63" s="3"/>
      <c r="K63" s="3"/>
      <c r="L63" s="3"/>
      <c r="M63" s="3"/>
      <c r="N63" s="3"/>
      <c r="O63" s="3"/>
      <c r="P63" s="3"/>
      <c r="Q63" s="3"/>
    </row>
    <row r="64" spans="1:17" ht="15">
      <c r="A64" s="3">
        <v>81</v>
      </c>
      <c r="B64" s="3" t="s">
        <v>125</v>
      </c>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3">
    <mergeCell ref="A1:K1"/>
    <mergeCell ref="A2:K2"/>
    <mergeCell ref="A23:D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50"/>
  <sheetViews>
    <sheetView workbookViewId="0"/>
  </sheetViews>
  <sheetFormatPr defaultRowHeight="14.25"/>
  <cols>
    <col min="1" max="1" width="14" customWidth="1"/>
    <col min="2" max="2" width="12" customWidth="1"/>
    <col min="3" max="3" width="18" customWidth="1"/>
    <col min="4" max="4" width="28" customWidth="1"/>
    <col min="5" max="5" width="42" customWidth="1"/>
    <col min="6" max="6" width="46" customWidth="1"/>
    <col min="7" max="7" width="18" customWidth="1"/>
    <col min="8" max="8" width="34" customWidth="1"/>
    <col min="9" max="9" width="12" customWidth="1"/>
    <col min="10" max="10" width="34" customWidth="1"/>
  </cols>
  <sheetData>
    <row r="1" spans="1:17" ht="24" customHeight="1">
      <c r="A1" s="32" t="s">
        <v>126</v>
      </c>
      <c r="B1" s="33"/>
      <c r="C1" s="33"/>
      <c r="D1" s="33"/>
      <c r="E1" s="33"/>
      <c r="F1" s="33"/>
      <c r="G1" s="33"/>
      <c r="H1" s="33"/>
      <c r="I1" s="33"/>
      <c r="J1" s="33"/>
      <c r="K1" s="21"/>
      <c r="L1" s="3"/>
      <c r="M1" s="3"/>
      <c r="N1" s="3"/>
      <c r="O1" s="3"/>
      <c r="P1" s="3"/>
      <c r="Q1" s="3"/>
    </row>
    <row r="2" spans="1:17" ht="33.950000000000003" customHeight="1">
      <c r="A2" s="34" t="s">
        <v>127</v>
      </c>
      <c r="B2" s="35"/>
      <c r="C2" s="35"/>
      <c r="D2" s="35"/>
      <c r="E2" s="35"/>
      <c r="F2" s="35"/>
      <c r="G2" s="35"/>
      <c r="H2" s="35"/>
      <c r="I2" s="35"/>
      <c r="J2" s="35"/>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128</v>
      </c>
      <c r="B4" s="4" t="s">
        <v>129</v>
      </c>
      <c r="C4" s="4" t="s">
        <v>130</v>
      </c>
      <c r="D4" s="4" t="s">
        <v>131</v>
      </c>
      <c r="E4" s="4" t="s">
        <v>132</v>
      </c>
      <c r="F4" s="4" t="s">
        <v>133</v>
      </c>
      <c r="G4" s="4" t="s">
        <v>134</v>
      </c>
      <c r="H4" s="4" t="s">
        <v>135</v>
      </c>
      <c r="I4" s="4" t="s">
        <v>136</v>
      </c>
      <c r="J4" s="4" t="s">
        <v>137</v>
      </c>
      <c r="K4" s="3"/>
      <c r="L4" s="3"/>
      <c r="M4" s="3"/>
      <c r="N4" s="3"/>
      <c r="O4" s="3"/>
      <c r="P4" s="3"/>
      <c r="Q4" s="3"/>
    </row>
    <row r="5" spans="1:17" ht="15">
      <c r="A5" s="11" t="s">
        <v>138</v>
      </c>
      <c r="B5" s="11" t="s">
        <v>139</v>
      </c>
      <c r="C5" s="11" t="s">
        <v>140</v>
      </c>
      <c r="D5" s="11" t="s">
        <v>101</v>
      </c>
      <c r="E5" s="11" t="s">
        <v>141</v>
      </c>
      <c r="F5" s="11" t="s">
        <v>142</v>
      </c>
      <c r="G5" s="11" t="s">
        <v>143</v>
      </c>
      <c r="H5" s="11" t="s">
        <v>144</v>
      </c>
      <c r="I5" s="11" t="s">
        <v>145</v>
      </c>
      <c r="J5" s="11" t="s">
        <v>146</v>
      </c>
      <c r="K5" s="3"/>
      <c r="L5" s="3"/>
      <c r="M5" s="3"/>
      <c r="N5" s="3"/>
      <c r="O5" s="3"/>
      <c r="P5" s="3"/>
      <c r="Q5" s="3"/>
    </row>
    <row r="6" spans="1:17" ht="27">
      <c r="A6" s="11" t="s">
        <v>147</v>
      </c>
      <c r="B6" s="11" t="s">
        <v>139</v>
      </c>
      <c r="C6" s="11" t="s">
        <v>140</v>
      </c>
      <c r="D6" s="11" t="s">
        <v>148</v>
      </c>
      <c r="E6" s="11" t="s">
        <v>149</v>
      </c>
      <c r="F6" s="11" t="s">
        <v>150</v>
      </c>
      <c r="G6" s="11" t="s">
        <v>143</v>
      </c>
      <c r="H6" s="11" t="s">
        <v>151</v>
      </c>
      <c r="I6" s="11" t="s">
        <v>145</v>
      </c>
      <c r="J6" s="11" t="s">
        <v>152</v>
      </c>
      <c r="K6" s="3"/>
      <c r="L6" s="3"/>
      <c r="M6" s="3"/>
      <c r="N6" s="3"/>
      <c r="O6" s="3"/>
      <c r="P6" s="3"/>
      <c r="Q6" s="3"/>
    </row>
    <row r="7" spans="1:17" ht="27">
      <c r="A7" s="11" t="s">
        <v>153</v>
      </c>
      <c r="B7" s="11" t="s">
        <v>139</v>
      </c>
      <c r="C7" s="11" t="s">
        <v>140</v>
      </c>
      <c r="D7" s="11" t="s">
        <v>103</v>
      </c>
      <c r="E7" s="11" t="s">
        <v>154</v>
      </c>
      <c r="F7" s="11" t="s">
        <v>155</v>
      </c>
      <c r="G7" s="11" t="s">
        <v>143</v>
      </c>
      <c r="H7" s="11" t="s">
        <v>156</v>
      </c>
      <c r="I7" s="11" t="s">
        <v>145</v>
      </c>
      <c r="J7" s="11" t="s">
        <v>157</v>
      </c>
      <c r="K7" s="3"/>
      <c r="L7" s="3"/>
      <c r="M7" s="3"/>
      <c r="N7" s="3"/>
      <c r="O7" s="3"/>
      <c r="P7" s="3"/>
      <c r="Q7" s="3"/>
    </row>
    <row r="8" spans="1:17" ht="27">
      <c r="A8" s="11" t="s">
        <v>158</v>
      </c>
      <c r="B8" s="11" t="s">
        <v>139</v>
      </c>
      <c r="C8" s="11" t="s">
        <v>159</v>
      </c>
      <c r="D8" s="11" t="s">
        <v>160</v>
      </c>
      <c r="E8" s="11" t="s">
        <v>161</v>
      </c>
      <c r="F8" s="11" t="s">
        <v>162</v>
      </c>
      <c r="G8" s="11" t="s">
        <v>143</v>
      </c>
      <c r="H8" s="11" t="s">
        <v>163</v>
      </c>
      <c r="I8" s="11" t="s">
        <v>145</v>
      </c>
      <c r="J8" s="11" t="s">
        <v>164</v>
      </c>
      <c r="K8" s="3"/>
      <c r="L8" s="3"/>
      <c r="M8" s="3"/>
      <c r="N8" s="3"/>
      <c r="O8" s="3"/>
      <c r="P8" s="3"/>
      <c r="Q8" s="3"/>
    </row>
    <row r="9" spans="1:17" ht="40.5">
      <c r="A9" s="11" t="s">
        <v>165</v>
      </c>
      <c r="B9" s="11" t="s">
        <v>139</v>
      </c>
      <c r="C9" s="11" t="s">
        <v>166</v>
      </c>
      <c r="D9" s="11" t="s">
        <v>167</v>
      </c>
      <c r="E9" s="11" t="s">
        <v>168</v>
      </c>
      <c r="F9" s="11" t="s">
        <v>169</v>
      </c>
      <c r="G9" s="11" t="s">
        <v>143</v>
      </c>
      <c r="H9" s="11" t="s">
        <v>170</v>
      </c>
      <c r="I9" s="11" t="s">
        <v>145</v>
      </c>
      <c r="J9" s="11" t="s">
        <v>171</v>
      </c>
      <c r="K9" s="3"/>
      <c r="L9" s="3"/>
      <c r="M9" s="3"/>
      <c r="N9" s="3"/>
      <c r="O9" s="3"/>
      <c r="P9" s="3"/>
      <c r="Q9" s="3"/>
    </row>
    <row r="10" spans="1:17" ht="27">
      <c r="A10" s="11" t="s">
        <v>172</v>
      </c>
      <c r="B10" s="11" t="s">
        <v>139</v>
      </c>
      <c r="C10" s="11" t="s">
        <v>159</v>
      </c>
      <c r="D10" s="11" t="s">
        <v>173</v>
      </c>
      <c r="E10" s="11" t="s">
        <v>174</v>
      </c>
      <c r="F10" s="11" t="s">
        <v>175</v>
      </c>
      <c r="G10" s="11" t="s">
        <v>143</v>
      </c>
      <c r="H10" s="11" t="s">
        <v>176</v>
      </c>
      <c r="I10" s="11" t="s">
        <v>145</v>
      </c>
      <c r="J10" s="11" t="s">
        <v>177</v>
      </c>
      <c r="K10" s="3"/>
      <c r="L10" s="3"/>
      <c r="M10" s="3"/>
      <c r="N10" s="3"/>
      <c r="O10" s="3"/>
      <c r="P10" s="3"/>
      <c r="Q10" s="3"/>
    </row>
    <row r="11" spans="1:17" ht="15">
      <c r="A11" s="11" t="s">
        <v>178</v>
      </c>
      <c r="B11" s="11" t="s">
        <v>139</v>
      </c>
      <c r="C11" s="11" t="s">
        <v>179</v>
      </c>
      <c r="D11" s="11" t="s">
        <v>180</v>
      </c>
      <c r="E11" s="11" t="s">
        <v>181</v>
      </c>
      <c r="F11" s="11" t="s">
        <v>182</v>
      </c>
      <c r="G11" s="11" t="s">
        <v>143</v>
      </c>
      <c r="H11" s="11" t="s">
        <v>183</v>
      </c>
      <c r="I11" s="11" t="s">
        <v>145</v>
      </c>
      <c r="J11" s="11" t="s">
        <v>184</v>
      </c>
      <c r="K11" s="3"/>
      <c r="L11" s="3"/>
      <c r="M11" s="3"/>
      <c r="N11" s="3"/>
      <c r="O11" s="3"/>
      <c r="P11" s="3"/>
      <c r="Q11" s="3"/>
    </row>
    <row r="12" spans="1:17" ht="27">
      <c r="A12" s="11" t="s">
        <v>185</v>
      </c>
      <c r="B12" s="11" t="s">
        <v>139</v>
      </c>
      <c r="C12" s="11" t="s">
        <v>159</v>
      </c>
      <c r="D12" s="11" t="s">
        <v>186</v>
      </c>
      <c r="E12" s="11" t="s">
        <v>187</v>
      </c>
      <c r="F12" s="11" t="s">
        <v>188</v>
      </c>
      <c r="G12" s="11" t="s">
        <v>143</v>
      </c>
      <c r="H12" s="11" t="s">
        <v>189</v>
      </c>
      <c r="I12" s="11" t="s">
        <v>145</v>
      </c>
      <c r="J12" s="11" t="s">
        <v>184</v>
      </c>
      <c r="K12" s="3"/>
      <c r="L12" s="3"/>
      <c r="M12" s="3"/>
      <c r="N12" s="3"/>
      <c r="O12" s="3"/>
      <c r="P12" s="3"/>
      <c r="Q12" s="3"/>
    </row>
    <row r="13" spans="1:17" ht="27">
      <c r="A13" s="11" t="s">
        <v>190</v>
      </c>
      <c r="B13" s="11" t="s">
        <v>139</v>
      </c>
      <c r="C13" s="11" t="s">
        <v>159</v>
      </c>
      <c r="D13" s="11" t="s">
        <v>191</v>
      </c>
      <c r="E13" s="11" t="s">
        <v>192</v>
      </c>
      <c r="F13" s="11" t="s">
        <v>193</v>
      </c>
      <c r="G13" s="11" t="s">
        <v>143</v>
      </c>
      <c r="H13" s="11" t="s">
        <v>194</v>
      </c>
      <c r="I13" s="11" t="s">
        <v>145</v>
      </c>
      <c r="J13" s="11" t="s">
        <v>184</v>
      </c>
      <c r="K13" s="3"/>
      <c r="L13" s="3"/>
      <c r="M13" s="3"/>
      <c r="N13" s="3"/>
      <c r="O13" s="3"/>
      <c r="P13" s="3"/>
      <c r="Q13" s="3"/>
    </row>
    <row r="14" spans="1:17" ht="27">
      <c r="A14" s="11" t="s">
        <v>195</v>
      </c>
      <c r="B14" s="11" t="s">
        <v>139</v>
      </c>
      <c r="C14" s="11" t="s">
        <v>159</v>
      </c>
      <c r="D14" s="11" t="s">
        <v>196</v>
      </c>
      <c r="E14" s="11" t="s">
        <v>197</v>
      </c>
      <c r="F14" s="11" t="s">
        <v>198</v>
      </c>
      <c r="G14" s="11" t="s">
        <v>143</v>
      </c>
      <c r="H14" s="11" t="s">
        <v>199</v>
      </c>
      <c r="I14" s="11" t="s">
        <v>145</v>
      </c>
      <c r="J14" s="11" t="s">
        <v>200</v>
      </c>
      <c r="K14" s="3"/>
      <c r="L14" s="3"/>
      <c r="M14" s="3"/>
      <c r="N14" s="3"/>
      <c r="O14" s="3"/>
      <c r="P14" s="3"/>
      <c r="Q14" s="3"/>
    </row>
    <row r="15" spans="1:17" ht="27">
      <c r="A15" s="11" t="s">
        <v>201</v>
      </c>
      <c r="B15" s="11" t="s">
        <v>139</v>
      </c>
      <c r="C15" s="11" t="s">
        <v>202</v>
      </c>
      <c r="D15" s="11" t="s">
        <v>203</v>
      </c>
      <c r="E15" s="11" t="s">
        <v>204</v>
      </c>
      <c r="F15" s="11" t="s">
        <v>205</v>
      </c>
      <c r="G15" s="11" t="s">
        <v>143</v>
      </c>
      <c r="H15" s="11" t="s">
        <v>206</v>
      </c>
      <c r="I15" s="11" t="s">
        <v>145</v>
      </c>
      <c r="J15" s="11" t="s">
        <v>207</v>
      </c>
      <c r="K15" s="3"/>
      <c r="L15" s="3"/>
      <c r="M15" s="3"/>
      <c r="N15" s="3"/>
      <c r="O15" s="3"/>
      <c r="P15" s="3"/>
      <c r="Q15" s="3"/>
    </row>
    <row r="16" spans="1:17" ht="15">
      <c r="A16" s="11" t="s">
        <v>208</v>
      </c>
      <c r="B16" s="11" t="s">
        <v>139</v>
      </c>
      <c r="C16" s="11" t="s">
        <v>209</v>
      </c>
      <c r="D16" s="11" t="s">
        <v>99</v>
      </c>
      <c r="E16" s="11" t="s">
        <v>210</v>
      </c>
      <c r="F16" s="11" t="s">
        <v>211</v>
      </c>
      <c r="G16" s="11" t="s">
        <v>143</v>
      </c>
      <c r="H16" s="11" t="s">
        <v>212</v>
      </c>
      <c r="I16" s="11"/>
      <c r="J16" s="11"/>
      <c r="K16" s="3"/>
      <c r="L16" s="3"/>
      <c r="M16" s="3"/>
      <c r="N16" s="3"/>
      <c r="O16" s="3"/>
      <c r="P16" s="3"/>
      <c r="Q16" s="3"/>
    </row>
    <row r="17" spans="1:17" ht="15">
      <c r="A17" s="11" t="s">
        <v>213</v>
      </c>
      <c r="B17" s="11" t="s">
        <v>139</v>
      </c>
      <c r="C17" s="11" t="s">
        <v>214</v>
      </c>
      <c r="D17" s="11" t="s">
        <v>215</v>
      </c>
      <c r="E17" s="11" t="s">
        <v>216</v>
      </c>
      <c r="F17" s="11" t="s">
        <v>217</v>
      </c>
      <c r="G17" s="11" t="s">
        <v>143</v>
      </c>
      <c r="H17" s="11" t="s">
        <v>218</v>
      </c>
      <c r="I17" s="11"/>
      <c r="J17" s="11"/>
      <c r="K17" s="3"/>
      <c r="L17" s="3"/>
      <c r="M17" s="3"/>
      <c r="N17" s="3"/>
      <c r="O17" s="3"/>
      <c r="P17" s="3"/>
      <c r="Q17" s="3"/>
    </row>
    <row r="18" spans="1:17" ht="15">
      <c r="A18" s="11" t="s">
        <v>219</v>
      </c>
      <c r="B18" s="11" t="s">
        <v>139</v>
      </c>
      <c r="C18" s="11" t="s">
        <v>220</v>
      </c>
      <c r="D18" s="11" t="s">
        <v>221</v>
      </c>
      <c r="E18" s="11" t="s">
        <v>222</v>
      </c>
      <c r="F18" s="11" t="s">
        <v>223</v>
      </c>
      <c r="G18" s="11" t="s">
        <v>143</v>
      </c>
      <c r="H18" s="11" t="s">
        <v>218</v>
      </c>
      <c r="I18" s="11"/>
      <c r="J18" s="11"/>
      <c r="K18" s="3"/>
      <c r="L18" s="3"/>
      <c r="M18" s="3"/>
      <c r="N18" s="3"/>
      <c r="O18" s="3"/>
      <c r="P18" s="3"/>
      <c r="Q18" s="3"/>
    </row>
    <row r="19" spans="1:17" ht="15">
      <c r="A19" s="11" t="s">
        <v>224</v>
      </c>
      <c r="B19" s="11" t="s">
        <v>139</v>
      </c>
      <c r="C19" s="11" t="s">
        <v>225</v>
      </c>
      <c r="D19" s="11" t="s">
        <v>226</v>
      </c>
      <c r="E19" s="11" t="s">
        <v>227</v>
      </c>
      <c r="F19" s="11" t="s">
        <v>228</v>
      </c>
      <c r="G19" s="11" t="s">
        <v>143</v>
      </c>
      <c r="H19" s="11" t="s">
        <v>229</v>
      </c>
      <c r="I19" s="11"/>
      <c r="J19" s="11"/>
      <c r="K19" s="3"/>
      <c r="L19" s="3"/>
      <c r="M19" s="3"/>
      <c r="N19" s="3"/>
      <c r="O19" s="3"/>
      <c r="P19" s="3"/>
      <c r="Q19" s="3"/>
    </row>
    <row r="20" spans="1:17" ht="15">
      <c r="A20" s="11" t="s">
        <v>230</v>
      </c>
      <c r="B20" s="11" t="s">
        <v>139</v>
      </c>
      <c r="C20" s="11" t="s">
        <v>225</v>
      </c>
      <c r="D20" s="11" t="s">
        <v>231</v>
      </c>
      <c r="E20" s="11" t="s">
        <v>232</v>
      </c>
      <c r="F20" s="11" t="s">
        <v>233</v>
      </c>
      <c r="G20" s="11" t="s">
        <v>143</v>
      </c>
      <c r="H20" s="11" t="s">
        <v>229</v>
      </c>
      <c r="I20" s="11"/>
      <c r="J20" s="11"/>
      <c r="K20" s="3"/>
      <c r="L20" s="3"/>
      <c r="M20" s="3"/>
      <c r="N20" s="3"/>
      <c r="O20" s="3"/>
      <c r="P20" s="3"/>
      <c r="Q20" s="3"/>
    </row>
    <row r="21" spans="1:17" ht="15">
      <c r="A21" s="11" t="s">
        <v>234</v>
      </c>
      <c r="B21" s="11" t="s">
        <v>139</v>
      </c>
      <c r="C21" s="11" t="s">
        <v>235</v>
      </c>
      <c r="D21" s="11" t="s">
        <v>236</v>
      </c>
      <c r="E21" s="11" t="s">
        <v>237</v>
      </c>
      <c r="F21" s="11" t="s">
        <v>238</v>
      </c>
      <c r="G21" s="11" t="s">
        <v>143</v>
      </c>
      <c r="H21" s="11" t="s">
        <v>239</v>
      </c>
      <c r="I21" s="11"/>
      <c r="J21" s="11"/>
      <c r="K21" s="3"/>
      <c r="L21" s="3"/>
      <c r="M21" s="3"/>
      <c r="N21" s="3"/>
      <c r="O21" s="3"/>
      <c r="P21" s="3"/>
      <c r="Q21" s="3"/>
    </row>
    <row r="22" spans="1:17" ht="15">
      <c r="A22" s="11" t="s">
        <v>240</v>
      </c>
      <c r="B22" s="11" t="s">
        <v>139</v>
      </c>
      <c r="C22" s="11" t="s">
        <v>241</v>
      </c>
      <c r="D22" s="11" t="s">
        <v>102</v>
      </c>
      <c r="E22" s="11" t="s">
        <v>242</v>
      </c>
      <c r="F22" s="11" t="s">
        <v>243</v>
      </c>
      <c r="G22" s="11" t="s">
        <v>143</v>
      </c>
      <c r="H22" s="11" t="s">
        <v>244</v>
      </c>
      <c r="I22" s="11"/>
      <c r="J22" s="11"/>
      <c r="K22" s="3"/>
      <c r="L22" s="3"/>
      <c r="M22" s="3"/>
      <c r="N22" s="3"/>
      <c r="O22" s="3"/>
      <c r="P22" s="3"/>
      <c r="Q22" s="3"/>
    </row>
    <row r="23" spans="1:17" ht="15">
      <c r="A23" s="11" t="s">
        <v>245</v>
      </c>
      <c r="B23" s="11" t="s">
        <v>139</v>
      </c>
      <c r="C23" s="11" t="s">
        <v>39</v>
      </c>
      <c r="D23" s="11" t="s">
        <v>246</v>
      </c>
      <c r="E23" s="11" t="s">
        <v>247</v>
      </c>
      <c r="F23" s="11" t="s">
        <v>248</v>
      </c>
      <c r="G23" s="11" t="s">
        <v>143</v>
      </c>
      <c r="H23" s="11" t="s">
        <v>218</v>
      </c>
      <c r="I23" s="11"/>
      <c r="J23" s="11"/>
      <c r="K23" s="3"/>
      <c r="L23" s="3"/>
      <c r="M23" s="3"/>
      <c r="N23" s="3"/>
      <c r="O23" s="3"/>
      <c r="P23" s="3"/>
      <c r="Q23" s="3"/>
    </row>
    <row r="24" spans="1:17" ht="15">
      <c r="A24" s="11" t="s">
        <v>249</v>
      </c>
      <c r="B24" s="11" t="s">
        <v>139</v>
      </c>
      <c r="C24" s="11" t="s">
        <v>250</v>
      </c>
      <c r="D24" s="11" t="s">
        <v>251</v>
      </c>
      <c r="E24" s="11" t="s">
        <v>252</v>
      </c>
      <c r="F24" s="11" t="s">
        <v>253</v>
      </c>
      <c r="G24" s="11" t="s">
        <v>143</v>
      </c>
      <c r="H24" s="11" t="s">
        <v>254</v>
      </c>
      <c r="I24" s="11"/>
      <c r="J24" s="11"/>
      <c r="K24" s="3"/>
      <c r="L24" s="3"/>
      <c r="M24" s="3"/>
      <c r="N24" s="3"/>
      <c r="O24" s="3"/>
      <c r="P24" s="3"/>
      <c r="Q24" s="3"/>
    </row>
    <row r="25" spans="1:17" ht="27">
      <c r="A25" s="11" t="s">
        <v>255</v>
      </c>
      <c r="B25" s="11" t="s">
        <v>139</v>
      </c>
      <c r="C25" s="11" t="s">
        <v>235</v>
      </c>
      <c r="D25" s="11" t="s">
        <v>256</v>
      </c>
      <c r="E25" s="11" t="s">
        <v>257</v>
      </c>
      <c r="F25" s="11" t="s">
        <v>258</v>
      </c>
      <c r="G25" s="11" t="s">
        <v>143</v>
      </c>
      <c r="H25" s="11" t="s">
        <v>259</v>
      </c>
      <c r="I25" s="11" t="s">
        <v>145</v>
      </c>
      <c r="J25" s="11" t="s">
        <v>260</v>
      </c>
      <c r="K25" s="3"/>
      <c r="L25" s="3"/>
      <c r="M25" s="3"/>
      <c r="N25" s="3"/>
      <c r="O25" s="3"/>
      <c r="P25" s="3"/>
      <c r="Q25" s="3"/>
    </row>
    <row r="26" spans="1:17" ht="27">
      <c r="A26" s="11" t="s">
        <v>261</v>
      </c>
      <c r="B26" s="11" t="s">
        <v>139</v>
      </c>
      <c r="C26" s="11" t="s">
        <v>262</v>
      </c>
      <c r="D26" s="11" t="s">
        <v>263</v>
      </c>
      <c r="E26" s="11" t="s">
        <v>264</v>
      </c>
      <c r="F26" s="11" t="s">
        <v>265</v>
      </c>
      <c r="G26" s="11" t="s">
        <v>143</v>
      </c>
      <c r="H26" s="11" t="s">
        <v>266</v>
      </c>
      <c r="I26" s="11" t="s">
        <v>145</v>
      </c>
      <c r="J26" s="11" t="s">
        <v>267</v>
      </c>
      <c r="K26" s="3"/>
      <c r="L26" s="3"/>
      <c r="M26" s="3"/>
      <c r="N26" s="3"/>
      <c r="O26" s="3"/>
      <c r="P26" s="3"/>
      <c r="Q26" s="3"/>
    </row>
    <row r="27" spans="1:17" ht="27">
      <c r="A27" s="11" t="s">
        <v>268</v>
      </c>
      <c r="B27" s="11" t="s">
        <v>139</v>
      </c>
      <c r="C27" s="11" t="s">
        <v>262</v>
      </c>
      <c r="D27" s="11" t="s">
        <v>269</v>
      </c>
      <c r="E27" s="11" t="s">
        <v>270</v>
      </c>
      <c r="F27" s="11" t="s">
        <v>271</v>
      </c>
      <c r="G27" s="11" t="s">
        <v>143</v>
      </c>
      <c r="H27" s="11" t="s">
        <v>272</v>
      </c>
      <c r="I27" s="11" t="s">
        <v>145</v>
      </c>
      <c r="J27" s="11" t="s">
        <v>273</v>
      </c>
      <c r="K27" s="3"/>
      <c r="L27" s="3"/>
      <c r="M27" s="3"/>
      <c r="N27" s="3"/>
      <c r="O27" s="3"/>
      <c r="P27" s="3"/>
      <c r="Q27" s="3"/>
    </row>
    <row r="28" spans="1:17" ht="27">
      <c r="A28" s="11" t="s">
        <v>274</v>
      </c>
      <c r="B28" s="11" t="s">
        <v>139</v>
      </c>
      <c r="C28" s="11" t="s">
        <v>262</v>
      </c>
      <c r="D28" s="11" t="s">
        <v>275</v>
      </c>
      <c r="E28" s="11" t="s">
        <v>276</v>
      </c>
      <c r="F28" s="11" t="s">
        <v>277</v>
      </c>
      <c r="G28" s="11" t="s">
        <v>143</v>
      </c>
      <c r="H28" s="11" t="s">
        <v>278</v>
      </c>
      <c r="I28" s="11" t="s">
        <v>145</v>
      </c>
      <c r="J28" s="11" t="s">
        <v>279</v>
      </c>
      <c r="K28" s="3"/>
      <c r="L28" s="3"/>
      <c r="M28" s="3"/>
      <c r="N28" s="3"/>
      <c r="O28" s="3"/>
      <c r="P28" s="3"/>
      <c r="Q28" s="3"/>
    </row>
    <row r="29" spans="1:17" ht="27">
      <c r="A29" s="11" t="s">
        <v>280</v>
      </c>
      <c r="B29" s="11" t="s">
        <v>139</v>
      </c>
      <c r="C29" s="11" t="s">
        <v>140</v>
      </c>
      <c r="D29" s="11" t="s">
        <v>281</v>
      </c>
      <c r="E29" s="11" t="s">
        <v>282</v>
      </c>
      <c r="F29" s="11" t="s">
        <v>283</v>
      </c>
      <c r="G29" s="11" t="s">
        <v>143</v>
      </c>
      <c r="H29" s="11" t="s">
        <v>284</v>
      </c>
      <c r="I29" s="11" t="s">
        <v>145</v>
      </c>
      <c r="J29" s="11" t="s">
        <v>285</v>
      </c>
      <c r="K29" s="3"/>
      <c r="L29" s="3"/>
      <c r="M29" s="3"/>
      <c r="N29" s="3"/>
      <c r="O29" s="3"/>
      <c r="P29" s="3"/>
      <c r="Q29" s="3"/>
    </row>
    <row r="30" spans="1:17" ht="40.5">
      <c r="A30" s="11" t="s">
        <v>286</v>
      </c>
      <c r="B30" s="11" t="s">
        <v>287</v>
      </c>
      <c r="C30" s="11" t="s">
        <v>288</v>
      </c>
      <c r="D30" s="11" t="s">
        <v>289</v>
      </c>
      <c r="E30" s="11" t="s">
        <v>290</v>
      </c>
      <c r="F30" s="11" t="s">
        <v>291</v>
      </c>
      <c r="G30" s="11" t="s">
        <v>143</v>
      </c>
      <c r="H30" s="11" t="s">
        <v>292</v>
      </c>
      <c r="I30" s="11" t="s">
        <v>145</v>
      </c>
      <c r="J30" s="11" t="s">
        <v>293</v>
      </c>
      <c r="K30" s="3"/>
      <c r="L30" s="3"/>
      <c r="M30" s="3"/>
      <c r="N30" s="3"/>
      <c r="O30" s="3"/>
      <c r="P30" s="3"/>
      <c r="Q30" s="3"/>
    </row>
    <row r="31" spans="1:17" ht="27">
      <c r="A31" s="11" t="s">
        <v>294</v>
      </c>
      <c r="B31" s="11" t="s">
        <v>287</v>
      </c>
      <c r="C31" s="11" t="s">
        <v>140</v>
      </c>
      <c r="D31" s="11" t="s">
        <v>104</v>
      </c>
      <c r="E31" s="11" t="s">
        <v>295</v>
      </c>
      <c r="F31" s="11" t="s">
        <v>296</v>
      </c>
      <c r="G31" s="11" t="s">
        <v>143</v>
      </c>
      <c r="H31" s="11" t="s">
        <v>297</v>
      </c>
      <c r="I31" s="11" t="s">
        <v>145</v>
      </c>
      <c r="J31" s="11" t="s">
        <v>298</v>
      </c>
      <c r="K31" s="3"/>
      <c r="L31" s="3"/>
      <c r="M31" s="3"/>
      <c r="N31" s="3"/>
      <c r="O31" s="3"/>
      <c r="P31" s="3"/>
      <c r="Q31" s="3"/>
    </row>
    <row r="32" spans="1:17" ht="27">
      <c r="A32" s="11" t="s">
        <v>299</v>
      </c>
      <c r="B32" s="11" t="s">
        <v>287</v>
      </c>
      <c r="C32" s="11" t="s">
        <v>300</v>
      </c>
      <c r="D32" s="11" t="s">
        <v>301</v>
      </c>
      <c r="E32" s="11" t="s">
        <v>302</v>
      </c>
      <c r="F32" s="11" t="s">
        <v>303</v>
      </c>
      <c r="G32" s="11" t="s">
        <v>143</v>
      </c>
      <c r="H32" s="11" t="s">
        <v>304</v>
      </c>
      <c r="I32" s="11" t="s">
        <v>145</v>
      </c>
      <c r="J32" s="11" t="s">
        <v>305</v>
      </c>
      <c r="K32" s="3"/>
      <c r="L32" s="3"/>
      <c r="M32" s="3"/>
      <c r="N32" s="3"/>
      <c r="O32" s="3"/>
      <c r="P32" s="3"/>
      <c r="Q32" s="3"/>
    </row>
    <row r="33" spans="1:17" ht="54">
      <c r="A33" s="11" t="s">
        <v>306</v>
      </c>
      <c r="B33" s="11" t="s">
        <v>287</v>
      </c>
      <c r="C33" s="11" t="s">
        <v>307</v>
      </c>
      <c r="D33" s="11" t="s">
        <v>308</v>
      </c>
      <c r="E33" s="11" t="s">
        <v>309</v>
      </c>
      <c r="F33" s="11" t="s">
        <v>310</v>
      </c>
      <c r="G33" s="11" t="s">
        <v>143</v>
      </c>
      <c r="H33" s="11" t="s">
        <v>311</v>
      </c>
      <c r="I33" s="11" t="s">
        <v>145</v>
      </c>
      <c r="J33" s="11" t="s">
        <v>312</v>
      </c>
      <c r="K33" s="3"/>
      <c r="L33" s="3"/>
      <c r="M33" s="3"/>
      <c r="N33" s="3"/>
      <c r="O33" s="3"/>
      <c r="P33" s="3"/>
      <c r="Q33" s="3"/>
    </row>
    <row r="34" spans="1:17" ht="27">
      <c r="A34" s="11" t="s">
        <v>313</v>
      </c>
      <c r="B34" s="11" t="s">
        <v>287</v>
      </c>
      <c r="C34" s="11" t="s">
        <v>314</v>
      </c>
      <c r="D34" s="11" t="s">
        <v>30</v>
      </c>
      <c r="E34" s="11" t="s">
        <v>315</v>
      </c>
      <c r="F34" s="11" t="s">
        <v>316</v>
      </c>
      <c r="G34" s="11" t="s">
        <v>143</v>
      </c>
      <c r="H34" s="11" t="s">
        <v>317</v>
      </c>
      <c r="I34" s="11" t="s">
        <v>318</v>
      </c>
      <c r="J34" s="11" t="s">
        <v>319</v>
      </c>
      <c r="K34" s="3"/>
      <c r="L34" s="3"/>
      <c r="M34" s="3"/>
      <c r="N34" s="3"/>
      <c r="O34" s="3"/>
      <c r="P34" s="3"/>
      <c r="Q34" s="3"/>
    </row>
    <row r="35" spans="1:17" ht="40.5">
      <c r="A35" s="30" t="s">
        <v>287</v>
      </c>
      <c r="B35" s="30" t="s">
        <v>320</v>
      </c>
      <c r="C35" s="30" t="s">
        <v>231</v>
      </c>
      <c r="D35" s="30" t="s">
        <v>321</v>
      </c>
      <c r="E35" s="30" t="s">
        <v>322</v>
      </c>
      <c r="F35" s="30" t="s">
        <v>323</v>
      </c>
      <c r="G35" s="30" t="s">
        <v>324</v>
      </c>
      <c r="H35" s="30" t="s">
        <v>325</v>
      </c>
      <c r="I35" s="30" t="s">
        <v>326</v>
      </c>
      <c r="J35" s="30" t="s">
        <v>327</v>
      </c>
      <c r="K35" s="3"/>
      <c r="L35" s="3"/>
      <c r="M35" s="3"/>
      <c r="N35" s="3"/>
      <c r="O35" s="3"/>
      <c r="P35" s="3"/>
      <c r="Q35" s="3"/>
    </row>
    <row r="36" spans="1:17" ht="40.5">
      <c r="A36" s="30" t="s">
        <v>287</v>
      </c>
      <c r="B36" s="30" t="s">
        <v>320</v>
      </c>
      <c r="C36" s="30" t="s">
        <v>102</v>
      </c>
      <c r="D36" s="30" t="s">
        <v>328</v>
      </c>
      <c r="E36" s="30" t="s">
        <v>329</v>
      </c>
      <c r="F36" s="30" t="s">
        <v>323</v>
      </c>
      <c r="G36" s="30" t="s">
        <v>324</v>
      </c>
      <c r="H36" s="30" t="s">
        <v>325</v>
      </c>
      <c r="I36" s="30" t="s">
        <v>326</v>
      </c>
      <c r="J36" s="30" t="s">
        <v>330</v>
      </c>
      <c r="K36" s="3"/>
      <c r="L36" s="3"/>
      <c r="M36" s="3"/>
      <c r="N36" s="3"/>
      <c r="O36" s="3"/>
      <c r="P36" s="3"/>
      <c r="Q36" s="3"/>
    </row>
    <row r="37" spans="1:17" ht="27">
      <c r="A37" s="30" t="s">
        <v>287</v>
      </c>
      <c r="B37" s="30" t="s">
        <v>320</v>
      </c>
      <c r="C37" s="30" t="s">
        <v>331</v>
      </c>
      <c r="D37" s="30" t="s">
        <v>332</v>
      </c>
      <c r="E37" s="30" t="s">
        <v>333</v>
      </c>
      <c r="F37" s="30" t="s">
        <v>323</v>
      </c>
      <c r="G37" s="30" t="s">
        <v>324</v>
      </c>
      <c r="H37" s="30" t="s">
        <v>334</v>
      </c>
      <c r="I37" s="30" t="s">
        <v>326</v>
      </c>
      <c r="J37" s="30" t="s">
        <v>335</v>
      </c>
      <c r="K37" s="3"/>
      <c r="L37" s="3"/>
      <c r="M37" s="3"/>
      <c r="N37" s="3"/>
      <c r="O37" s="3"/>
      <c r="P37" s="3"/>
      <c r="Q37" s="3"/>
    </row>
    <row r="38" spans="1:17" ht="27">
      <c r="A38" s="30" t="s">
        <v>287</v>
      </c>
      <c r="B38" s="30" t="s">
        <v>320</v>
      </c>
      <c r="C38" s="30" t="s">
        <v>336</v>
      </c>
      <c r="D38" s="30" t="s">
        <v>337</v>
      </c>
      <c r="E38" s="30" t="s">
        <v>338</v>
      </c>
      <c r="F38" s="30" t="s">
        <v>323</v>
      </c>
      <c r="G38" s="30" t="s">
        <v>324</v>
      </c>
      <c r="H38" s="30" t="s">
        <v>334</v>
      </c>
      <c r="I38" s="30" t="s">
        <v>326</v>
      </c>
      <c r="J38" s="30" t="s">
        <v>339</v>
      </c>
      <c r="K38" s="3"/>
      <c r="L38" s="3"/>
      <c r="M38" s="3"/>
      <c r="N38" s="3"/>
      <c r="O38" s="3"/>
      <c r="P38" s="3"/>
      <c r="Q38" s="3"/>
    </row>
    <row r="39" spans="1:17" ht="40.5">
      <c r="A39" s="30" t="s">
        <v>287</v>
      </c>
      <c r="B39" s="30" t="s">
        <v>320</v>
      </c>
      <c r="C39" s="30" t="s">
        <v>236</v>
      </c>
      <c r="D39" s="30" t="s">
        <v>337</v>
      </c>
      <c r="E39" s="30" t="s">
        <v>340</v>
      </c>
      <c r="F39" s="30" t="s">
        <v>323</v>
      </c>
      <c r="G39" s="30" t="s">
        <v>324</v>
      </c>
      <c r="H39" s="30" t="s">
        <v>341</v>
      </c>
      <c r="I39" s="30" t="s">
        <v>326</v>
      </c>
      <c r="J39" s="30" t="s">
        <v>342</v>
      </c>
      <c r="K39" s="3"/>
      <c r="L39" s="3"/>
      <c r="M39" s="3"/>
      <c r="N39" s="3"/>
      <c r="O39" s="3"/>
      <c r="P39" s="3"/>
      <c r="Q39" s="3"/>
    </row>
    <row r="40" spans="1:17" ht="15">
      <c r="A40" s="3" t="s">
        <v>343</v>
      </c>
      <c r="B40" s="3" t="s">
        <v>287</v>
      </c>
      <c r="C40" s="3" t="s">
        <v>344</v>
      </c>
      <c r="D40" s="3" t="s">
        <v>345</v>
      </c>
      <c r="E40" s="3" t="s">
        <v>346</v>
      </c>
      <c r="F40" s="3" t="s">
        <v>347</v>
      </c>
      <c r="G40" s="3" t="s">
        <v>143</v>
      </c>
      <c r="H40" s="3" t="s">
        <v>348</v>
      </c>
      <c r="I40" s="3" t="s">
        <v>326</v>
      </c>
      <c r="J40" s="3" t="s">
        <v>349</v>
      </c>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0"/>
  <sheetViews>
    <sheetView workbookViewId="0"/>
  </sheetViews>
  <sheetFormatPr defaultRowHeight="14.25"/>
  <cols>
    <col min="1" max="1" width="18" customWidth="1"/>
    <col min="2" max="2" width="30" customWidth="1"/>
    <col min="3" max="3" width="38" customWidth="1"/>
    <col min="4" max="4" width="30" customWidth="1"/>
    <col min="5" max="5" width="18" customWidth="1"/>
    <col min="6" max="6" width="30" customWidth="1"/>
    <col min="7" max="7" width="20" customWidth="1"/>
    <col min="8" max="8" width="42" customWidth="1"/>
  </cols>
  <sheetData>
    <row r="1" spans="1:17" ht="24" customHeight="1">
      <c r="A1" s="32" t="s">
        <v>350</v>
      </c>
      <c r="B1" s="33"/>
      <c r="C1" s="33"/>
      <c r="D1" s="33"/>
      <c r="E1" s="33"/>
      <c r="F1" s="33"/>
      <c r="G1" s="33"/>
      <c r="H1" s="33"/>
      <c r="I1" s="21"/>
      <c r="J1" s="21"/>
      <c r="K1" s="21"/>
      <c r="L1" s="3"/>
      <c r="M1" s="3"/>
      <c r="N1" s="3"/>
      <c r="O1" s="3"/>
      <c r="P1" s="3"/>
      <c r="Q1" s="3"/>
    </row>
    <row r="2" spans="1:17" ht="33.950000000000003" customHeight="1">
      <c r="A2" s="34" t="s">
        <v>351</v>
      </c>
      <c r="B2" s="35"/>
      <c r="C2" s="35"/>
      <c r="D2" s="35"/>
      <c r="E2" s="35"/>
      <c r="F2" s="35"/>
      <c r="G2" s="35"/>
      <c r="H2" s="35"/>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352</v>
      </c>
      <c r="B4" s="4" t="s">
        <v>353</v>
      </c>
      <c r="C4" s="4" t="s">
        <v>354</v>
      </c>
      <c r="D4" s="4" t="s">
        <v>355</v>
      </c>
      <c r="E4" s="4" t="s">
        <v>2</v>
      </c>
      <c r="F4" s="4" t="s">
        <v>356</v>
      </c>
      <c r="G4" s="4" t="s">
        <v>357</v>
      </c>
      <c r="H4" s="4" t="s">
        <v>358</v>
      </c>
      <c r="I4" s="3"/>
      <c r="J4" s="3"/>
      <c r="K4" s="3"/>
      <c r="L4" s="3"/>
      <c r="M4" s="3"/>
      <c r="N4" s="3"/>
      <c r="O4" s="3"/>
      <c r="P4" s="3"/>
      <c r="Q4" s="3"/>
    </row>
    <row r="5" spans="1:17" ht="15">
      <c r="A5" s="9" t="s">
        <v>140</v>
      </c>
      <c r="B5" s="9" t="s">
        <v>104</v>
      </c>
      <c r="C5" s="9" t="s">
        <v>359</v>
      </c>
      <c r="D5" s="9" t="s">
        <v>360</v>
      </c>
      <c r="E5" s="9" t="s">
        <v>32</v>
      </c>
      <c r="F5" s="9" t="s">
        <v>361</v>
      </c>
      <c r="G5" s="9" t="s">
        <v>362</v>
      </c>
      <c r="H5" s="9" t="s">
        <v>363</v>
      </c>
      <c r="I5" s="3"/>
      <c r="J5" s="3"/>
      <c r="K5" s="3"/>
      <c r="L5" s="3"/>
      <c r="M5" s="3"/>
      <c r="N5" s="3"/>
      <c r="O5" s="3"/>
      <c r="P5" s="3"/>
      <c r="Q5" s="3"/>
    </row>
    <row r="6" spans="1:17" ht="15">
      <c r="A6" s="9" t="s">
        <v>140</v>
      </c>
      <c r="B6" s="9" t="s">
        <v>101</v>
      </c>
      <c r="C6" s="9" t="s">
        <v>364</v>
      </c>
      <c r="D6" s="9" t="s">
        <v>365</v>
      </c>
      <c r="E6" s="9" t="s">
        <v>32</v>
      </c>
      <c r="F6" s="9" t="s">
        <v>366</v>
      </c>
      <c r="G6" s="9" t="s">
        <v>362</v>
      </c>
      <c r="H6" s="9" t="s">
        <v>367</v>
      </c>
      <c r="I6" s="3"/>
      <c r="J6" s="3"/>
      <c r="K6" s="3"/>
      <c r="L6" s="3"/>
      <c r="M6" s="3"/>
      <c r="N6" s="3"/>
      <c r="O6" s="3"/>
      <c r="P6" s="3"/>
      <c r="Q6" s="3"/>
    </row>
    <row r="7" spans="1:17" ht="15">
      <c r="A7" s="9" t="s">
        <v>140</v>
      </c>
      <c r="B7" s="9" t="s">
        <v>100</v>
      </c>
      <c r="C7" s="9" t="s">
        <v>368</v>
      </c>
      <c r="D7" s="9" t="s">
        <v>369</v>
      </c>
      <c r="E7" s="9" t="s">
        <v>32</v>
      </c>
      <c r="F7" s="9" t="s">
        <v>370</v>
      </c>
      <c r="G7" s="9" t="s">
        <v>362</v>
      </c>
      <c r="H7" s="9" t="s">
        <v>371</v>
      </c>
      <c r="I7" s="3"/>
      <c r="J7" s="3"/>
      <c r="K7" s="3"/>
      <c r="L7" s="3"/>
      <c r="M7" s="3"/>
      <c r="N7" s="3"/>
      <c r="O7" s="3"/>
      <c r="P7" s="3"/>
      <c r="Q7" s="3"/>
    </row>
    <row r="8" spans="1:17" ht="15">
      <c r="A8" s="5" t="s">
        <v>372</v>
      </c>
      <c r="B8" s="5" t="s">
        <v>215</v>
      </c>
      <c r="C8" s="5" t="s">
        <v>373</v>
      </c>
      <c r="D8" s="5" t="s">
        <v>374</v>
      </c>
      <c r="E8" s="5" t="s">
        <v>8</v>
      </c>
      <c r="F8" s="5" t="s">
        <v>375</v>
      </c>
      <c r="G8" s="5" t="s">
        <v>362</v>
      </c>
      <c r="H8" s="5" t="s">
        <v>376</v>
      </c>
      <c r="I8" s="3"/>
      <c r="J8" s="3"/>
      <c r="K8" s="3"/>
      <c r="L8" s="3"/>
      <c r="M8" s="3"/>
      <c r="N8" s="3"/>
      <c r="O8" s="3"/>
      <c r="P8" s="3"/>
      <c r="Q8" s="3"/>
    </row>
    <row r="9" spans="1:17" ht="15">
      <c r="A9" s="8" t="s">
        <v>377</v>
      </c>
      <c r="B9" s="8" t="s">
        <v>221</v>
      </c>
      <c r="C9" s="8" t="s">
        <v>378</v>
      </c>
      <c r="D9" s="8" t="s">
        <v>379</v>
      </c>
      <c r="E9" s="8" t="s">
        <v>380</v>
      </c>
      <c r="F9" s="8" t="s">
        <v>381</v>
      </c>
      <c r="G9" s="8" t="s">
        <v>362</v>
      </c>
      <c r="H9" s="8" t="s">
        <v>382</v>
      </c>
      <c r="I9" s="3"/>
      <c r="J9" s="3"/>
      <c r="K9" s="3"/>
      <c r="L9" s="3"/>
      <c r="M9" s="3"/>
      <c r="N9" s="3"/>
      <c r="O9" s="3"/>
      <c r="P9" s="3"/>
      <c r="Q9" s="3"/>
    </row>
    <row r="10" spans="1:17" ht="15">
      <c r="A10" s="5" t="s">
        <v>383</v>
      </c>
      <c r="B10" s="5" t="s">
        <v>226</v>
      </c>
      <c r="C10" s="5" t="s">
        <v>384</v>
      </c>
      <c r="D10" s="5" t="s">
        <v>385</v>
      </c>
      <c r="E10" s="5" t="s">
        <v>386</v>
      </c>
      <c r="F10" s="5" t="s">
        <v>387</v>
      </c>
      <c r="G10" s="5" t="s">
        <v>362</v>
      </c>
      <c r="H10" s="5" t="s">
        <v>388</v>
      </c>
      <c r="I10" s="3"/>
      <c r="J10" s="3"/>
      <c r="K10" s="3"/>
      <c r="L10" s="3"/>
      <c r="M10" s="3"/>
      <c r="N10" s="3"/>
      <c r="O10" s="3"/>
      <c r="P10" s="3"/>
      <c r="Q10" s="3"/>
    </row>
    <row r="11" spans="1:17" ht="15">
      <c r="A11" s="5" t="s">
        <v>383</v>
      </c>
      <c r="B11" s="5" t="s">
        <v>389</v>
      </c>
      <c r="C11" s="5" t="s">
        <v>390</v>
      </c>
      <c r="D11" s="5" t="s">
        <v>374</v>
      </c>
      <c r="E11" s="5" t="s">
        <v>8</v>
      </c>
      <c r="F11" s="5" t="s">
        <v>391</v>
      </c>
      <c r="G11" s="5" t="s">
        <v>362</v>
      </c>
      <c r="H11" s="5" t="s">
        <v>392</v>
      </c>
      <c r="I11" s="3"/>
      <c r="J11" s="3"/>
      <c r="K11" s="3"/>
      <c r="L11" s="3"/>
      <c r="M11" s="3"/>
      <c r="N11" s="3"/>
      <c r="O11" s="3"/>
      <c r="P11" s="3"/>
      <c r="Q11" s="3"/>
    </row>
    <row r="12" spans="1:17" ht="15">
      <c r="A12" s="5" t="s">
        <v>383</v>
      </c>
      <c r="B12" s="5" t="s">
        <v>393</v>
      </c>
      <c r="C12" s="5" t="s">
        <v>394</v>
      </c>
      <c r="D12" s="5" t="s">
        <v>374</v>
      </c>
      <c r="E12" s="5" t="s">
        <v>8</v>
      </c>
      <c r="F12" s="5" t="s">
        <v>395</v>
      </c>
      <c r="G12" s="5" t="s">
        <v>362</v>
      </c>
      <c r="H12" s="5" t="s">
        <v>396</v>
      </c>
      <c r="I12" s="3"/>
      <c r="J12" s="3"/>
      <c r="K12" s="3"/>
      <c r="L12" s="3"/>
      <c r="M12" s="3"/>
      <c r="N12" s="3"/>
      <c r="O12" s="3"/>
      <c r="P12" s="3"/>
      <c r="Q12" s="3"/>
    </row>
    <row r="13" spans="1:17" ht="15">
      <c r="A13" s="5" t="s">
        <v>383</v>
      </c>
      <c r="B13" s="5" t="s">
        <v>231</v>
      </c>
      <c r="C13" s="5" t="s">
        <v>397</v>
      </c>
      <c r="D13" s="5" t="s">
        <v>398</v>
      </c>
      <c r="E13" s="5" t="s">
        <v>386</v>
      </c>
      <c r="F13" s="5" t="s">
        <v>399</v>
      </c>
      <c r="G13" s="5" t="s">
        <v>362</v>
      </c>
      <c r="H13" s="5" t="s">
        <v>400</v>
      </c>
      <c r="I13" s="3"/>
      <c r="J13" s="3"/>
      <c r="K13" s="3"/>
      <c r="L13" s="3"/>
      <c r="M13" s="3"/>
      <c r="N13" s="3"/>
      <c r="O13" s="3"/>
      <c r="P13" s="3"/>
      <c r="Q13" s="3"/>
    </row>
    <row r="14" spans="1:17" ht="15">
      <c r="A14" s="5" t="s">
        <v>383</v>
      </c>
      <c r="B14" s="5" t="s">
        <v>401</v>
      </c>
      <c r="C14" s="5" t="s">
        <v>402</v>
      </c>
      <c r="D14" s="5" t="s">
        <v>374</v>
      </c>
      <c r="E14" s="5" t="s">
        <v>8</v>
      </c>
      <c r="F14" s="5" t="s">
        <v>403</v>
      </c>
      <c r="G14" s="5" t="s">
        <v>362</v>
      </c>
      <c r="H14" s="5" t="s">
        <v>404</v>
      </c>
      <c r="I14" s="3"/>
      <c r="J14" s="3"/>
      <c r="K14" s="3"/>
      <c r="L14" s="3"/>
      <c r="M14" s="3"/>
      <c r="N14" s="3"/>
      <c r="O14" s="3"/>
      <c r="P14" s="3"/>
      <c r="Q14" s="3"/>
    </row>
    <row r="15" spans="1:17" ht="15">
      <c r="A15" s="5" t="s">
        <v>383</v>
      </c>
      <c r="B15" s="5" t="s">
        <v>405</v>
      </c>
      <c r="C15" s="5" t="s">
        <v>406</v>
      </c>
      <c r="D15" s="5" t="s">
        <v>374</v>
      </c>
      <c r="E15" s="5" t="s">
        <v>8</v>
      </c>
      <c r="F15" s="5" t="s">
        <v>407</v>
      </c>
      <c r="G15" s="5" t="s">
        <v>408</v>
      </c>
      <c r="H15" s="5" t="s">
        <v>409</v>
      </c>
      <c r="I15" s="3"/>
      <c r="J15" s="3"/>
      <c r="K15" s="3"/>
      <c r="L15" s="3"/>
      <c r="M15" s="3"/>
      <c r="N15" s="3"/>
      <c r="O15" s="3"/>
      <c r="P15" s="3"/>
      <c r="Q15" s="3"/>
    </row>
    <row r="16" spans="1:17" ht="15">
      <c r="A16" s="5" t="s">
        <v>383</v>
      </c>
      <c r="B16" s="5" t="s">
        <v>410</v>
      </c>
      <c r="C16" s="5" t="s">
        <v>411</v>
      </c>
      <c r="D16" s="5" t="s">
        <v>374</v>
      </c>
      <c r="E16" s="5" t="s">
        <v>8</v>
      </c>
      <c r="F16" s="5" t="s">
        <v>412</v>
      </c>
      <c r="G16" s="5" t="s">
        <v>408</v>
      </c>
      <c r="H16" s="5" t="s">
        <v>409</v>
      </c>
      <c r="I16" s="3"/>
      <c r="J16" s="3"/>
      <c r="K16" s="3"/>
      <c r="L16" s="3"/>
      <c r="M16" s="3"/>
      <c r="N16" s="3"/>
      <c r="O16" s="3"/>
      <c r="P16" s="3"/>
      <c r="Q16" s="3"/>
    </row>
    <row r="17" spans="1:17" ht="15">
      <c r="A17" s="8" t="s">
        <v>413</v>
      </c>
      <c r="B17" s="8" t="s">
        <v>30</v>
      </c>
      <c r="C17" s="8" t="s">
        <v>414</v>
      </c>
      <c r="D17" s="8" t="s">
        <v>415</v>
      </c>
      <c r="E17" s="8" t="s">
        <v>26</v>
      </c>
      <c r="F17" s="8" t="s">
        <v>416</v>
      </c>
      <c r="G17" s="8" t="s">
        <v>362</v>
      </c>
      <c r="H17" s="8" t="s">
        <v>417</v>
      </c>
      <c r="I17" s="3"/>
      <c r="J17" s="3"/>
      <c r="K17" s="3"/>
      <c r="L17" s="3"/>
      <c r="M17" s="3"/>
      <c r="N17" s="3"/>
      <c r="O17" s="3"/>
      <c r="P17" s="3"/>
      <c r="Q17" s="3"/>
    </row>
    <row r="18" spans="1:17" ht="15">
      <c r="A18" s="7" t="s">
        <v>418</v>
      </c>
      <c r="B18" s="7" t="s">
        <v>236</v>
      </c>
      <c r="C18" s="7" t="s">
        <v>419</v>
      </c>
      <c r="D18" s="7" t="s">
        <v>420</v>
      </c>
      <c r="E18" s="7" t="s">
        <v>421</v>
      </c>
      <c r="F18" s="7" t="s">
        <v>422</v>
      </c>
      <c r="G18" s="7" t="s">
        <v>362</v>
      </c>
      <c r="H18" s="7" t="s">
        <v>423</v>
      </c>
      <c r="I18" s="3"/>
      <c r="J18" s="3"/>
      <c r="K18" s="3"/>
      <c r="L18" s="3"/>
      <c r="M18" s="3"/>
      <c r="N18" s="3"/>
      <c r="O18" s="3"/>
      <c r="P18" s="3"/>
      <c r="Q18" s="3"/>
    </row>
    <row r="19" spans="1:17" ht="15">
      <c r="A19" s="7" t="s">
        <v>424</v>
      </c>
      <c r="B19" s="7" t="s">
        <v>102</v>
      </c>
      <c r="C19" s="7" t="s">
        <v>425</v>
      </c>
      <c r="D19" s="7" t="s">
        <v>420</v>
      </c>
      <c r="E19" s="7" t="s">
        <v>421</v>
      </c>
      <c r="F19" s="7" t="s">
        <v>422</v>
      </c>
      <c r="G19" s="7" t="s">
        <v>362</v>
      </c>
      <c r="H19" s="7" t="s">
        <v>426</v>
      </c>
      <c r="I19" s="3"/>
      <c r="J19" s="3"/>
      <c r="K19" s="3"/>
      <c r="L19" s="3"/>
      <c r="M19" s="3"/>
      <c r="N19" s="3"/>
      <c r="O19" s="3"/>
      <c r="P19" s="3"/>
      <c r="Q19" s="3"/>
    </row>
    <row r="20" spans="1:17" ht="54">
      <c r="A20" s="30" t="s">
        <v>427</v>
      </c>
      <c r="B20" s="30" t="s">
        <v>428</v>
      </c>
      <c r="C20" s="30" t="s">
        <v>429</v>
      </c>
      <c r="D20" s="30" t="s">
        <v>430</v>
      </c>
      <c r="E20" s="30"/>
      <c r="F20" s="30"/>
      <c r="G20" s="30"/>
      <c r="H20" s="30"/>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0"/>
  <sheetViews>
    <sheetView workbookViewId="0"/>
  </sheetViews>
  <sheetFormatPr defaultRowHeight="14.25"/>
  <cols>
    <col min="1" max="1" width="18" customWidth="1"/>
    <col min="2" max="2" width="30" customWidth="1"/>
    <col min="3" max="3" width="26" customWidth="1"/>
    <col min="4" max="4" width="42" customWidth="1"/>
    <col min="5" max="5" width="34" customWidth="1"/>
    <col min="6" max="6" width="14" customWidth="1"/>
    <col min="7" max="7" width="26" customWidth="1"/>
    <col min="8" max="8" width="50" customWidth="1"/>
  </cols>
  <sheetData>
    <row r="1" spans="1:17" ht="24" customHeight="1">
      <c r="A1" s="32" t="s">
        <v>431</v>
      </c>
      <c r="B1" s="33"/>
      <c r="C1" s="33"/>
      <c r="D1" s="33"/>
      <c r="E1" s="33"/>
      <c r="F1" s="33"/>
      <c r="G1" s="33"/>
      <c r="H1" s="33"/>
      <c r="I1" s="21"/>
      <c r="J1" s="21"/>
      <c r="K1" s="21"/>
      <c r="L1" s="3"/>
      <c r="M1" s="3"/>
      <c r="N1" s="3"/>
      <c r="O1" s="3"/>
      <c r="P1" s="3"/>
      <c r="Q1" s="3"/>
    </row>
    <row r="2" spans="1:17" ht="33.950000000000003" customHeight="1">
      <c r="A2" s="34" t="s">
        <v>432</v>
      </c>
      <c r="B2" s="35"/>
      <c r="C2" s="35"/>
      <c r="D2" s="35"/>
      <c r="E2" s="35"/>
      <c r="F2" s="35"/>
      <c r="G2" s="35"/>
      <c r="H2" s="35"/>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433</v>
      </c>
      <c r="B4" s="4" t="s">
        <v>353</v>
      </c>
      <c r="C4" s="4" t="s">
        <v>434</v>
      </c>
      <c r="D4" s="4" t="s">
        <v>435</v>
      </c>
      <c r="E4" s="4" t="s">
        <v>436</v>
      </c>
      <c r="F4" s="4" t="s">
        <v>437</v>
      </c>
      <c r="G4" s="4" t="s">
        <v>438</v>
      </c>
      <c r="H4" s="4" t="s">
        <v>358</v>
      </c>
      <c r="I4" s="3"/>
      <c r="J4" s="3"/>
      <c r="K4" s="3"/>
      <c r="L4" s="3"/>
      <c r="M4" s="3"/>
      <c r="N4" s="3"/>
      <c r="O4" s="3"/>
      <c r="P4" s="3"/>
      <c r="Q4" s="3"/>
    </row>
    <row r="5" spans="1:17" ht="27">
      <c r="A5" s="5" t="s">
        <v>439</v>
      </c>
      <c r="B5" s="5" t="s">
        <v>215</v>
      </c>
      <c r="C5" s="5" t="s">
        <v>440</v>
      </c>
      <c r="D5" s="5" t="s">
        <v>441</v>
      </c>
      <c r="E5" s="5" t="s">
        <v>442</v>
      </c>
      <c r="F5" s="5" t="s">
        <v>443</v>
      </c>
      <c r="G5" s="5" t="s">
        <v>444</v>
      </c>
      <c r="H5" s="5" t="s">
        <v>445</v>
      </c>
      <c r="I5" s="3"/>
      <c r="J5" s="3"/>
      <c r="K5" s="3"/>
      <c r="L5" s="3"/>
      <c r="M5" s="3"/>
      <c r="N5" s="3"/>
      <c r="O5" s="3"/>
      <c r="P5" s="3"/>
      <c r="Q5" s="3"/>
    </row>
    <row r="6" spans="1:17" ht="27">
      <c r="A6" s="5" t="s">
        <v>439</v>
      </c>
      <c r="B6" s="5" t="s">
        <v>226</v>
      </c>
      <c r="C6" s="5" t="s">
        <v>446</v>
      </c>
      <c r="D6" s="5" t="s">
        <v>447</v>
      </c>
      <c r="E6" s="5" t="s">
        <v>442</v>
      </c>
      <c r="F6" s="5" t="s">
        <v>443</v>
      </c>
      <c r="G6" s="5" t="s">
        <v>448</v>
      </c>
      <c r="H6" s="5" t="s">
        <v>449</v>
      </c>
      <c r="I6" s="3"/>
      <c r="J6" s="3"/>
      <c r="K6" s="3"/>
      <c r="L6" s="3"/>
      <c r="M6" s="3"/>
      <c r="N6" s="3"/>
      <c r="O6" s="3"/>
      <c r="P6" s="3"/>
      <c r="Q6" s="3"/>
    </row>
    <row r="7" spans="1:17" ht="15">
      <c r="A7" s="5" t="s">
        <v>439</v>
      </c>
      <c r="B7" s="5" t="s">
        <v>389</v>
      </c>
      <c r="C7" s="5" t="s">
        <v>450</v>
      </c>
      <c r="D7" s="5" t="s">
        <v>451</v>
      </c>
      <c r="E7" s="5" t="s">
        <v>442</v>
      </c>
      <c r="F7" s="5" t="s">
        <v>443</v>
      </c>
      <c r="G7" s="5" t="s">
        <v>452</v>
      </c>
      <c r="H7" s="5" t="s">
        <v>453</v>
      </c>
      <c r="I7" s="3"/>
      <c r="J7" s="3"/>
      <c r="K7" s="3"/>
      <c r="L7" s="3"/>
      <c r="M7" s="3"/>
      <c r="N7" s="3"/>
      <c r="O7" s="3"/>
      <c r="P7" s="3"/>
      <c r="Q7" s="3"/>
    </row>
    <row r="8" spans="1:17" ht="15">
      <c r="A8" s="5" t="s">
        <v>439</v>
      </c>
      <c r="B8" s="5" t="s">
        <v>454</v>
      </c>
      <c r="C8" s="5" t="s">
        <v>455</v>
      </c>
      <c r="D8" s="5" t="s">
        <v>456</v>
      </c>
      <c r="E8" s="5" t="s">
        <v>442</v>
      </c>
      <c r="F8" s="5" t="s">
        <v>443</v>
      </c>
      <c r="G8" s="5" t="s">
        <v>457</v>
      </c>
      <c r="H8" s="5" t="s">
        <v>458</v>
      </c>
      <c r="I8" s="3"/>
      <c r="J8" s="3"/>
      <c r="K8" s="3"/>
      <c r="L8" s="3"/>
      <c r="M8" s="3"/>
      <c r="N8" s="3"/>
      <c r="O8" s="3"/>
      <c r="P8" s="3"/>
      <c r="Q8" s="3"/>
    </row>
    <row r="9" spans="1:17" ht="15">
      <c r="A9" s="5" t="s">
        <v>439</v>
      </c>
      <c r="B9" s="5" t="s">
        <v>393</v>
      </c>
      <c r="C9" s="5" t="s">
        <v>459</v>
      </c>
      <c r="D9" s="5" t="s">
        <v>460</v>
      </c>
      <c r="E9" s="5" t="s">
        <v>442</v>
      </c>
      <c r="F9" s="5" t="s">
        <v>443</v>
      </c>
      <c r="G9" s="5" t="s">
        <v>461</v>
      </c>
      <c r="H9" s="5" t="s">
        <v>462</v>
      </c>
      <c r="I9" s="3"/>
      <c r="J9" s="3"/>
      <c r="K9" s="3"/>
      <c r="L9" s="3"/>
      <c r="M9" s="3"/>
      <c r="N9" s="3"/>
      <c r="O9" s="3"/>
      <c r="P9" s="3"/>
      <c r="Q9" s="3"/>
    </row>
    <row r="10" spans="1:17" ht="27">
      <c r="A10" s="5" t="s">
        <v>439</v>
      </c>
      <c r="B10" s="5" t="s">
        <v>231</v>
      </c>
      <c r="C10" s="5" t="s">
        <v>450</v>
      </c>
      <c r="D10" s="5" t="s">
        <v>463</v>
      </c>
      <c r="E10" s="5" t="s">
        <v>464</v>
      </c>
      <c r="F10" s="5" t="s">
        <v>443</v>
      </c>
      <c r="G10" s="5" t="s">
        <v>465</v>
      </c>
      <c r="H10" s="5" t="s">
        <v>466</v>
      </c>
      <c r="I10" s="3"/>
      <c r="J10" s="3"/>
      <c r="K10" s="3"/>
      <c r="L10" s="3"/>
      <c r="M10" s="3"/>
      <c r="N10" s="3"/>
      <c r="O10" s="3"/>
      <c r="P10" s="3"/>
      <c r="Q10" s="3"/>
    </row>
    <row r="11" spans="1:17" ht="27">
      <c r="A11" s="5" t="s">
        <v>439</v>
      </c>
      <c r="B11" s="5" t="s">
        <v>401</v>
      </c>
      <c r="C11" s="5" t="s">
        <v>467</v>
      </c>
      <c r="D11" s="5" t="s">
        <v>468</v>
      </c>
      <c r="E11" s="5" t="s">
        <v>442</v>
      </c>
      <c r="F11" s="5" t="s">
        <v>443</v>
      </c>
      <c r="G11" s="5" t="s">
        <v>469</v>
      </c>
      <c r="H11" s="5" t="s">
        <v>470</v>
      </c>
      <c r="I11" s="3"/>
      <c r="J11" s="3"/>
      <c r="K11" s="3"/>
      <c r="L11" s="3"/>
      <c r="M11" s="3"/>
      <c r="N11" s="3"/>
      <c r="O11" s="3"/>
      <c r="P11" s="3"/>
      <c r="Q11" s="3"/>
    </row>
    <row r="12" spans="1:17" ht="27">
      <c r="A12" s="5" t="s">
        <v>439</v>
      </c>
      <c r="B12" s="5" t="s">
        <v>405</v>
      </c>
      <c r="C12" s="5" t="s">
        <v>471</v>
      </c>
      <c r="D12" s="5" t="s">
        <v>472</v>
      </c>
      <c r="E12" s="5" t="s">
        <v>442</v>
      </c>
      <c r="F12" s="5" t="s">
        <v>443</v>
      </c>
      <c r="G12" s="5" t="s">
        <v>407</v>
      </c>
      <c r="H12" s="5" t="s">
        <v>473</v>
      </c>
      <c r="I12" s="3"/>
      <c r="J12" s="3"/>
      <c r="K12" s="3"/>
      <c r="L12" s="3"/>
      <c r="M12" s="3"/>
      <c r="N12" s="3"/>
      <c r="O12" s="3"/>
      <c r="P12" s="3"/>
      <c r="Q12" s="3"/>
    </row>
    <row r="13" spans="1:17" ht="27">
      <c r="A13" s="5" t="s">
        <v>439</v>
      </c>
      <c r="B13" s="5" t="s">
        <v>410</v>
      </c>
      <c r="C13" s="5" t="s">
        <v>471</v>
      </c>
      <c r="D13" s="5" t="s">
        <v>474</v>
      </c>
      <c r="E13" s="5" t="s">
        <v>442</v>
      </c>
      <c r="F13" s="5" t="s">
        <v>443</v>
      </c>
      <c r="G13" s="5" t="s">
        <v>475</v>
      </c>
      <c r="H13" s="5" t="s">
        <v>473</v>
      </c>
      <c r="I13" s="3"/>
      <c r="J13" s="3"/>
      <c r="K13" s="3"/>
      <c r="L13" s="3"/>
      <c r="M13" s="3"/>
      <c r="N13" s="3"/>
      <c r="O13" s="3"/>
      <c r="P13" s="3"/>
      <c r="Q13" s="3"/>
    </row>
    <row r="14" spans="1:17" ht="27">
      <c r="A14" s="8" t="s">
        <v>476</v>
      </c>
      <c r="B14" s="8" t="s">
        <v>30</v>
      </c>
      <c r="C14" s="8" t="s">
        <v>440</v>
      </c>
      <c r="D14" s="8" t="s">
        <v>477</v>
      </c>
      <c r="E14" s="8" t="s">
        <v>478</v>
      </c>
      <c r="F14" s="8" t="s">
        <v>443</v>
      </c>
      <c r="G14" s="8" t="s">
        <v>479</v>
      </c>
      <c r="H14" s="8" t="s">
        <v>480</v>
      </c>
      <c r="I14" s="3"/>
      <c r="J14" s="3"/>
      <c r="K14" s="3"/>
      <c r="L14" s="3"/>
      <c r="M14" s="3"/>
      <c r="N14" s="3"/>
      <c r="O14" s="3"/>
      <c r="P14" s="3"/>
      <c r="Q14" s="3"/>
    </row>
    <row r="15" spans="1:17" ht="27">
      <c r="A15" s="7" t="s">
        <v>481</v>
      </c>
      <c r="B15" s="7" t="s">
        <v>236</v>
      </c>
      <c r="C15" s="7" t="s">
        <v>482</v>
      </c>
      <c r="D15" s="7" t="s">
        <v>483</v>
      </c>
      <c r="E15" s="7" t="s">
        <v>484</v>
      </c>
      <c r="F15" s="7" t="s">
        <v>443</v>
      </c>
      <c r="G15" s="7" t="s">
        <v>42</v>
      </c>
      <c r="H15" s="7" t="s">
        <v>485</v>
      </c>
      <c r="I15" s="3"/>
      <c r="J15" s="3"/>
      <c r="K15" s="3"/>
      <c r="L15" s="3"/>
      <c r="M15" s="3"/>
      <c r="N15" s="3"/>
      <c r="O15" s="3"/>
      <c r="P15" s="3"/>
      <c r="Q15" s="3"/>
    </row>
    <row r="16" spans="1:17" ht="15">
      <c r="A16" s="7" t="s">
        <v>486</v>
      </c>
      <c r="B16" s="7" t="s">
        <v>102</v>
      </c>
      <c r="C16" s="7" t="s">
        <v>487</v>
      </c>
      <c r="D16" s="7" t="s">
        <v>488</v>
      </c>
      <c r="E16" s="7" t="s">
        <v>484</v>
      </c>
      <c r="F16" s="7" t="s">
        <v>443</v>
      </c>
      <c r="G16" s="7" t="s">
        <v>489</v>
      </c>
      <c r="H16" s="7" t="s">
        <v>490</v>
      </c>
      <c r="I16" s="3"/>
      <c r="J16" s="3"/>
      <c r="K16" s="3"/>
      <c r="L16" s="3"/>
      <c r="M16" s="3"/>
      <c r="N16" s="3"/>
      <c r="O16" s="3"/>
      <c r="P16" s="3"/>
      <c r="Q16" s="3"/>
    </row>
    <row r="17" spans="1:17" ht="15">
      <c r="A17" s="10" t="s">
        <v>491</v>
      </c>
      <c r="B17" s="10" t="s">
        <v>42</v>
      </c>
      <c r="C17" s="10" t="s">
        <v>492</v>
      </c>
      <c r="D17" s="10" t="s">
        <v>493</v>
      </c>
      <c r="E17" s="10" t="s">
        <v>494</v>
      </c>
      <c r="F17" s="10" t="s">
        <v>443</v>
      </c>
      <c r="G17" s="10" t="s">
        <v>495</v>
      </c>
      <c r="H17" s="10" t="s">
        <v>496</v>
      </c>
      <c r="I17" s="3"/>
      <c r="J17" s="3"/>
      <c r="K17" s="3"/>
      <c r="L17" s="3"/>
      <c r="M17" s="3"/>
      <c r="N17" s="3"/>
      <c r="O17" s="3"/>
      <c r="P17" s="3"/>
      <c r="Q17" s="3"/>
    </row>
    <row r="18" spans="1:17" ht="15">
      <c r="A18" s="9" t="s">
        <v>497</v>
      </c>
      <c r="B18" s="9" t="s">
        <v>498</v>
      </c>
      <c r="C18" s="9" t="s">
        <v>499</v>
      </c>
      <c r="D18" s="9" t="s">
        <v>500</v>
      </c>
      <c r="E18" s="9" t="s">
        <v>34</v>
      </c>
      <c r="F18" s="9" t="s">
        <v>443</v>
      </c>
      <c r="G18" s="9" t="s">
        <v>501</v>
      </c>
      <c r="H18" s="9" t="s">
        <v>502</v>
      </c>
      <c r="I18" s="3"/>
      <c r="J18" s="3"/>
      <c r="K18" s="3"/>
      <c r="L18" s="3"/>
      <c r="M18" s="3"/>
      <c r="N18" s="3"/>
      <c r="O18" s="3"/>
      <c r="P18" s="3"/>
      <c r="Q18" s="3"/>
    </row>
    <row r="19" spans="1:17" ht="15">
      <c r="A19" s="3"/>
      <c r="B19" s="3"/>
      <c r="C19" s="3"/>
      <c r="D19" s="3"/>
      <c r="E19" s="3"/>
      <c r="F19" s="3"/>
      <c r="G19" s="3"/>
      <c r="H19" s="3"/>
      <c r="I19" s="3"/>
      <c r="J19" s="3"/>
      <c r="K19" s="3"/>
      <c r="L19" s="3"/>
      <c r="M19" s="3"/>
      <c r="N19" s="3"/>
      <c r="O19" s="3"/>
      <c r="P19" s="3"/>
      <c r="Q19" s="3"/>
    </row>
    <row r="20" spans="1:17" ht="15">
      <c r="A20" s="3"/>
      <c r="B20" s="3"/>
      <c r="C20" s="3"/>
      <c r="D20" s="3"/>
      <c r="E20" s="3"/>
      <c r="F20" s="3"/>
      <c r="G20" s="3"/>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50"/>
  <sheetViews>
    <sheetView workbookViewId="0"/>
  </sheetViews>
  <sheetFormatPr defaultRowHeight="14.25"/>
  <cols>
    <col min="1" max="1" width="14" customWidth="1"/>
    <col min="2" max="2" width="48" customWidth="1"/>
    <col min="3" max="3" width="24" customWidth="1"/>
    <col min="4" max="4" width="16" customWidth="1"/>
    <col min="5" max="5" width="22" customWidth="1"/>
    <col min="6" max="6" width="36" customWidth="1"/>
    <col min="7" max="8" width="18" customWidth="1"/>
    <col min="9" max="9" width="48" customWidth="1"/>
    <col min="10" max="10" width="26" customWidth="1"/>
  </cols>
  <sheetData>
    <row r="1" spans="1:17" ht="24" customHeight="1">
      <c r="A1" s="32" t="s">
        <v>503</v>
      </c>
      <c r="B1" s="33"/>
      <c r="C1" s="33"/>
      <c r="D1" s="33"/>
      <c r="E1" s="33"/>
      <c r="F1" s="33"/>
      <c r="G1" s="33"/>
      <c r="H1" s="33"/>
      <c r="I1" s="33"/>
      <c r="J1" s="33"/>
      <c r="K1" s="21"/>
      <c r="L1" s="3"/>
      <c r="M1" s="3"/>
      <c r="N1" s="3"/>
      <c r="O1" s="3"/>
      <c r="P1" s="3"/>
      <c r="Q1" s="3"/>
    </row>
    <row r="2" spans="1:17" ht="33.950000000000003" customHeight="1">
      <c r="A2" s="34" t="s">
        <v>504</v>
      </c>
      <c r="B2" s="35"/>
      <c r="C2" s="35"/>
      <c r="D2" s="35"/>
      <c r="E2" s="35"/>
      <c r="F2" s="35"/>
      <c r="G2" s="35"/>
      <c r="H2" s="35"/>
      <c r="I2" s="35"/>
      <c r="J2" s="35"/>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505</v>
      </c>
      <c r="B4" s="4" t="s">
        <v>506</v>
      </c>
      <c r="C4" s="4" t="s">
        <v>507</v>
      </c>
      <c r="D4" s="4" t="s">
        <v>508</v>
      </c>
      <c r="E4" s="4" t="s">
        <v>509</v>
      </c>
      <c r="F4" s="4" t="s">
        <v>510</v>
      </c>
      <c r="G4" s="4" t="s">
        <v>511</v>
      </c>
      <c r="H4" s="4" t="s">
        <v>512</v>
      </c>
      <c r="I4" s="4" t="s">
        <v>358</v>
      </c>
      <c r="J4" s="4" t="s">
        <v>513</v>
      </c>
      <c r="K4" s="3"/>
      <c r="L4" s="3"/>
      <c r="M4" s="3"/>
      <c r="N4" s="3"/>
      <c r="O4" s="3"/>
      <c r="P4" s="3"/>
      <c r="Q4" s="3"/>
    </row>
    <row r="5" spans="1:17" ht="27">
      <c r="A5" s="5" t="s">
        <v>514</v>
      </c>
      <c r="B5" s="5" t="s">
        <v>515</v>
      </c>
      <c r="C5" s="5" t="s">
        <v>516</v>
      </c>
      <c r="D5" s="5" t="s">
        <v>139</v>
      </c>
      <c r="E5" s="5" t="s">
        <v>517</v>
      </c>
      <c r="F5" s="5" t="s">
        <v>518</v>
      </c>
      <c r="G5" s="5" t="s">
        <v>519</v>
      </c>
      <c r="H5" s="5" t="s">
        <v>520</v>
      </c>
      <c r="I5" s="5" t="s">
        <v>521</v>
      </c>
      <c r="J5" s="5" t="s">
        <v>522</v>
      </c>
      <c r="K5" s="3"/>
      <c r="L5" s="3"/>
      <c r="M5" s="3"/>
      <c r="N5" s="3"/>
      <c r="O5" s="3"/>
      <c r="P5" s="3"/>
      <c r="Q5" s="3"/>
    </row>
    <row r="6" spans="1:17" ht="15">
      <c r="A6" s="5" t="s">
        <v>523</v>
      </c>
      <c r="B6" s="5" t="s">
        <v>524</v>
      </c>
      <c r="C6" s="5" t="s">
        <v>525</v>
      </c>
      <c r="D6" s="5" t="s">
        <v>139</v>
      </c>
      <c r="E6" s="5" t="s">
        <v>526</v>
      </c>
      <c r="F6" s="5" t="s">
        <v>527</v>
      </c>
      <c r="G6" s="5" t="s">
        <v>528</v>
      </c>
      <c r="H6" s="5" t="s">
        <v>520</v>
      </c>
      <c r="I6" s="5" t="s">
        <v>529</v>
      </c>
      <c r="J6" s="5" t="s">
        <v>530</v>
      </c>
      <c r="K6" s="3"/>
      <c r="L6" s="3"/>
      <c r="M6" s="3"/>
      <c r="N6" s="3"/>
      <c r="O6" s="3"/>
      <c r="P6" s="3"/>
      <c r="Q6" s="3"/>
    </row>
    <row r="7" spans="1:17" ht="27">
      <c r="A7" s="5" t="s">
        <v>531</v>
      </c>
      <c r="B7" s="5" t="s">
        <v>532</v>
      </c>
      <c r="C7" s="5" t="s">
        <v>533</v>
      </c>
      <c r="D7" s="5" t="s">
        <v>139</v>
      </c>
      <c r="E7" s="5" t="s">
        <v>534</v>
      </c>
      <c r="F7" s="5" t="s">
        <v>535</v>
      </c>
      <c r="G7" s="5" t="s">
        <v>528</v>
      </c>
      <c r="H7" s="5" t="s">
        <v>520</v>
      </c>
      <c r="I7" s="5" t="s">
        <v>536</v>
      </c>
      <c r="J7" s="5" t="s">
        <v>537</v>
      </c>
      <c r="K7" s="3"/>
      <c r="L7" s="3"/>
      <c r="M7" s="3"/>
      <c r="N7" s="3"/>
      <c r="O7" s="3"/>
      <c r="P7" s="3"/>
      <c r="Q7" s="3"/>
    </row>
    <row r="8" spans="1:17" ht="27">
      <c r="A8" s="5" t="s">
        <v>538</v>
      </c>
      <c r="B8" s="5" t="s">
        <v>539</v>
      </c>
      <c r="C8" s="5" t="s">
        <v>540</v>
      </c>
      <c r="D8" s="5" t="s">
        <v>139</v>
      </c>
      <c r="E8" s="5" t="s">
        <v>541</v>
      </c>
      <c r="F8" s="5" t="s">
        <v>542</v>
      </c>
      <c r="G8" s="5" t="s">
        <v>528</v>
      </c>
      <c r="H8" s="5" t="s">
        <v>520</v>
      </c>
      <c r="I8" s="5" t="s">
        <v>543</v>
      </c>
      <c r="J8" s="5" t="s">
        <v>544</v>
      </c>
      <c r="K8" s="3"/>
      <c r="L8" s="3"/>
      <c r="M8" s="3"/>
      <c r="N8" s="3"/>
      <c r="O8" s="3"/>
      <c r="P8" s="3"/>
      <c r="Q8" s="3"/>
    </row>
    <row r="9" spans="1:17" ht="15">
      <c r="A9" s="5" t="s">
        <v>545</v>
      </c>
      <c r="B9" s="5" t="s">
        <v>546</v>
      </c>
      <c r="C9" s="5" t="s">
        <v>547</v>
      </c>
      <c r="D9" s="5" t="s">
        <v>548</v>
      </c>
      <c r="E9" s="5" t="s">
        <v>549</v>
      </c>
      <c r="F9" s="5" t="s">
        <v>550</v>
      </c>
      <c r="G9" s="5" t="s">
        <v>318</v>
      </c>
      <c r="H9" s="5" t="s">
        <v>551</v>
      </c>
      <c r="I9" s="5" t="s">
        <v>552</v>
      </c>
      <c r="J9" s="5" t="s">
        <v>553</v>
      </c>
      <c r="K9" s="3"/>
      <c r="L9" s="3"/>
      <c r="M9" s="3"/>
      <c r="N9" s="3"/>
      <c r="O9" s="3"/>
      <c r="P9" s="3"/>
      <c r="Q9" s="3"/>
    </row>
    <row r="10" spans="1:17" ht="15">
      <c r="A10" s="3"/>
      <c r="B10" s="3"/>
      <c r="C10" s="3"/>
      <c r="D10" s="3"/>
      <c r="E10" s="3"/>
      <c r="F10" s="3"/>
      <c r="G10" s="3"/>
      <c r="H10" s="3"/>
      <c r="I10" s="3"/>
      <c r="J10" s="3"/>
      <c r="K10" s="3"/>
      <c r="L10" s="3"/>
      <c r="M10" s="3"/>
      <c r="N10" s="3"/>
      <c r="O10" s="3"/>
      <c r="P10" s="3"/>
      <c r="Q10" s="3"/>
    </row>
    <row r="11" spans="1:17" ht="15">
      <c r="A11" s="3"/>
      <c r="B11" s="3"/>
      <c r="C11" s="3"/>
      <c r="D11" s="3"/>
      <c r="E11" s="3"/>
      <c r="F11" s="3"/>
      <c r="G11" s="3"/>
      <c r="H11" s="3"/>
      <c r="I11" s="3"/>
      <c r="J11" s="3"/>
      <c r="K11" s="3"/>
      <c r="L11" s="3"/>
      <c r="M11" s="3"/>
      <c r="N11" s="3"/>
      <c r="O11" s="3"/>
      <c r="P11" s="3"/>
      <c r="Q11" s="3"/>
    </row>
    <row r="12" spans="1:17" ht="15">
      <c r="A12" s="3"/>
      <c r="B12" s="3"/>
      <c r="C12" s="3"/>
      <c r="D12" s="3"/>
      <c r="E12" s="3"/>
      <c r="F12" s="3"/>
      <c r="G12" s="3"/>
      <c r="H12" s="3"/>
      <c r="I12" s="3"/>
      <c r="J12" s="3"/>
      <c r="K12" s="3"/>
      <c r="L12" s="3"/>
      <c r="M12" s="3"/>
      <c r="N12" s="3"/>
      <c r="O12" s="3"/>
      <c r="P12" s="3"/>
      <c r="Q12" s="3"/>
    </row>
    <row r="13" spans="1:17" ht="15">
      <c r="A13" s="3"/>
      <c r="B13" s="3"/>
      <c r="C13" s="3"/>
      <c r="D13" s="3"/>
      <c r="E13" s="3"/>
      <c r="F13" s="3"/>
      <c r="G13" s="3"/>
      <c r="H13" s="3"/>
      <c r="I13" s="3"/>
      <c r="J13" s="3"/>
      <c r="K13" s="3"/>
      <c r="L13" s="3"/>
      <c r="M13" s="3"/>
      <c r="N13" s="3"/>
      <c r="O13" s="3"/>
      <c r="P13" s="3"/>
      <c r="Q13" s="3"/>
    </row>
    <row r="14" spans="1:17" ht="15">
      <c r="A14" s="3"/>
      <c r="B14" s="3"/>
      <c r="C14" s="3"/>
      <c r="D14" s="3"/>
      <c r="E14" s="3"/>
      <c r="F14" s="3"/>
      <c r="G14" s="3"/>
      <c r="H14" s="3"/>
      <c r="I14" s="3"/>
      <c r="J14" s="3"/>
      <c r="K14" s="3"/>
      <c r="L14" s="3"/>
      <c r="M14" s="3"/>
      <c r="N14" s="3"/>
      <c r="O14" s="3"/>
      <c r="P14" s="3"/>
      <c r="Q14" s="3"/>
    </row>
    <row r="15" spans="1:17" ht="15">
      <c r="A15" s="3"/>
      <c r="B15" s="3"/>
      <c r="C15" s="3"/>
      <c r="D15" s="3"/>
      <c r="E15" s="3"/>
      <c r="F15" s="3"/>
      <c r="G15" s="3"/>
      <c r="H15" s="3"/>
      <c r="I15" s="3"/>
      <c r="J15" s="3"/>
      <c r="K15" s="3"/>
      <c r="L15" s="3"/>
      <c r="M15" s="3"/>
      <c r="N15" s="3"/>
      <c r="O15" s="3"/>
      <c r="P15" s="3"/>
      <c r="Q15" s="3"/>
    </row>
    <row r="16" spans="1:17" ht="15">
      <c r="A16" s="3"/>
      <c r="B16" s="3"/>
      <c r="C16" s="3"/>
      <c r="D16" s="3"/>
      <c r="E16" s="3"/>
      <c r="F16" s="3"/>
      <c r="G16" s="3"/>
      <c r="H16" s="3"/>
      <c r="I16" s="3"/>
      <c r="J16" s="3"/>
      <c r="K16" s="3"/>
      <c r="L16" s="3"/>
      <c r="M16" s="3"/>
      <c r="N16" s="3"/>
      <c r="O16" s="3"/>
      <c r="P16" s="3"/>
      <c r="Q16" s="3"/>
    </row>
    <row r="17" spans="1:17" ht="15">
      <c r="A17" s="3"/>
      <c r="B17" s="3"/>
      <c r="C17" s="3"/>
      <c r="D17" s="3"/>
      <c r="E17" s="3"/>
      <c r="F17" s="3"/>
      <c r="G17" s="3"/>
      <c r="H17" s="3"/>
      <c r="I17" s="3"/>
      <c r="J17" s="3"/>
      <c r="K17" s="3"/>
      <c r="L17" s="3"/>
      <c r="M17" s="3"/>
      <c r="N17" s="3"/>
      <c r="O17" s="3"/>
      <c r="P17" s="3"/>
      <c r="Q17" s="3"/>
    </row>
    <row r="18" spans="1:17" ht="15">
      <c r="A18" s="3"/>
      <c r="B18" s="3"/>
      <c r="C18" s="3"/>
      <c r="D18" s="3"/>
      <c r="E18" s="3"/>
      <c r="F18" s="3"/>
      <c r="G18" s="3"/>
      <c r="H18" s="3"/>
      <c r="I18" s="3"/>
      <c r="J18" s="3"/>
      <c r="K18" s="3"/>
      <c r="L18" s="3"/>
      <c r="M18" s="3"/>
      <c r="N18" s="3"/>
      <c r="O18" s="3"/>
      <c r="P18" s="3"/>
      <c r="Q18" s="3"/>
    </row>
    <row r="19" spans="1:17" ht="15">
      <c r="A19" s="3"/>
      <c r="B19" s="3"/>
      <c r="C19" s="3"/>
      <c r="D19" s="3"/>
      <c r="E19" s="3"/>
      <c r="F19" s="3"/>
      <c r="G19" s="3"/>
      <c r="H19" s="3"/>
      <c r="I19" s="3"/>
      <c r="J19" s="3"/>
      <c r="K19" s="3"/>
      <c r="L19" s="3"/>
      <c r="M19" s="3"/>
      <c r="N19" s="3"/>
      <c r="O19" s="3"/>
      <c r="P19" s="3"/>
      <c r="Q19" s="3"/>
    </row>
    <row r="20" spans="1:17" ht="15">
      <c r="A20" s="3"/>
      <c r="B20" s="3"/>
      <c r="C20" s="3"/>
      <c r="D20" s="3"/>
      <c r="E20" s="3"/>
      <c r="F20" s="3"/>
      <c r="G20" s="3"/>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250"/>
  <sheetViews>
    <sheetView workbookViewId="0"/>
  </sheetViews>
  <sheetFormatPr defaultRowHeight="14.25"/>
  <cols>
    <col min="1" max="1" width="12" customWidth="1"/>
    <col min="2" max="2" width="34" customWidth="1"/>
    <col min="3" max="3" width="28" customWidth="1"/>
    <col min="4" max="4" width="32" customWidth="1"/>
    <col min="5" max="5" width="18" customWidth="1"/>
    <col min="6" max="6" width="34" customWidth="1"/>
    <col min="7" max="7" width="12" customWidth="1"/>
    <col min="8" max="8" width="50" customWidth="1"/>
  </cols>
  <sheetData>
    <row r="1" spans="1:17" ht="24" customHeight="1">
      <c r="A1" s="32" t="s">
        <v>554</v>
      </c>
      <c r="B1" s="33"/>
      <c r="C1" s="33"/>
      <c r="D1" s="33"/>
      <c r="E1" s="33"/>
      <c r="F1" s="33"/>
      <c r="G1" s="33"/>
      <c r="H1" s="33"/>
      <c r="I1" s="21"/>
      <c r="J1" s="21"/>
      <c r="K1" s="21"/>
      <c r="L1" s="3"/>
      <c r="M1" s="3"/>
      <c r="N1" s="3"/>
      <c r="O1" s="3"/>
      <c r="P1" s="3"/>
      <c r="Q1" s="3"/>
    </row>
    <row r="2" spans="1:17" ht="33.950000000000003" customHeight="1">
      <c r="A2" s="34" t="s">
        <v>555</v>
      </c>
      <c r="B2" s="35"/>
      <c r="C2" s="35"/>
      <c r="D2" s="35"/>
      <c r="E2" s="35"/>
      <c r="F2" s="35"/>
      <c r="G2" s="35"/>
      <c r="H2" s="35"/>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26.1" customHeight="1">
      <c r="A4" s="4" t="s">
        <v>556</v>
      </c>
      <c r="B4" s="4" t="s">
        <v>557</v>
      </c>
      <c r="C4" s="4" t="s">
        <v>558</v>
      </c>
      <c r="D4" s="4" t="s">
        <v>559</v>
      </c>
      <c r="E4" s="4" t="s">
        <v>560</v>
      </c>
      <c r="F4" s="4" t="s">
        <v>561</v>
      </c>
      <c r="G4" s="4" t="s">
        <v>136</v>
      </c>
      <c r="H4" s="4" t="s">
        <v>358</v>
      </c>
      <c r="I4" s="3"/>
      <c r="J4" s="3"/>
      <c r="K4" s="3"/>
      <c r="L4" s="3"/>
      <c r="M4" s="3"/>
      <c r="N4" s="3"/>
      <c r="O4" s="3"/>
      <c r="P4" s="3"/>
      <c r="Q4" s="3"/>
    </row>
    <row r="5" spans="1:17" ht="15">
      <c r="A5" s="7" t="s">
        <v>562</v>
      </c>
      <c r="B5" s="7" t="s">
        <v>563</v>
      </c>
      <c r="C5" s="7" t="s">
        <v>226</v>
      </c>
      <c r="D5" s="7" t="s">
        <v>564</v>
      </c>
      <c r="E5" s="7" t="s">
        <v>443</v>
      </c>
      <c r="F5" s="7" t="s">
        <v>565</v>
      </c>
      <c r="G5" s="7" t="s">
        <v>566</v>
      </c>
      <c r="H5" s="7" t="s">
        <v>567</v>
      </c>
      <c r="I5" s="3"/>
      <c r="J5" s="3"/>
      <c r="K5" s="3"/>
      <c r="L5" s="3"/>
      <c r="M5" s="3"/>
      <c r="N5" s="3"/>
      <c r="O5" s="3"/>
      <c r="P5" s="3"/>
      <c r="Q5" s="3"/>
    </row>
    <row r="6" spans="1:17" ht="15">
      <c r="A6" s="7" t="s">
        <v>568</v>
      </c>
      <c r="B6" s="7" t="s">
        <v>569</v>
      </c>
      <c r="C6" s="7" t="s">
        <v>226</v>
      </c>
      <c r="D6" s="7" t="s">
        <v>570</v>
      </c>
      <c r="E6" s="7" t="s">
        <v>443</v>
      </c>
      <c r="F6" s="7" t="s">
        <v>571</v>
      </c>
      <c r="G6" s="7" t="s">
        <v>566</v>
      </c>
      <c r="H6" s="7" t="s">
        <v>572</v>
      </c>
      <c r="I6" s="3"/>
      <c r="J6" s="3"/>
      <c r="K6" s="3"/>
      <c r="L6" s="3"/>
      <c r="M6" s="3"/>
      <c r="N6" s="3"/>
      <c r="O6" s="3"/>
      <c r="P6" s="3"/>
      <c r="Q6" s="3"/>
    </row>
    <row r="7" spans="1:17" ht="15">
      <c r="A7" s="7" t="s">
        <v>573</v>
      </c>
      <c r="B7" s="7" t="s">
        <v>574</v>
      </c>
      <c r="C7" s="7" t="s">
        <v>226</v>
      </c>
      <c r="D7" s="7" t="s">
        <v>575</v>
      </c>
      <c r="E7" s="7" t="s">
        <v>443</v>
      </c>
      <c r="F7" s="7" t="s">
        <v>576</v>
      </c>
      <c r="G7" s="7" t="s">
        <v>566</v>
      </c>
      <c r="H7" s="7" t="s">
        <v>577</v>
      </c>
      <c r="I7" s="3"/>
      <c r="J7" s="3"/>
      <c r="K7" s="3"/>
      <c r="L7" s="3"/>
      <c r="M7" s="3"/>
      <c r="N7" s="3"/>
      <c r="O7" s="3"/>
      <c r="P7" s="3"/>
      <c r="Q7" s="3"/>
    </row>
    <row r="8" spans="1:17" ht="27">
      <c r="A8" s="8" t="s">
        <v>578</v>
      </c>
      <c r="B8" s="8" t="s">
        <v>579</v>
      </c>
      <c r="C8" s="8" t="s">
        <v>226</v>
      </c>
      <c r="D8" s="8" t="s">
        <v>580</v>
      </c>
      <c r="E8" s="8" t="s">
        <v>443</v>
      </c>
      <c r="F8" s="8" t="s">
        <v>581</v>
      </c>
      <c r="G8" s="8" t="s">
        <v>582</v>
      </c>
      <c r="H8" s="8" t="s">
        <v>583</v>
      </c>
      <c r="I8" s="3"/>
      <c r="J8" s="3"/>
      <c r="K8" s="3"/>
      <c r="L8" s="3"/>
      <c r="M8" s="3"/>
      <c r="N8" s="3"/>
      <c r="O8" s="3"/>
      <c r="P8" s="3"/>
      <c r="Q8" s="3"/>
    </row>
    <row r="9" spans="1:17" ht="15">
      <c r="A9" s="8" t="s">
        <v>584</v>
      </c>
      <c r="B9" s="8" t="s">
        <v>585</v>
      </c>
      <c r="C9" s="8" t="s">
        <v>389</v>
      </c>
      <c r="D9" s="8" t="s">
        <v>586</v>
      </c>
      <c r="E9" s="8" t="s">
        <v>587</v>
      </c>
      <c r="F9" s="8" t="s">
        <v>588</v>
      </c>
      <c r="G9" s="8" t="s">
        <v>589</v>
      </c>
      <c r="H9" s="8" t="s">
        <v>590</v>
      </c>
      <c r="I9" s="3"/>
      <c r="J9" s="3"/>
      <c r="K9" s="3"/>
      <c r="L9" s="3"/>
      <c r="M9" s="3"/>
      <c r="N9" s="3"/>
      <c r="O9" s="3"/>
      <c r="P9" s="3"/>
      <c r="Q9" s="3"/>
    </row>
    <row r="10" spans="1:17" ht="15">
      <c r="A10" s="8" t="s">
        <v>591</v>
      </c>
      <c r="B10" s="8" t="s">
        <v>592</v>
      </c>
      <c r="C10" s="8" t="s">
        <v>393</v>
      </c>
      <c r="D10" s="8" t="s">
        <v>593</v>
      </c>
      <c r="E10" s="8" t="s">
        <v>443</v>
      </c>
      <c r="F10" s="8" t="s">
        <v>594</v>
      </c>
      <c r="G10" s="8" t="s">
        <v>589</v>
      </c>
      <c r="H10" s="8" t="s">
        <v>595</v>
      </c>
      <c r="I10" s="3"/>
      <c r="J10" s="3"/>
      <c r="K10" s="3"/>
      <c r="L10" s="3"/>
      <c r="M10" s="3"/>
      <c r="N10" s="3"/>
      <c r="O10" s="3"/>
      <c r="P10" s="3"/>
      <c r="Q10" s="3"/>
    </row>
    <row r="11" spans="1:17" ht="15">
      <c r="A11" s="8" t="s">
        <v>596</v>
      </c>
      <c r="B11" s="8" t="s">
        <v>597</v>
      </c>
      <c r="C11" s="8" t="s">
        <v>231</v>
      </c>
      <c r="D11" s="8" t="s">
        <v>598</v>
      </c>
      <c r="E11" s="8" t="s">
        <v>443</v>
      </c>
      <c r="F11" s="8" t="s">
        <v>599</v>
      </c>
      <c r="G11" s="8" t="s">
        <v>589</v>
      </c>
      <c r="H11" s="8" t="s">
        <v>600</v>
      </c>
      <c r="I11" s="3"/>
      <c r="J11" s="3"/>
      <c r="K11" s="3"/>
      <c r="L11" s="3"/>
      <c r="M11" s="3"/>
      <c r="N11" s="3"/>
      <c r="O11" s="3"/>
      <c r="P11" s="3"/>
      <c r="Q11" s="3"/>
    </row>
    <row r="12" spans="1:17" ht="15">
      <c r="A12" s="8" t="s">
        <v>601</v>
      </c>
      <c r="B12" s="8" t="s">
        <v>602</v>
      </c>
      <c r="C12" s="8" t="s">
        <v>401</v>
      </c>
      <c r="D12" s="8" t="s">
        <v>603</v>
      </c>
      <c r="E12" s="8" t="s">
        <v>443</v>
      </c>
      <c r="F12" s="8" t="s">
        <v>604</v>
      </c>
      <c r="G12" s="8" t="s">
        <v>582</v>
      </c>
      <c r="H12" s="8" t="s">
        <v>605</v>
      </c>
      <c r="I12" s="3"/>
      <c r="J12" s="3"/>
      <c r="K12" s="3"/>
      <c r="L12" s="3"/>
      <c r="M12" s="3"/>
      <c r="N12" s="3"/>
      <c r="O12" s="3"/>
      <c r="P12" s="3"/>
      <c r="Q12" s="3"/>
    </row>
    <row r="13" spans="1:17" ht="15">
      <c r="A13" s="8" t="s">
        <v>606</v>
      </c>
      <c r="B13" s="8" t="s">
        <v>607</v>
      </c>
      <c r="C13" s="8" t="s">
        <v>410</v>
      </c>
      <c r="D13" s="8" t="s">
        <v>608</v>
      </c>
      <c r="E13" s="8" t="s">
        <v>609</v>
      </c>
      <c r="F13" s="8" t="s">
        <v>610</v>
      </c>
      <c r="G13" s="8" t="s">
        <v>318</v>
      </c>
      <c r="H13" s="8" t="s">
        <v>611</v>
      </c>
      <c r="I13" s="3"/>
      <c r="J13" s="3"/>
      <c r="K13" s="3"/>
      <c r="L13" s="3"/>
      <c r="M13" s="3"/>
      <c r="N13" s="3"/>
      <c r="O13" s="3"/>
      <c r="P13" s="3"/>
      <c r="Q13" s="3"/>
    </row>
    <row r="14" spans="1:17" ht="15">
      <c r="A14" s="8" t="s">
        <v>612</v>
      </c>
      <c r="B14" s="8" t="s">
        <v>613</v>
      </c>
      <c r="C14" s="8" t="s">
        <v>405</v>
      </c>
      <c r="D14" s="8" t="s">
        <v>614</v>
      </c>
      <c r="E14" s="8" t="s">
        <v>609</v>
      </c>
      <c r="F14" s="8" t="s">
        <v>615</v>
      </c>
      <c r="G14" s="8" t="s">
        <v>318</v>
      </c>
      <c r="H14" s="8" t="s">
        <v>616</v>
      </c>
      <c r="I14" s="3"/>
      <c r="J14" s="3"/>
      <c r="K14" s="3"/>
      <c r="L14" s="3"/>
      <c r="M14" s="3"/>
      <c r="N14" s="3"/>
      <c r="O14" s="3"/>
      <c r="P14" s="3"/>
      <c r="Q14" s="3"/>
    </row>
    <row r="15" spans="1:17" ht="15">
      <c r="A15" s="7" t="s">
        <v>617</v>
      </c>
      <c r="B15" s="7" t="s">
        <v>618</v>
      </c>
      <c r="C15" s="7" t="s">
        <v>102</v>
      </c>
      <c r="D15" s="7" t="s">
        <v>136</v>
      </c>
      <c r="E15" s="7" t="s">
        <v>443</v>
      </c>
      <c r="F15" s="7" t="s">
        <v>619</v>
      </c>
      <c r="G15" s="7" t="s">
        <v>566</v>
      </c>
      <c r="H15" s="7" t="s">
        <v>620</v>
      </c>
      <c r="I15" s="3"/>
      <c r="J15" s="3"/>
      <c r="K15" s="3"/>
      <c r="L15" s="3"/>
      <c r="M15" s="3"/>
      <c r="N15" s="3"/>
      <c r="O15" s="3"/>
      <c r="P15" s="3"/>
      <c r="Q15" s="3"/>
    </row>
    <row r="16" spans="1:17" ht="27">
      <c r="A16" s="7" t="s">
        <v>621</v>
      </c>
      <c r="B16" s="7" t="s">
        <v>622</v>
      </c>
      <c r="C16" s="7" t="s">
        <v>42</v>
      </c>
      <c r="D16" s="7" t="s">
        <v>623</v>
      </c>
      <c r="E16" s="7" t="s">
        <v>443</v>
      </c>
      <c r="F16" s="7" t="s">
        <v>619</v>
      </c>
      <c r="G16" s="7" t="s">
        <v>566</v>
      </c>
      <c r="H16" s="7" t="s">
        <v>624</v>
      </c>
      <c r="I16" s="3"/>
      <c r="J16" s="3"/>
      <c r="K16" s="3"/>
      <c r="L16" s="3"/>
      <c r="M16" s="3"/>
      <c r="N16" s="3"/>
      <c r="O16" s="3"/>
      <c r="P16" s="3"/>
      <c r="Q16" s="3"/>
    </row>
    <row r="17" spans="1:17" ht="15">
      <c r="A17" s="3"/>
      <c r="B17" s="3"/>
      <c r="C17" s="3"/>
      <c r="D17" s="3"/>
      <c r="E17" s="3"/>
      <c r="F17" s="3"/>
      <c r="G17" s="3"/>
      <c r="H17" s="3"/>
      <c r="I17" s="3"/>
      <c r="J17" s="3"/>
      <c r="K17" s="3"/>
      <c r="L17" s="3"/>
      <c r="M17" s="3"/>
      <c r="N17" s="3"/>
      <c r="O17" s="3"/>
      <c r="P17" s="3"/>
      <c r="Q17" s="3"/>
    </row>
    <row r="18" spans="1:17" ht="15">
      <c r="A18" s="3"/>
      <c r="B18" s="3"/>
      <c r="C18" s="3"/>
      <c r="D18" s="3"/>
      <c r="E18" s="3"/>
      <c r="F18" s="3"/>
      <c r="G18" s="3"/>
      <c r="H18" s="3"/>
      <c r="I18" s="3"/>
      <c r="J18" s="3"/>
      <c r="K18" s="3"/>
      <c r="L18" s="3"/>
      <c r="M18" s="3"/>
      <c r="N18" s="3"/>
      <c r="O18" s="3"/>
      <c r="P18" s="3"/>
      <c r="Q18" s="3"/>
    </row>
    <row r="19" spans="1:17" ht="15">
      <c r="A19" s="3"/>
      <c r="B19" s="3"/>
      <c r="C19" s="3"/>
      <c r="D19" s="3"/>
      <c r="E19" s="3"/>
      <c r="F19" s="3"/>
      <c r="G19" s="3"/>
      <c r="H19" s="3"/>
      <c r="I19" s="3"/>
      <c r="J19" s="3"/>
      <c r="K19" s="3"/>
      <c r="L19" s="3"/>
      <c r="M19" s="3"/>
      <c r="N19" s="3"/>
      <c r="O19" s="3"/>
      <c r="P19" s="3"/>
      <c r="Q19" s="3"/>
    </row>
    <row r="20" spans="1:17" ht="15">
      <c r="A20" s="3"/>
      <c r="B20" s="3"/>
      <c r="C20" s="3"/>
      <c r="D20" s="3"/>
      <c r="E20" s="3"/>
      <c r="F20" s="3"/>
      <c r="G20" s="3"/>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50"/>
  <sheetViews>
    <sheetView workbookViewId="0"/>
  </sheetViews>
  <sheetFormatPr defaultRowHeight="14.25"/>
  <cols>
    <col min="1" max="1" width="12" customWidth="1"/>
    <col min="2" max="2" width="30" customWidth="1"/>
    <col min="3" max="3" width="18" customWidth="1"/>
    <col min="4" max="4" width="14" customWidth="1"/>
    <col min="5" max="5" width="12" customWidth="1"/>
    <col min="6" max="6" width="18" customWidth="1"/>
    <col min="7" max="7" width="22" customWidth="1"/>
    <col min="8" max="8" width="12" customWidth="1"/>
    <col min="9" max="10" width="16" customWidth="1"/>
    <col min="11" max="11" width="14" customWidth="1"/>
    <col min="12" max="12" width="12" customWidth="1"/>
    <col min="13" max="14" width="18" customWidth="1"/>
    <col min="15" max="15" width="16" customWidth="1"/>
    <col min="16" max="16" width="50" customWidth="1"/>
    <col min="17" max="17" width="14" customWidth="1"/>
  </cols>
  <sheetData>
    <row r="1" spans="1:17" ht="24" customHeight="1">
      <c r="A1" s="32" t="s">
        <v>625</v>
      </c>
      <c r="B1" s="33"/>
      <c r="C1" s="33"/>
      <c r="D1" s="33"/>
      <c r="E1" s="33"/>
      <c r="F1" s="33"/>
      <c r="G1" s="33"/>
      <c r="H1" s="33"/>
      <c r="I1" s="33"/>
      <c r="J1" s="33"/>
      <c r="K1" s="33"/>
      <c r="L1" s="35"/>
      <c r="M1" s="35"/>
      <c r="N1" s="35"/>
      <c r="O1" s="35"/>
      <c r="P1" s="35"/>
      <c r="Q1" s="35"/>
    </row>
    <row r="2" spans="1:17" ht="33.950000000000003" customHeight="1">
      <c r="A2" s="34" t="s">
        <v>626</v>
      </c>
      <c r="B2" s="35"/>
      <c r="C2" s="35"/>
      <c r="D2" s="35"/>
      <c r="E2" s="35"/>
      <c r="F2" s="35"/>
      <c r="G2" s="35"/>
      <c r="H2" s="35"/>
      <c r="I2" s="35"/>
      <c r="J2" s="35"/>
      <c r="K2" s="35"/>
      <c r="L2" s="35"/>
      <c r="M2" s="35"/>
      <c r="N2" s="35"/>
      <c r="O2" s="35"/>
      <c r="P2" s="35"/>
      <c r="Q2" s="35"/>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570</v>
      </c>
      <c r="B6" s="4" t="s">
        <v>564</v>
      </c>
      <c r="C6" s="4" t="s">
        <v>627</v>
      </c>
      <c r="D6" s="4" t="s">
        <v>136</v>
      </c>
      <c r="E6" s="4" t="s">
        <v>575</v>
      </c>
      <c r="F6" s="4" t="s">
        <v>628</v>
      </c>
      <c r="G6" s="4" t="s">
        <v>629</v>
      </c>
      <c r="H6" s="4" t="s">
        <v>630</v>
      </c>
      <c r="I6" s="4" t="s">
        <v>631</v>
      </c>
      <c r="J6" s="4" t="s">
        <v>632</v>
      </c>
      <c r="K6" s="4" t="s">
        <v>633</v>
      </c>
      <c r="L6" s="4" t="s">
        <v>634</v>
      </c>
      <c r="M6" s="4" t="s">
        <v>635</v>
      </c>
      <c r="N6" s="4" t="s">
        <v>636</v>
      </c>
      <c r="O6" s="4" t="s">
        <v>637</v>
      </c>
      <c r="P6" s="4" t="s">
        <v>638</v>
      </c>
      <c r="Q6" s="4" t="s">
        <v>639</v>
      </c>
    </row>
    <row r="7" spans="1:17" ht="15">
      <c r="A7" s="5" t="s">
        <v>640</v>
      </c>
      <c r="B7" s="5" t="s">
        <v>641</v>
      </c>
      <c r="C7" s="5" t="s">
        <v>642</v>
      </c>
      <c r="D7" s="5" t="s">
        <v>643</v>
      </c>
      <c r="E7" s="5" t="s">
        <v>143</v>
      </c>
      <c r="F7" s="5" t="s">
        <v>644</v>
      </c>
      <c r="G7" s="5" t="s">
        <v>645</v>
      </c>
      <c r="H7" s="5">
        <v>46</v>
      </c>
      <c r="I7" s="5">
        <v>46</v>
      </c>
      <c r="J7" s="5"/>
      <c r="K7" s="7" t="str">
        <f t="shared" ref="K7:K23" si="0">IF(J7="","No",IF(I7=J7,"No","Yes"))</f>
        <v>No</v>
      </c>
      <c r="L7" s="5">
        <v>2025</v>
      </c>
      <c r="M7" s="5" t="s">
        <v>646</v>
      </c>
      <c r="N7" s="5" t="s">
        <v>325</v>
      </c>
      <c r="O7" s="5" t="s">
        <v>514</v>
      </c>
      <c r="P7" s="5"/>
      <c r="Q7" s="7" t="str">
        <f t="shared" ref="Q7:Q23" si="1">IF(A7="","",IF(K7="Yes","Review",IF(COUNTA(A7:I7)&gt;=8,"Ready","Partial")))</f>
        <v>Ready</v>
      </c>
    </row>
    <row r="8" spans="1:17" ht="15">
      <c r="A8" s="5" t="s">
        <v>647</v>
      </c>
      <c r="B8" s="5" t="s">
        <v>648</v>
      </c>
      <c r="C8" s="5" t="s">
        <v>642</v>
      </c>
      <c r="D8" s="5" t="s">
        <v>643</v>
      </c>
      <c r="E8" s="5" t="s">
        <v>443</v>
      </c>
      <c r="F8" s="5" t="s">
        <v>649</v>
      </c>
      <c r="G8" s="5" t="s">
        <v>650</v>
      </c>
      <c r="H8" s="5">
        <v>21</v>
      </c>
      <c r="I8" s="5">
        <v>21</v>
      </c>
      <c r="J8" s="5"/>
      <c r="K8" s="7" t="str">
        <f t="shared" si="0"/>
        <v>No</v>
      </c>
      <c r="L8" s="5">
        <v>2025</v>
      </c>
      <c r="M8" s="5" t="s">
        <v>651</v>
      </c>
      <c r="N8" s="5" t="s">
        <v>325</v>
      </c>
      <c r="O8" s="5" t="s">
        <v>514</v>
      </c>
      <c r="P8" s="5"/>
      <c r="Q8" s="7" t="str">
        <f t="shared" si="1"/>
        <v>Ready</v>
      </c>
    </row>
    <row r="9" spans="1:17" ht="15">
      <c r="A9" s="5" t="s">
        <v>652</v>
      </c>
      <c r="B9" s="5" t="s">
        <v>653</v>
      </c>
      <c r="C9" s="5" t="s">
        <v>642</v>
      </c>
      <c r="D9" s="5" t="s">
        <v>643</v>
      </c>
      <c r="E9" s="5" t="s">
        <v>443</v>
      </c>
      <c r="F9" s="5" t="s">
        <v>649</v>
      </c>
      <c r="G9" s="5" t="s">
        <v>650</v>
      </c>
      <c r="H9" s="5">
        <v>18</v>
      </c>
      <c r="I9" s="5">
        <v>18</v>
      </c>
      <c r="J9" s="5"/>
      <c r="K9" s="7" t="str">
        <f t="shared" si="0"/>
        <v>No</v>
      </c>
      <c r="L9" s="5">
        <v>2025</v>
      </c>
      <c r="M9" s="5" t="s">
        <v>651</v>
      </c>
      <c r="N9" s="5" t="s">
        <v>325</v>
      </c>
      <c r="O9" s="5" t="s">
        <v>514</v>
      </c>
      <c r="P9" s="5"/>
      <c r="Q9" s="7" t="str">
        <f t="shared" si="1"/>
        <v>Ready</v>
      </c>
    </row>
    <row r="10" spans="1:17" ht="15">
      <c r="A10" s="5" t="s">
        <v>654</v>
      </c>
      <c r="B10" s="5" t="s">
        <v>655</v>
      </c>
      <c r="C10" s="5" t="s">
        <v>656</v>
      </c>
      <c r="D10" s="5" t="s">
        <v>643</v>
      </c>
      <c r="E10" s="5" t="s">
        <v>443</v>
      </c>
      <c r="F10" s="5" t="s">
        <v>649</v>
      </c>
      <c r="G10" s="5" t="s">
        <v>650</v>
      </c>
      <c r="H10" s="5">
        <v>64</v>
      </c>
      <c r="I10" s="5">
        <v>64</v>
      </c>
      <c r="J10" s="5"/>
      <c r="K10" s="7" t="str">
        <f t="shared" si="0"/>
        <v>No</v>
      </c>
      <c r="L10" s="5">
        <v>2025</v>
      </c>
      <c r="M10" s="5" t="s">
        <v>646</v>
      </c>
      <c r="N10" s="5" t="s">
        <v>325</v>
      </c>
      <c r="O10" s="5" t="s">
        <v>514</v>
      </c>
      <c r="P10" s="5"/>
      <c r="Q10" s="7" t="str">
        <f t="shared" si="1"/>
        <v>Ready</v>
      </c>
    </row>
    <row r="11" spans="1:17" ht="15">
      <c r="A11" s="5" t="s">
        <v>657</v>
      </c>
      <c r="B11" s="5" t="s">
        <v>658</v>
      </c>
      <c r="C11" s="5" t="s">
        <v>642</v>
      </c>
      <c r="D11" s="5" t="s">
        <v>643</v>
      </c>
      <c r="E11" s="5" t="s">
        <v>443</v>
      </c>
      <c r="F11" s="5" t="s">
        <v>659</v>
      </c>
      <c r="G11" s="5" t="s">
        <v>650</v>
      </c>
      <c r="H11" s="5">
        <v>34</v>
      </c>
      <c r="I11" s="5">
        <v>34</v>
      </c>
      <c r="J11" s="5"/>
      <c r="K11" s="7" t="str">
        <f t="shared" si="0"/>
        <v>No</v>
      </c>
      <c r="L11" s="5">
        <v>2025</v>
      </c>
      <c r="M11" s="5" t="s">
        <v>660</v>
      </c>
      <c r="N11" s="5" t="s">
        <v>325</v>
      </c>
      <c r="O11" s="5" t="s">
        <v>514</v>
      </c>
      <c r="P11" s="5"/>
      <c r="Q11" s="7" t="str">
        <f t="shared" si="1"/>
        <v>Ready</v>
      </c>
    </row>
    <row r="12" spans="1:17" ht="15">
      <c r="A12" s="5" t="s">
        <v>661</v>
      </c>
      <c r="B12" s="5" t="s">
        <v>662</v>
      </c>
      <c r="C12" s="5" t="s">
        <v>663</v>
      </c>
      <c r="D12" s="5" t="s">
        <v>643</v>
      </c>
      <c r="E12" s="5" t="s">
        <v>443</v>
      </c>
      <c r="F12" s="5" t="s">
        <v>659</v>
      </c>
      <c r="G12" s="5" t="s">
        <v>650</v>
      </c>
      <c r="H12" s="5">
        <v>61</v>
      </c>
      <c r="I12" s="5">
        <v>61</v>
      </c>
      <c r="J12" s="5"/>
      <c r="K12" s="7" t="str">
        <f t="shared" si="0"/>
        <v>No</v>
      </c>
      <c r="L12" s="5">
        <v>2025</v>
      </c>
      <c r="M12" s="5" t="s">
        <v>664</v>
      </c>
      <c r="N12" s="5" t="s">
        <v>325</v>
      </c>
      <c r="O12" s="5" t="s">
        <v>514</v>
      </c>
      <c r="P12" s="5"/>
      <c r="Q12" s="7" t="str">
        <f t="shared" si="1"/>
        <v>Ready</v>
      </c>
    </row>
    <row r="13" spans="1:17" ht="15">
      <c r="A13" s="5" t="s">
        <v>665</v>
      </c>
      <c r="B13" s="5" t="s">
        <v>666</v>
      </c>
      <c r="C13" s="5" t="s">
        <v>667</v>
      </c>
      <c r="D13" s="5" t="s">
        <v>643</v>
      </c>
      <c r="E13" s="5" t="s">
        <v>443</v>
      </c>
      <c r="F13" s="5" t="s">
        <v>659</v>
      </c>
      <c r="G13" s="5" t="s">
        <v>650</v>
      </c>
      <c r="H13" s="5">
        <v>36</v>
      </c>
      <c r="I13" s="5">
        <v>36</v>
      </c>
      <c r="J13" s="5"/>
      <c r="K13" s="7" t="str">
        <f t="shared" si="0"/>
        <v>No</v>
      </c>
      <c r="L13" s="5">
        <v>2025</v>
      </c>
      <c r="M13" s="5" t="s">
        <v>660</v>
      </c>
      <c r="N13" s="5" t="s">
        <v>325</v>
      </c>
      <c r="O13" s="5" t="s">
        <v>514</v>
      </c>
      <c r="P13" s="5"/>
      <c r="Q13" s="7" t="str">
        <f t="shared" si="1"/>
        <v>Ready</v>
      </c>
    </row>
    <row r="14" spans="1:17" ht="15">
      <c r="A14" s="5" t="s">
        <v>668</v>
      </c>
      <c r="B14" s="5" t="s">
        <v>669</v>
      </c>
      <c r="C14" s="5" t="s">
        <v>667</v>
      </c>
      <c r="D14" s="5" t="s">
        <v>643</v>
      </c>
      <c r="E14" s="5" t="s">
        <v>443</v>
      </c>
      <c r="F14" s="5" t="s">
        <v>659</v>
      </c>
      <c r="G14" s="5" t="s">
        <v>650</v>
      </c>
      <c r="H14" s="5">
        <v>40</v>
      </c>
      <c r="I14" s="5">
        <v>40</v>
      </c>
      <c r="J14" s="5"/>
      <c r="K14" s="7" t="str">
        <f t="shared" si="0"/>
        <v>No</v>
      </c>
      <c r="L14" s="5">
        <v>2025</v>
      </c>
      <c r="M14" s="5" t="s">
        <v>660</v>
      </c>
      <c r="N14" s="5" t="s">
        <v>325</v>
      </c>
      <c r="O14" s="5" t="s">
        <v>514</v>
      </c>
      <c r="P14" s="5"/>
      <c r="Q14" s="7" t="str">
        <f t="shared" si="1"/>
        <v>Ready</v>
      </c>
    </row>
    <row r="15" spans="1:17" ht="15">
      <c r="A15" s="5" t="s">
        <v>670</v>
      </c>
      <c r="B15" s="5" t="s">
        <v>671</v>
      </c>
      <c r="C15" s="5" t="s">
        <v>672</v>
      </c>
      <c r="D15" s="5" t="s">
        <v>643</v>
      </c>
      <c r="E15" s="5" t="s">
        <v>443</v>
      </c>
      <c r="F15" s="5" t="s">
        <v>659</v>
      </c>
      <c r="G15" s="5" t="s">
        <v>650</v>
      </c>
      <c r="H15" s="5">
        <v>19</v>
      </c>
      <c r="I15" s="5">
        <v>19</v>
      </c>
      <c r="J15" s="5"/>
      <c r="K15" s="7" t="str">
        <f t="shared" si="0"/>
        <v>No</v>
      </c>
      <c r="L15" s="5">
        <v>2025</v>
      </c>
      <c r="M15" s="5" t="s">
        <v>660</v>
      </c>
      <c r="N15" s="5" t="s">
        <v>325</v>
      </c>
      <c r="O15" s="5" t="s">
        <v>514</v>
      </c>
      <c r="P15" s="5"/>
      <c r="Q15" s="7" t="str">
        <f t="shared" si="1"/>
        <v>Ready</v>
      </c>
    </row>
    <row r="16" spans="1:17" ht="15">
      <c r="A16" s="5" t="s">
        <v>673</v>
      </c>
      <c r="B16" s="5" t="s">
        <v>674</v>
      </c>
      <c r="C16" s="5" t="s">
        <v>675</v>
      </c>
      <c r="D16" s="5" t="s">
        <v>643</v>
      </c>
      <c r="E16" s="5" t="s">
        <v>443</v>
      </c>
      <c r="F16" s="5" t="s">
        <v>659</v>
      </c>
      <c r="G16" s="5" t="s">
        <v>650</v>
      </c>
      <c r="H16" s="5">
        <v>47</v>
      </c>
      <c r="I16" s="5">
        <v>47</v>
      </c>
      <c r="J16" s="5"/>
      <c r="K16" s="7" t="str">
        <f t="shared" si="0"/>
        <v>No</v>
      </c>
      <c r="L16" s="5">
        <v>2025</v>
      </c>
      <c r="M16" s="5" t="s">
        <v>664</v>
      </c>
      <c r="N16" s="5" t="s">
        <v>325</v>
      </c>
      <c r="O16" s="5" t="s">
        <v>514</v>
      </c>
      <c r="P16" s="5"/>
      <c r="Q16" s="7" t="str">
        <f t="shared" si="1"/>
        <v>Ready</v>
      </c>
    </row>
    <row r="17" spans="1:17" ht="15">
      <c r="A17" s="5" t="s">
        <v>676</v>
      </c>
      <c r="B17" s="5" t="s">
        <v>677</v>
      </c>
      <c r="C17" s="5" t="s">
        <v>642</v>
      </c>
      <c r="D17" s="5" t="s">
        <v>643</v>
      </c>
      <c r="E17" s="5" t="s">
        <v>443</v>
      </c>
      <c r="F17" s="5" t="s">
        <v>659</v>
      </c>
      <c r="G17" s="5" t="s">
        <v>650</v>
      </c>
      <c r="H17" s="5">
        <v>40</v>
      </c>
      <c r="I17" s="5">
        <v>40</v>
      </c>
      <c r="J17" s="5"/>
      <c r="K17" s="7" t="str">
        <f t="shared" si="0"/>
        <v>No</v>
      </c>
      <c r="L17" s="5">
        <v>2025</v>
      </c>
      <c r="M17" s="5" t="s">
        <v>660</v>
      </c>
      <c r="N17" s="5" t="s">
        <v>325</v>
      </c>
      <c r="O17" s="5" t="s">
        <v>514</v>
      </c>
      <c r="P17" s="5"/>
      <c r="Q17" s="7" t="str">
        <f t="shared" si="1"/>
        <v>Ready</v>
      </c>
    </row>
    <row r="18" spans="1:17" ht="15">
      <c r="A18" s="5" t="s">
        <v>678</v>
      </c>
      <c r="B18" s="5" t="s">
        <v>679</v>
      </c>
      <c r="C18" s="5" t="s">
        <v>667</v>
      </c>
      <c r="D18" s="5" t="s">
        <v>643</v>
      </c>
      <c r="E18" s="5" t="s">
        <v>443</v>
      </c>
      <c r="F18" s="5" t="s">
        <v>659</v>
      </c>
      <c r="G18" s="5" t="s">
        <v>650</v>
      </c>
      <c r="H18" s="5">
        <v>49</v>
      </c>
      <c r="I18" s="5">
        <v>49</v>
      </c>
      <c r="J18" s="5"/>
      <c r="K18" s="7" t="str">
        <f t="shared" si="0"/>
        <v>No</v>
      </c>
      <c r="L18" s="5">
        <v>2025</v>
      </c>
      <c r="M18" s="5" t="s">
        <v>680</v>
      </c>
      <c r="N18" s="5" t="s">
        <v>325</v>
      </c>
      <c r="O18" s="5" t="s">
        <v>514</v>
      </c>
      <c r="P18" s="5"/>
      <c r="Q18" s="7" t="str">
        <f t="shared" si="1"/>
        <v>Ready</v>
      </c>
    </row>
    <row r="19" spans="1:17" ht="15">
      <c r="A19" s="5" t="s">
        <v>681</v>
      </c>
      <c r="B19" s="5" t="s">
        <v>682</v>
      </c>
      <c r="C19" s="5" t="s">
        <v>667</v>
      </c>
      <c r="D19" s="5" t="s">
        <v>643</v>
      </c>
      <c r="E19" s="5" t="s">
        <v>443</v>
      </c>
      <c r="F19" s="5" t="s">
        <v>659</v>
      </c>
      <c r="G19" s="5" t="s">
        <v>650</v>
      </c>
      <c r="H19" s="5">
        <v>38</v>
      </c>
      <c r="I19" s="5">
        <v>38</v>
      </c>
      <c r="J19" s="5"/>
      <c r="K19" s="7" t="str">
        <f t="shared" si="0"/>
        <v>No</v>
      </c>
      <c r="L19" s="5">
        <v>2025</v>
      </c>
      <c r="M19" s="5" t="s">
        <v>683</v>
      </c>
      <c r="N19" s="5" t="s">
        <v>325</v>
      </c>
      <c r="O19" s="5" t="s">
        <v>514</v>
      </c>
      <c r="P19" s="5"/>
      <c r="Q19" s="7" t="str">
        <f t="shared" si="1"/>
        <v>Ready</v>
      </c>
    </row>
    <row r="20" spans="1:17" ht="15">
      <c r="A20" s="5" t="s">
        <v>684</v>
      </c>
      <c r="B20" s="5" t="s">
        <v>685</v>
      </c>
      <c r="C20" s="5" t="s">
        <v>642</v>
      </c>
      <c r="D20" s="5" t="s">
        <v>686</v>
      </c>
      <c r="E20" s="5" t="s">
        <v>443</v>
      </c>
      <c r="F20" s="5" t="s">
        <v>687</v>
      </c>
      <c r="G20" s="5" t="s">
        <v>688</v>
      </c>
      <c r="H20" s="5">
        <v>97</v>
      </c>
      <c r="I20" s="5">
        <v>97</v>
      </c>
      <c r="J20" s="5"/>
      <c r="K20" s="7" t="str">
        <f t="shared" si="0"/>
        <v>No</v>
      </c>
      <c r="L20" s="5">
        <v>2028</v>
      </c>
      <c r="M20" s="5" t="s">
        <v>689</v>
      </c>
      <c r="N20" s="5" t="s">
        <v>325</v>
      </c>
      <c r="O20" s="5" t="s">
        <v>514</v>
      </c>
      <c r="P20" s="5"/>
      <c r="Q20" s="7" t="str">
        <f t="shared" si="1"/>
        <v>Ready</v>
      </c>
    </row>
    <row r="21" spans="1:17" ht="15">
      <c r="A21" s="5" t="s">
        <v>690</v>
      </c>
      <c r="B21" s="5" t="s">
        <v>691</v>
      </c>
      <c r="C21" s="5" t="s">
        <v>642</v>
      </c>
      <c r="D21" s="5" t="s">
        <v>686</v>
      </c>
      <c r="E21" s="5" t="s">
        <v>443</v>
      </c>
      <c r="F21" s="5" t="s">
        <v>687</v>
      </c>
      <c r="G21" s="5" t="s">
        <v>688</v>
      </c>
      <c r="H21" s="5">
        <v>91</v>
      </c>
      <c r="I21" s="5">
        <v>91</v>
      </c>
      <c r="J21" s="5"/>
      <c r="K21" s="7" t="str">
        <f t="shared" si="0"/>
        <v>No</v>
      </c>
      <c r="L21" s="5">
        <v>2028</v>
      </c>
      <c r="M21" s="5" t="s">
        <v>689</v>
      </c>
      <c r="N21" s="5" t="s">
        <v>325</v>
      </c>
      <c r="O21" s="5" t="s">
        <v>514</v>
      </c>
      <c r="P21" s="5"/>
      <c r="Q21" s="7" t="str">
        <f t="shared" si="1"/>
        <v>Ready</v>
      </c>
    </row>
    <row r="22" spans="1:17" ht="27">
      <c r="A22" s="5" t="s">
        <v>692</v>
      </c>
      <c r="B22" s="5" t="s">
        <v>693</v>
      </c>
      <c r="C22" s="5" t="s">
        <v>694</v>
      </c>
      <c r="D22" s="5" t="s">
        <v>686</v>
      </c>
      <c r="E22" s="5" t="s">
        <v>443</v>
      </c>
      <c r="F22" s="5" t="s">
        <v>687</v>
      </c>
      <c r="G22" s="5" t="s">
        <v>688</v>
      </c>
      <c r="H22" s="5">
        <v>328</v>
      </c>
      <c r="I22" s="5">
        <v>328</v>
      </c>
      <c r="J22" s="5">
        <v>245</v>
      </c>
      <c r="K22" s="7" t="str">
        <f t="shared" si="0"/>
        <v>Yes</v>
      </c>
      <c r="L22" s="5">
        <v>2027</v>
      </c>
      <c r="M22" s="5" t="s">
        <v>695</v>
      </c>
      <c r="N22" s="5" t="s">
        <v>696</v>
      </c>
      <c r="O22" s="5" t="s">
        <v>514</v>
      </c>
      <c r="P22" s="5" t="s">
        <v>697</v>
      </c>
      <c r="Q22" s="7" t="str">
        <f t="shared" si="1"/>
        <v>Review</v>
      </c>
    </row>
    <row r="23" spans="1:17" ht="27">
      <c r="A23" s="5" t="s">
        <v>698</v>
      </c>
      <c r="B23" s="5" t="s">
        <v>699</v>
      </c>
      <c r="C23" s="5" t="s">
        <v>642</v>
      </c>
      <c r="D23" s="5" t="s">
        <v>686</v>
      </c>
      <c r="E23" s="5" t="s">
        <v>443</v>
      </c>
      <c r="F23" s="5" t="s">
        <v>687</v>
      </c>
      <c r="G23" s="5" t="s">
        <v>688</v>
      </c>
      <c r="H23" s="5">
        <v>93</v>
      </c>
      <c r="I23" s="5">
        <v>93</v>
      </c>
      <c r="J23" s="5">
        <v>108</v>
      </c>
      <c r="K23" s="7" t="str">
        <f t="shared" si="0"/>
        <v>Yes</v>
      </c>
      <c r="L23" s="5">
        <v>2029</v>
      </c>
      <c r="M23" s="5" t="s">
        <v>689</v>
      </c>
      <c r="N23" s="5" t="s">
        <v>582</v>
      </c>
      <c r="O23" s="5" t="s">
        <v>514</v>
      </c>
      <c r="P23" s="5" t="s">
        <v>700</v>
      </c>
      <c r="Q23" s="7" t="str">
        <f t="shared" si="1"/>
        <v>Review</v>
      </c>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Q1"/>
    <mergeCell ref="A2:Q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xr:uid="{00000000-0002-0000-0600-000000000000}">
          <x14:formula1>
            <xm:f>_LISTS!$B$2:$B$5</xm:f>
          </x14:formula1>
          <xm:sqref>D7:D206</xm:sqref>
        </x14:dataValidation>
        <x14:dataValidation type="list" xr:uid="{00000000-0002-0000-0600-000001000000}">
          <x14:formula1>
            <xm:f>_LISTS!$A$2:$A$3</xm:f>
          </x14:formula1>
          <xm:sqref>E7:E206</xm:sqref>
        </x14:dataValidation>
        <x14:dataValidation type="list" xr:uid="{00000000-0002-0000-0600-000002000000}">
          <x14:formula1>
            <xm:f>_LISTS!$I$2:$I$4</xm:f>
          </x14:formula1>
          <xm:sqref>K7:K206</xm:sqref>
        </x14:dataValidation>
        <x14:dataValidation type="list" xr:uid="{00000000-0002-0000-0600-000003000000}">
          <x14:formula1>
            <xm:f>_LISTS!$C$2:$C$7</xm:f>
          </x14:formula1>
          <xm:sqref>N7:N206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50"/>
  <sheetViews>
    <sheetView workbookViewId="0"/>
  </sheetViews>
  <sheetFormatPr defaultRowHeight="14.25"/>
  <cols>
    <col min="1" max="2" width="12" customWidth="1"/>
    <col min="3" max="3" width="28" customWidth="1"/>
    <col min="4" max="4" width="18" customWidth="1"/>
    <col min="5" max="6" width="14" customWidth="1"/>
    <col min="7" max="7" width="18" customWidth="1"/>
    <col min="8" max="8" width="12" customWidth="1"/>
    <col min="9" max="9" width="16" customWidth="1"/>
    <col min="10" max="10" width="14" customWidth="1"/>
    <col min="11" max="13" width="16" customWidth="1"/>
    <col min="14" max="14" width="14" customWidth="1"/>
    <col min="15" max="15" width="24" customWidth="1"/>
  </cols>
  <sheetData>
    <row r="1" spans="1:17" ht="24" customHeight="1">
      <c r="A1" s="32" t="s">
        <v>701</v>
      </c>
      <c r="B1" s="33"/>
      <c r="C1" s="33"/>
      <c r="D1" s="33"/>
      <c r="E1" s="33"/>
      <c r="F1" s="33"/>
      <c r="G1" s="33"/>
      <c r="H1" s="33"/>
      <c r="I1" s="33"/>
      <c r="J1" s="33"/>
      <c r="K1" s="33"/>
      <c r="L1" s="35"/>
      <c r="M1" s="35"/>
      <c r="N1" s="35"/>
      <c r="O1" s="35"/>
      <c r="P1" s="3"/>
      <c r="Q1" s="3"/>
    </row>
    <row r="2" spans="1:17" ht="33.950000000000003" customHeight="1">
      <c r="A2" s="34" t="s">
        <v>702</v>
      </c>
      <c r="B2" s="35"/>
      <c r="C2" s="35"/>
      <c r="D2" s="35"/>
      <c r="E2" s="35"/>
      <c r="F2" s="35"/>
      <c r="G2" s="35"/>
      <c r="H2" s="35"/>
      <c r="I2" s="35"/>
      <c r="J2" s="35"/>
      <c r="K2" s="35"/>
      <c r="L2" s="35"/>
      <c r="M2" s="35"/>
      <c r="N2" s="35"/>
      <c r="O2" s="35"/>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703</v>
      </c>
      <c r="B6" s="4" t="s">
        <v>570</v>
      </c>
      <c r="C6" s="4" t="s">
        <v>564</v>
      </c>
      <c r="D6" s="4" t="s">
        <v>704</v>
      </c>
      <c r="E6" s="4" t="s">
        <v>705</v>
      </c>
      <c r="F6" s="4" t="s">
        <v>706</v>
      </c>
      <c r="G6" s="4" t="s">
        <v>707</v>
      </c>
      <c r="H6" s="4" t="s">
        <v>708</v>
      </c>
      <c r="I6" s="4" t="s">
        <v>709</v>
      </c>
      <c r="J6" s="4" t="s">
        <v>710</v>
      </c>
      <c r="K6" s="4" t="s">
        <v>711</v>
      </c>
      <c r="L6" s="4" t="s">
        <v>712</v>
      </c>
      <c r="M6" s="4" t="s">
        <v>713</v>
      </c>
      <c r="N6" s="4" t="s">
        <v>714</v>
      </c>
      <c r="O6" s="4" t="s">
        <v>715</v>
      </c>
      <c r="P6" s="3"/>
      <c r="Q6" s="3"/>
    </row>
    <row r="7" spans="1:17" ht="15">
      <c r="A7" s="5" t="s">
        <v>716</v>
      </c>
      <c r="B7" s="5" t="s">
        <v>698</v>
      </c>
      <c r="C7" s="5" t="s">
        <v>699</v>
      </c>
      <c r="D7" s="5" t="s">
        <v>717</v>
      </c>
      <c r="E7" s="5" t="s">
        <v>718</v>
      </c>
      <c r="F7" s="5" t="s">
        <v>719</v>
      </c>
      <c r="G7" s="5" t="s">
        <v>720</v>
      </c>
      <c r="H7" s="5">
        <v>21</v>
      </c>
      <c r="I7" s="5">
        <v>21</v>
      </c>
      <c r="J7" s="5">
        <v>0</v>
      </c>
      <c r="K7" s="5">
        <v>0</v>
      </c>
      <c r="L7" s="5"/>
      <c r="M7" s="5"/>
      <c r="N7" s="5" t="s">
        <v>523</v>
      </c>
      <c r="O7" s="5" t="s">
        <v>589</v>
      </c>
      <c r="P7" s="3"/>
      <c r="Q7" s="3"/>
    </row>
    <row r="8" spans="1:17" ht="15">
      <c r="A8" s="5" t="s">
        <v>721</v>
      </c>
      <c r="B8" s="5" t="s">
        <v>698</v>
      </c>
      <c r="C8" s="5" t="s">
        <v>699</v>
      </c>
      <c r="D8" s="5" t="s">
        <v>722</v>
      </c>
      <c r="E8" s="5" t="s">
        <v>718</v>
      </c>
      <c r="F8" s="5" t="s">
        <v>719</v>
      </c>
      <c r="G8" s="5" t="s">
        <v>723</v>
      </c>
      <c r="H8" s="5">
        <v>54</v>
      </c>
      <c r="I8" s="5">
        <v>54</v>
      </c>
      <c r="J8" s="5">
        <v>0</v>
      </c>
      <c r="K8" s="5">
        <v>0</v>
      </c>
      <c r="L8" s="5"/>
      <c r="M8" s="5"/>
      <c r="N8" s="5" t="s">
        <v>523</v>
      </c>
      <c r="O8" s="5" t="s">
        <v>589</v>
      </c>
      <c r="P8" s="3"/>
      <c r="Q8" s="3"/>
    </row>
    <row r="9" spans="1:17" ht="15">
      <c r="A9" s="5" t="s">
        <v>724</v>
      </c>
      <c r="B9" s="5" t="s">
        <v>698</v>
      </c>
      <c r="C9" s="5" t="s">
        <v>699</v>
      </c>
      <c r="D9" s="5" t="s">
        <v>725</v>
      </c>
      <c r="E9" s="5" t="s">
        <v>718</v>
      </c>
      <c r="F9" s="5" t="s">
        <v>719</v>
      </c>
      <c r="G9" s="5" t="s">
        <v>726</v>
      </c>
      <c r="H9" s="5">
        <v>32</v>
      </c>
      <c r="I9" s="5">
        <v>0</v>
      </c>
      <c r="J9" s="5">
        <v>32</v>
      </c>
      <c r="K9" s="5">
        <v>0</v>
      </c>
      <c r="L9" s="5"/>
      <c r="M9" s="5"/>
      <c r="N9" s="5" t="s">
        <v>523</v>
      </c>
      <c r="O9" s="5" t="s">
        <v>589</v>
      </c>
      <c r="P9" s="3"/>
      <c r="Q9" s="3"/>
    </row>
    <row r="10" spans="1:17" ht="15">
      <c r="A10" s="5" t="s">
        <v>727</v>
      </c>
      <c r="B10" s="5" t="s">
        <v>698</v>
      </c>
      <c r="C10" s="5" t="s">
        <v>699</v>
      </c>
      <c r="D10" s="5" t="s">
        <v>728</v>
      </c>
      <c r="E10" s="5" t="s">
        <v>729</v>
      </c>
      <c r="F10" s="5" t="s">
        <v>729</v>
      </c>
      <c r="G10" s="5" t="s">
        <v>729</v>
      </c>
      <c r="H10" s="5">
        <v>1</v>
      </c>
      <c r="I10" s="5">
        <v>0</v>
      </c>
      <c r="J10" s="5">
        <v>1</v>
      </c>
      <c r="K10" s="5">
        <v>0</v>
      </c>
      <c r="L10" s="5"/>
      <c r="M10" s="5"/>
      <c r="N10" s="5" t="s">
        <v>523</v>
      </c>
      <c r="O10" s="5" t="s">
        <v>589</v>
      </c>
      <c r="P10" s="3"/>
      <c r="Q10" s="3"/>
    </row>
    <row r="11" spans="1:17" ht="15">
      <c r="A11" s="5" t="s">
        <v>730</v>
      </c>
      <c r="B11" s="5" t="s">
        <v>692</v>
      </c>
      <c r="C11" s="5" t="s">
        <v>693</v>
      </c>
      <c r="D11" s="5" t="s">
        <v>731</v>
      </c>
      <c r="E11" s="5" t="s">
        <v>718</v>
      </c>
      <c r="F11" s="5" t="s">
        <v>719</v>
      </c>
      <c r="G11" s="5" t="s">
        <v>732</v>
      </c>
      <c r="H11" s="5">
        <v>245</v>
      </c>
      <c r="I11" s="5"/>
      <c r="J11" s="5"/>
      <c r="K11" s="5"/>
      <c r="L11" s="5"/>
      <c r="M11" s="5"/>
      <c r="N11" s="5" t="s">
        <v>523</v>
      </c>
      <c r="O11" s="5" t="s">
        <v>733</v>
      </c>
      <c r="P11" s="3"/>
      <c r="Q11" s="3"/>
    </row>
    <row r="12" spans="1:17" ht="15">
      <c r="A12" s="5"/>
      <c r="B12" s="5"/>
      <c r="C12" s="5"/>
      <c r="D12" s="5"/>
      <c r="E12" s="5"/>
      <c r="F12" s="5"/>
      <c r="G12" s="5"/>
      <c r="H12" s="5"/>
      <c r="I12" s="5"/>
      <c r="J12" s="5"/>
      <c r="K12" s="5"/>
      <c r="L12" s="5"/>
      <c r="M12" s="5"/>
      <c r="N12" s="5"/>
      <c r="O12" s="5"/>
      <c r="P12" s="3"/>
      <c r="Q12" s="3"/>
    </row>
    <row r="13" spans="1:17" ht="15">
      <c r="A13" s="5"/>
      <c r="B13" s="5"/>
      <c r="C13" s="5"/>
      <c r="D13" s="5"/>
      <c r="E13" s="5"/>
      <c r="F13" s="5"/>
      <c r="G13" s="5"/>
      <c r="H13" s="5"/>
      <c r="I13" s="5"/>
      <c r="J13" s="5"/>
      <c r="K13" s="5"/>
      <c r="L13" s="5"/>
      <c r="M13" s="5"/>
      <c r="N13" s="5"/>
      <c r="O13" s="5"/>
      <c r="P13" s="3"/>
      <c r="Q13" s="3"/>
    </row>
    <row r="14" spans="1:17" ht="15">
      <c r="A14" s="5"/>
      <c r="B14" s="5"/>
      <c r="C14" s="5"/>
      <c r="D14" s="5"/>
      <c r="E14" s="5"/>
      <c r="F14" s="5"/>
      <c r="G14" s="5"/>
      <c r="H14" s="5"/>
      <c r="I14" s="5"/>
      <c r="J14" s="5"/>
      <c r="K14" s="5"/>
      <c r="L14" s="5"/>
      <c r="M14" s="5"/>
      <c r="N14" s="5"/>
      <c r="O14" s="5"/>
      <c r="P14" s="3"/>
      <c r="Q14" s="3"/>
    </row>
    <row r="15" spans="1:17" ht="15">
      <c r="A15" s="5"/>
      <c r="B15" s="5"/>
      <c r="C15" s="5"/>
      <c r="D15" s="5"/>
      <c r="E15" s="5"/>
      <c r="F15" s="5"/>
      <c r="G15" s="5"/>
      <c r="H15" s="5"/>
      <c r="I15" s="5"/>
      <c r="J15" s="5"/>
      <c r="K15" s="5"/>
      <c r="L15" s="5"/>
      <c r="M15" s="5"/>
      <c r="N15" s="5"/>
      <c r="O15" s="5"/>
      <c r="P15" s="3"/>
      <c r="Q15" s="3"/>
    </row>
    <row r="16" spans="1:17" ht="15">
      <c r="A16" s="5"/>
      <c r="B16" s="5"/>
      <c r="C16" s="5"/>
      <c r="D16" s="5"/>
      <c r="E16" s="5"/>
      <c r="F16" s="5"/>
      <c r="G16" s="5"/>
      <c r="H16" s="5"/>
      <c r="I16" s="5"/>
      <c r="J16" s="5"/>
      <c r="K16" s="5"/>
      <c r="L16" s="5"/>
      <c r="M16" s="5"/>
      <c r="N16" s="5"/>
      <c r="O16" s="5"/>
      <c r="P16" s="3"/>
      <c r="Q16" s="3"/>
    </row>
    <row r="17" spans="1:17" ht="15">
      <c r="A17" s="5"/>
      <c r="B17" s="5"/>
      <c r="C17" s="5"/>
      <c r="D17" s="5"/>
      <c r="E17" s="5"/>
      <c r="F17" s="5"/>
      <c r="G17" s="5"/>
      <c r="H17" s="5"/>
      <c r="I17" s="5"/>
      <c r="J17" s="5"/>
      <c r="K17" s="5"/>
      <c r="L17" s="5"/>
      <c r="M17" s="5"/>
      <c r="N17" s="5"/>
      <c r="O17" s="5"/>
      <c r="P17" s="3"/>
      <c r="Q17" s="3"/>
    </row>
    <row r="18" spans="1:17" ht="15">
      <c r="A18" s="5"/>
      <c r="B18" s="5"/>
      <c r="C18" s="5"/>
      <c r="D18" s="5"/>
      <c r="E18" s="5"/>
      <c r="F18" s="5"/>
      <c r="G18" s="5"/>
      <c r="H18" s="5"/>
      <c r="I18" s="5"/>
      <c r="J18" s="5"/>
      <c r="K18" s="5"/>
      <c r="L18" s="5"/>
      <c r="M18" s="5"/>
      <c r="N18" s="5"/>
      <c r="O18" s="5"/>
      <c r="P18" s="3"/>
      <c r="Q18" s="3"/>
    </row>
    <row r="19" spans="1:17" ht="15">
      <c r="A19" s="5"/>
      <c r="B19" s="5"/>
      <c r="C19" s="5"/>
      <c r="D19" s="5"/>
      <c r="E19" s="5"/>
      <c r="F19" s="5"/>
      <c r="G19" s="5"/>
      <c r="H19" s="5"/>
      <c r="I19" s="5"/>
      <c r="J19" s="5"/>
      <c r="K19" s="5"/>
      <c r="L19" s="5"/>
      <c r="M19" s="5"/>
      <c r="N19" s="5"/>
      <c r="O19" s="5"/>
      <c r="P19" s="3"/>
      <c r="Q19" s="3"/>
    </row>
    <row r="20" spans="1:17" ht="15">
      <c r="A20" s="5"/>
      <c r="B20" s="5"/>
      <c r="C20" s="5"/>
      <c r="D20" s="5"/>
      <c r="E20" s="5"/>
      <c r="F20" s="5"/>
      <c r="G20" s="5"/>
      <c r="H20" s="5"/>
      <c r="I20" s="5"/>
      <c r="J20" s="5"/>
      <c r="K20" s="5"/>
      <c r="L20" s="5"/>
      <c r="M20" s="5"/>
      <c r="N20" s="5"/>
      <c r="O20" s="5"/>
      <c r="P20" s="3"/>
      <c r="Q20" s="3"/>
    </row>
    <row r="21" spans="1:17" ht="15">
      <c r="A21" s="5"/>
      <c r="B21" s="5"/>
      <c r="C21" s="5"/>
      <c r="D21" s="5"/>
      <c r="E21" s="5"/>
      <c r="F21" s="5"/>
      <c r="G21" s="5"/>
      <c r="H21" s="5"/>
      <c r="I21" s="5"/>
      <c r="J21" s="5"/>
      <c r="K21" s="5"/>
      <c r="L21" s="5"/>
      <c r="M21" s="5"/>
      <c r="N21" s="5"/>
      <c r="O21" s="5"/>
      <c r="P21" s="3"/>
      <c r="Q21" s="3"/>
    </row>
    <row r="22" spans="1:17" ht="15">
      <c r="A22" s="5"/>
      <c r="B22" s="5"/>
      <c r="C22" s="5"/>
      <c r="D22" s="5"/>
      <c r="E22" s="5"/>
      <c r="F22" s="5"/>
      <c r="G22" s="5"/>
      <c r="H22" s="5"/>
      <c r="I22" s="5"/>
      <c r="J22" s="5"/>
      <c r="K22" s="5"/>
      <c r="L22" s="5"/>
      <c r="M22" s="5"/>
      <c r="N22" s="5"/>
      <c r="O22" s="5"/>
      <c r="P22" s="3"/>
      <c r="Q22" s="3"/>
    </row>
    <row r="23" spans="1:17" ht="15">
      <c r="A23" s="5"/>
      <c r="B23" s="5"/>
      <c r="C23" s="5"/>
      <c r="D23" s="5"/>
      <c r="E23" s="5"/>
      <c r="F23" s="5"/>
      <c r="G23" s="5"/>
      <c r="H23" s="5"/>
      <c r="I23" s="5"/>
      <c r="J23" s="5"/>
      <c r="K23" s="5"/>
      <c r="L23" s="5"/>
      <c r="M23" s="5"/>
      <c r="N23" s="5"/>
      <c r="O23" s="5"/>
      <c r="P23" s="3"/>
      <c r="Q23" s="3"/>
    </row>
    <row r="24" spans="1:17" ht="15">
      <c r="A24" s="5"/>
      <c r="B24" s="5"/>
      <c r="C24" s="5"/>
      <c r="D24" s="5"/>
      <c r="E24" s="5"/>
      <c r="F24" s="5"/>
      <c r="G24" s="5"/>
      <c r="H24" s="5"/>
      <c r="I24" s="5"/>
      <c r="J24" s="5"/>
      <c r="K24" s="5"/>
      <c r="L24" s="5"/>
      <c r="M24" s="5"/>
      <c r="N24" s="5"/>
      <c r="O24" s="5"/>
      <c r="P24" s="3"/>
      <c r="Q24" s="3"/>
    </row>
    <row r="25" spans="1:17" ht="15">
      <c r="A25" s="5"/>
      <c r="B25" s="5"/>
      <c r="C25" s="5"/>
      <c r="D25" s="5"/>
      <c r="E25" s="5"/>
      <c r="F25" s="5"/>
      <c r="G25" s="5"/>
      <c r="H25" s="5"/>
      <c r="I25" s="5"/>
      <c r="J25" s="5"/>
      <c r="K25" s="5"/>
      <c r="L25" s="5"/>
      <c r="M25" s="5"/>
      <c r="N25" s="5"/>
      <c r="O25" s="5"/>
      <c r="P25" s="3"/>
      <c r="Q25" s="3"/>
    </row>
    <row r="26" spans="1:17" ht="15">
      <c r="A26" s="5"/>
      <c r="B26" s="5"/>
      <c r="C26" s="5"/>
      <c r="D26" s="5"/>
      <c r="E26" s="5"/>
      <c r="F26" s="5"/>
      <c r="G26" s="5"/>
      <c r="H26" s="5"/>
      <c r="I26" s="5"/>
      <c r="J26" s="5"/>
      <c r="K26" s="5"/>
      <c r="L26" s="5"/>
      <c r="M26" s="5"/>
      <c r="N26" s="5"/>
      <c r="O26" s="5"/>
      <c r="P26" s="3"/>
      <c r="Q26" s="3"/>
    </row>
    <row r="27" spans="1:17" ht="15">
      <c r="A27" s="5"/>
      <c r="B27" s="5"/>
      <c r="C27" s="5"/>
      <c r="D27" s="5"/>
      <c r="E27" s="5"/>
      <c r="F27" s="5"/>
      <c r="G27" s="5"/>
      <c r="H27" s="5"/>
      <c r="I27" s="5"/>
      <c r="J27" s="5"/>
      <c r="K27" s="5"/>
      <c r="L27" s="5"/>
      <c r="M27" s="5"/>
      <c r="N27" s="5"/>
      <c r="O27" s="5"/>
      <c r="P27" s="3"/>
      <c r="Q27" s="3"/>
    </row>
    <row r="28" spans="1:17" ht="15">
      <c r="A28" s="5"/>
      <c r="B28" s="5"/>
      <c r="C28" s="5"/>
      <c r="D28" s="5"/>
      <c r="E28" s="5"/>
      <c r="F28" s="5"/>
      <c r="G28" s="5"/>
      <c r="H28" s="5"/>
      <c r="I28" s="5"/>
      <c r="J28" s="5"/>
      <c r="K28" s="5"/>
      <c r="L28" s="5"/>
      <c r="M28" s="5"/>
      <c r="N28" s="5"/>
      <c r="O28" s="5"/>
      <c r="P28" s="3"/>
      <c r="Q28" s="3"/>
    </row>
    <row r="29" spans="1:17" ht="15">
      <c r="A29" s="5"/>
      <c r="B29" s="5"/>
      <c r="C29" s="5"/>
      <c r="D29" s="5"/>
      <c r="E29" s="5"/>
      <c r="F29" s="5"/>
      <c r="G29" s="5"/>
      <c r="H29" s="5"/>
      <c r="I29" s="5"/>
      <c r="J29" s="5"/>
      <c r="K29" s="5"/>
      <c r="L29" s="5"/>
      <c r="M29" s="5"/>
      <c r="N29" s="5"/>
      <c r="O29" s="5"/>
      <c r="P29" s="3"/>
      <c r="Q29" s="3"/>
    </row>
    <row r="30" spans="1:17" ht="15">
      <c r="A30" s="5"/>
      <c r="B30" s="5"/>
      <c r="C30" s="5"/>
      <c r="D30" s="5"/>
      <c r="E30" s="5"/>
      <c r="F30" s="5"/>
      <c r="G30" s="5"/>
      <c r="H30" s="5"/>
      <c r="I30" s="5"/>
      <c r="J30" s="5"/>
      <c r="K30" s="5"/>
      <c r="L30" s="5"/>
      <c r="M30" s="5"/>
      <c r="N30" s="5"/>
      <c r="O30" s="5"/>
      <c r="P30" s="3"/>
      <c r="Q30" s="3"/>
    </row>
    <row r="31" spans="1:17" ht="15">
      <c r="A31" s="5"/>
      <c r="B31" s="5"/>
      <c r="C31" s="5"/>
      <c r="D31" s="5"/>
      <c r="E31" s="5"/>
      <c r="F31" s="5"/>
      <c r="G31" s="5"/>
      <c r="H31" s="5"/>
      <c r="I31" s="5"/>
      <c r="J31" s="5"/>
      <c r="K31" s="5"/>
      <c r="L31" s="5"/>
      <c r="M31" s="5"/>
      <c r="N31" s="5"/>
      <c r="O31" s="5"/>
      <c r="P31" s="3"/>
      <c r="Q31" s="3"/>
    </row>
    <row r="32" spans="1:17" ht="15">
      <c r="A32" s="5"/>
      <c r="B32" s="5"/>
      <c r="C32" s="5"/>
      <c r="D32" s="5"/>
      <c r="E32" s="5"/>
      <c r="F32" s="5"/>
      <c r="G32" s="5"/>
      <c r="H32" s="5"/>
      <c r="I32" s="5"/>
      <c r="J32" s="5"/>
      <c r="K32" s="5"/>
      <c r="L32" s="5"/>
      <c r="M32" s="5"/>
      <c r="N32" s="5"/>
      <c r="O32" s="5"/>
      <c r="P32" s="3"/>
      <c r="Q32" s="3"/>
    </row>
    <row r="33" spans="1:17" ht="15">
      <c r="A33" s="5"/>
      <c r="B33" s="5"/>
      <c r="C33" s="5"/>
      <c r="D33" s="5"/>
      <c r="E33" s="5"/>
      <c r="F33" s="5"/>
      <c r="G33" s="5"/>
      <c r="H33" s="5"/>
      <c r="I33" s="5"/>
      <c r="J33" s="5"/>
      <c r="K33" s="5"/>
      <c r="L33" s="5"/>
      <c r="M33" s="5"/>
      <c r="N33" s="5"/>
      <c r="O33" s="5"/>
      <c r="P33" s="3"/>
      <c r="Q33" s="3"/>
    </row>
    <row r="34" spans="1:17" ht="15">
      <c r="A34" s="5"/>
      <c r="B34" s="5"/>
      <c r="C34" s="5"/>
      <c r="D34" s="5"/>
      <c r="E34" s="5"/>
      <c r="F34" s="5"/>
      <c r="G34" s="5"/>
      <c r="H34" s="5"/>
      <c r="I34" s="5"/>
      <c r="J34" s="5"/>
      <c r="K34" s="5"/>
      <c r="L34" s="5"/>
      <c r="M34" s="5"/>
      <c r="N34" s="5"/>
      <c r="O34" s="5"/>
      <c r="P34" s="3"/>
      <c r="Q34" s="3"/>
    </row>
    <row r="35" spans="1:17" ht="15">
      <c r="A35" s="5"/>
      <c r="B35" s="5"/>
      <c r="C35" s="5"/>
      <c r="D35" s="5"/>
      <c r="E35" s="5"/>
      <c r="F35" s="5"/>
      <c r="G35" s="5"/>
      <c r="H35" s="5"/>
      <c r="I35" s="5"/>
      <c r="J35" s="5"/>
      <c r="K35" s="5"/>
      <c r="L35" s="5"/>
      <c r="M35" s="5"/>
      <c r="N35" s="5"/>
      <c r="O35" s="5"/>
      <c r="P35" s="3"/>
      <c r="Q35" s="3"/>
    </row>
    <row r="36" spans="1:17" ht="15">
      <c r="A36" s="5"/>
      <c r="B36" s="5"/>
      <c r="C36" s="5"/>
      <c r="D36" s="5"/>
      <c r="E36" s="5"/>
      <c r="F36" s="5"/>
      <c r="G36" s="5"/>
      <c r="H36" s="5"/>
      <c r="I36" s="5"/>
      <c r="J36" s="5"/>
      <c r="K36" s="5"/>
      <c r="L36" s="5"/>
      <c r="M36" s="5"/>
      <c r="N36" s="5"/>
      <c r="O36" s="5"/>
      <c r="P36" s="3"/>
      <c r="Q36" s="3"/>
    </row>
    <row r="37" spans="1:17" ht="15">
      <c r="A37" s="5"/>
      <c r="B37" s="5"/>
      <c r="C37" s="5"/>
      <c r="D37" s="5"/>
      <c r="E37" s="5"/>
      <c r="F37" s="5"/>
      <c r="G37" s="5"/>
      <c r="H37" s="5"/>
      <c r="I37" s="5"/>
      <c r="J37" s="5"/>
      <c r="K37" s="5"/>
      <c r="L37" s="5"/>
      <c r="M37" s="5"/>
      <c r="N37" s="5"/>
      <c r="O37" s="5"/>
      <c r="P37" s="3"/>
      <c r="Q37" s="3"/>
    </row>
    <row r="38" spans="1:17" ht="15">
      <c r="A38" s="5"/>
      <c r="B38" s="5"/>
      <c r="C38" s="5"/>
      <c r="D38" s="5"/>
      <c r="E38" s="5"/>
      <c r="F38" s="5"/>
      <c r="G38" s="5"/>
      <c r="H38" s="5"/>
      <c r="I38" s="5"/>
      <c r="J38" s="5"/>
      <c r="K38" s="5"/>
      <c r="L38" s="5"/>
      <c r="M38" s="5"/>
      <c r="N38" s="5"/>
      <c r="O38" s="5"/>
      <c r="P38" s="3"/>
      <c r="Q38" s="3"/>
    </row>
    <row r="39" spans="1:17" ht="15">
      <c r="A39" s="5"/>
      <c r="B39" s="5"/>
      <c r="C39" s="5"/>
      <c r="D39" s="5"/>
      <c r="E39" s="5"/>
      <c r="F39" s="5"/>
      <c r="G39" s="5"/>
      <c r="H39" s="5"/>
      <c r="I39" s="5"/>
      <c r="J39" s="5"/>
      <c r="K39" s="5"/>
      <c r="L39" s="5"/>
      <c r="M39" s="5"/>
      <c r="N39" s="5"/>
      <c r="O39" s="5"/>
      <c r="P39" s="3"/>
      <c r="Q39" s="3"/>
    </row>
    <row r="40" spans="1:17" ht="15">
      <c r="A40" s="5"/>
      <c r="B40" s="5"/>
      <c r="C40" s="5"/>
      <c r="D40" s="5"/>
      <c r="E40" s="5"/>
      <c r="F40" s="5"/>
      <c r="G40" s="5"/>
      <c r="H40" s="5"/>
      <c r="I40" s="5"/>
      <c r="J40" s="5"/>
      <c r="K40" s="5"/>
      <c r="L40" s="5"/>
      <c r="M40" s="5"/>
      <c r="N40" s="5"/>
      <c r="O40" s="5"/>
      <c r="P40" s="3"/>
      <c r="Q40" s="3"/>
    </row>
    <row r="41" spans="1:17" ht="15">
      <c r="A41" s="5"/>
      <c r="B41" s="5"/>
      <c r="C41" s="5"/>
      <c r="D41" s="5"/>
      <c r="E41" s="5"/>
      <c r="F41" s="5"/>
      <c r="G41" s="5"/>
      <c r="H41" s="5"/>
      <c r="I41" s="5"/>
      <c r="J41" s="5"/>
      <c r="K41" s="5"/>
      <c r="L41" s="5"/>
      <c r="M41" s="5"/>
      <c r="N41" s="5"/>
      <c r="O41" s="5"/>
      <c r="P41" s="3"/>
      <c r="Q41" s="3"/>
    </row>
    <row r="42" spans="1:17" ht="15">
      <c r="A42" s="5"/>
      <c r="B42" s="5"/>
      <c r="C42" s="5"/>
      <c r="D42" s="5"/>
      <c r="E42" s="5"/>
      <c r="F42" s="5"/>
      <c r="G42" s="5"/>
      <c r="H42" s="5"/>
      <c r="I42" s="5"/>
      <c r="J42" s="5"/>
      <c r="K42" s="5"/>
      <c r="L42" s="5"/>
      <c r="M42" s="5"/>
      <c r="N42" s="5"/>
      <c r="O42" s="5"/>
      <c r="P42" s="3"/>
      <c r="Q42" s="3"/>
    </row>
    <row r="43" spans="1:17" ht="15">
      <c r="A43" s="5"/>
      <c r="B43" s="5"/>
      <c r="C43" s="5"/>
      <c r="D43" s="5"/>
      <c r="E43" s="5"/>
      <c r="F43" s="5"/>
      <c r="G43" s="5"/>
      <c r="H43" s="5"/>
      <c r="I43" s="5"/>
      <c r="J43" s="5"/>
      <c r="K43" s="5"/>
      <c r="L43" s="5"/>
      <c r="M43" s="5"/>
      <c r="N43" s="5"/>
      <c r="O43" s="5"/>
      <c r="P43" s="3"/>
      <c r="Q43" s="3"/>
    </row>
    <row r="44" spans="1:17" ht="15">
      <c r="A44" s="5"/>
      <c r="B44" s="5"/>
      <c r="C44" s="5"/>
      <c r="D44" s="5"/>
      <c r="E44" s="5"/>
      <c r="F44" s="5"/>
      <c r="G44" s="5"/>
      <c r="H44" s="5"/>
      <c r="I44" s="5"/>
      <c r="J44" s="5"/>
      <c r="K44" s="5"/>
      <c r="L44" s="5"/>
      <c r="M44" s="5"/>
      <c r="N44" s="5"/>
      <c r="O44" s="5"/>
      <c r="P44" s="3"/>
      <c r="Q44" s="3"/>
    </row>
    <row r="45" spans="1:17" ht="15">
      <c r="A45" s="5"/>
      <c r="B45" s="5"/>
      <c r="C45" s="5"/>
      <c r="D45" s="5"/>
      <c r="E45" s="5"/>
      <c r="F45" s="5"/>
      <c r="G45" s="5"/>
      <c r="H45" s="5"/>
      <c r="I45" s="5"/>
      <c r="J45" s="5"/>
      <c r="K45" s="5"/>
      <c r="L45" s="5"/>
      <c r="M45" s="5"/>
      <c r="N45" s="5"/>
      <c r="O45" s="5"/>
      <c r="P45" s="3"/>
      <c r="Q45" s="3"/>
    </row>
    <row r="46" spans="1:17" ht="15">
      <c r="A46" s="5"/>
      <c r="B46" s="5"/>
      <c r="C46" s="5"/>
      <c r="D46" s="5"/>
      <c r="E46" s="5"/>
      <c r="F46" s="5"/>
      <c r="G46" s="5"/>
      <c r="H46" s="5"/>
      <c r="I46" s="5"/>
      <c r="J46" s="5"/>
      <c r="K46" s="5"/>
      <c r="L46" s="5"/>
      <c r="M46" s="5"/>
      <c r="N46" s="5"/>
      <c r="O46" s="5"/>
      <c r="P46" s="3"/>
      <c r="Q46" s="3"/>
    </row>
    <row r="47" spans="1:17" ht="15">
      <c r="A47" s="5"/>
      <c r="B47" s="5"/>
      <c r="C47" s="5"/>
      <c r="D47" s="5"/>
      <c r="E47" s="5"/>
      <c r="F47" s="5"/>
      <c r="G47" s="5"/>
      <c r="H47" s="5"/>
      <c r="I47" s="5"/>
      <c r="J47" s="5"/>
      <c r="K47" s="5"/>
      <c r="L47" s="5"/>
      <c r="M47" s="5"/>
      <c r="N47" s="5"/>
      <c r="O47" s="5"/>
      <c r="P47" s="3"/>
      <c r="Q47" s="3"/>
    </row>
    <row r="48" spans="1:17" ht="15">
      <c r="A48" s="5"/>
      <c r="B48" s="5"/>
      <c r="C48" s="5"/>
      <c r="D48" s="5"/>
      <c r="E48" s="5"/>
      <c r="F48" s="5"/>
      <c r="G48" s="5"/>
      <c r="H48" s="5"/>
      <c r="I48" s="5"/>
      <c r="J48" s="5"/>
      <c r="K48" s="5"/>
      <c r="L48" s="5"/>
      <c r="M48" s="5"/>
      <c r="N48" s="5"/>
      <c r="O48" s="5"/>
      <c r="P48" s="3"/>
      <c r="Q48" s="3"/>
    </row>
    <row r="49" spans="1:17" ht="15">
      <c r="A49" s="5"/>
      <c r="B49" s="5"/>
      <c r="C49" s="5"/>
      <c r="D49" s="5"/>
      <c r="E49" s="5"/>
      <c r="F49" s="5"/>
      <c r="G49" s="5"/>
      <c r="H49" s="5"/>
      <c r="I49" s="5"/>
      <c r="J49" s="5"/>
      <c r="K49" s="5"/>
      <c r="L49" s="5"/>
      <c r="M49" s="5"/>
      <c r="N49" s="5"/>
      <c r="O49" s="5"/>
      <c r="P49" s="3"/>
      <c r="Q49" s="3"/>
    </row>
    <row r="50" spans="1:17" ht="15">
      <c r="A50" s="5"/>
      <c r="B50" s="5"/>
      <c r="C50" s="5"/>
      <c r="D50" s="5"/>
      <c r="E50" s="5"/>
      <c r="F50" s="5"/>
      <c r="G50" s="5"/>
      <c r="H50" s="5"/>
      <c r="I50" s="5"/>
      <c r="J50" s="5"/>
      <c r="K50" s="5"/>
      <c r="L50" s="5"/>
      <c r="M50" s="5"/>
      <c r="N50" s="5"/>
      <c r="O50" s="5"/>
      <c r="P50" s="3"/>
      <c r="Q50" s="3"/>
    </row>
    <row r="51" spans="1:17" ht="15">
      <c r="A51" s="5"/>
      <c r="B51" s="5"/>
      <c r="C51" s="5"/>
      <c r="D51" s="5"/>
      <c r="E51" s="5"/>
      <c r="F51" s="5"/>
      <c r="G51" s="5"/>
      <c r="H51" s="5"/>
      <c r="I51" s="5"/>
      <c r="J51" s="5"/>
      <c r="K51" s="5"/>
      <c r="L51" s="5"/>
      <c r="M51" s="5"/>
      <c r="N51" s="5"/>
      <c r="O51" s="5"/>
      <c r="P51" s="3"/>
      <c r="Q51" s="3"/>
    </row>
    <row r="52" spans="1:17" ht="15">
      <c r="A52" s="5"/>
      <c r="B52" s="5"/>
      <c r="C52" s="5"/>
      <c r="D52" s="5"/>
      <c r="E52" s="5"/>
      <c r="F52" s="5"/>
      <c r="G52" s="5"/>
      <c r="H52" s="5"/>
      <c r="I52" s="5"/>
      <c r="J52" s="5"/>
      <c r="K52" s="5"/>
      <c r="L52" s="5"/>
      <c r="M52" s="5"/>
      <c r="N52" s="5"/>
      <c r="O52" s="5"/>
      <c r="P52" s="3"/>
      <c r="Q52" s="3"/>
    </row>
    <row r="53" spans="1:17" ht="15">
      <c r="A53" s="5"/>
      <c r="B53" s="5"/>
      <c r="C53" s="5"/>
      <c r="D53" s="5"/>
      <c r="E53" s="5"/>
      <c r="F53" s="5"/>
      <c r="G53" s="5"/>
      <c r="H53" s="5"/>
      <c r="I53" s="5"/>
      <c r="J53" s="5"/>
      <c r="K53" s="5"/>
      <c r="L53" s="5"/>
      <c r="M53" s="5"/>
      <c r="N53" s="5"/>
      <c r="O53" s="5"/>
      <c r="P53" s="3"/>
      <c r="Q53" s="3"/>
    </row>
    <row r="54" spans="1:17" ht="15">
      <c r="A54" s="5"/>
      <c r="B54" s="5"/>
      <c r="C54" s="5"/>
      <c r="D54" s="5"/>
      <c r="E54" s="5"/>
      <c r="F54" s="5"/>
      <c r="G54" s="5"/>
      <c r="H54" s="5"/>
      <c r="I54" s="5"/>
      <c r="J54" s="5"/>
      <c r="K54" s="5"/>
      <c r="L54" s="5"/>
      <c r="M54" s="5"/>
      <c r="N54" s="5"/>
      <c r="O54" s="5"/>
      <c r="P54" s="3"/>
      <c r="Q54" s="3"/>
    </row>
    <row r="55" spans="1:17" ht="15">
      <c r="A55" s="5"/>
      <c r="B55" s="5"/>
      <c r="C55" s="5"/>
      <c r="D55" s="5"/>
      <c r="E55" s="5"/>
      <c r="F55" s="5"/>
      <c r="G55" s="5"/>
      <c r="H55" s="5"/>
      <c r="I55" s="5"/>
      <c r="J55" s="5"/>
      <c r="K55" s="5"/>
      <c r="L55" s="5"/>
      <c r="M55" s="5"/>
      <c r="N55" s="5"/>
      <c r="O55" s="5"/>
      <c r="P55" s="3"/>
      <c r="Q55" s="3"/>
    </row>
    <row r="56" spans="1:17" ht="15">
      <c r="A56" s="5"/>
      <c r="B56" s="5"/>
      <c r="C56" s="5"/>
      <c r="D56" s="5"/>
      <c r="E56" s="5"/>
      <c r="F56" s="5"/>
      <c r="G56" s="5"/>
      <c r="H56" s="5"/>
      <c r="I56" s="5"/>
      <c r="J56" s="5"/>
      <c r="K56" s="5"/>
      <c r="L56" s="5"/>
      <c r="M56" s="5"/>
      <c r="N56" s="5"/>
      <c r="O56" s="5"/>
      <c r="P56" s="3"/>
      <c r="Q56" s="3"/>
    </row>
    <row r="57" spans="1:17" ht="15">
      <c r="A57" s="5"/>
      <c r="B57" s="5"/>
      <c r="C57" s="5"/>
      <c r="D57" s="5"/>
      <c r="E57" s="5"/>
      <c r="F57" s="5"/>
      <c r="G57" s="5"/>
      <c r="H57" s="5"/>
      <c r="I57" s="5"/>
      <c r="J57" s="5"/>
      <c r="K57" s="5"/>
      <c r="L57" s="5"/>
      <c r="M57" s="5"/>
      <c r="N57" s="5"/>
      <c r="O57" s="5"/>
      <c r="P57" s="3"/>
      <c r="Q57" s="3"/>
    </row>
    <row r="58" spans="1:17" ht="15">
      <c r="A58" s="5"/>
      <c r="B58" s="5"/>
      <c r="C58" s="5"/>
      <c r="D58" s="5"/>
      <c r="E58" s="5"/>
      <c r="F58" s="5"/>
      <c r="G58" s="5"/>
      <c r="H58" s="5"/>
      <c r="I58" s="5"/>
      <c r="J58" s="5"/>
      <c r="K58" s="5"/>
      <c r="L58" s="5"/>
      <c r="M58" s="5"/>
      <c r="N58" s="5"/>
      <c r="O58" s="5"/>
      <c r="P58" s="3"/>
      <c r="Q58" s="3"/>
    </row>
    <row r="59" spans="1:17" ht="15">
      <c r="A59" s="5"/>
      <c r="B59" s="5"/>
      <c r="C59" s="5"/>
      <c r="D59" s="5"/>
      <c r="E59" s="5"/>
      <c r="F59" s="5"/>
      <c r="G59" s="5"/>
      <c r="H59" s="5"/>
      <c r="I59" s="5"/>
      <c r="J59" s="5"/>
      <c r="K59" s="5"/>
      <c r="L59" s="5"/>
      <c r="M59" s="5"/>
      <c r="N59" s="5"/>
      <c r="O59" s="5"/>
      <c r="P59" s="3"/>
      <c r="Q59" s="3"/>
    </row>
    <row r="60" spans="1:17" ht="15">
      <c r="A60" s="5"/>
      <c r="B60" s="5"/>
      <c r="C60" s="5"/>
      <c r="D60" s="5"/>
      <c r="E60" s="5"/>
      <c r="F60" s="5"/>
      <c r="G60" s="5"/>
      <c r="H60" s="5"/>
      <c r="I60" s="5"/>
      <c r="J60" s="5"/>
      <c r="K60" s="5"/>
      <c r="L60" s="5"/>
      <c r="M60" s="5"/>
      <c r="N60" s="5"/>
      <c r="O60" s="5"/>
      <c r="P60" s="3"/>
      <c r="Q60" s="3"/>
    </row>
    <row r="61" spans="1:17" ht="15">
      <c r="A61" s="5"/>
      <c r="B61" s="5"/>
      <c r="C61" s="5"/>
      <c r="D61" s="5"/>
      <c r="E61" s="5"/>
      <c r="F61" s="5"/>
      <c r="G61" s="5"/>
      <c r="H61" s="5"/>
      <c r="I61" s="5"/>
      <c r="J61" s="5"/>
      <c r="K61" s="5"/>
      <c r="L61" s="5"/>
      <c r="M61" s="5"/>
      <c r="N61" s="5"/>
      <c r="O61" s="5"/>
      <c r="P61" s="3"/>
      <c r="Q61" s="3"/>
    </row>
    <row r="62" spans="1:17" ht="15">
      <c r="A62" s="5"/>
      <c r="B62" s="5"/>
      <c r="C62" s="5"/>
      <c r="D62" s="5"/>
      <c r="E62" s="5"/>
      <c r="F62" s="5"/>
      <c r="G62" s="5"/>
      <c r="H62" s="5"/>
      <c r="I62" s="5"/>
      <c r="J62" s="5"/>
      <c r="K62" s="5"/>
      <c r="L62" s="5"/>
      <c r="M62" s="5"/>
      <c r="N62" s="5"/>
      <c r="O62" s="5"/>
      <c r="P62" s="3"/>
      <c r="Q62" s="3"/>
    </row>
    <row r="63" spans="1:17" ht="15">
      <c r="A63" s="5"/>
      <c r="B63" s="5"/>
      <c r="C63" s="5"/>
      <c r="D63" s="5"/>
      <c r="E63" s="5"/>
      <c r="F63" s="5"/>
      <c r="G63" s="5"/>
      <c r="H63" s="5"/>
      <c r="I63" s="5"/>
      <c r="J63" s="5"/>
      <c r="K63" s="5"/>
      <c r="L63" s="5"/>
      <c r="M63" s="5"/>
      <c r="N63" s="5"/>
      <c r="O63" s="5"/>
      <c r="P63" s="3"/>
      <c r="Q63" s="3"/>
    </row>
    <row r="64" spans="1:17" ht="15">
      <c r="A64" s="5"/>
      <c r="B64" s="5"/>
      <c r="C64" s="5"/>
      <c r="D64" s="5"/>
      <c r="E64" s="5"/>
      <c r="F64" s="5"/>
      <c r="G64" s="5"/>
      <c r="H64" s="5"/>
      <c r="I64" s="5"/>
      <c r="J64" s="5"/>
      <c r="K64" s="5"/>
      <c r="L64" s="5"/>
      <c r="M64" s="5"/>
      <c r="N64" s="5"/>
      <c r="O64" s="5"/>
      <c r="P64" s="3"/>
      <c r="Q64" s="3"/>
    </row>
    <row r="65" spans="1:17" ht="15">
      <c r="A65" s="5"/>
      <c r="B65" s="5"/>
      <c r="C65" s="5"/>
      <c r="D65" s="5"/>
      <c r="E65" s="5"/>
      <c r="F65" s="5"/>
      <c r="G65" s="5"/>
      <c r="H65" s="5"/>
      <c r="I65" s="5"/>
      <c r="J65" s="5"/>
      <c r="K65" s="5"/>
      <c r="L65" s="5"/>
      <c r="M65" s="5"/>
      <c r="N65" s="5"/>
      <c r="O65" s="5"/>
      <c r="P65" s="3"/>
      <c r="Q65" s="3"/>
    </row>
    <row r="66" spans="1:17" ht="15">
      <c r="A66" s="5"/>
      <c r="B66" s="5"/>
      <c r="C66" s="5"/>
      <c r="D66" s="5"/>
      <c r="E66" s="5"/>
      <c r="F66" s="5"/>
      <c r="G66" s="5"/>
      <c r="H66" s="5"/>
      <c r="I66" s="5"/>
      <c r="J66" s="5"/>
      <c r="K66" s="5"/>
      <c r="L66" s="5"/>
      <c r="M66" s="5"/>
      <c r="N66" s="5"/>
      <c r="O66" s="5"/>
      <c r="P66" s="3"/>
      <c r="Q66" s="3"/>
    </row>
    <row r="67" spans="1:17" ht="15">
      <c r="A67" s="5"/>
      <c r="B67" s="5"/>
      <c r="C67" s="5"/>
      <c r="D67" s="5"/>
      <c r="E67" s="5"/>
      <c r="F67" s="5"/>
      <c r="G67" s="5"/>
      <c r="H67" s="5"/>
      <c r="I67" s="5"/>
      <c r="J67" s="5"/>
      <c r="K67" s="5"/>
      <c r="L67" s="5"/>
      <c r="M67" s="5"/>
      <c r="N67" s="5"/>
      <c r="O67" s="5"/>
      <c r="P67" s="3"/>
      <c r="Q67" s="3"/>
    </row>
    <row r="68" spans="1:17" ht="15">
      <c r="A68" s="5"/>
      <c r="B68" s="5"/>
      <c r="C68" s="5"/>
      <c r="D68" s="5"/>
      <c r="E68" s="5"/>
      <c r="F68" s="5"/>
      <c r="G68" s="5"/>
      <c r="H68" s="5"/>
      <c r="I68" s="5"/>
      <c r="J68" s="5"/>
      <c r="K68" s="5"/>
      <c r="L68" s="5"/>
      <c r="M68" s="5"/>
      <c r="N68" s="5"/>
      <c r="O68" s="5"/>
      <c r="P68" s="3"/>
      <c r="Q68" s="3"/>
    </row>
    <row r="69" spans="1:17" ht="15">
      <c r="A69" s="5"/>
      <c r="B69" s="5"/>
      <c r="C69" s="5"/>
      <c r="D69" s="5"/>
      <c r="E69" s="5"/>
      <c r="F69" s="5"/>
      <c r="G69" s="5"/>
      <c r="H69" s="5"/>
      <c r="I69" s="5"/>
      <c r="J69" s="5"/>
      <c r="K69" s="5"/>
      <c r="L69" s="5"/>
      <c r="M69" s="5"/>
      <c r="N69" s="5"/>
      <c r="O69" s="5"/>
      <c r="P69" s="3"/>
      <c r="Q69" s="3"/>
    </row>
    <row r="70" spans="1:17" ht="15">
      <c r="A70" s="5"/>
      <c r="B70" s="5"/>
      <c r="C70" s="5"/>
      <c r="D70" s="5"/>
      <c r="E70" s="5"/>
      <c r="F70" s="5"/>
      <c r="G70" s="5"/>
      <c r="H70" s="5"/>
      <c r="I70" s="5"/>
      <c r="J70" s="5"/>
      <c r="K70" s="5"/>
      <c r="L70" s="5"/>
      <c r="M70" s="5"/>
      <c r="N70" s="5"/>
      <c r="O70" s="5"/>
      <c r="P70" s="3"/>
      <c r="Q70" s="3"/>
    </row>
    <row r="71" spans="1:17" ht="15">
      <c r="A71" s="5"/>
      <c r="B71" s="5"/>
      <c r="C71" s="5"/>
      <c r="D71" s="5"/>
      <c r="E71" s="5"/>
      <c r="F71" s="5"/>
      <c r="G71" s="5"/>
      <c r="H71" s="5"/>
      <c r="I71" s="5"/>
      <c r="J71" s="5"/>
      <c r="K71" s="5"/>
      <c r="L71" s="5"/>
      <c r="M71" s="5"/>
      <c r="N71" s="5"/>
      <c r="O71" s="5"/>
      <c r="P71" s="3"/>
      <c r="Q71" s="3"/>
    </row>
    <row r="72" spans="1:17" ht="15">
      <c r="A72" s="5"/>
      <c r="B72" s="5"/>
      <c r="C72" s="5"/>
      <c r="D72" s="5"/>
      <c r="E72" s="5"/>
      <c r="F72" s="5"/>
      <c r="G72" s="5"/>
      <c r="H72" s="5"/>
      <c r="I72" s="5"/>
      <c r="J72" s="5"/>
      <c r="K72" s="5"/>
      <c r="L72" s="5"/>
      <c r="M72" s="5"/>
      <c r="N72" s="5"/>
      <c r="O72" s="5"/>
      <c r="P72" s="3"/>
      <c r="Q72" s="3"/>
    </row>
    <row r="73" spans="1:17" ht="15">
      <c r="A73" s="5"/>
      <c r="B73" s="5"/>
      <c r="C73" s="5"/>
      <c r="D73" s="5"/>
      <c r="E73" s="5"/>
      <c r="F73" s="5"/>
      <c r="G73" s="5"/>
      <c r="H73" s="5"/>
      <c r="I73" s="5"/>
      <c r="J73" s="5"/>
      <c r="K73" s="5"/>
      <c r="L73" s="5"/>
      <c r="M73" s="5"/>
      <c r="N73" s="5"/>
      <c r="O73" s="5"/>
      <c r="P73" s="3"/>
      <c r="Q73" s="3"/>
    </row>
    <row r="74" spans="1:17" ht="15">
      <c r="A74" s="5"/>
      <c r="B74" s="5"/>
      <c r="C74" s="5"/>
      <c r="D74" s="5"/>
      <c r="E74" s="5"/>
      <c r="F74" s="5"/>
      <c r="G74" s="5"/>
      <c r="H74" s="5"/>
      <c r="I74" s="5"/>
      <c r="J74" s="5"/>
      <c r="K74" s="5"/>
      <c r="L74" s="5"/>
      <c r="M74" s="5"/>
      <c r="N74" s="5"/>
      <c r="O74" s="5"/>
      <c r="P74" s="3"/>
      <c r="Q74" s="3"/>
    </row>
    <row r="75" spans="1:17" ht="15">
      <c r="A75" s="5"/>
      <c r="B75" s="5"/>
      <c r="C75" s="5"/>
      <c r="D75" s="5"/>
      <c r="E75" s="5"/>
      <c r="F75" s="5"/>
      <c r="G75" s="5"/>
      <c r="H75" s="5"/>
      <c r="I75" s="5"/>
      <c r="J75" s="5"/>
      <c r="K75" s="5"/>
      <c r="L75" s="5"/>
      <c r="M75" s="5"/>
      <c r="N75" s="5"/>
      <c r="O75" s="5"/>
      <c r="P75" s="3"/>
      <c r="Q75" s="3"/>
    </row>
    <row r="76" spans="1:17" ht="15">
      <c r="A76" s="5"/>
      <c r="B76" s="5"/>
      <c r="C76" s="5"/>
      <c r="D76" s="5"/>
      <c r="E76" s="5"/>
      <c r="F76" s="5"/>
      <c r="G76" s="5"/>
      <c r="H76" s="5"/>
      <c r="I76" s="5"/>
      <c r="J76" s="5"/>
      <c r="K76" s="5"/>
      <c r="L76" s="5"/>
      <c r="M76" s="5"/>
      <c r="N76" s="5"/>
      <c r="O76" s="5"/>
      <c r="P76" s="3"/>
      <c r="Q76" s="3"/>
    </row>
    <row r="77" spans="1:17" ht="15">
      <c r="A77" s="5"/>
      <c r="B77" s="5"/>
      <c r="C77" s="5"/>
      <c r="D77" s="5"/>
      <c r="E77" s="5"/>
      <c r="F77" s="5"/>
      <c r="G77" s="5"/>
      <c r="H77" s="5"/>
      <c r="I77" s="5"/>
      <c r="J77" s="5"/>
      <c r="K77" s="5"/>
      <c r="L77" s="5"/>
      <c r="M77" s="5"/>
      <c r="N77" s="5"/>
      <c r="O77" s="5"/>
      <c r="P77" s="3"/>
      <c r="Q77" s="3"/>
    </row>
    <row r="78" spans="1:17" ht="15">
      <c r="A78" s="5"/>
      <c r="B78" s="5"/>
      <c r="C78" s="5"/>
      <c r="D78" s="5"/>
      <c r="E78" s="5"/>
      <c r="F78" s="5"/>
      <c r="G78" s="5"/>
      <c r="H78" s="5"/>
      <c r="I78" s="5"/>
      <c r="J78" s="5"/>
      <c r="K78" s="5"/>
      <c r="L78" s="5"/>
      <c r="M78" s="5"/>
      <c r="N78" s="5"/>
      <c r="O78" s="5"/>
      <c r="P78" s="3"/>
      <c r="Q78" s="3"/>
    </row>
    <row r="79" spans="1:17" ht="15">
      <c r="A79" s="5"/>
      <c r="B79" s="5"/>
      <c r="C79" s="5"/>
      <c r="D79" s="5"/>
      <c r="E79" s="5"/>
      <c r="F79" s="5"/>
      <c r="G79" s="5"/>
      <c r="H79" s="5"/>
      <c r="I79" s="5"/>
      <c r="J79" s="5"/>
      <c r="K79" s="5"/>
      <c r="L79" s="5"/>
      <c r="M79" s="5"/>
      <c r="N79" s="5"/>
      <c r="O79" s="5"/>
      <c r="P79" s="3"/>
      <c r="Q79" s="3"/>
    </row>
    <row r="80" spans="1:17" ht="15">
      <c r="A80" s="5"/>
      <c r="B80" s="5"/>
      <c r="C80" s="5"/>
      <c r="D80" s="5"/>
      <c r="E80" s="5"/>
      <c r="F80" s="5"/>
      <c r="G80" s="5"/>
      <c r="H80" s="5"/>
      <c r="I80" s="5"/>
      <c r="J80" s="5"/>
      <c r="K80" s="5"/>
      <c r="L80" s="5"/>
      <c r="M80" s="5"/>
      <c r="N80" s="5"/>
      <c r="O80" s="5"/>
      <c r="P80" s="3"/>
      <c r="Q80" s="3"/>
    </row>
    <row r="81" spans="1:17" ht="15">
      <c r="A81" s="5"/>
      <c r="B81" s="5"/>
      <c r="C81" s="5"/>
      <c r="D81" s="5"/>
      <c r="E81" s="5"/>
      <c r="F81" s="5"/>
      <c r="G81" s="5"/>
      <c r="H81" s="5"/>
      <c r="I81" s="5"/>
      <c r="J81" s="5"/>
      <c r="K81" s="5"/>
      <c r="L81" s="5"/>
      <c r="M81" s="5"/>
      <c r="N81" s="5"/>
      <c r="O81" s="5"/>
      <c r="P81" s="3"/>
      <c r="Q81" s="3"/>
    </row>
    <row r="82" spans="1:17" ht="15">
      <c r="A82" s="5"/>
      <c r="B82" s="5"/>
      <c r="C82" s="5"/>
      <c r="D82" s="5"/>
      <c r="E82" s="5"/>
      <c r="F82" s="5"/>
      <c r="G82" s="5"/>
      <c r="H82" s="5"/>
      <c r="I82" s="5"/>
      <c r="J82" s="5"/>
      <c r="K82" s="5"/>
      <c r="L82" s="5"/>
      <c r="M82" s="5"/>
      <c r="N82" s="5"/>
      <c r="O82" s="5"/>
      <c r="P82" s="3"/>
      <c r="Q82" s="3"/>
    </row>
    <row r="83" spans="1:17" ht="15">
      <c r="A83" s="5"/>
      <c r="B83" s="5"/>
      <c r="C83" s="5"/>
      <c r="D83" s="5"/>
      <c r="E83" s="5"/>
      <c r="F83" s="5"/>
      <c r="G83" s="5"/>
      <c r="H83" s="5"/>
      <c r="I83" s="5"/>
      <c r="J83" s="5"/>
      <c r="K83" s="5"/>
      <c r="L83" s="5"/>
      <c r="M83" s="5"/>
      <c r="N83" s="5"/>
      <c r="O83" s="5"/>
      <c r="P83" s="3"/>
      <c r="Q83" s="3"/>
    </row>
    <row r="84" spans="1:17" ht="15">
      <c r="A84" s="5"/>
      <c r="B84" s="5"/>
      <c r="C84" s="5"/>
      <c r="D84" s="5"/>
      <c r="E84" s="5"/>
      <c r="F84" s="5"/>
      <c r="G84" s="5"/>
      <c r="H84" s="5"/>
      <c r="I84" s="5"/>
      <c r="J84" s="5"/>
      <c r="K84" s="5"/>
      <c r="L84" s="5"/>
      <c r="M84" s="5"/>
      <c r="N84" s="5"/>
      <c r="O84" s="5"/>
      <c r="P84" s="3"/>
      <c r="Q84" s="3"/>
    </row>
    <row r="85" spans="1:17" ht="15">
      <c r="A85" s="5"/>
      <c r="B85" s="5"/>
      <c r="C85" s="5"/>
      <c r="D85" s="5"/>
      <c r="E85" s="5"/>
      <c r="F85" s="5"/>
      <c r="G85" s="5"/>
      <c r="H85" s="5"/>
      <c r="I85" s="5"/>
      <c r="J85" s="5"/>
      <c r="K85" s="5"/>
      <c r="L85" s="5"/>
      <c r="M85" s="5"/>
      <c r="N85" s="5"/>
      <c r="O85" s="5"/>
      <c r="P85" s="3"/>
      <c r="Q85" s="3"/>
    </row>
    <row r="86" spans="1:17" ht="15">
      <c r="A86" s="5"/>
      <c r="B86" s="5"/>
      <c r="C86" s="5"/>
      <c r="D86" s="5"/>
      <c r="E86" s="5"/>
      <c r="F86" s="5"/>
      <c r="G86" s="5"/>
      <c r="H86" s="5"/>
      <c r="I86" s="5"/>
      <c r="J86" s="5"/>
      <c r="K86" s="5"/>
      <c r="L86" s="5"/>
      <c r="M86" s="5"/>
      <c r="N86" s="5"/>
      <c r="O86" s="5"/>
      <c r="P86" s="3"/>
      <c r="Q86" s="3"/>
    </row>
    <row r="87" spans="1:17" ht="15">
      <c r="A87" s="5"/>
      <c r="B87" s="5"/>
      <c r="C87" s="5"/>
      <c r="D87" s="5"/>
      <c r="E87" s="5"/>
      <c r="F87" s="5"/>
      <c r="G87" s="5"/>
      <c r="H87" s="5"/>
      <c r="I87" s="5"/>
      <c r="J87" s="5"/>
      <c r="K87" s="5"/>
      <c r="L87" s="5"/>
      <c r="M87" s="5"/>
      <c r="N87" s="5"/>
      <c r="O87" s="5"/>
      <c r="P87" s="3"/>
      <c r="Q87" s="3"/>
    </row>
    <row r="88" spans="1:17" ht="15">
      <c r="A88" s="5"/>
      <c r="B88" s="5"/>
      <c r="C88" s="5"/>
      <c r="D88" s="5"/>
      <c r="E88" s="5"/>
      <c r="F88" s="5"/>
      <c r="G88" s="5"/>
      <c r="H88" s="5"/>
      <c r="I88" s="5"/>
      <c r="J88" s="5"/>
      <c r="K88" s="5"/>
      <c r="L88" s="5"/>
      <c r="M88" s="5"/>
      <c r="N88" s="5"/>
      <c r="O88" s="5"/>
      <c r="P88" s="3"/>
      <c r="Q88" s="3"/>
    </row>
    <row r="89" spans="1:17" ht="15">
      <c r="A89" s="5"/>
      <c r="B89" s="5"/>
      <c r="C89" s="5"/>
      <c r="D89" s="5"/>
      <c r="E89" s="5"/>
      <c r="F89" s="5"/>
      <c r="G89" s="5"/>
      <c r="H89" s="5"/>
      <c r="I89" s="5"/>
      <c r="J89" s="5"/>
      <c r="K89" s="5"/>
      <c r="L89" s="5"/>
      <c r="M89" s="5"/>
      <c r="N89" s="5"/>
      <c r="O89" s="5"/>
      <c r="P89" s="3"/>
      <c r="Q89" s="3"/>
    </row>
    <row r="90" spans="1:17" ht="15">
      <c r="A90" s="5"/>
      <c r="B90" s="5"/>
      <c r="C90" s="5"/>
      <c r="D90" s="5"/>
      <c r="E90" s="5"/>
      <c r="F90" s="5"/>
      <c r="G90" s="5"/>
      <c r="H90" s="5"/>
      <c r="I90" s="5"/>
      <c r="J90" s="5"/>
      <c r="K90" s="5"/>
      <c r="L90" s="5"/>
      <c r="M90" s="5"/>
      <c r="N90" s="5"/>
      <c r="O90" s="5"/>
      <c r="P90" s="3"/>
      <c r="Q90" s="3"/>
    </row>
    <row r="91" spans="1:17" ht="15">
      <c r="A91" s="5"/>
      <c r="B91" s="5"/>
      <c r="C91" s="5"/>
      <c r="D91" s="5"/>
      <c r="E91" s="5"/>
      <c r="F91" s="5"/>
      <c r="G91" s="5"/>
      <c r="H91" s="5"/>
      <c r="I91" s="5"/>
      <c r="J91" s="5"/>
      <c r="K91" s="5"/>
      <c r="L91" s="5"/>
      <c r="M91" s="5"/>
      <c r="N91" s="5"/>
      <c r="O91" s="5"/>
      <c r="P91" s="3"/>
      <c r="Q91" s="3"/>
    </row>
    <row r="92" spans="1:17" ht="15">
      <c r="A92" s="5"/>
      <c r="B92" s="5"/>
      <c r="C92" s="5"/>
      <c r="D92" s="5"/>
      <c r="E92" s="5"/>
      <c r="F92" s="5"/>
      <c r="G92" s="5"/>
      <c r="H92" s="5"/>
      <c r="I92" s="5"/>
      <c r="J92" s="5"/>
      <c r="K92" s="5"/>
      <c r="L92" s="5"/>
      <c r="M92" s="5"/>
      <c r="N92" s="5"/>
      <c r="O92" s="5"/>
      <c r="P92" s="3"/>
      <c r="Q92" s="3"/>
    </row>
    <row r="93" spans="1:17" ht="15">
      <c r="A93" s="5"/>
      <c r="B93" s="5"/>
      <c r="C93" s="5"/>
      <c r="D93" s="5"/>
      <c r="E93" s="5"/>
      <c r="F93" s="5"/>
      <c r="G93" s="5"/>
      <c r="H93" s="5"/>
      <c r="I93" s="5"/>
      <c r="J93" s="5"/>
      <c r="K93" s="5"/>
      <c r="L93" s="5"/>
      <c r="M93" s="5"/>
      <c r="N93" s="5"/>
      <c r="O93" s="5"/>
      <c r="P93" s="3"/>
      <c r="Q93" s="3"/>
    </row>
    <row r="94" spans="1:17" ht="15">
      <c r="A94" s="5"/>
      <c r="B94" s="5"/>
      <c r="C94" s="5"/>
      <c r="D94" s="5"/>
      <c r="E94" s="5"/>
      <c r="F94" s="5"/>
      <c r="G94" s="5"/>
      <c r="H94" s="5"/>
      <c r="I94" s="5"/>
      <c r="J94" s="5"/>
      <c r="K94" s="5"/>
      <c r="L94" s="5"/>
      <c r="M94" s="5"/>
      <c r="N94" s="5"/>
      <c r="O94" s="5"/>
      <c r="P94" s="3"/>
      <c r="Q94" s="3"/>
    </row>
    <row r="95" spans="1:17" ht="15">
      <c r="A95" s="5"/>
      <c r="B95" s="5"/>
      <c r="C95" s="5"/>
      <c r="D95" s="5"/>
      <c r="E95" s="5"/>
      <c r="F95" s="5"/>
      <c r="G95" s="5"/>
      <c r="H95" s="5"/>
      <c r="I95" s="5"/>
      <c r="J95" s="5"/>
      <c r="K95" s="5"/>
      <c r="L95" s="5"/>
      <c r="M95" s="5"/>
      <c r="N95" s="5"/>
      <c r="O95" s="5"/>
      <c r="P95" s="3"/>
      <c r="Q95" s="3"/>
    </row>
    <row r="96" spans="1:17" ht="15">
      <c r="A96" s="5"/>
      <c r="B96" s="5"/>
      <c r="C96" s="5"/>
      <c r="D96" s="5"/>
      <c r="E96" s="5"/>
      <c r="F96" s="5"/>
      <c r="G96" s="5"/>
      <c r="H96" s="5"/>
      <c r="I96" s="5"/>
      <c r="J96" s="5"/>
      <c r="K96" s="5"/>
      <c r="L96" s="5"/>
      <c r="M96" s="5"/>
      <c r="N96" s="5"/>
      <c r="O96" s="5"/>
      <c r="P96" s="3"/>
      <c r="Q96" s="3"/>
    </row>
    <row r="97" spans="1:17" ht="15">
      <c r="A97" s="5"/>
      <c r="B97" s="5"/>
      <c r="C97" s="5"/>
      <c r="D97" s="5"/>
      <c r="E97" s="5"/>
      <c r="F97" s="5"/>
      <c r="G97" s="5"/>
      <c r="H97" s="5"/>
      <c r="I97" s="5"/>
      <c r="J97" s="5"/>
      <c r="K97" s="5"/>
      <c r="L97" s="5"/>
      <c r="M97" s="5"/>
      <c r="N97" s="5"/>
      <c r="O97" s="5"/>
      <c r="P97" s="3"/>
      <c r="Q97" s="3"/>
    </row>
    <row r="98" spans="1:17" ht="15">
      <c r="A98" s="5"/>
      <c r="B98" s="5"/>
      <c r="C98" s="5"/>
      <c r="D98" s="5"/>
      <c r="E98" s="5"/>
      <c r="F98" s="5"/>
      <c r="G98" s="5"/>
      <c r="H98" s="5"/>
      <c r="I98" s="5"/>
      <c r="J98" s="5"/>
      <c r="K98" s="5"/>
      <c r="L98" s="5"/>
      <c r="M98" s="5"/>
      <c r="N98" s="5"/>
      <c r="O98" s="5"/>
      <c r="P98" s="3"/>
      <c r="Q98" s="3"/>
    </row>
    <row r="99" spans="1:17" ht="15">
      <c r="A99" s="5"/>
      <c r="B99" s="5"/>
      <c r="C99" s="5"/>
      <c r="D99" s="5"/>
      <c r="E99" s="5"/>
      <c r="F99" s="5"/>
      <c r="G99" s="5"/>
      <c r="H99" s="5"/>
      <c r="I99" s="5"/>
      <c r="J99" s="5"/>
      <c r="K99" s="5"/>
      <c r="L99" s="5"/>
      <c r="M99" s="5"/>
      <c r="N99" s="5"/>
      <c r="O99" s="5"/>
      <c r="P99" s="3"/>
      <c r="Q99" s="3"/>
    </row>
    <row r="100" spans="1:17" ht="15">
      <c r="A100" s="5"/>
      <c r="B100" s="5"/>
      <c r="C100" s="5"/>
      <c r="D100" s="5"/>
      <c r="E100" s="5"/>
      <c r="F100" s="5"/>
      <c r="G100" s="5"/>
      <c r="H100" s="5"/>
      <c r="I100" s="5"/>
      <c r="J100" s="5"/>
      <c r="K100" s="5"/>
      <c r="L100" s="5"/>
      <c r="M100" s="5"/>
      <c r="N100" s="5"/>
      <c r="O100" s="5"/>
      <c r="P100" s="3"/>
      <c r="Q100" s="3"/>
    </row>
    <row r="101" spans="1:17" ht="15">
      <c r="A101" s="5"/>
      <c r="B101" s="5"/>
      <c r="C101" s="5"/>
      <c r="D101" s="5"/>
      <c r="E101" s="5"/>
      <c r="F101" s="5"/>
      <c r="G101" s="5"/>
      <c r="H101" s="5"/>
      <c r="I101" s="5"/>
      <c r="J101" s="5"/>
      <c r="K101" s="5"/>
      <c r="L101" s="5"/>
      <c r="M101" s="5"/>
      <c r="N101" s="5"/>
      <c r="O101" s="5"/>
      <c r="P101" s="3"/>
      <c r="Q101" s="3"/>
    </row>
    <row r="102" spans="1:17" ht="15">
      <c r="A102" s="5"/>
      <c r="B102" s="5"/>
      <c r="C102" s="5"/>
      <c r="D102" s="5"/>
      <c r="E102" s="5"/>
      <c r="F102" s="5"/>
      <c r="G102" s="5"/>
      <c r="H102" s="5"/>
      <c r="I102" s="5"/>
      <c r="J102" s="5"/>
      <c r="K102" s="5"/>
      <c r="L102" s="5"/>
      <c r="M102" s="5"/>
      <c r="N102" s="5"/>
      <c r="O102" s="5"/>
      <c r="P102" s="3"/>
      <c r="Q102" s="3"/>
    </row>
    <row r="103" spans="1:17" ht="15">
      <c r="A103" s="5"/>
      <c r="B103" s="5"/>
      <c r="C103" s="5"/>
      <c r="D103" s="5"/>
      <c r="E103" s="5"/>
      <c r="F103" s="5"/>
      <c r="G103" s="5"/>
      <c r="H103" s="5"/>
      <c r="I103" s="5"/>
      <c r="J103" s="5"/>
      <c r="K103" s="5"/>
      <c r="L103" s="5"/>
      <c r="M103" s="5"/>
      <c r="N103" s="5"/>
      <c r="O103" s="5"/>
      <c r="P103" s="3"/>
      <c r="Q103" s="3"/>
    </row>
    <row r="104" spans="1:17" ht="15">
      <c r="A104" s="5"/>
      <c r="B104" s="5"/>
      <c r="C104" s="5"/>
      <c r="D104" s="5"/>
      <c r="E104" s="5"/>
      <c r="F104" s="5"/>
      <c r="G104" s="5"/>
      <c r="H104" s="5"/>
      <c r="I104" s="5"/>
      <c r="J104" s="5"/>
      <c r="K104" s="5"/>
      <c r="L104" s="5"/>
      <c r="M104" s="5"/>
      <c r="N104" s="5"/>
      <c r="O104" s="5"/>
      <c r="P104" s="3"/>
      <c r="Q104" s="3"/>
    </row>
    <row r="105" spans="1:17" ht="15">
      <c r="A105" s="5"/>
      <c r="B105" s="5"/>
      <c r="C105" s="5"/>
      <c r="D105" s="5"/>
      <c r="E105" s="5"/>
      <c r="F105" s="5"/>
      <c r="G105" s="5"/>
      <c r="H105" s="5"/>
      <c r="I105" s="5"/>
      <c r="J105" s="5"/>
      <c r="K105" s="5"/>
      <c r="L105" s="5"/>
      <c r="M105" s="5"/>
      <c r="N105" s="5"/>
      <c r="O105" s="5"/>
      <c r="P105" s="3"/>
      <c r="Q105" s="3"/>
    </row>
    <row r="106" spans="1:17" ht="15">
      <c r="A106" s="5"/>
      <c r="B106" s="5"/>
      <c r="C106" s="5"/>
      <c r="D106" s="5"/>
      <c r="E106" s="5"/>
      <c r="F106" s="5"/>
      <c r="G106" s="5"/>
      <c r="H106" s="5"/>
      <c r="I106" s="5"/>
      <c r="J106" s="5"/>
      <c r="K106" s="5"/>
      <c r="L106" s="5"/>
      <c r="M106" s="5"/>
      <c r="N106" s="5"/>
      <c r="O106" s="5"/>
      <c r="P106" s="3"/>
      <c r="Q106" s="3"/>
    </row>
    <row r="107" spans="1:17" ht="15">
      <c r="A107" s="5"/>
      <c r="B107" s="5"/>
      <c r="C107" s="5"/>
      <c r="D107" s="5"/>
      <c r="E107" s="5"/>
      <c r="F107" s="5"/>
      <c r="G107" s="5"/>
      <c r="H107" s="5"/>
      <c r="I107" s="5"/>
      <c r="J107" s="5"/>
      <c r="K107" s="5"/>
      <c r="L107" s="5"/>
      <c r="M107" s="5"/>
      <c r="N107" s="5"/>
      <c r="O107" s="5"/>
      <c r="P107" s="3"/>
      <c r="Q107" s="3"/>
    </row>
    <row r="108" spans="1:17" ht="15">
      <c r="A108" s="5"/>
      <c r="B108" s="5"/>
      <c r="C108" s="5"/>
      <c r="D108" s="5"/>
      <c r="E108" s="5"/>
      <c r="F108" s="5"/>
      <c r="G108" s="5"/>
      <c r="H108" s="5"/>
      <c r="I108" s="5"/>
      <c r="J108" s="5"/>
      <c r="K108" s="5"/>
      <c r="L108" s="5"/>
      <c r="M108" s="5"/>
      <c r="N108" s="5"/>
      <c r="O108" s="5"/>
      <c r="P108" s="3"/>
      <c r="Q108" s="3"/>
    </row>
    <row r="109" spans="1:17" ht="15">
      <c r="A109" s="5"/>
      <c r="B109" s="5"/>
      <c r="C109" s="5"/>
      <c r="D109" s="5"/>
      <c r="E109" s="5"/>
      <c r="F109" s="5"/>
      <c r="G109" s="5"/>
      <c r="H109" s="5"/>
      <c r="I109" s="5"/>
      <c r="J109" s="5"/>
      <c r="K109" s="5"/>
      <c r="L109" s="5"/>
      <c r="M109" s="5"/>
      <c r="N109" s="5"/>
      <c r="O109" s="5"/>
      <c r="P109" s="3"/>
      <c r="Q109" s="3"/>
    </row>
    <row r="110" spans="1:17" ht="15">
      <c r="A110" s="5"/>
      <c r="B110" s="5"/>
      <c r="C110" s="5"/>
      <c r="D110" s="5"/>
      <c r="E110" s="5"/>
      <c r="F110" s="5"/>
      <c r="G110" s="5"/>
      <c r="H110" s="5"/>
      <c r="I110" s="5"/>
      <c r="J110" s="5"/>
      <c r="K110" s="5"/>
      <c r="L110" s="5"/>
      <c r="M110" s="5"/>
      <c r="N110" s="5"/>
      <c r="O110" s="5"/>
      <c r="P110" s="3"/>
      <c r="Q110" s="3"/>
    </row>
    <row r="111" spans="1:17" ht="15">
      <c r="A111" s="5"/>
      <c r="B111" s="5"/>
      <c r="C111" s="5"/>
      <c r="D111" s="5"/>
      <c r="E111" s="5"/>
      <c r="F111" s="5"/>
      <c r="G111" s="5"/>
      <c r="H111" s="5"/>
      <c r="I111" s="5"/>
      <c r="J111" s="5"/>
      <c r="K111" s="5"/>
      <c r="L111" s="5"/>
      <c r="M111" s="5"/>
      <c r="N111" s="5"/>
      <c r="O111" s="5"/>
      <c r="P111" s="3"/>
      <c r="Q111" s="3"/>
    </row>
    <row r="112" spans="1:17" ht="15">
      <c r="A112" s="5"/>
      <c r="B112" s="5"/>
      <c r="C112" s="5"/>
      <c r="D112" s="5"/>
      <c r="E112" s="5"/>
      <c r="F112" s="5"/>
      <c r="G112" s="5"/>
      <c r="H112" s="5"/>
      <c r="I112" s="5"/>
      <c r="J112" s="5"/>
      <c r="K112" s="5"/>
      <c r="L112" s="5"/>
      <c r="M112" s="5"/>
      <c r="N112" s="5"/>
      <c r="O112" s="5"/>
      <c r="P112" s="3"/>
      <c r="Q112" s="3"/>
    </row>
    <row r="113" spans="1:17" ht="15">
      <c r="A113" s="5"/>
      <c r="B113" s="5"/>
      <c r="C113" s="5"/>
      <c r="D113" s="5"/>
      <c r="E113" s="5"/>
      <c r="F113" s="5"/>
      <c r="G113" s="5"/>
      <c r="H113" s="5"/>
      <c r="I113" s="5"/>
      <c r="J113" s="5"/>
      <c r="K113" s="5"/>
      <c r="L113" s="5"/>
      <c r="M113" s="5"/>
      <c r="N113" s="5"/>
      <c r="O113" s="5"/>
      <c r="P113" s="3"/>
      <c r="Q113" s="3"/>
    </row>
    <row r="114" spans="1:17" ht="15">
      <c r="A114" s="5"/>
      <c r="B114" s="5"/>
      <c r="C114" s="5"/>
      <c r="D114" s="5"/>
      <c r="E114" s="5"/>
      <c r="F114" s="5"/>
      <c r="G114" s="5"/>
      <c r="H114" s="5"/>
      <c r="I114" s="5"/>
      <c r="J114" s="5"/>
      <c r="K114" s="5"/>
      <c r="L114" s="5"/>
      <c r="M114" s="5"/>
      <c r="N114" s="5"/>
      <c r="O114" s="5"/>
      <c r="P114" s="3"/>
      <c r="Q114" s="3"/>
    </row>
    <row r="115" spans="1:17" ht="15">
      <c r="A115" s="5"/>
      <c r="B115" s="5"/>
      <c r="C115" s="5"/>
      <c r="D115" s="5"/>
      <c r="E115" s="5"/>
      <c r="F115" s="5"/>
      <c r="G115" s="5"/>
      <c r="H115" s="5"/>
      <c r="I115" s="5"/>
      <c r="J115" s="5"/>
      <c r="K115" s="5"/>
      <c r="L115" s="5"/>
      <c r="M115" s="5"/>
      <c r="N115" s="5"/>
      <c r="O115" s="5"/>
      <c r="P115" s="3"/>
      <c r="Q115" s="3"/>
    </row>
    <row r="116" spans="1:17" ht="15">
      <c r="A116" s="5"/>
      <c r="B116" s="5"/>
      <c r="C116" s="5"/>
      <c r="D116" s="5"/>
      <c r="E116" s="5"/>
      <c r="F116" s="5"/>
      <c r="G116" s="5"/>
      <c r="H116" s="5"/>
      <c r="I116" s="5"/>
      <c r="J116" s="5"/>
      <c r="K116" s="5"/>
      <c r="L116" s="5"/>
      <c r="M116" s="5"/>
      <c r="N116" s="5"/>
      <c r="O116" s="5"/>
      <c r="P116" s="3"/>
      <c r="Q116" s="3"/>
    </row>
    <row r="117" spans="1:17" ht="15">
      <c r="A117" s="5"/>
      <c r="B117" s="5"/>
      <c r="C117" s="5"/>
      <c r="D117" s="5"/>
      <c r="E117" s="5"/>
      <c r="F117" s="5"/>
      <c r="G117" s="5"/>
      <c r="H117" s="5"/>
      <c r="I117" s="5"/>
      <c r="J117" s="5"/>
      <c r="K117" s="5"/>
      <c r="L117" s="5"/>
      <c r="M117" s="5"/>
      <c r="N117" s="5"/>
      <c r="O117" s="5"/>
      <c r="P117" s="3"/>
      <c r="Q117" s="3"/>
    </row>
    <row r="118" spans="1:17" ht="15">
      <c r="A118" s="5"/>
      <c r="B118" s="5"/>
      <c r="C118" s="5"/>
      <c r="D118" s="5"/>
      <c r="E118" s="5"/>
      <c r="F118" s="5"/>
      <c r="G118" s="5"/>
      <c r="H118" s="5"/>
      <c r="I118" s="5"/>
      <c r="J118" s="5"/>
      <c r="K118" s="5"/>
      <c r="L118" s="5"/>
      <c r="M118" s="5"/>
      <c r="N118" s="5"/>
      <c r="O118" s="5"/>
      <c r="P118" s="3"/>
      <c r="Q118" s="3"/>
    </row>
    <row r="119" spans="1:17" ht="15">
      <c r="A119" s="5"/>
      <c r="B119" s="5"/>
      <c r="C119" s="5"/>
      <c r="D119" s="5"/>
      <c r="E119" s="5"/>
      <c r="F119" s="5"/>
      <c r="G119" s="5"/>
      <c r="H119" s="5"/>
      <c r="I119" s="5"/>
      <c r="J119" s="5"/>
      <c r="K119" s="5"/>
      <c r="L119" s="5"/>
      <c r="M119" s="5"/>
      <c r="N119" s="5"/>
      <c r="O119" s="5"/>
      <c r="P119" s="3"/>
      <c r="Q119" s="3"/>
    </row>
    <row r="120" spans="1:17" ht="15">
      <c r="A120" s="5"/>
      <c r="B120" s="5"/>
      <c r="C120" s="5"/>
      <c r="D120" s="5"/>
      <c r="E120" s="5"/>
      <c r="F120" s="5"/>
      <c r="G120" s="5"/>
      <c r="H120" s="5"/>
      <c r="I120" s="5"/>
      <c r="J120" s="5"/>
      <c r="K120" s="5"/>
      <c r="L120" s="5"/>
      <c r="M120" s="5"/>
      <c r="N120" s="5"/>
      <c r="O120" s="5"/>
      <c r="P120" s="3"/>
      <c r="Q120" s="3"/>
    </row>
    <row r="121" spans="1:17" ht="15">
      <c r="A121" s="5"/>
      <c r="B121" s="5"/>
      <c r="C121" s="5"/>
      <c r="D121" s="5"/>
      <c r="E121" s="5"/>
      <c r="F121" s="5"/>
      <c r="G121" s="5"/>
      <c r="H121" s="5"/>
      <c r="I121" s="5"/>
      <c r="J121" s="5"/>
      <c r="K121" s="5"/>
      <c r="L121" s="5"/>
      <c r="M121" s="5"/>
      <c r="N121" s="5"/>
      <c r="O121" s="5"/>
      <c r="P121" s="3"/>
      <c r="Q121" s="3"/>
    </row>
    <row r="122" spans="1:17" ht="15">
      <c r="A122" s="5"/>
      <c r="B122" s="5"/>
      <c r="C122" s="5"/>
      <c r="D122" s="5"/>
      <c r="E122" s="5"/>
      <c r="F122" s="5"/>
      <c r="G122" s="5"/>
      <c r="H122" s="5"/>
      <c r="I122" s="5"/>
      <c r="J122" s="5"/>
      <c r="K122" s="5"/>
      <c r="L122" s="5"/>
      <c r="M122" s="5"/>
      <c r="N122" s="5"/>
      <c r="O122" s="5"/>
      <c r="P122" s="3"/>
      <c r="Q122" s="3"/>
    </row>
    <row r="123" spans="1:17" ht="15">
      <c r="A123" s="5"/>
      <c r="B123" s="5"/>
      <c r="C123" s="5"/>
      <c r="D123" s="5"/>
      <c r="E123" s="5"/>
      <c r="F123" s="5"/>
      <c r="G123" s="5"/>
      <c r="H123" s="5"/>
      <c r="I123" s="5"/>
      <c r="J123" s="5"/>
      <c r="K123" s="5"/>
      <c r="L123" s="5"/>
      <c r="M123" s="5"/>
      <c r="N123" s="5"/>
      <c r="O123" s="5"/>
      <c r="P123" s="3"/>
      <c r="Q123" s="3"/>
    </row>
    <row r="124" spans="1:17" ht="15">
      <c r="A124" s="5"/>
      <c r="B124" s="5"/>
      <c r="C124" s="5"/>
      <c r="D124" s="5"/>
      <c r="E124" s="5"/>
      <c r="F124" s="5"/>
      <c r="G124" s="5"/>
      <c r="H124" s="5"/>
      <c r="I124" s="5"/>
      <c r="J124" s="5"/>
      <c r="K124" s="5"/>
      <c r="L124" s="5"/>
      <c r="M124" s="5"/>
      <c r="N124" s="5"/>
      <c r="O124" s="5"/>
      <c r="P124" s="3"/>
      <c r="Q124" s="3"/>
    </row>
    <row r="125" spans="1:17" ht="15">
      <c r="A125" s="5"/>
      <c r="B125" s="5"/>
      <c r="C125" s="5"/>
      <c r="D125" s="5"/>
      <c r="E125" s="5"/>
      <c r="F125" s="5"/>
      <c r="G125" s="5"/>
      <c r="H125" s="5"/>
      <c r="I125" s="5"/>
      <c r="J125" s="5"/>
      <c r="K125" s="5"/>
      <c r="L125" s="5"/>
      <c r="M125" s="5"/>
      <c r="N125" s="5"/>
      <c r="O125" s="5"/>
      <c r="P125" s="3"/>
      <c r="Q125" s="3"/>
    </row>
    <row r="126" spans="1:17" ht="15">
      <c r="A126" s="5"/>
      <c r="B126" s="5"/>
      <c r="C126" s="5"/>
      <c r="D126" s="5"/>
      <c r="E126" s="5"/>
      <c r="F126" s="5"/>
      <c r="G126" s="5"/>
      <c r="H126" s="5"/>
      <c r="I126" s="5"/>
      <c r="J126" s="5"/>
      <c r="K126" s="5"/>
      <c r="L126" s="5"/>
      <c r="M126" s="5"/>
      <c r="N126" s="5"/>
      <c r="O126" s="5"/>
      <c r="P126" s="3"/>
      <c r="Q126" s="3"/>
    </row>
    <row r="127" spans="1:17" ht="15">
      <c r="A127" s="5"/>
      <c r="B127" s="5"/>
      <c r="C127" s="5"/>
      <c r="D127" s="5"/>
      <c r="E127" s="5"/>
      <c r="F127" s="5"/>
      <c r="G127" s="5"/>
      <c r="H127" s="5"/>
      <c r="I127" s="5"/>
      <c r="J127" s="5"/>
      <c r="K127" s="5"/>
      <c r="L127" s="5"/>
      <c r="M127" s="5"/>
      <c r="N127" s="5"/>
      <c r="O127" s="5"/>
      <c r="P127" s="3"/>
      <c r="Q127" s="3"/>
    </row>
    <row r="128" spans="1:17" ht="15">
      <c r="A128" s="5"/>
      <c r="B128" s="5"/>
      <c r="C128" s="5"/>
      <c r="D128" s="5"/>
      <c r="E128" s="5"/>
      <c r="F128" s="5"/>
      <c r="G128" s="5"/>
      <c r="H128" s="5"/>
      <c r="I128" s="5"/>
      <c r="J128" s="5"/>
      <c r="K128" s="5"/>
      <c r="L128" s="5"/>
      <c r="M128" s="5"/>
      <c r="N128" s="5"/>
      <c r="O128" s="5"/>
      <c r="P128" s="3"/>
      <c r="Q128" s="3"/>
    </row>
    <row r="129" spans="1:17" ht="15">
      <c r="A129" s="5"/>
      <c r="B129" s="5"/>
      <c r="C129" s="5"/>
      <c r="D129" s="5"/>
      <c r="E129" s="5"/>
      <c r="F129" s="5"/>
      <c r="G129" s="5"/>
      <c r="H129" s="5"/>
      <c r="I129" s="5"/>
      <c r="J129" s="5"/>
      <c r="K129" s="5"/>
      <c r="L129" s="5"/>
      <c r="M129" s="5"/>
      <c r="N129" s="5"/>
      <c r="O129" s="5"/>
      <c r="P129" s="3"/>
      <c r="Q129" s="3"/>
    </row>
    <row r="130" spans="1:17" ht="15">
      <c r="A130" s="5"/>
      <c r="B130" s="5"/>
      <c r="C130" s="5"/>
      <c r="D130" s="5"/>
      <c r="E130" s="5"/>
      <c r="F130" s="5"/>
      <c r="G130" s="5"/>
      <c r="H130" s="5"/>
      <c r="I130" s="5"/>
      <c r="J130" s="5"/>
      <c r="K130" s="5"/>
      <c r="L130" s="5"/>
      <c r="M130" s="5"/>
      <c r="N130" s="5"/>
      <c r="O130" s="5"/>
      <c r="P130" s="3"/>
      <c r="Q130" s="3"/>
    </row>
    <row r="131" spans="1:17" ht="15">
      <c r="A131" s="5"/>
      <c r="B131" s="5"/>
      <c r="C131" s="5"/>
      <c r="D131" s="5"/>
      <c r="E131" s="5"/>
      <c r="F131" s="5"/>
      <c r="G131" s="5"/>
      <c r="H131" s="5"/>
      <c r="I131" s="5"/>
      <c r="J131" s="5"/>
      <c r="K131" s="5"/>
      <c r="L131" s="5"/>
      <c r="M131" s="5"/>
      <c r="N131" s="5"/>
      <c r="O131" s="5"/>
      <c r="P131" s="3"/>
      <c r="Q131" s="3"/>
    </row>
    <row r="132" spans="1:17" ht="15">
      <c r="A132" s="5"/>
      <c r="B132" s="5"/>
      <c r="C132" s="5"/>
      <c r="D132" s="5"/>
      <c r="E132" s="5"/>
      <c r="F132" s="5"/>
      <c r="G132" s="5"/>
      <c r="H132" s="5"/>
      <c r="I132" s="5"/>
      <c r="J132" s="5"/>
      <c r="K132" s="5"/>
      <c r="L132" s="5"/>
      <c r="M132" s="5"/>
      <c r="N132" s="5"/>
      <c r="O132" s="5"/>
      <c r="P132" s="3"/>
      <c r="Q132" s="3"/>
    </row>
    <row r="133" spans="1:17" ht="15">
      <c r="A133" s="5"/>
      <c r="B133" s="5"/>
      <c r="C133" s="5"/>
      <c r="D133" s="5"/>
      <c r="E133" s="5"/>
      <c r="F133" s="5"/>
      <c r="G133" s="5"/>
      <c r="H133" s="5"/>
      <c r="I133" s="5"/>
      <c r="J133" s="5"/>
      <c r="K133" s="5"/>
      <c r="L133" s="5"/>
      <c r="M133" s="5"/>
      <c r="N133" s="5"/>
      <c r="O133" s="5"/>
      <c r="P133" s="3"/>
      <c r="Q133" s="3"/>
    </row>
    <row r="134" spans="1:17" ht="15">
      <c r="A134" s="5"/>
      <c r="B134" s="5"/>
      <c r="C134" s="5"/>
      <c r="D134" s="5"/>
      <c r="E134" s="5"/>
      <c r="F134" s="5"/>
      <c r="G134" s="5"/>
      <c r="H134" s="5"/>
      <c r="I134" s="5"/>
      <c r="J134" s="5"/>
      <c r="K134" s="5"/>
      <c r="L134" s="5"/>
      <c r="M134" s="5"/>
      <c r="N134" s="5"/>
      <c r="O134" s="5"/>
      <c r="P134" s="3"/>
      <c r="Q134" s="3"/>
    </row>
    <row r="135" spans="1:17" ht="15">
      <c r="A135" s="5"/>
      <c r="B135" s="5"/>
      <c r="C135" s="5"/>
      <c r="D135" s="5"/>
      <c r="E135" s="5"/>
      <c r="F135" s="5"/>
      <c r="G135" s="5"/>
      <c r="H135" s="5"/>
      <c r="I135" s="5"/>
      <c r="J135" s="5"/>
      <c r="K135" s="5"/>
      <c r="L135" s="5"/>
      <c r="M135" s="5"/>
      <c r="N135" s="5"/>
      <c r="O135" s="5"/>
      <c r="P135" s="3"/>
      <c r="Q135" s="3"/>
    </row>
    <row r="136" spans="1:17" ht="15">
      <c r="A136" s="5"/>
      <c r="B136" s="5"/>
      <c r="C136" s="5"/>
      <c r="D136" s="5"/>
      <c r="E136" s="5"/>
      <c r="F136" s="5"/>
      <c r="G136" s="5"/>
      <c r="H136" s="5"/>
      <c r="I136" s="5"/>
      <c r="J136" s="5"/>
      <c r="K136" s="5"/>
      <c r="L136" s="5"/>
      <c r="M136" s="5"/>
      <c r="N136" s="5"/>
      <c r="O136" s="5"/>
      <c r="P136" s="3"/>
      <c r="Q136" s="3"/>
    </row>
    <row r="137" spans="1:17" ht="15">
      <c r="A137" s="5"/>
      <c r="B137" s="5"/>
      <c r="C137" s="5"/>
      <c r="D137" s="5"/>
      <c r="E137" s="5"/>
      <c r="F137" s="5"/>
      <c r="G137" s="5"/>
      <c r="H137" s="5"/>
      <c r="I137" s="5"/>
      <c r="J137" s="5"/>
      <c r="K137" s="5"/>
      <c r="L137" s="5"/>
      <c r="M137" s="5"/>
      <c r="N137" s="5"/>
      <c r="O137" s="5"/>
      <c r="P137" s="3"/>
      <c r="Q137" s="3"/>
    </row>
    <row r="138" spans="1:17" ht="15">
      <c r="A138" s="5"/>
      <c r="B138" s="5"/>
      <c r="C138" s="5"/>
      <c r="D138" s="5"/>
      <c r="E138" s="5"/>
      <c r="F138" s="5"/>
      <c r="G138" s="5"/>
      <c r="H138" s="5"/>
      <c r="I138" s="5"/>
      <c r="J138" s="5"/>
      <c r="K138" s="5"/>
      <c r="L138" s="5"/>
      <c r="M138" s="5"/>
      <c r="N138" s="5"/>
      <c r="O138" s="5"/>
      <c r="P138" s="3"/>
      <c r="Q138" s="3"/>
    </row>
    <row r="139" spans="1:17" ht="15">
      <c r="A139" s="5"/>
      <c r="B139" s="5"/>
      <c r="C139" s="5"/>
      <c r="D139" s="5"/>
      <c r="E139" s="5"/>
      <c r="F139" s="5"/>
      <c r="G139" s="5"/>
      <c r="H139" s="5"/>
      <c r="I139" s="5"/>
      <c r="J139" s="5"/>
      <c r="K139" s="5"/>
      <c r="L139" s="5"/>
      <c r="M139" s="5"/>
      <c r="N139" s="5"/>
      <c r="O139" s="5"/>
      <c r="P139" s="3"/>
      <c r="Q139" s="3"/>
    </row>
    <row r="140" spans="1:17" ht="15">
      <c r="A140" s="5"/>
      <c r="B140" s="5"/>
      <c r="C140" s="5"/>
      <c r="D140" s="5"/>
      <c r="E140" s="5"/>
      <c r="F140" s="5"/>
      <c r="G140" s="5"/>
      <c r="H140" s="5"/>
      <c r="I140" s="5"/>
      <c r="J140" s="5"/>
      <c r="K140" s="5"/>
      <c r="L140" s="5"/>
      <c r="M140" s="5"/>
      <c r="N140" s="5"/>
      <c r="O140" s="5"/>
      <c r="P140" s="3"/>
      <c r="Q140" s="3"/>
    </row>
    <row r="141" spans="1:17" ht="15">
      <c r="A141" s="5"/>
      <c r="B141" s="5"/>
      <c r="C141" s="5"/>
      <c r="D141" s="5"/>
      <c r="E141" s="5"/>
      <c r="F141" s="5"/>
      <c r="G141" s="5"/>
      <c r="H141" s="5"/>
      <c r="I141" s="5"/>
      <c r="J141" s="5"/>
      <c r="K141" s="5"/>
      <c r="L141" s="5"/>
      <c r="M141" s="5"/>
      <c r="N141" s="5"/>
      <c r="O141" s="5"/>
      <c r="P141" s="3"/>
      <c r="Q141" s="3"/>
    </row>
    <row r="142" spans="1:17" ht="15">
      <c r="A142" s="5"/>
      <c r="B142" s="5"/>
      <c r="C142" s="5"/>
      <c r="D142" s="5"/>
      <c r="E142" s="5"/>
      <c r="F142" s="5"/>
      <c r="G142" s="5"/>
      <c r="H142" s="5"/>
      <c r="I142" s="5"/>
      <c r="J142" s="5"/>
      <c r="K142" s="5"/>
      <c r="L142" s="5"/>
      <c r="M142" s="5"/>
      <c r="N142" s="5"/>
      <c r="O142" s="5"/>
      <c r="P142" s="3"/>
      <c r="Q142" s="3"/>
    </row>
    <row r="143" spans="1:17" ht="15">
      <c r="A143" s="5"/>
      <c r="B143" s="5"/>
      <c r="C143" s="5"/>
      <c r="D143" s="5"/>
      <c r="E143" s="5"/>
      <c r="F143" s="5"/>
      <c r="G143" s="5"/>
      <c r="H143" s="5"/>
      <c r="I143" s="5"/>
      <c r="J143" s="5"/>
      <c r="K143" s="5"/>
      <c r="L143" s="5"/>
      <c r="M143" s="5"/>
      <c r="N143" s="5"/>
      <c r="O143" s="5"/>
      <c r="P143" s="3"/>
      <c r="Q143" s="3"/>
    </row>
    <row r="144" spans="1:17" ht="15">
      <c r="A144" s="5"/>
      <c r="B144" s="5"/>
      <c r="C144" s="5"/>
      <c r="D144" s="5"/>
      <c r="E144" s="5"/>
      <c r="F144" s="5"/>
      <c r="G144" s="5"/>
      <c r="H144" s="5"/>
      <c r="I144" s="5"/>
      <c r="J144" s="5"/>
      <c r="K144" s="5"/>
      <c r="L144" s="5"/>
      <c r="M144" s="5"/>
      <c r="N144" s="5"/>
      <c r="O144" s="5"/>
      <c r="P144" s="3"/>
      <c r="Q144" s="3"/>
    </row>
    <row r="145" spans="1:17" ht="15">
      <c r="A145" s="5"/>
      <c r="B145" s="5"/>
      <c r="C145" s="5"/>
      <c r="D145" s="5"/>
      <c r="E145" s="5"/>
      <c r="F145" s="5"/>
      <c r="G145" s="5"/>
      <c r="H145" s="5"/>
      <c r="I145" s="5"/>
      <c r="J145" s="5"/>
      <c r="K145" s="5"/>
      <c r="L145" s="5"/>
      <c r="M145" s="5"/>
      <c r="N145" s="5"/>
      <c r="O145" s="5"/>
      <c r="P145" s="3"/>
      <c r="Q145" s="3"/>
    </row>
    <row r="146" spans="1:17" ht="15">
      <c r="A146" s="5"/>
      <c r="B146" s="5"/>
      <c r="C146" s="5"/>
      <c r="D146" s="5"/>
      <c r="E146" s="5"/>
      <c r="F146" s="5"/>
      <c r="G146" s="5"/>
      <c r="H146" s="5"/>
      <c r="I146" s="5"/>
      <c r="J146" s="5"/>
      <c r="K146" s="5"/>
      <c r="L146" s="5"/>
      <c r="M146" s="5"/>
      <c r="N146" s="5"/>
      <c r="O146" s="5"/>
      <c r="P146" s="3"/>
      <c r="Q146" s="3"/>
    </row>
    <row r="147" spans="1:17" ht="15">
      <c r="A147" s="5"/>
      <c r="B147" s="5"/>
      <c r="C147" s="5"/>
      <c r="D147" s="5"/>
      <c r="E147" s="5"/>
      <c r="F147" s="5"/>
      <c r="G147" s="5"/>
      <c r="H147" s="5"/>
      <c r="I147" s="5"/>
      <c r="J147" s="5"/>
      <c r="K147" s="5"/>
      <c r="L147" s="5"/>
      <c r="M147" s="5"/>
      <c r="N147" s="5"/>
      <c r="O147" s="5"/>
      <c r="P147" s="3"/>
      <c r="Q147" s="3"/>
    </row>
    <row r="148" spans="1:17" ht="15">
      <c r="A148" s="5"/>
      <c r="B148" s="5"/>
      <c r="C148" s="5"/>
      <c r="D148" s="5"/>
      <c r="E148" s="5"/>
      <c r="F148" s="5"/>
      <c r="G148" s="5"/>
      <c r="H148" s="5"/>
      <c r="I148" s="5"/>
      <c r="J148" s="5"/>
      <c r="K148" s="5"/>
      <c r="L148" s="5"/>
      <c r="M148" s="5"/>
      <c r="N148" s="5"/>
      <c r="O148" s="5"/>
      <c r="P148" s="3"/>
      <c r="Q148" s="3"/>
    </row>
    <row r="149" spans="1:17" ht="15">
      <c r="A149" s="5"/>
      <c r="B149" s="5"/>
      <c r="C149" s="5"/>
      <c r="D149" s="5"/>
      <c r="E149" s="5"/>
      <c r="F149" s="5"/>
      <c r="G149" s="5"/>
      <c r="H149" s="5"/>
      <c r="I149" s="5"/>
      <c r="J149" s="5"/>
      <c r="K149" s="5"/>
      <c r="L149" s="5"/>
      <c r="M149" s="5"/>
      <c r="N149" s="5"/>
      <c r="O149" s="5"/>
      <c r="P149" s="3"/>
      <c r="Q149" s="3"/>
    </row>
    <row r="150" spans="1:17" ht="15">
      <c r="A150" s="5"/>
      <c r="B150" s="5"/>
      <c r="C150" s="5"/>
      <c r="D150" s="5"/>
      <c r="E150" s="5"/>
      <c r="F150" s="5"/>
      <c r="G150" s="5"/>
      <c r="H150" s="5"/>
      <c r="I150" s="5"/>
      <c r="J150" s="5"/>
      <c r="K150" s="5"/>
      <c r="L150" s="5"/>
      <c r="M150" s="5"/>
      <c r="N150" s="5"/>
      <c r="O150" s="5"/>
      <c r="P150" s="3"/>
      <c r="Q150" s="3"/>
    </row>
    <row r="151" spans="1:17" ht="15">
      <c r="A151" s="5"/>
      <c r="B151" s="5"/>
      <c r="C151" s="5"/>
      <c r="D151" s="5"/>
      <c r="E151" s="5"/>
      <c r="F151" s="5"/>
      <c r="G151" s="5"/>
      <c r="H151" s="5"/>
      <c r="I151" s="5"/>
      <c r="J151" s="5"/>
      <c r="K151" s="5"/>
      <c r="L151" s="5"/>
      <c r="M151" s="5"/>
      <c r="N151" s="5"/>
      <c r="O151" s="5"/>
      <c r="P151" s="3"/>
      <c r="Q151" s="3"/>
    </row>
    <row r="152" spans="1:17" ht="15">
      <c r="A152" s="5"/>
      <c r="B152" s="5"/>
      <c r="C152" s="5"/>
      <c r="D152" s="5"/>
      <c r="E152" s="5"/>
      <c r="F152" s="5"/>
      <c r="G152" s="5"/>
      <c r="H152" s="5"/>
      <c r="I152" s="5"/>
      <c r="J152" s="5"/>
      <c r="K152" s="5"/>
      <c r="L152" s="5"/>
      <c r="M152" s="5"/>
      <c r="N152" s="5"/>
      <c r="O152" s="5"/>
      <c r="P152" s="3"/>
      <c r="Q152" s="3"/>
    </row>
    <row r="153" spans="1:17" ht="15">
      <c r="A153" s="5"/>
      <c r="B153" s="5"/>
      <c r="C153" s="5"/>
      <c r="D153" s="5"/>
      <c r="E153" s="5"/>
      <c r="F153" s="5"/>
      <c r="G153" s="5"/>
      <c r="H153" s="5"/>
      <c r="I153" s="5"/>
      <c r="J153" s="5"/>
      <c r="K153" s="5"/>
      <c r="L153" s="5"/>
      <c r="M153" s="5"/>
      <c r="N153" s="5"/>
      <c r="O153" s="5"/>
      <c r="P153" s="3"/>
      <c r="Q153" s="3"/>
    </row>
    <row r="154" spans="1:17" ht="15">
      <c r="A154" s="5"/>
      <c r="B154" s="5"/>
      <c r="C154" s="5"/>
      <c r="D154" s="5"/>
      <c r="E154" s="5"/>
      <c r="F154" s="5"/>
      <c r="G154" s="5"/>
      <c r="H154" s="5"/>
      <c r="I154" s="5"/>
      <c r="J154" s="5"/>
      <c r="K154" s="5"/>
      <c r="L154" s="5"/>
      <c r="M154" s="5"/>
      <c r="N154" s="5"/>
      <c r="O154" s="5"/>
      <c r="P154" s="3"/>
      <c r="Q154" s="3"/>
    </row>
    <row r="155" spans="1:17" ht="15">
      <c r="A155" s="5"/>
      <c r="B155" s="5"/>
      <c r="C155" s="5"/>
      <c r="D155" s="5"/>
      <c r="E155" s="5"/>
      <c r="F155" s="5"/>
      <c r="G155" s="5"/>
      <c r="H155" s="5"/>
      <c r="I155" s="5"/>
      <c r="J155" s="5"/>
      <c r="K155" s="5"/>
      <c r="L155" s="5"/>
      <c r="M155" s="5"/>
      <c r="N155" s="5"/>
      <c r="O155" s="5"/>
      <c r="P155" s="3"/>
      <c r="Q155" s="3"/>
    </row>
    <row r="156" spans="1:17" ht="15">
      <c r="A156" s="5"/>
      <c r="B156" s="5"/>
      <c r="C156" s="5"/>
      <c r="D156" s="5"/>
      <c r="E156" s="5"/>
      <c r="F156" s="5"/>
      <c r="G156" s="5"/>
      <c r="H156" s="5"/>
      <c r="I156" s="5"/>
      <c r="J156" s="5"/>
      <c r="K156" s="5"/>
      <c r="L156" s="5"/>
      <c r="M156" s="5"/>
      <c r="N156" s="5"/>
      <c r="O156" s="5"/>
      <c r="P156" s="3"/>
      <c r="Q156" s="3"/>
    </row>
    <row r="157" spans="1:17" ht="15">
      <c r="A157" s="5"/>
      <c r="B157" s="5"/>
      <c r="C157" s="5"/>
      <c r="D157" s="5"/>
      <c r="E157" s="5"/>
      <c r="F157" s="5"/>
      <c r="G157" s="5"/>
      <c r="H157" s="5"/>
      <c r="I157" s="5"/>
      <c r="J157" s="5"/>
      <c r="K157" s="5"/>
      <c r="L157" s="5"/>
      <c r="M157" s="5"/>
      <c r="N157" s="5"/>
      <c r="O157" s="5"/>
      <c r="P157" s="3"/>
      <c r="Q157" s="3"/>
    </row>
    <row r="158" spans="1:17" ht="15">
      <c r="A158" s="5"/>
      <c r="B158" s="5"/>
      <c r="C158" s="5"/>
      <c r="D158" s="5"/>
      <c r="E158" s="5"/>
      <c r="F158" s="5"/>
      <c r="G158" s="5"/>
      <c r="H158" s="5"/>
      <c r="I158" s="5"/>
      <c r="J158" s="5"/>
      <c r="K158" s="5"/>
      <c r="L158" s="5"/>
      <c r="M158" s="5"/>
      <c r="N158" s="5"/>
      <c r="O158" s="5"/>
      <c r="P158" s="3"/>
      <c r="Q158" s="3"/>
    </row>
    <row r="159" spans="1:17" ht="15">
      <c r="A159" s="5"/>
      <c r="B159" s="5"/>
      <c r="C159" s="5"/>
      <c r="D159" s="5"/>
      <c r="E159" s="5"/>
      <c r="F159" s="5"/>
      <c r="G159" s="5"/>
      <c r="H159" s="5"/>
      <c r="I159" s="5"/>
      <c r="J159" s="5"/>
      <c r="K159" s="5"/>
      <c r="L159" s="5"/>
      <c r="M159" s="5"/>
      <c r="N159" s="5"/>
      <c r="O159" s="5"/>
      <c r="P159" s="3"/>
      <c r="Q159" s="3"/>
    </row>
    <row r="160" spans="1:17" ht="15">
      <c r="A160" s="5"/>
      <c r="B160" s="5"/>
      <c r="C160" s="5"/>
      <c r="D160" s="5"/>
      <c r="E160" s="5"/>
      <c r="F160" s="5"/>
      <c r="G160" s="5"/>
      <c r="H160" s="5"/>
      <c r="I160" s="5"/>
      <c r="J160" s="5"/>
      <c r="K160" s="5"/>
      <c r="L160" s="5"/>
      <c r="M160" s="5"/>
      <c r="N160" s="5"/>
      <c r="O160" s="5"/>
      <c r="P160" s="3"/>
      <c r="Q160" s="3"/>
    </row>
    <row r="161" spans="1:17" ht="15">
      <c r="A161" s="5"/>
      <c r="B161" s="5"/>
      <c r="C161" s="5"/>
      <c r="D161" s="5"/>
      <c r="E161" s="5"/>
      <c r="F161" s="5"/>
      <c r="G161" s="5"/>
      <c r="H161" s="5"/>
      <c r="I161" s="5"/>
      <c r="J161" s="5"/>
      <c r="K161" s="5"/>
      <c r="L161" s="5"/>
      <c r="M161" s="5"/>
      <c r="N161" s="5"/>
      <c r="O161" s="5"/>
      <c r="P161" s="3"/>
      <c r="Q161" s="3"/>
    </row>
    <row r="162" spans="1:17" ht="15">
      <c r="A162" s="5"/>
      <c r="B162" s="5"/>
      <c r="C162" s="5"/>
      <c r="D162" s="5"/>
      <c r="E162" s="5"/>
      <c r="F162" s="5"/>
      <c r="G162" s="5"/>
      <c r="H162" s="5"/>
      <c r="I162" s="5"/>
      <c r="J162" s="5"/>
      <c r="K162" s="5"/>
      <c r="L162" s="5"/>
      <c r="M162" s="5"/>
      <c r="N162" s="5"/>
      <c r="O162" s="5"/>
      <c r="P162" s="3"/>
      <c r="Q162" s="3"/>
    </row>
    <row r="163" spans="1:17" ht="15">
      <c r="A163" s="5"/>
      <c r="B163" s="5"/>
      <c r="C163" s="5"/>
      <c r="D163" s="5"/>
      <c r="E163" s="5"/>
      <c r="F163" s="5"/>
      <c r="G163" s="5"/>
      <c r="H163" s="5"/>
      <c r="I163" s="5"/>
      <c r="J163" s="5"/>
      <c r="K163" s="5"/>
      <c r="L163" s="5"/>
      <c r="M163" s="5"/>
      <c r="N163" s="5"/>
      <c r="O163" s="5"/>
      <c r="P163" s="3"/>
      <c r="Q163" s="3"/>
    </row>
    <row r="164" spans="1:17" ht="15">
      <c r="A164" s="5"/>
      <c r="B164" s="5"/>
      <c r="C164" s="5"/>
      <c r="D164" s="5"/>
      <c r="E164" s="5"/>
      <c r="F164" s="5"/>
      <c r="G164" s="5"/>
      <c r="H164" s="5"/>
      <c r="I164" s="5"/>
      <c r="J164" s="5"/>
      <c r="K164" s="5"/>
      <c r="L164" s="5"/>
      <c r="M164" s="5"/>
      <c r="N164" s="5"/>
      <c r="O164" s="5"/>
      <c r="P164" s="3"/>
      <c r="Q164" s="3"/>
    </row>
    <row r="165" spans="1:17" ht="15">
      <c r="A165" s="5"/>
      <c r="B165" s="5"/>
      <c r="C165" s="5"/>
      <c r="D165" s="5"/>
      <c r="E165" s="5"/>
      <c r="F165" s="5"/>
      <c r="G165" s="5"/>
      <c r="H165" s="5"/>
      <c r="I165" s="5"/>
      <c r="J165" s="5"/>
      <c r="K165" s="5"/>
      <c r="L165" s="5"/>
      <c r="M165" s="5"/>
      <c r="N165" s="5"/>
      <c r="O165" s="5"/>
      <c r="P165" s="3"/>
      <c r="Q165" s="3"/>
    </row>
    <row r="166" spans="1:17" ht="15">
      <c r="A166" s="5"/>
      <c r="B166" s="5"/>
      <c r="C166" s="5"/>
      <c r="D166" s="5"/>
      <c r="E166" s="5"/>
      <c r="F166" s="5"/>
      <c r="G166" s="5"/>
      <c r="H166" s="5"/>
      <c r="I166" s="5"/>
      <c r="J166" s="5"/>
      <c r="K166" s="5"/>
      <c r="L166" s="5"/>
      <c r="M166" s="5"/>
      <c r="N166" s="5"/>
      <c r="O166" s="5"/>
      <c r="P166" s="3"/>
      <c r="Q166" s="3"/>
    </row>
    <row r="167" spans="1:17" ht="15">
      <c r="A167" s="5"/>
      <c r="B167" s="5"/>
      <c r="C167" s="5"/>
      <c r="D167" s="5"/>
      <c r="E167" s="5"/>
      <c r="F167" s="5"/>
      <c r="G167" s="5"/>
      <c r="H167" s="5"/>
      <c r="I167" s="5"/>
      <c r="J167" s="5"/>
      <c r="K167" s="5"/>
      <c r="L167" s="5"/>
      <c r="M167" s="5"/>
      <c r="N167" s="5"/>
      <c r="O167" s="5"/>
      <c r="P167" s="3"/>
      <c r="Q167" s="3"/>
    </row>
    <row r="168" spans="1:17" ht="15">
      <c r="A168" s="5"/>
      <c r="B168" s="5"/>
      <c r="C168" s="5"/>
      <c r="D168" s="5"/>
      <c r="E168" s="5"/>
      <c r="F168" s="5"/>
      <c r="G168" s="5"/>
      <c r="H168" s="5"/>
      <c r="I168" s="5"/>
      <c r="J168" s="5"/>
      <c r="K168" s="5"/>
      <c r="L168" s="5"/>
      <c r="M168" s="5"/>
      <c r="N168" s="5"/>
      <c r="O168" s="5"/>
      <c r="P168" s="3"/>
      <c r="Q168" s="3"/>
    </row>
    <row r="169" spans="1:17" ht="15">
      <c r="A169" s="5"/>
      <c r="B169" s="5"/>
      <c r="C169" s="5"/>
      <c r="D169" s="5"/>
      <c r="E169" s="5"/>
      <c r="F169" s="5"/>
      <c r="G169" s="5"/>
      <c r="H169" s="5"/>
      <c r="I169" s="5"/>
      <c r="J169" s="5"/>
      <c r="K169" s="5"/>
      <c r="L169" s="5"/>
      <c r="M169" s="5"/>
      <c r="N169" s="5"/>
      <c r="O169" s="5"/>
      <c r="P169" s="3"/>
      <c r="Q169" s="3"/>
    </row>
    <row r="170" spans="1:17" ht="15">
      <c r="A170" s="5"/>
      <c r="B170" s="5"/>
      <c r="C170" s="5"/>
      <c r="D170" s="5"/>
      <c r="E170" s="5"/>
      <c r="F170" s="5"/>
      <c r="G170" s="5"/>
      <c r="H170" s="5"/>
      <c r="I170" s="5"/>
      <c r="J170" s="5"/>
      <c r="K170" s="5"/>
      <c r="L170" s="5"/>
      <c r="M170" s="5"/>
      <c r="N170" s="5"/>
      <c r="O170" s="5"/>
      <c r="P170" s="3"/>
      <c r="Q170" s="3"/>
    </row>
    <row r="171" spans="1:17" ht="15">
      <c r="A171" s="5"/>
      <c r="B171" s="5"/>
      <c r="C171" s="5"/>
      <c r="D171" s="5"/>
      <c r="E171" s="5"/>
      <c r="F171" s="5"/>
      <c r="G171" s="5"/>
      <c r="H171" s="5"/>
      <c r="I171" s="5"/>
      <c r="J171" s="5"/>
      <c r="K171" s="5"/>
      <c r="L171" s="5"/>
      <c r="M171" s="5"/>
      <c r="N171" s="5"/>
      <c r="O171" s="5"/>
      <c r="P171" s="3"/>
      <c r="Q171" s="3"/>
    </row>
    <row r="172" spans="1:17" ht="15">
      <c r="A172" s="5"/>
      <c r="B172" s="5"/>
      <c r="C172" s="5"/>
      <c r="D172" s="5"/>
      <c r="E172" s="5"/>
      <c r="F172" s="5"/>
      <c r="G172" s="5"/>
      <c r="H172" s="5"/>
      <c r="I172" s="5"/>
      <c r="J172" s="5"/>
      <c r="K172" s="5"/>
      <c r="L172" s="5"/>
      <c r="M172" s="5"/>
      <c r="N172" s="5"/>
      <c r="O172" s="5"/>
      <c r="P172" s="3"/>
      <c r="Q172" s="3"/>
    </row>
    <row r="173" spans="1:17" ht="15">
      <c r="A173" s="5"/>
      <c r="B173" s="5"/>
      <c r="C173" s="5"/>
      <c r="D173" s="5"/>
      <c r="E173" s="5"/>
      <c r="F173" s="5"/>
      <c r="G173" s="5"/>
      <c r="H173" s="5"/>
      <c r="I173" s="5"/>
      <c r="J173" s="5"/>
      <c r="K173" s="5"/>
      <c r="L173" s="5"/>
      <c r="M173" s="5"/>
      <c r="N173" s="5"/>
      <c r="O173" s="5"/>
      <c r="P173" s="3"/>
      <c r="Q173" s="3"/>
    </row>
    <row r="174" spans="1:17" ht="15">
      <c r="A174" s="5"/>
      <c r="B174" s="5"/>
      <c r="C174" s="5"/>
      <c r="D174" s="5"/>
      <c r="E174" s="5"/>
      <c r="F174" s="5"/>
      <c r="G174" s="5"/>
      <c r="H174" s="5"/>
      <c r="I174" s="5"/>
      <c r="J174" s="5"/>
      <c r="K174" s="5"/>
      <c r="L174" s="5"/>
      <c r="M174" s="5"/>
      <c r="N174" s="5"/>
      <c r="O174" s="5"/>
      <c r="P174" s="3"/>
      <c r="Q174" s="3"/>
    </row>
    <row r="175" spans="1:17" ht="15">
      <c r="A175" s="5"/>
      <c r="B175" s="5"/>
      <c r="C175" s="5"/>
      <c r="D175" s="5"/>
      <c r="E175" s="5"/>
      <c r="F175" s="5"/>
      <c r="G175" s="5"/>
      <c r="H175" s="5"/>
      <c r="I175" s="5"/>
      <c r="J175" s="5"/>
      <c r="K175" s="5"/>
      <c r="L175" s="5"/>
      <c r="M175" s="5"/>
      <c r="N175" s="5"/>
      <c r="O175" s="5"/>
      <c r="P175" s="3"/>
      <c r="Q175" s="3"/>
    </row>
    <row r="176" spans="1:17" ht="15">
      <c r="A176" s="5"/>
      <c r="B176" s="5"/>
      <c r="C176" s="5"/>
      <c r="D176" s="5"/>
      <c r="E176" s="5"/>
      <c r="F176" s="5"/>
      <c r="G176" s="5"/>
      <c r="H176" s="5"/>
      <c r="I176" s="5"/>
      <c r="J176" s="5"/>
      <c r="K176" s="5"/>
      <c r="L176" s="5"/>
      <c r="M176" s="5"/>
      <c r="N176" s="5"/>
      <c r="O176" s="5"/>
      <c r="P176" s="3"/>
      <c r="Q176" s="3"/>
    </row>
    <row r="177" spans="1:17" ht="15">
      <c r="A177" s="5"/>
      <c r="B177" s="5"/>
      <c r="C177" s="5"/>
      <c r="D177" s="5"/>
      <c r="E177" s="5"/>
      <c r="F177" s="5"/>
      <c r="G177" s="5"/>
      <c r="H177" s="5"/>
      <c r="I177" s="5"/>
      <c r="J177" s="5"/>
      <c r="K177" s="5"/>
      <c r="L177" s="5"/>
      <c r="M177" s="5"/>
      <c r="N177" s="5"/>
      <c r="O177" s="5"/>
      <c r="P177" s="3"/>
      <c r="Q177" s="3"/>
    </row>
    <row r="178" spans="1:17" ht="15">
      <c r="A178" s="5"/>
      <c r="B178" s="5"/>
      <c r="C178" s="5"/>
      <c r="D178" s="5"/>
      <c r="E178" s="5"/>
      <c r="F178" s="5"/>
      <c r="G178" s="5"/>
      <c r="H178" s="5"/>
      <c r="I178" s="5"/>
      <c r="J178" s="5"/>
      <c r="K178" s="5"/>
      <c r="L178" s="5"/>
      <c r="M178" s="5"/>
      <c r="N178" s="5"/>
      <c r="O178" s="5"/>
      <c r="P178" s="3"/>
      <c r="Q178" s="3"/>
    </row>
    <row r="179" spans="1:17" ht="15">
      <c r="A179" s="5"/>
      <c r="B179" s="5"/>
      <c r="C179" s="5"/>
      <c r="D179" s="5"/>
      <c r="E179" s="5"/>
      <c r="F179" s="5"/>
      <c r="G179" s="5"/>
      <c r="H179" s="5"/>
      <c r="I179" s="5"/>
      <c r="J179" s="5"/>
      <c r="K179" s="5"/>
      <c r="L179" s="5"/>
      <c r="M179" s="5"/>
      <c r="N179" s="5"/>
      <c r="O179" s="5"/>
      <c r="P179" s="3"/>
      <c r="Q179" s="3"/>
    </row>
    <row r="180" spans="1:17" ht="15">
      <c r="A180" s="5"/>
      <c r="B180" s="5"/>
      <c r="C180" s="5"/>
      <c r="D180" s="5"/>
      <c r="E180" s="5"/>
      <c r="F180" s="5"/>
      <c r="G180" s="5"/>
      <c r="H180" s="5"/>
      <c r="I180" s="5"/>
      <c r="J180" s="5"/>
      <c r="K180" s="5"/>
      <c r="L180" s="5"/>
      <c r="M180" s="5"/>
      <c r="N180" s="5"/>
      <c r="O180" s="5"/>
      <c r="P180" s="3"/>
      <c r="Q180" s="3"/>
    </row>
    <row r="181" spans="1:17" ht="15">
      <c r="A181" s="5"/>
      <c r="B181" s="5"/>
      <c r="C181" s="5"/>
      <c r="D181" s="5"/>
      <c r="E181" s="5"/>
      <c r="F181" s="5"/>
      <c r="G181" s="5"/>
      <c r="H181" s="5"/>
      <c r="I181" s="5"/>
      <c r="J181" s="5"/>
      <c r="K181" s="5"/>
      <c r="L181" s="5"/>
      <c r="M181" s="5"/>
      <c r="N181" s="5"/>
      <c r="O181" s="5"/>
      <c r="P181" s="3"/>
      <c r="Q181" s="3"/>
    </row>
    <row r="182" spans="1:17" ht="15">
      <c r="A182" s="5"/>
      <c r="B182" s="5"/>
      <c r="C182" s="5"/>
      <c r="D182" s="5"/>
      <c r="E182" s="5"/>
      <c r="F182" s="5"/>
      <c r="G182" s="5"/>
      <c r="H182" s="5"/>
      <c r="I182" s="5"/>
      <c r="J182" s="5"/>
      <c r="K182" s="5"/>
      <c r="L182" s="5"/>
      <c r="M182" s="5"/>
      <c r="N182" s="5"/>
      <c r="O182" s="5"/>
      <c r="P182" s="3"/>
      <c r="Q182" s="3"/>
    </row>
    <row r="183" spans="1:17" ht="15">
      <c r="A183" s="5"/>
      <c r="B183" s="5"/>
      <c r="C183" s="5"/>
      <c r="D183" s="5"/>
      <c r="E183" s="5"/>
      <c r="F183" s="5"/>
      <c r="G183" s="5"/>
      <c r="H183" s="5"/>
      <c r="I183" s="5"/>
      <c r="J183" s="5"/>
      <c r="K183" s="5"/>
      <c r="L183" s="5"/>
      <c r="M183" s="5"/>
      <c r="N183" s="5"/>
      <c r="O183" s="5"/>
      <c r="P183" s="3"/>
      <c r="Q183" s="3"/>
    </row>
    <row r="184" spans="1:17" ht="15">
      <c r="A184" s="5"/>
      <c r="B184" s="5"/>
      <c r="C184" s="5"/>
      <c r="D184" s="5"/>
      <c r="E184" s="5"/>
      <c r="F184" s="5"/>
      <c r="G184" s="5"/>
      <c r="H184" s="5"/>
      <c r="I184" s="5"/>
      <c r="J184" s="5"/>
      <c r="K184" s="5"/>
      <c r="L184" s="5"/>
      <c r="M184" s="5"/>
      <c r="N184" s="5"/>
      <c r="O184" s="5"/>
      <c r="P184" s="3"/>
      <c r="Q184" s="3"/>
    </row>
    <row r="185" spans="1:17" ht="15">
      <c r="A185" s="5"/>
      <c r="B185" s="5"/>
      <c r="C185" s="5"/>
      <c r="D185" s="5"/>
      <c r="E185" s="5"/>
      <c r="F185" s="5"/>
      <c r="G185" s="5"/>
      <c r="H185" s="5"/>
      <c r="I185" s="5"/>
      <c r="J185" s="5"/>
      <c r="K185" s="5"/>
      <c r="L185" s="5"/>
      <c r="M185" s="5"/>
      <c r="N185" s="5"/>
      <c r="O185" s="5"/>
      <c r="P185" s="3"/>
      <c r="Q185" s="3"/>
    </row>
    <row r="186" spans="1:17" ht="15">
      <c r="A186" s="5"/>
      <c r="B186" s="5"/>
      <c r="C186" s="5"/>
      <c r="D186" s="5"/>
      <c r="E186" s="5"/>
      <c r="F186" s="5"/>
      <c r="G186" s="5"/>
      <c r="H186" s="5"/>
      <c r="I186" s="5"/>
      <c r="J186" s="5"/>
      <c r="K186" s="5"/>
      <c r="L186" s="5"/>
      <c r="M186" s="5"/>
      <c r="N186" s="5"/>
      <c r="O186" s="5"/>
      <c r="P186" s="3"/>
      <c r="Q186" s="3"/>
    </row>
    <row r="187" spans="1:17" ht="15">
      <c r="A187" s="5"/>
      <c r="B187" s="5"/>
      <c r="C187" s="5"/>
      <c r="D187" s="5"/>
      <c r="E187" s="5"/>
      <c r="F187" s="5"/>
      <c r="G187" s="5"/>
      <c r="H187" s="5"/>
      <c r="I187" s="5"/>
      <c r="J187" s="5"/>
      <c r="K187" s="5"/>
      <c r="L187" s="5"/>
      <c r="M187" s="5"/>
      <c r="N187" s="5"/>
      <c r="O187" s="5"/>
      <c r="P187" s="3"/>
      <c r="Q187" s="3"/>
    </row>
    <row r="188" spans="1:17" ht="15">
      <c r="A188" s="5"/>
      <c r="B188" s="5"/>
      <c r="C188" s="5"/>
      <c r="D188" s="5"/>
      <c r="E188" s="5"/>
      <c r="F188" s="5"/>
      <c r="G188" s="5"/>
      <c r="H188" s="5"/>
      <c r="I188" s="5"/>
      <c r="J188" s="5"/>
      <c r="K188" s="5"/>
      <c r="L188" s="5"/>
      <c r="M188" s="5"/>
      <c r="N188" s="5"/>
      <c r="O188" s="5"/>
      <c r="P188" s="3"/>
      <c r="Q188" s="3"/>
    </row>
    <row r="189" spans="1:17" ht="15">
      <c r="A189" s="5"/>
      <c r="B189" s="5"/>
      <c r="C189" s="5"/>
      <c r="D189" s="5"/>
      <c r="E189" s="5"/>
      <c r="F189" s="5"/>
      <c r="G189" s="5"/>
      <c r="H189" s="5"/>
      <c r="I189" s="5"/>
      <c r="J189" s="5"/>
      <c r="K189" s="5"/>
      <c r="L189" s="5"/>
      <c r="M189" s="5"/>
      <c r="N189" s="5"/>
      <c r="O189" s="5"/>
      <c r="P189" s="3"/>
      <c r="Q189" s="3"/>
    </row>
    <row r="190" spans="1:17" ht="15">
      <c r="A190" s="5"/>
      <c r="B190" s="5"/>
      <c r="C190" s="5"/>
      <c r="D190" s="5"/>
      <c r="E190" s="5"/>
      <c r="F190" s="5"/>
      <c r="G190" s="5"/>
      <c r="H190" s="5"/>
      <c r="I190" s="5"/>
      <c r="J190" s="5"/>
      <c r="K190" s="5"/>
      <c r="L190" s="5"/>
      <c r="M190" s="5"/>
      <c r="N190" s="5"/>
      <c r="O190" s="5"/>
      <c r="P190" s="3"/>
      <c r="Q190" s="3"/>
    </row>
    <row r="191" spans="1:17" ht="15">
      <c r="A191" s="5"/>
      <c r="B191" s="5"/>
      <c r="C191" s="5"/>
      <c r="D191" s="5"/>
      <c r="E191" s="5"/>
      <c r="F191" s="5"/>
      <c r="G191" s="5"/>
      <c r="H191" s="5"/>
      <c r="I191" s="5"/>
      <c r="J191" s="5"/>
      <c r="K191" s="5"/>
      <c r="L191" s="5"/>
      <c r="M191" s="5"/>
      <c r="N191" s="5"/>
      <c r="O191" s="5"/>
      <c r="P191" s="3"/>
      <c r="Q191" s="3"/>
    </row>
    <row r="192" spans="1:17" ht="15">
      <c r="A192" s="5"/>
      <c r="B192" s="5"/>
      <c r="C192" s="5"/>
      <c r="D192" s="5"/>
      <c r="E192" s="5"/>
      <c r="F192" s="5"/>
      <c r="G192" s="5"/>
      <c r="H192" s="5"/>
      <c r="I192" s="5"/>
      <c r="J192" s="5"/>
      <c r="K192" s="5"/>
      <c r="L192" s="5"/>
      <c r="M192" s="5"/>
      <c r="N192" s="5"/>
      <c r="O192" s="5"/>
      <c r="P192" s="3"/>
      <c r="Q192" s="3"/>
    </row>
    <row r="193" spans="1:17" ht="15">
      <c r="A193" s="5"/>
      <c r="B193" s="5"/>
      <c r="C193" s="5"/>
      <c r="D193" s="5"/>
      <c r="E193" s="5"/>
      <c r="F193" s="5"/>
      <c r="G193" s="5"/>
      <c r="H193" s="5"/>
      <c r="I193" s="5"/>
      <c r="J193" s="5"/>
      <c r="K193" s="5"/>
      <c r="L193" s="5"/>
      <c r="M193" s="5"/>
      <c r="N193" s="5"/>
      <c r="O193" s="5"/>
      <c r="P193" s="3"/>
      <c r="Q193" s="3"/>
    </row>
    <row r="194" spans="1:17" ht="15">
      <c r="A194" s="5"/>
      <c r="B194" s="5"/>
      <c r="C194" s="5"/>
      <c r="D194" s="5"/>
      <c r="E194" s="5"/>
      <c r="F194" s="5"/>
      <c r="G194" s="5"/>
      <c r="H194" s="5"/>
      <c r="I194" s="5"/>
      <c r="J194" s="5"/>
      <c r="K194" s="5"/>
      <c r="L194" s="5"/>
      <c r="M194" s="5"/>
      <c r="N194" s="5"/>
      <c r="O194" s="5"/>
      <c r="P194" s="3"/>
      <c r="Q194" s="3"/>
    </row>
    <row r="195" spans="1:17" ht="15">
      <c r="A195" s="5"/>
      <c r="B195" s="5"/>
      <c r="C195" s="5"/>
      <c r="D195" s="5"/>
      <c r="E195" s="5"/>
      <c r="F195" s="5"/>
      <c r="G195" s="5"/>
      <c r="H195" s="5"/>
      <c r="I195" s="5"/>
      <c r="J195" s="5"/>
      <c r="K195" s="5"/>
      <c r="L195" s="5"/>
      <c r="M195" s="5"/>
      <c r="N195" s="5"/>
      <c r="O195" s="5"/>
      <c r="P195" s="3"/>
      <c r="Q195" s="3"/>
    </row>
    <row r="196" spans="1:17" ht="15">
      <c r="A196" s="5"/>
      <c r="B196" s="5"/>
      <c r="C196" s="5"/>
      <c r="D196" s="5"/>
      <c r="E196" s="5"/>
      <c r="F196" s="5"/>
      <c r="G196" s="5"/>
      <c r="H196" s="5"/>
      <c r="I196" s="5"/>
      <c r="J196" s="5"/>
      <c r="K196" s="5"/>
      <c r="L196" s="5"/>
      <c r="M196" s="5"/>
      <c r="N196" s="5"/>
      <c r="O196" s="5"/>
      <c r="P196" s="3"/>
      <c r="Q196" s="3"/>
    </row>
    <row r="197" spans="1:17" ht="15">
      <c r="A197" s="5"/>
      <c r="B197" s="5"/>
      <c r="C197" s="5"/>
      <c r="D197" s="5"/>
      <c r="E197" s="5"/>
      <c r="F197" s="5"/>
      <c r="G197" s="5"/>
      <c r="H197" s="5"/>
      <c r="I197" s="5"/>
      <c r="J197" s="5"/>
      <c r="K197" s="5"/>
      <c r="L197" s="5"/>
      <c r="M197" s="5"/>
      <c r="N197" s="5"/>
      <c r="O197" s="5"/>
      <c r="P197" s="3"/>
      <c r="Q197" s="3"/>
    </row>
    <row r="198" spans="1:17" ht="15">
      <c r="A198" s="5"/>
      <c r="B198" s="5"/>
      <c r="C198" s="5"/>
      <c r="D198" s="5"/>
      <c r="E198" s="5"/>
      <c r="F198" s="5"/>
      <c r="G198" s="5"/>
      <c r="H198" s="5"/>
      <c r="I198" s="5"/>
      <c r="J198" s="5"/>
      <c r="K198" s="5"/>
      <c r="L198" s="5"/>
      <c r="M198" s="5"/>
      <c r="N198" s="5"/>
      <c r="O198" s="5"/>
      <c r="P198" s="3"/>
      <c r="Q198" s="3"/>
    </row>
    <row r="199" spans="1:17" ht="15">
      <c r="A199" s="5"/>
      <c r="B199" s="5"/>
      <c r="C199" s="5"/>
      <c r="D199" s="5"/>
      <c r="E199" s="5"/>
      <c r="F199" s="5"/>
      <c r="G199" s="5"/>
      <c r="H199" s="5"/>
      <c r="I199" s="5"/>
      <c r="J199" s="5"/>
      <c r="K199" s="5"/>
      <c r="L199" s="5"/>
      <c r="M199" s="5"/>
      <c r="N199" s="5"/>
      <c r="O199" s="5"/>
      <c r="P199" s="3"/>
      <c r="Q199" s="3"/>
    </row>
    <row r="200" spans="1:17" ht="15">
      <c r="A200" s="5"/>
      <c r="B200" s="5"/>
      <c r="C200" s="5"/>
      <c r="D200" s="5"/>
      <c r="E200" s="5"/>
      <c r="F200" s="5"/>
      <c r="G200" s="5"/>
      <c r="H200" s="5"/>
      <c r="I200" s="5"/>
      <c r="J200" s="5"/>
      <c r="K200" s="5"/>
      <c r="L200" s="5"/>
      <c r="M200" s="5"/>
      <c r="N200" s="5"/>
      <c r="O200" s="5"/>
      <c r="P200" s="3"/>
      <c r="Q200" s="3"/>
    </row>
    <row r="201" spans="1:17" ht="15">
      <c r="A201" s="5"/>
      <c r="B201" s="5"/>
      <c r="C201" s="5"/>
      <c r="D201" s="5"/>
      <c r="E201" s="5"/>
      <c r="F201" s="5"/>
      <c r="G201" s="5"/>
      <c r="H201" s="5"/>
      <c r="I201" s="5"/>
      <c r="J201" s="5"/>
      <c r="K201" s="5"/>
      <c r="L201" s="5"/>
      <c r="M201" s="5"/>
      <c r="N201" s="5"/>
      <c r="O201" s="5"/>
      <c r="P201" s="3"/>
      <c r="Q201" s="3"/>
    </row>
    <row r="202" spans="1:17" ht="15">
      <c r="A202" s="5"/>
      <c r="B202" s="5"/>
      <c r="C202" s="5"/>
      <c r="D202" s="5"/>
      <c r="E202" s="5"/>
      <c r="F202" s="5"/>
      <c r="G202" s="5"/>
      <c r="H202" s="5"/>
      <c r="I202" s="5"/>
      <c r="J202" s="5"/>
      <c r="K202" s="5"/>
      <c r="L202" s="5"/>
      <c r="M202" s="5"/>
      <c r="N202" s="5"/>
      <c r="O202" s="5"/>
      <c r="P202" s="3"/>
      <c r="Q202" s="3"/>
    </row>
    <row r="203" spans="1:17" ht="15">
      <c r="A203" s="5"/>
      <c r="B203" s="5"/>
      <c r="C203" s="5"/>
      <c r="D203" s="5"/>
      <c r="E203" s="5"/>
      <c r="F203" s="5"/>
      <c r="G203" s="5"/>
      <c r="H203" s="5"/>
      <c r="I203" s="5"/>
      <c r="J203" s="5"/>
      <c r="K203" s="5"/>
      <c r="L203" s="5"/>
      <c r="M203" s="5"/>
      <c r="N203" s="5"/>
      <c r="O203" s="5"/>
      <c r="P203" s="3"/>
      <c r="Q203" s="3"/>
    </row>
    <row r="204" spans="1:17" ht="15">
      <c r="A204" s="5"/>
      <c r="B204" s="5"/>
      <c r="C204" s="5"/>
      <c r="D204" s="5"/>
      <c r="E204" s="5"/>
      <c r="F204" s="5"/>
      <c r="G204" s="5"/>
      <c r="H204" s="5"/>
      <c r="I204" s="5"/>
      <c r="J204" s="5"/>
      <c r="K204" s="5"/>
      <c r="L204" s="5"/>
      <c r="M204" s="5"/>
      <c r="N204" s="5"/>
      <c r="O204" s="5"/>
      <c r="P204" s="3"/>
      <c r="Q204" s="3"/>
    </row>
    <row r="205" spans="1:17" ht="15">
      <c r="A205" s="5"/>
      <c r="B205" s="5"/>
      <c r="C205" s="5"/>
      <c r="D205" s="5"/>
      <c r="E205" s="5"/>
      <c r="F205" s="5"/>
      <c r="G205" s="5"/>
      <c r="H205" s="5"/>
      <c r="I205" s="5"/>
      <c r="J205" s="5"/>
      <c r="K205" s="5"/>
      <c r="L205" s="5"/>
      <c r="M205" s="5"/>
      <c r="N205" s="5"/>
      <c r="O205" s="5"/>
      <c r="P205" s="3"/>
      <c r="Q205" s="3"/>
    </row>
    <row r="206" spans="1:17" ht="15">
      <c r="A206" s="5"/>
      <c r="B206" s="5"/>
      <c r="C206" s="5"/>
      <c r="D206" s="5"/>
      <c r="E206" s="5"/>
      <c r="F206" s="5"/>
      <c r="G206" s="5"/>
      <c r="H206" s="5"/>
      <c r="I206" s="5"/>
      <c r="J206" s="5"/>
      <c r="K206" s="5"/>
      <c r="L206" s="5"/>
      <c r="M206" s="5"/>
      <c r="N206" s="5"/>
      <c r="O206" s="5"/>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O1"/>
    <mergeCell ref="A2:O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250"/>
  <sheetViews>
    <sheetView workbookViewId="0"/>
  </sheetViews>
  <sheetFormatPr defaultRowHeight="14.25"/>
  <cols>
    <col min="1" max="2" width="12" customWidth="1"/>
    <col min="3" max="3" width="28" customWidth="1"/>
    <col min="4" max="5" width="18" customWidth="1"/>
    <col min="6" max="7" width="14" customWidth="1"/>
    <col min="8" max="8" width="12" customWidth="1"/>
    <col min="9" max="10" width="14" customWidth="1"/>
    <col min="11" max="12" width="16" customWidth="1"/>
    <col min="13" max="13" width="14" customWidth="1"/>
  </cols>
  <sheetData>
    <row r="1" spans="1:17" ht="24" customHeight="1">
      <c r="A1" s="32" t="s">
        <v>734</v>
      </c>
      <c r="B1" s="33"/>
      <c r="C1" s="33"/>
      <c r="D1" s="33"/>
      <c r="E1" s="33"/>
      <c r="F1" s="33"/>
      <c r="G1" s="33"/>
      <c r="H1" s="33"/>
      <c r="I1" s="33"/>
      <c r="J1" s="33"/>
      <c r="K1" s="33"/>
      <c r="L1" s="35"/>
      <c r="M1" s="35"/>
      <c r="N1" s="3"/>
      <c r="O1" s="3"/>
      <c r="P1" s="3"/>
      <c r="Q1" s="3"/>
    </row>
    <row r="2" spans="1:17" ht="33.950000000000003" customHeight="1">
      <c r="A2" s="34" t="s">
        <v>735</v>
      </c>
      <c r="B2" s="35"/>
      <c r="C2" s="35"/>
      <c r="D2" s="35"/>
      <c r="E2" s="35"/>
      <c r="F2" s="35"/>
      <c r="G2" s="35"/>
      <c r="H2" s="35"/>
      <c r="I2" s="35"/>
      <c r="J2" s="35"/>
      <c r="K2" s="35"/>
      <c r="L2" s="35"/>
      <c r="M2" s="35"/>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703</v>
      </c>
      <c r="B6" s="4" t="s">
        <v>570</v>
      </c>
      <c r="C6" s="4" t="s">
        <v>564</v>
      </c>
      <c r="D6" s="4" t="s">
        <v>736</v>
      </c>
      <c r="E6" s="4" t="s">
        <v>737</v>
      </c>
      <c r="F6" s="4" t="s">
        <v>705</v>
      </c>
      <c r="G6" s="4" t="s">
        <v>706</v>
      </c>
      <c r="H6" s="4" t="s">
        <v>708</v>
      </c>
      <c r="I6" s="4" t="s">
        <v>738</v>
      </c>
      <c r="J6" s="4" t="s">
        <v>739</v>
      </c>
      <c r="K6" s="4" t="s">
        <v>740</v>
      </c>
      <c r="L6" s="4" t="s">
        <v>741</v>
      </c>
      <c r="M6" s="4" t="s">
        <v>714</v>
      </c>
      <c r="N6" s="3"/>
      <c r="O6" s="3"/>
      <c r="P6" s="3"/>
      <c r="Q6" s="3"/>
    </row>
    <row r="7" spans="1:17" ht="15">
      <c r="A7" s="12"/>
      <c r="B7" s="12"/>
      <c r="C7" s="12"/>
      <c r="D7" s="12"/>
      <c r="E7" s="12"/>
      <c r="F7" s="12"/>
      <c r="G7" s="12"/>
      <c r="H7" s="12"/>
      <c r="I7" s="12"/>
      <c r="J7" s="12"/>
      <c r="K7" s="12"/>
      <c r="L7" s="12"/>
      <c r="M7" s="12"/>
      <c r="N7" s="3"/>
      <c r="O7" s="3"/>
      <c r="P7" s="3"/>
      <c r="Q7" s="3"/>
    </row>
    <row r="8" spans="1:17" ht="15">
      <c r="A8" s="12"/>
      <c r="B8" s="12"/>
      <c r="C8" s="12"/>
      <c r="D8" s="12"/>
      <c r="E8" s="12"/>
      <c r="F8" s="12"/>
      <c r="G8" s="12"/>
      <c r="H8" s="12"/>
      <c r="I8" s="12"/>
      <c r="J8" s="12"/>
      <c r="K8" s="12"/>
      <c r="L8" s="12"/>
      <c r="M8" s="12"/>
      <c r="N8" s="3"/>
      <c r="O8" s="3"/>
      <c r="P8" s="3"/>
      <c r="Q8" s="3"/>
    </row>
    <row r="9" spans="1:17" ht="15">
      <c r="A9" s="12"/>
      <c r="B9" s="12"/>
      <c r="C9" s="12"/>
      <c r="D9" s="12"/>
      <c r="E9" s="12"/>
      <c r="F9" s="12"/>
      <c r="G9" s="12"/>
      <c r="H9" s="12"/>
      <c r="I9" s="12"/>
      <c r="J9" s="12"/>
      <c r="K9" s="12"/>
      <c r="L9" s="12"/>
      <c r="M9" s="12"/>
      <c r="N9" s="3"/>
      <c r="O9" s="3"/>
      <c r="P9" s="3"/>
      <c r="Q9" s="3"/>
    </row>
    <row r="10" spans="1:17" ht="15">
      <c r="A10" s="12"/>
      <c r="B10" s="12"/>
      <c r="C10" s="12"/>
      <c r="D10" s="12"/>
      <c r="E10" s="12"/>
      <c r="F10" s="12"/>
      <c r="G10" s="12"/>
      <c r="H10" s="12"/>
      <c r="I10" s="12"/>
      <c r="J10" s="12"/>
      <c r="K10" s="12"/>
      <c r="L10" s="12"/>
      <c r="M10" s="12"/>
      <c r="N10" s="3"/>
      <c r="O10" s="3"/>
      <c r="P10" s="3"/>
      <c r="Q10" s="3"/>
    </row>
    <row r="11" spans="1:17" ht="15">
      <c r="A11" s="12"/>
      <c r="B11" s="12"/>
      <c r="C11" s="12"/>
      <c r="D11" s="12"/>
      <c r="E11" s="12"/>
      <c r="F11" s="12"/>
      <c r="G11" s="12"/>
      <c r="H11" s="12"/>
      <c r="I11" s="12"/>
      <c r="J11" s="12"/>
      <c r="K11" s="12"/>
      <c r="L11" s="12"/>
      <c r="M11" s="12"/>
      <c r="N11" s="3"/>
      <c r="O11" s="3"/>
      <c r="P11" s="3"/>
      <c r="Q11" s="3"/>
    </row>
    <row r="12" spans="1:17" ht="15">
      <c r="A12" s="12"/>
      <c r="B12" s="12"/>
      <c r="C12" s="12"/>
      <c r="D12" s="12"/>
      <c r="E12" s="12"/>
      <c r="F12" s="12"/>
      <c r="G12" s="12"/>
      <c r="H12" s="12"/>
      <c r="I12" s="12"/>
      <c r="J12" s="12"/>
      <c r="K12" s="12"/>
      <c r="L12" s="12"/>
      <c r="M12" s="12"/>
      <c r="N12" s="3"/>
      <c r="O12" s="3"/>
      <c r="P12" s="3"/>
      <c r="Q12" s="3"/>
    </row>
    <row r="13" spans="1:17" ht="15">
      <c r="A13" s="12"/>
      <c r="B13" s="12"/>
      <c r="C13" s="12"/>
      <c r="D13" s="12"/>
      <c r="E13" s="12"/>
      <c r="F13" s="12"/>
      <c r="G13" s="12"/>
      <c r="H13" s="12"/>
      <c r="I13" s="12"/>
      <c r="J13" s="12"/>
      <c r="K13" s="12"/>
      <c r="L13" s="12"/>
      <c r="M13" s="12"/>
      <c r="N13" s="3"/>
      <c r="O13" s="3"/>
      <c r="P13" s="3"/>
      <c r="Q13" s="3"/>
    </row>
    <row r="14" spans="1:17" ht="15">
      <c r="A14" s="12"/>
      <c r="B14" s="12"/>
      <c r="C14" s="12"/>
      <c r="D14" s="12"/>
      <c r="E14" s="12"/>
      <c r="F14" s="12"/>
      <c r="G14" s="12"/>
      <c r="H14" s="12"/>
      <c r="I14" s="12"/>
      <c r="J14" s="12"/>
      <c r="K14" s="12"/>
      <c r="L14" s="12"/>
      <c r="M14" s="12"/>
      <c r="N14" s="3"/>
      <c r="O14" s="3"/>
      <c r="P14" s="3"/>
      <c r="Q14" s="3"/>
    </row>
    <row r="15" spans="1:17" ht="15">
      <c r="A15" s="12"/>
      <c r="B15" s="12"/>
      <c r="C15" s="12"/>
      <c r="D15" s="12"/>
      <c r="E15" s="12"/>
      <c r="F15" s="12"/>
      <c r="G15" s="12"/>
      <c r="H15" s="12"/>
      <c r="I15" s="12"/>
      <c r="J15" s="12"/>
      <c r="K15" s="12"/>
      <c r="L15" s="12"/>
      <c r="M15" s="12"/>
      <c r="N15" s="3"/>
      <c r="O15" s="3"/>
      <c r="P15" s="3"/>
      <c r="Q15" s="3"/>
    </row>
    <row r="16" spans="1:17" ht="15">
      <c r="A16" s="12"/>
      <c r="B16" s="12"/>
      <c r="C16" s="12"/>
      <c r="D16" s="12"/>
      <c r="E16" s="12"/>
      <c r="F16" s="12"/>
      <c r="G16" s="12"/>
      <c r="H16" s="12"/>
      <c r="I16" s="12"/>
      <c r="J16" s="12"/>
      <c r="K16" s="12"/>
      <c r="L16" s="12"/>
      <c r="M16" s="12"/>
      <c r="N16" s="3"/>
      <c r="O16" s="3"/>
      <c r="P16" s="3"/>
      <c r="Q16" s="3"/>
    </row>
    <row r="17" spans="1:17" ht="15">
      <c r="A17" s="12"/>
      <c r="B17" s="12"/>
      <c r="C17" s="12"/>
      <c r="D17" s="12"/>
      <c r="E17" s="12"/>
      <c r="F17" s="12"/>
      <c r="G17" s="12"/>
      <c r="H17" s="12"/>
      <c r="I17" s="12"/>
      <c r="J17" s="12"/>
      <c r="K17" s="12"/>
      <c r="L17" s="12"/>
      <c r="M17" s="12"/>
      <c r="N17" s="3"/>
      <c r="O17" s="3"/>
      <c r="P17" s="3"/>
      <c r="Q17" s="3"/>
    </row>
    <row r="18" spans="1:17" ht="15">
      <c r="A18" s="12"/>
      <c r="B18" s="12"/>
      <c r="C18" s="12"/>
      <c r="D18" s="12"/>
      <c r="E18" s="12"/>
      <c r="F18" s="12"/>
      <c r="G18" s="12"/>
      <c r="H18" s="12"/>
      <c r="I18" s="12"/>
      <c r="J18" s="12"/>
      <c r="K18" s="12"/>
      <c r="L18" s="12"/>
      <c r="M18" s="12"/>
      <c r="N18" s="3"/>
      <c r="O18" s="3"/>
      <c r="P18" s="3"/>
      <c r="Q18" s="3"/>
    </row>
    <row r="19" spans="1:17" ht="15">
      <c r="A19" s="12"/>
      <c r="B19" s="12"/>
      <c r="C19" s="12"/>
      <c r="D19" s="12"/>
      <c r="E19" s="12"/>
      <c r="F19" s="12"/>
      <c r="G19" s="12"/>
      <c r="H19" s="12"/>
      <c r="I19" s="12"/>
      <c r="J19" s="12"/>
      <c r="K19" s="12"/>
      <c r="L19" s="12"/>
      <c r="M19" s="12"/>
      <c r="N19" s="3"/>
      <c r="O19" s="3"/>
      <c r="P19" s="3"/>
      <c r="Q19" s="3"/>
    </row>
    <row r="20" spans="1:17" ht="15">
      <c r="A20" s="12"/>
      <c r="B20" s="12"/>
      <c r="C20" s="12"/>
      <c r="D20" s="12"/>
      <c r="E20" s="12"/>
      <c r="F20" s="12"/>
      <c r="G20" s="12"/>
      <c r="H20" s="12"/>
      <c r="I20" s="12"/>
      <c r="J20" s="12"/>
      <c r="K20" s="12"/>
      <c r="L20" s="12"/>
      <c r="M20" s="12"/>
      <c r="N20" s="3"/>
      <c r="O20" s="3"/>
      <c r="P20" s="3"/>
      <c r="Q20" s="3"/>
    </row>
    <row r="21" spans="1:17" ht="15">
      <c r="A21" s="12"/>
      <c r="B21" s="12"/>
      <c r="C21" s="12"/>
      <c r="D21" s="12"/>
      <c r="E21" s="12"/>
      <c r="F21" s="12"/>
      <c r="G21" s="12"/>
      <c r="H21" s="12"/>
      <c r="I21" s="12"/>
      <c r="J21" s="12"/>
      <c r="K21" s="12"/>
      <c r="L21" s="12"/>
      <c r="M21" s="12"/>
      <c r="N21" s="3"/>
      <c r="O21" s="3"/>
      <c r="P21" s="3"/>
      <c r="Q21" s="3"/>
    </row>
    <row r="22" spans="1:17" ht="15">
      <c r="A22" s="12"/>
      <c r="B22" s="12"/>
      <c r="C22" s="12"/>
      <c r="D22" s="12"/>
      <c r="E22" s="12"/>
      <c r="F22" s="12"/>
      <c r="G22" s="12"/>
      <c r="H22" s="12"/>
      <c r="I22" s="12"/>
      <c r="J22" s="12"/>
      <c r="K22" s="12"/>
      <c r="L22" s="12"/>
      <c r="M22" s="12"/>
      <c r="N22" s="3"/>
      <c r="O22" s="3"/>
      <c r="P22" s="3"/>
      <c r="Q22" s="3"/>
    </row>
    <row r="23" spans="1:17" ht="15">
      <c r="A23" s="12"/>
      <c r="B23" s="12"/>
      <c r="C23" s="12"/>
      <c r="D23" s="12"/>
      <c r="E23" s="12"/>
      <c r="F23" s="12"/>
      <c r="G23" s="12"/>
      <c r="H23" s="12"/>
      <c r="I23" s="12"/>
      <c r="J23" s="12"/>
      <c r="K23" s="12"/>
      <c r="L23" s="12"/>
      <c r="M23" s="12"/>
      <c r="N23" s="3"/>
      <c r="O23" s="3"/>
      <c r="P23" s="3"/>
      <c r="Q23" s="3"/>
    </row>
    <row r="24" spans="1:17" ht="15">
      <c r="A24" s="12"/>
      <c r="B24" s="12"/>
      <c r="C24" s="12"/>
      <c r="D24" s="12"/>
      <c r="E24" s="12"/>
      <c r="F24" s="12"/>
      <c r="G24" s="12"/>
      <c r="H24" s="12"/>
      <c r="I24" s="12"/>
      <c r="J24" s="12"/>
      <c r="K24" s="12"/>
      <c r="L24" s="12"/>
      <c r="M24" s="12"/>
      <c r="N24" s="3"/>
      <c r="O24" s="3"/>
      <c r="P24" s="3"/>
      <c r="Q24" s="3"/>
    </row>
    <row r="25" spans="1:17" ht="15">
      <c r="A25" s="12"/>
      <c r="B25" s="12"/>
      <c r="C25" s="12"/>
      <c r="D25" s="12"/>
      <c r="E25" s="12"/>
      <c r="F25" s="12"/>
      <c r="G25" s="12"/>
      <c r="H25" s="12"/>
      <c r="I25" s="12"/>
      <c r="J25" s="12"/>
      <c r="K25" s="12"/>
      <c r="L25" s="12"/>
      <c r="M25" s="12"/>
      <c r="N25" s="3"/>
      <c r="O25" s="3"/>
      <c r="P25" s="3"/>
      <c r="Q25" s="3"/>
    </row>
    <row r="26" spans="1:17" ht="15">
      <c r="A26" s="12"/>
      <c r="B26" s="12"/>
      <c r="C26" s="12"/>
      <c r="D26" s="12"/>
      <c r="E26" s="12"/>
      <c r="F26" s="12"/>
      <c r="G26" s="12"/>
      <c r="H26" s="12"/>
      <c r="I26" s="12"/>
      <c r="J26" s="12"/>
      <c r="K26" s="12"/>
      <c r="L26" s="12"/>
      <c r="M26" s="12"/>
      <c r="N26" s="3"/>
      <c r="O26" s="3"/>
      <c r="P26" s="3"/>
      <c r="Q26" s="3"/>
    </row>
    <row r="27" spans="1:17" ht="15">
      <c r="A27" s="12"/>
      <c r="B27" s="12"/>
      <c r="C27" s="12"/>
      <c r="D27" s="12"/>
      <c r="E27" s="12"/>
      <c r="F27" s="12"/>
      <c r="G27" s="12"/>
      <c r="H27" s="12"/>
      <c r="I27" s="12"/>
      <c r="J27" s="12"/>
      <c r="K27" s="12"/>
      <c r="L27" s="12"/>
      <c r="M27" s="12"/>
      <c r="N27" s="3"/>
      <c r="O27" s="3"/>
      <c r="P27" s="3"/>
      <c r="Q27" s="3"/>
    </row>
    <row r="28" spans="1:17" ht="15">
      <c r="A28" s="12"/>
      <c r="B28" s="12"/>
      <c r="C28" s="12"/>
      <c r="D28" s="12"/>
      <c r="E28" s="12"/>
      <c r="F28" s="12"/>
      <c r="G28" s="12"/>
      <c r="H28" s="12"/>
      <c r="I28" s="12"/>
      <c r="J28" s="12"/>
      <c r="K28" s="12"/>
      <c r="L28" s="12"/>
      <c r="M28" s="12"/>
      <c r="N28" s="3"/>
      <c r="O28" s="3"/>
      <c r="P28" s="3"/>
      <c r="Q28" s="3"/>
    </row>
    <row r="29" spans="1:17" ht="15">
      <c r="A29" s="12"/>
      <c r="B29" s="12"/>
      <c r="C29" s="12"/>
      <c r="D29" s="12"/>
      <c r="E29" s="12"/>
      <c r="F29" s="12"/>
      <c r="G29" s="12"/>
      <c r="H29" s="12"/>
      <c r="I29" s="12"/>
      <c r="J29" s="12"/>
      <c r="K29" s="12"/>
      <c r="L29" s="12"/>
      <c r="M29" s="12"/>
      <c r="N29" s="3"/>
      <c r="O29" s="3"/>
      <c r="P29" s="3"/>
      <c r="Q29" s="3"/>
    </row>
    <row r="30" spans="1:17" ht="15">
      <c r="A30" s="12"/>
      <c r="B30" s="12"/>
      <c r="C30" s="12"/>
      <c r="D30" s="12"/>
      <c r="E30" s="12"/>
      <c r="F30" s="12"/>
      <c r="G30" s="12"/>
      <c r="H30" s="12"/>
      <c r="I30" s="12"/>
      <c r="J30" s="12"/>
      <c r="K30" s="12"/>
      <c r="L30" s="12"/>
      <c r="M30" s="12"/>
      <c r="N30" s="3"/>
      <c r="O30" s="3"/>
      <c r="P30" s="3"/>
      <c r="Q30" s="3"/>
    </row>
    <row r="31" spans="1:17" ht="15">
      <c r="A31" s="12"/>
      <c r="B31" s="12"/>
      <c r="C31" s="12"/>
      <c r="D31" s="12"/>
      <c r="E31" s="12"/>
      <c r="F31" s="12"/>
      <c r="G31" s="12"/>
      <c r="H31" s="12"/>
      <c r="I31" s="12"/>
      <c r="J31" s="12"/>
      <c r="K31" s="12"/>
      <c r="L31" s="12"/>
      <c r="M31" s="12"/>
      <c r="N31" s="3"/>
      <c r="O31" s="3"/>
      <c r="P31" s="3"/>
      <c r="Q31" s="3"/>
    </row>
    <row r="32" spans="1:17" ht="15">
      <c r="A32" s="12"/>
      <c r="B32" s="12"/>
      <c r="C32" s="12"/>
      <c r="D32" s="12"/>
      <c r="E32" s="12"/>
      <c r="F32" s="12"/>
      <c r="G32" s="12"/>
      <c r="H32" s="12"/>
      <c r="I32" s="12"/>
      <c r="J32" s="12"/>
      <c r="K32" s="12"/>
      <c r="L32" s="12"/>
      <c r="M32" s="12"/>
      <c r="N32" s="3"/>
      <c r="O32" s="3"/>
      <c r="P32" s="3"/>
      <c r="Q32" s="3"/>
    </row>
    <row r="33" spans="1:17" ht="15">
      <c r="A33" s="12"/>
      <c r="B33" s="12"/>
      <c r="C33" s="12"/>
      <c r="D33" s="12"/>
      <c r="E33" s="12"/>
      <c r="F33" s="12"/>
      <c r="G33" s="12"/>
      <c r="H33" s="12"/>
      <c r="I33" s="12"/>
      <c r="J33" s="12"/>
      <c r="K33" s="12"/>
      <c r="L33" s="12"/>
      <c r="M33" s="12"/>
      <c r="N33" s="3"/>
      <c r="O33" s="3"/>
      <c r="P33" s="3"/>
      <c r="Q33" s="3"/>
    </row>
    <row r="34" spans="1:17" ht="15">
      <c r="A34" s="12"/>
      <c r="B34" s="12"/>
      <c r="C34" s="12"/>
      <c r="D34" s="12"/>
      <c r="E34" s="12"/>
      <c r="F34" s="12"/>
      <c r="G34" s="12"/>
      <c r="H34" s="12"/>
      <c r="I34" s="12"/>
      <c r="J34" s="12"/>
      <c r="K34" s="12"/>
      <c r="L34" s="12"/>
      <c r="M34" s="12"/>
      <c r="N34" s="3"/>
      <c r="O34" s="3"/>
      <c r="P34" s="3"/>
      <c r="Q34" s="3"/>
    </row>
    <row r="35" spans="1:17" ht="15">
      <c r="A35" s="12"/>
      <c r="B35" s="12"/>
      <c r="C35" s="12"/>
      <c r="D35" s="12"/>
      <c r="E35" s="12"/>
      <c r="F35" s="12"/>
      <c r="G35" s="12"/>
      <c r="H35" s="12"/>
      <c r="I35" s="12"/>
      <c r="J35" s="12"/>
      <c r="K35" s="12"/>
      <c r="L35" s="12"/>
      <c r="M35" s="12"/>
      <c r="N35" s="3"/>
      <c r="O35" s="3"/>
      <c r="P35" s="3"/>
      <c r="Q35" s="3"/>
    </row>
    <row r="36" spans="1:17" ht="15">
      <c r="A36" s="12"/>
      <c r="B36" s="12"/>
      <c r="C36" s="12"/>
      <c r="D36" s="12"/>
      <c r="E36" s="12"/>
      <c r="F36" s="12"/>
      <c r="G36" s="12"/>
      <c r="H36" s="12"/>
      <c r="I36" s="12"/>
      <c r="J36" s="12"/>
      <c r="K36" s="12"/>
      <c r="L36" s="12"/>
      <c r="M36" s="12"/>
      <c r="N36" s="3"/>
      <c r="O36" s="3"/>
      <c r="P36" s="3"/>
      <c r="Q36" s="3"/>
    </row>
    <row r="37" spans="1:17" ht="15">
      <c r="A37" s="12"/>
      <c r="B37" s="12"/>
      <c r="C37" s="12"/>
      <c r="D37" s="12"/>
      <c r="E37" s="12"/>
      <c r="F37" s="12"/>
      <c r="G37" s="12"/>
      <c r="H37" s="12"/>
      <c r="I37" s="12"/>
      <c r="J37" s="12"/>
      <c r="K37" s="12"/>
      <c r="L37" s="12"/>
      <c r="M37" s="12"/>
      <c r="N37" s="3"/>
      <c r="O37" s="3"/>
      <c r="P37" s="3"/>
      <c r="Q37" s="3"/>
    </row>
    <row r="38" spans="1:17" ht="15">
      <c r="A38" s="12"/>
      <c r="B38" s="12"/>
      <c r="C38" s="12"/>
      <c r="D38" s="12"/>
      <c r="E38" s="12"/>
      <c r="F38" s="12"/>
      <c r="G38" s="12"/>
      <c r="H38" s="12"/>
      <c r="I38" s="12"/>
      <c r="J38" s="12"/>
      <c r="K38" s="12"/>
      <c r="L38" s="12"/>
      <c r="M38" s="12"/>
      <c r="N38" s="3"/>
      <c r="O38" s="3"/>
      <c r="P38" s="3"/>
      <c r="Q38" s="3"/>
    </row>
    <row r="39" spans="1:17" ht="15">
      <c r="A39" s="12"/>
      <c r="B39" s="12"/>
      <c r="C39" s="12"/>
      <c r="D39" s="12"/>
      <c r="E39" s="12"/>
      <c r="F39" s="12"/>
      <c r="G39" s="12"/>
      <c r="H39" s="12"/>
      <c r="I39" s="12"/>
      <c r="J39" s="12"/>
      <c r="K39" s="12"/>
      <c r="L39" s="12"/>
      <c r="M39" s="12"/>
      <c r="N39" s="3"/>
      <c r="O39" s="3"/>
      <c r="P39" s="3"/>
      <c r="Q39" s="3"/>
    </row>
    <row r="40" spans="1:17" ht="15">
      <c r="A40" s="12"/>
      <c r="B40" s="12"/>
      <c r="C40" s="12"/>
      <c r="D40" s="12"/>
      <c r="E40" s="12"/>
      <c r="F40" s="12"/>
      <c r="G40" s="12"/>
      <c r="H40" s="12"/>
      <c r="I40" s="12"/>
      <c r="J40" s="12"/>
      <c r="K40" s="12"/>
      <c r="L40" s="12"/>
      <c r="M40" s="12"/>
      <c r="N40" s="3"/>
      <c r="O40" s="3"/>
      <c r="P40" s="3"/>
      <c r="Q40" s="3"/>
    </row>
    <row r="41" spans="1:17" ht="15">
      <c r="A41" s="12"/>
      <c r="B41" s="12"/>
      <c r="C41" s="12"/>
      <c r="D41" s="12"/>
      <c r="E41" s="12"/>
      <c r="F41" s="12"/>
      <c r="G41" s="12"/>
      <c r="H41" s="12"/>
      <c r="I41" s="12"/>
      <c r="J41" s="12"/>
      <c r="K41" s="12"/>
      <c r="L41" s="12"/>
      <c r="M41" s="12"/>
      <c r="N41" s="3"/>
      <c r="O41" s="3"/>
      <c r="P41" s="3"/>
      <c r="Q41" s="3"/>
    </row>
    <row r="42" spans="1:17" ht="15">
      <c r="A42" s="12"/>
      <c r="B42" s="12"/>
      <c r="C42" s="12"/>
      <c r="D42" s="12"/>
      <c r="E42" s="12"/>
      <c r="F42" s="12"/>
      <c r="G42" s="12"/>
      <c r="H42" s="12"/>
      <c r="I42" s="12"/>
      <c r="J42" s="12"/>
      <c r="K42" s="12"/>
      <c r="L42" s="12"/>
      <c r="M42" s="12"/>
      <c r="N42" s="3"/>
      <c r="O42" s="3"/>
      <c r="P42" s="3"/>
      <c r="Q42" s="3"/>
    </row>
    <row r="43" spans="1:17" ht="15">
      <c r="A43" s="12"/>
      <c r="B43" s="12"/>
      <c r="C43" s="12"/>
      <c r="D43" s="12"/>
      <c r="E43" s="12"/>
      <c r="F43" s="12"/>
      <c r="G43" s="12"/>
      <c r="H43" s="12"/>
      <c r="I43" s="12"/>
      <c r="J43" s="12"/>
      <c r="K43" s="12"/>
      <c r="L43" s="12"/>
      <c r="M43" s="12"/>
      <c r="N43" s="3"/>
      <c r="O43" s="3"/>
      <c r="P43" s="3"/>
      <c r="Q43" s="3"/>
    </row>
    <row r="44" spans="1:17" ht="15">
      <c r="A44" s="12"/>
      <c r="B44" s="12"/>
      <c r="C44" s="12"/>
      <c r="D44" s="12"/>
      <c r="E44" s="12"/>
      <c r="F44" s="12"/>
      <c r="G44" s="12"/>
      <c r="H44" s="12"/>
      <c r="I44" s="12"/>
      <c r="J44" s="12"/>
      <c r="K44" s="12"/>
      <c r="L44" s="12"/>
      <c r="M44" s="12"/>
      <c r="N44" s="3"/>
      <c r="O44" s="3"/>
      <c r="P44" s="3"/>
      <c r="Q44" s="3"/>
    </row>
    <row r="45" spans="1:17" ht="15">
      <c r="A45" s="12"/>
      <c r="B45" s="12"/>
      <c r="C45" s="12"/>
      <c r="D45" s="12"/>
      <c r="E45" s="12"/>
      <c r="F45" s="12"/>
      <c r="G45" s="12"/>
      <c r="H45" s="12"/>
      <c r="I45" s="12"/>
      <c r="J45" s="12"/>
      <c r="K45" s="12"/>
      <c r="L45" s="12"/>
      <c r="M45" s="12"/>
      <c r="N45" s="3"/>
      <c r="O45" s="3"/>
      <c r="P45" s="3"/>
      <c r="Q45" s="3"/>
    </row>
    <row r="46" spans="1:17" ht="15">
      <c r="A46" s="12"/>
      <c r="B46" s="12"/>
      <c r="C46" s="12"/>
      <c r="D46" s="12"/>
      <c r="E46" s="12"/>
      <c r="F46" s="12"/>
      <c r="G46" s="12"/>
      <c r="H46" s="12"/>
      <c r="I46" s="12"/>
      <c r="J46" s="12"/>
      <c r="K46" s="12"/>
      <c r="L46" s="12"/>
      <c r="M46" s="12"/>
      <c r="N46" s="3"/>
      <c r="O46" s="3"/>
      <c r="P46" s="3"/>
      <c r="Q46" s="3"/>
    </row>
    <row r="47" spans="1:17" ht="15">
      <c r="A47" s="12"/>
      <c r="B47" s="12"/>
      <c r="C47" s="12"/>
      <c r="D47" s="12"/>
      <c r="E47" s="12"/>
      <c r="F47" s="12"/>
      <c r="G47" s="12"/>
      <c r="H47" s="12"/>
      <c r="I47" s="12"/>
      <c r="J47" s="12"/>
      <c r="K47" s="12"/>
      <c r="L47" s="12"/>
      <c r="M47" s="12"/>
      <c r="N47" s="3"/>
      <c r="O47" s="3"/>
      <c r="P47" s="3"/>
      <c r="Q47" s="3"/>
    </row>
    <row r="48" spans="1:17" ht="15">
      <c r="A48" s="12"/>
      <c r="B48" s="12"/>
      <c r="C48" s="12"/>
      <c r="D48" s="12"/>
      <c r="E48" s="12"/>
      <c r="F48" s="12"/>
      <c r="G48" s="12"/>
      <c r="H48" s="12"/>
      <c r="I48" s="12"/>
      <c r="J48" s="12"/>
      <c r="K48" s="12"/>
      <c r="L48" s="12"/>
      <c r="M48" s="12"/>
      <c r="N48" s="3"/>
      <c r="O48" s="3"/>
      <c r="P48" s="3"/>
      <c r="Q48" s="3"/>
    </row>
    <row r="49" spans="1:17" ht="15">
      <c r="A49" s="12"/>
      <c r="B49" s="12"/>
      <c r="C49" s="12"/>
      <c r="D49" s="12"/>
      <c r="E49" s="12"/>
      <c r="F49" s="12"/>
      <c r="G49" s="12"/>
      <c r="H49" s="12"/>
      <c r="I49" s="12"/>
      <c r="J49" s="12"/>
      <c r="K49" s="12"/>
      <c r="L49" s="12"/>
      <c r="M49" s="12"/>
      <c r="N49" s="3"/>
      <c r="O49" s="3"/>
      <c r="P49" s="3"/>
      <c r="Q49" s="3"/>
    </row>
    <row r="50" spans="1:17" ht="15">
      <c r="A50" s="12"/>
      <c r="B50" s="12"/>
      <c r="C50" s="12"/>
      <c r="D50" s="12"/>
      <c r="E50" s="12"/>
      <c r="F50" s="12"/>
      <c r="G50" s="12"/>
      <c r="H50" s="12"/>
      <c r="I50" s="12"/>
      <c r="J50" s="12"/>
      <c r="K50" s="12"/>
      <c r="L50" s="12"/>
      <c r="M50" s="12"/>
      <c r="N50" s="3"/>
      <c r="O50" s="3"/>
      <c r="P50" s="3"/>
      <c r="Q50" s="3"/>
    </row>
    <row r="51" spans="1:17" ht="15">
      <c r="A51" s="12"/>
      <c r="B51" s="12"/>
      <c r="C51" s="12"/>
      <c r="D51" s="12"/>
      <c r="E51" s="12"/>
      <c r="F51" s="12"/>
      <c r="G51" s="12"/>
      <c r="H51" s="12"/>
      <c r="I51" s="12"/>
      <c r="J51" s="12"/>
      <c r="K51" s="12"/>
      <c r="L51" s="12"/>
      <c r="M51" s="12"/>
      <c r="N51" s="3"/>
      <c r="O51" s="3"/>
      <c r="P51" s="3"/>
      <c r="Q51" s="3"/>
    </row>
    <row r="52" spans="1:17" ht="15">
      <c r="A52" s="12"/>
      <c r="B52" s="12"/>
      <c r="C52" s="12"/>
      <c r="D52" s="12"/>
      <c r="E52" s="12"/>
      <c r="F52" s="12"/>
      <c r="G52" s="12"/>
      <c r="H52" s="12"/>
      <c r="I52" s="12"/>
      <c r="J52" s="12"/>
      <c r="K52" s="12"/>
      <c r="L52" s="12"/>
      <c r="M52" s="12"/>
      <c r="N52" s="3"/>
      <c r="O52" s="3"/>
      <c r="P52" s="3"/>
      <c r="Q52" s="3"/>
    </row>
    <row r="53" spans="1:17" ht="15">
      <c r="A53" s="12"/>
      <c r="B53" s="12"/>
      <c r="C53" s="12"/>
      <c r="D53" s="12"/>
      <c r="E53" s="12"/>
      <c r="F53" s="12"/>
      <c r="G53" s="12"/>
      <c r="H53" s="12"/>
      <c r="I53" s="12"/>
      <c r="J53" s="12"/>
      <c r="K53" s="12"/>
      <c r="L53" s="12"/>
      <c r="M53" s="12"/>
      <c r="N53" s="3"/>
      <c r="O53" s="3"/>
      <c r="P53" s="3"/>
      <c r="Q53" s="3"/>
    </row>
    <row r="54" spans="1:17" ht="15">
      <c r="A54" s="12"/>
      <c r="B54" s="12"/>
      <c r="C54" s="12"/>
      <c r="D54" s="12"/>
      <c r="E54" s="12"/>
      <c r="F54" s="12"/>
      <c r="G54" s="12"/>
      <c r="H54" s="12"/>
      <c r="I54" s="12"/>
      <c r="J54" s="12"/>
      <c r="K54" s="12"/>
      <c r="L54" s="12"/>
      <c r="M54" s="12"/>
      <c r="N54" s="3"/>
      <c r="O54" s="3"/>
      <c r="P54" s="3"/>
      <c r="Q54" s="3"/>
    </row>
    <row r="55" spans="1:17" ht="15">
      <c r="A55" s="12"/>
      <c r="B55" s="12"/>
      <c r="C55" s="12"/>
      <c r="D55" s="12"/>
      <c r="E55" s="12"/>
      <c r="F55" s="12"/>
      <c r="G55" s="12"/>
      <c r="H55" s="12"/>
      <c r="I55" s="12"/>
      <c r="J55" s="12"/>
      <c r="K55" s="12"/>
      <c r="L55" s="12"/>
      <c r="M55" s="12"/>
      <c r="N55" s="3"/>
      <c r="O55" s="3"/>
      <c r="P55" s="3"/>
      <c r="Q55" s="3"/>
    </row>
    <row r="56" spans="1:17" ht="15">
      <c r="A56" s="12"/>
      <c r="B56" s="12"/>
      <c r="C56" s="12"/>
      <c r="D56" s="12"/>
      <c r="E56" s="12"/>
      <c r="F56" s="12"/>
      <c r="G56" s="12"/>
      <c r="H56" s="12"/>
      <c r="I56" s="12"/>
      <c r="J56" s="12"/>
      <c r="K56" s="12"/>
      <c r="L56" s="12"/>
      <c r="M56" s="12"/>
      <c r="N56" s="3"/>
      <c r="O56" s="3"/>
      <c r="P56" s="3"/>
      <c r="Q56" s="3"/>
    </row>
    <row r="57" spans="1:17" ht="15">
      <c r="A57" s="12"/>
      <c r="B57" s="12"/>
      <c r="C57" s="12"/>
      <c r="D57" s="12"/>
      <c r="E57" s="12"/>
      <c r="F57" s="12"/>
      <c r="G57" s="12"/>
      <c r="H57" s="12"/>
      <c r="I57" s="12"/>
      <c r="J57" s="12"/>
      <c r="K57" s="12"/>
      <c r="L57" s="12"/>
      <c r="M57" s="12"/>
      <c r="N57" s="3"/>
      <c r="O57" s="3"/>
      <c r="P57" s="3"/>
      <c r="Q57" s="3"/>
    </row>
    <row r="58" spans="1:17" ht="15">
      <c r="A58" s="12"/>
      <c r="B58" s="12"/>
      <c r="C58" s="12"/>
      <c r="D58" s="12"/>
      <c r="E58" s="12"/>
      <c r="F58" s="12"/>
      <c r="G58" s="12"/>
      <c r="H58" s="12"/>
      <c r="I58" s="12"/>
      <c r="J58" s="12"/>
      <c r="K58" s="12"/>
      <c r="L58" s="12"/>
      <c r="M58" s="12"/>
      <c r="N58" s="3"/>
      <c r="O58" s="3"/>
      <c r="P58" s="3"/>
      <c r="Q58" s="3"/>
    </row>
    <row r="59" spans="1:17" ht="15">
      <c r="A59" s="12"/>
      <c r="B59" s="12"/>
      <c r="C59" s="12"/>
      <c r="D59" s="12"/>
      <c r="E59" s="12"/>
      <c r="F59" s="12"/>
      <c r="G59" s="12"/>
      <c r="H59" s="12"/>
      <c r="I59" s="12"/>
      <c r="J59" s="12"/>
      <c r="K59" s="12"/>
      <c r="L59" s="12"/>
      <c r="M59" s="12"/>
      <c r="N59" s="3"/>
      <c r="O59" s="3"/>
      <c r="P59" s="3"/>
      <c r="Q59" s="3"/>
    </row>
    <row r="60" spans="1:17" ht="15">
      <c r="A60" s="12"/>
      <c r="B60" s="12"/>
      <c r="C60" s="12"/>
      <c r="D60" s="12"/>
      <c r="E60" s="12"/>
      <c r="F60" s="12"/>
      <c r="G60" s="12"/>
      <c r="H60" s="12"/>
      <c r="I60" s="12"/>
      <c r="J60" s="12"/>
      <c r="K60" s="12"/>
      <c r="L60" s="12"/>
      <c r="M60" s="12"/>
      <c r="N60" s="3"/>
      <c r="O60" s="3"/>
      <c r="P60" s="3"/>
      <c r="Q60" s="3"/>
    </row>
    <row r="61" spans="1:17" ht="15">
      <c r="A61" s="12"/>
      <c r="B61" s="12"/>
      <c r="C61" s="12"/>
      <c r="D61" s="12"/>
      <c r="E61" s="12"/>
      <c r="F61" s="12"/>
      <c r="G61" s="12"/>
      <c r="H61" s="12"/>
      <c r="I61" s="12"/>
      <c r="J61" s="12"/>
      <c r="K61" s="12"/>
      <c r="L61" s="12"/>
      <c r="M61" s="12"/>
      <c r="N61" s="3"/>
      <c r="O61" s="3"/>
      <c r="P61" s="3"/>
      <c r="Q61" s="3"/>
    </row>
    <row r="62" spans="1:17" ht="15">
      <c r="A62" s="12"/>
      <c r="B62" s="12"/>
      <c r="C62" s="12"/>
      <c r="D62" s="12"/>
      <c r="E62" s="12"/>
      <c r="F62" s="12"/>
      <c r="G62" s="12"/>
      <c r="H62" s="12"/>
      <c r="I62" s="12"/>
      <c r="J62" s="12"/>
      <c r="K62" s="12"/>
      <c r="L62" s="12"/>
      <c r="M62" s="12"/>
      <c r="N62" s="3"/>
      <c r="O62" s="3"/>
      <c r="P62" s="3"/>
      <c r="Q62" s="3"/>
    </row>
    <row r="63" spans="1:17" ht="15">
      <c r="A63" s="12"/>
      <c r="B63" s="12"/>
      <c r="C63" s="12"/>
      <c r="D63" s="12"/>
      <c r="E63" s="12"/>
      <c r="F63" s="12"/>
      <c r="G63" s="12"/>
      <c r="H63" s="12"/>
      <c r="I63" s="12"/>
      <c r="J63" s="12"/>
      <c r="K63" s="12"/>
      <c r="L63" s="12"/>
      <c r="M63" s="12"/>
      <c r="N63" s="3"/>
      <c r="O63" s="3"/>
      <c r="P63" s="3"/>
      <c r="Q63" s="3"/>
    </row>
    <row r="64" spans="1:17" ht="15">
      <c r="A64" s="12"/>
      <c r="B64" s="12"/>
      <c r="C64" s="12"/>
      <c r="D64" s="12"/>
      <c r="E64" s="12"/>
      <c r="F64" s="12"/>
      <c r="G64" s="12"/>
      <c r="H64" s="12"/>
      <c r="I64" s="12"/>
      <c r="J64" s="12"/>
      <c r="K64" s="12"/>
      <c r="L64" s="12"/>
      <c r="M64" s="12"/>
      <c r="N64" s="3"/>
      <c r="O64" s="3"/>
      <c r="P64" s="3"/>
      <c r="Q64" s="3"/>
    </row>
    <row r="65" spans="1:17" ht="15">
      <c r="A65" s="12"/>
      <c r="B65" s="12"/>
      <c r="C65" s="12"/>
      <c r="D65" s="12"/>
      <c r="E65" s="12"/>
      <c r="F65" s="12"/>
      <c r="G65" s="12"/>
      <c r="H65" s="12"/>
      <c r="I65" s="12"/>
      <c r="J65" s="12"/>
      <c r="K65" s="12"/>
      <c r="L65" s="12"/>
      <c r="M65" s="12"/>
      <c r="N65" s="3"/>
      <c r="O65" s="3"/>
      <c r="P65" s="3"/>
      <c r="Q65" s="3"/>
    </row>
    <row r="66" spans="1:17" ht="15">
      <c r="A66" s="12"/>
      <c r="B66" s="12"/>
      <c r="C66" s="12"/>
      <c r="D66" s="12"/>
      <c r="E66" s="12"/>
      <c r="F66" s="12"/>
      <c r="G66" s="12"/>
      <c r="H66" s="12"/>
      <c r="I66" s="12"/>
      <c r="J66" s="12"/>
      <c r="K66" s="12"/>
      <c r="L66" s="12"/>
      <c r="M66" s="12"/>
      <c r="N66" s="3"/>
      <c r="O66" s="3"/>
      <c r="P66" s="3"/>
      <c r="Q66" s="3"/>
    </row>
    <row r="67" spans="1:17" ht="15">
      <c r="A67" s="12"/>
      <c r="B67" s="12"/>
      <c r="C67" s="12"/>
      <c r="D67" s="12"/>
      <c r="E67" s="12"/>
      <c r="F67" s="12"/>
      <c r="G67" s="12"/>
      <c r="H67" s="12"/>
      <c r="I67" s="12"/>
      <c r="J67" s="12"/>
      <c r="K67" s="12"/>
      <c r="L67" s="12"/>
      <c r="M67" s="12"/>
      <c r="N67" s="3"/>
      <c r="O67" s="3"/>
      <c r="P67" s="3"/>
      <c r="Q67" s="3"/>
    </row>
    <row r="68" spans="1:17" ht="15">
      <c r="A68" s="12"/>
      <c r="B68" s="12"/>
      <c r="C68" s="12"/>
      <c r="D68" s="12"/>
      <c r="E68" s="12"/>
      <c r="F68" s="12"/>
      <c r="G68" s="12"/>
      <c r="H68" s="12"/>
      <c r="I68" s="12"/>
      <c r="J68" s="12"/>
      <c r="K68" s="12"/>
      <c r="L68" s="12"/>
      <c r="M68" s="12"/>
      <c r="N68" s="3"/>
      <c r="O68" s="3"/>
      <c r="P68" s="3"/>
      <c r="Q68" s="3"/>
    </row>
    <row r="69" spans="1:17" ht="15">
      <c r="A69" s="12"/>
      <c r="B69" s="12"/>
      <c r="C69" s="12"/>
      <c r="D69" s="12"/>
      <c r="E69" s="12"/>
      <c r="F69" s="12"/>
      <c r="G69" s="12"/>
      <c r="H69" s="12"/>
      <c r="I69" s="12"/>
      <c r="J69" s="12"/>
      <c r="K69" s="12"/>
      <c r="L69" s="12"/>
      <c r="M69" s="12"/>
      <c r="N69" s="3"/>
      <c r="O69" s="3"/>
      <c r="P69" s="3"/>
      <c r="Q69" s="3"/>
    </row>
    <row r="70" spans="1:17" ht="15">
      <c r="A70" s="12"/>
      <c r="B70" s="12"/>
      <c r="C70" s="12"/>
      <c r="D70" s="12"/>
      <c r="E70" s="12"/>
      <c r="F70" s="12"/>
      <c r="G70" s="12"/>
      <c r="H70" s="12"/>
      <c r="I70" s="12"/>
      <c r="J70" s="12"/>
      <c r="K70" s="12"/>
      <c r="L70" s="12"/>
      <c r="M70" s="12"/>
      <c r="N70" s="3"/>
      <c r="O70" s="3"/>
      <c r="P70" s="3"/>
      <c r="Q70" s="3"/>
    </row>
    <row r="71" spans="1:17" ht="15">
      <c r="A71" s="12"/>
      <c r="B71" s="12"/>
      <c r="C71" s="12"/>
      <c r="D71" s="12"/>
      <c r="E71" s="12"/>
      <c r="F71" s="12"/>
      <c r="G71" s="12"/>
      <c r="H71" s="12"/>
      <c r="I71" s="12"/>
      <c r="J71" s="12"/>
      <c r="K71" s="12"/>
      <c r="L71" s="12"/>
      <c r="M71" s="12"/>
      <c r="N71" s="3"/>
      <c r="O71" s="3"/>
      <c r="P71" s="3"/>
      <c r="Q71" s="3"/>
    </row>
    <row r="72" spans="1:17" ht="15">
      <c r="A72" s="12"/>
      <c r="B72" s="12"/>
      <c r="C72" s="12"/>
      <c r="D72" s="12"/>
      <c r="E72" s="12"/>
      <c r="F72" s="12"/>
      <c r="G72" s="12"/>
      <c r="H72" s="12"/>
      <c r="I72" s="12"/>
      <c r="J72" s="12"/>
      <c r="K72" s="12"/>
      <c r="L72" s="12"/>
      <c r="M72" s="12"/>
      <c r="N72" s="3"/>
      <c r="O72" s="3"/>
      <c r="P72" s="3"/>
      <c r="Q72" s="3"/>
    </row>
    <row r="73" spans="1:17" ht="15">
      <c r="A73" s="12"/>
      <c r="B73" s="12"/>
      <c r="C73" s="12"/>
      <c r="D73" s="12"/>
      <c r="E73" s="12"/>
      <c r="F73" s="12"/>
      <c r="G73" s="12"/>
      <c r="H73" s="12"/>
      <c r="I73" s="12"/>
      <c r="J73" s="12"/>
      <c r="K73" s="12"/>
      <c r="L73" s="12"/>
      <c r="M73" s="12"/>
      <c r="N73" s="3"/>
      <c r="O73" s="3"/>
      <c r="P73" s="3"/>
      <c r="Q73" s="3"/>
    </row>
    <row r="74" spans="1:17" ht="15">
      <c r="A74" s="12"/>
      <c r="B74" s="12"/>
      <c r="C74" s="12"/>
      <c r="D74" s="12"/>
      <c r="E74" s="12"/>
      <c r="F74" s="12"/>
      <c r="G74" s="12"/>
      <c r="H74" s="12"/>
      <c r="I74" s="12"/>
      <c r="J74" s="12"/>
      <c r="K74" s="12"/>
      <c r="L74" s="12"/>
      <c r="M74" s="12"/>
      <c r="N74" s="3"/>
      <c r="O74" s="3"/>
      <c r="P74" s="3"/>
      <c r="Q74" s="3"/>
    </row>
    <row r="75" spans="1:17" ht="15">
      <c r="A75" s="12"/>
      <c r="B75" s="12"/>
      <c r="C75" s="12"/>
      <c r="D75" s="12"/>
      <c r="E75" s="12"/>
      <c r="F75" s="12"/>
      <c r="G75" s="12"/>
      <c r="H75" s="12"/>
      <c r="I75" s="12"/>
      <c r="J75" s="12"/>
      <c r="K75" s="12"/>
      <c r="L75" s="12"/>
      <c r="M75" s="12"/>
      <c r="N75" s="3"/>
      <c r="O75" s="3"/>
      <c r="P75" s="3"/>
      <c r="Q75" s="3"/>
    </row>
    <row r="76" spans="1:17" ht="15">
      <c r="A76" s="12"/>
      <c r="B76" s="12"/>
      <c r="C76" s="12"/>
      <c r="D76" s="12"/>
      <c r="E76" s="12"/>
      <c r="F76" s="12"/>
      <c r="G76" s="12"/>
      <c r="H76" s="12"/>
      <c r="I76" s="12"/>
      <c r="J76" s="12"/>
      <c r="K76" s="12"/>
      <c r="L76" s="12"/>
      <c r="M76" s="12"/>
      <c r="N76" s="3"/>
      <c r="O76" s="3"/>
      <c r="P76" s="3"/>
      <c r="Q76" s="3"/>
    </row>
    <row r="77" spans="1:17" ht="15">
      <c r="A77" s="12"/>
      <c r="B77" s="12"/>
      <c r="C77" s="12"/>
      <c r="D77" s="12"/>
      <c r="E77" s="12"/>
      <c r="F77" s="12"/>
      <c r="G77" s="12"/>
      <c r="H77" s="12"/>
      <c r="I77" s="12"/>
      <c r="J77" s="12"/>
      <c r="K77" s="12"/>
      <c r="L77" s="12"/>
      <c r="M77" s="12"/>
      <c r="N77" s="3"/>
      <c r="O77" s="3"/>
      <c r="P77" s="3"/>
      <c r="Q77" s="3"/>
    </row>
    <row r="78" spans="1:17" ht="15">
      <c r="A78" s="12"/>
      <c r="B78" s="12"/>
      <c r="C78" s="12"/>
      <c r="D78" s="12"/>
      <c r="E78" s="12"/>
      <c r="F78" s="12"/>
      <c r="G78" s="12"/>
      <c r="H78" s="12"/>
      <c r="I78" s="12"/>
      <c r="J78" s="12"/>
      <c r="K78" s="12"/>
      <c r="L78" s="12"/>
      <c r="M78" s="12"/>
      <c r="N78" s="3"/>
      <c r="O78" s="3"/>
      <c r="P78" s="3"/>
      <c r="Q78" s="3"/>
    </row>
    <row r="79" spans="1:17" ht="15">
      <c r="A79" s="12"/>
      <c r="B79" s="12"/>
      <c r="C79" s="12"/>
      <c r="D79" s="12"/>
      <c r="E79" s="12"/>
      <c r="F79" s="12"/>
      <c r="G79" s="12"/>
      <c r="H79" s="12"/>
      <c r="I79" s="12"/>
      <c r="J79" s="12"/>
      <c r="K79" s="12"/>
      <c r="L79" s="12"/>
      <c r="M79" s="12"/>
      <c r="N79" s="3"/>
      <c r="O79" s="3"/>
      <c r="P79" s="3"/>
      <c r="Q79" s="3"/>
    </row>
    <row r="80" spans="1:17" ht="15">
      <c r="A80" s="12"/>
      <c r="B80" s="12"/>
      <c r="C80" s="12"/>
      <c r="D80" s="12"/>
      <c r="E80" s="12"/>
      <c r="F80" s="12"/>
      <c r="G80" s="12"/>
      <c r="H80" s="12"/>
      <c r="I80" s="12"/>
      <c r="J80" s="12"/>
      <c r="K80" s="12"/>
      <c r="L80" s="12"/>
      <c r="M80" s="12"/>
      <c r="N80" s="3"/>
      <c r="O80" s="3"/>
      <c r="P80" s="3"/>
      <c r="Q80" s="3"/>
    </row>
    <row r="81" spans="1:17" ht="15">
      <c r="A81" s="12"/>
      <c r="B81" s="12"/>
      <c r="C81" s="12"/>
      <c r="D81" s="12"/>
      <c r="E81" s="12"/>
      <c r="F81" s="12"/>
      <c r="G81" s="12"/>
      <c r="H81" s="12"/>
      <c r="I81" s="12"/>
      <c r="J81" s="12"/>
      <c r="K81" s="12"/>
      <c r="L81" s="12"/>
      <c r="M81" s="12"/>
      <c r="N81" s="3"/>
      <c r="O81" s="3"/>
      <c r="P81" s="3"/>
      <c r="Q81" s="3"/>
    </row>
    <row r="82" spans="1:17" ht="15">
      <c r="A82" s="12"/>
      <c r="B82" s="12"/>
      <c r="C82" s="12"/>
      <c r="D82" s="12"/>
      <c r="E82" s="12"/>
      <c r="F82" s="12"/>
      <c r="G82" s="12"/>
      <c r="H82" s="12"/>
      <c r="I82" s="12"/>
      <c r="J82" s="12"/>
      <c r="K82" s="12"/>
      <c r="L82" s="12"/>
      <c r="M82" s="12"/>
      <c r="N82" s="3"/>
      <c r="O82" s="3"/>
      <c r="P82" s="3"/>
      <c r="Q82" s="3"/>
    </row>
    <row r="83" spans="1:17" ht="15">
      <c r="A83" s="12"/>
      <c r="B83" s="12"/>
      <c r="C83" s="12"/>
      <c r="D83" s="12"/>
      <c r="E83" s="12"/>
      <c r="F83" s="12"/>
      <c r="G83" s="12"/>
      <c r="H83" s="12"/>
      <c r="I83" s="12"/>
      <c r="J83" s="12"/>
      <c r="K83" s="12"/>
      <c r="L83" s="12"/>
      <c r="M83" s="12"/>
      <c r="N83" s="3"/>
      <c r="O83" s="3"/>
      <c r="P83" s="3"/>
      <c r="Q83" s="3"/>
    </row>
    <row r="84" spans="1:17" ht="15">
      <c r="A84" s="12"/>
      <c r="B84" s="12"/>
      <c r="C84" s="12"/>
      <c r="D84" s="12"/>
      <c r="E84" s="12"/>
      <c r="F84" s="12"/>
      <c r="G84" s="12"/>
      <c r="H84" s="12"/>
      <c r="I84" s="12"/>
      <c r="J84" s="12"/>
      <c r="K84" s="12"/>
      <c r="L84" s="12"/>
      <c r="M84" s="12"/>
      <c r="N84" s="3"/>
      <c r="O84" s="3"/>
      <c r="P84" s="3"/>
      <c r="Q84" s="3"/>
    </row>
    <row r="85" spans="1:17" ht="15">
      <c r="A85" s="12"/>
      <c r="B85" s="12"/>
      <c r="C85" s="12"/>
      <c r="D85" s="12"/>
      <c r="E85" s="12"/>
      <c r="F85" s="12"/>
      <c r="G85" s="12"/>
      <c r="H85" s="12"/>
      <c r="I85" s="12"/>
      <c r="J85" s="12"/>
      <c r="K85" s="12"/>
      <c r="L85" s="12"/>
      <c r="M85" s="12"/>
      <c r="N85" s="3"/>
      <c r="O85" s="3"/>
      <c r="P85" s="3"/>
      <c r="Q85" s="3"/>
    </row>
    <row r="86" spans="1:17" ht="15">
      <c r="A86" s="12"/>
      <c r="B86" s="12"/>
      <c r="C86" s="12"/>
      <c r="D86" s="12"/>
      <c r="E86" s="12"/>
      <c r="F86" s="12"/>
      <c r="G86" s="12"/>
      <c r="H86" s="12"/>
      <c r="I86" s="12"/>
      <c r="J86" s="12"/>
      <c r="K86" s="12"/>
      <c r="L86" s="12"/>
      <c r="M86" s="12"/>
      <c r="N86" s="3"/>
      <c r="O86" s="3"/>
      <c r="P86" s="3"/>
      <c r="Q86" s="3"/>
    </row>
    <row r="87" spans="1:17" ht="15">
      <c r="A87" s="12"/>
      <c r="B87" s="12"/>
      <c r="C87" s="12"/>
      <c r="D87" s="12"/>
      <c r="E87" s="12"/>
      <c r="F87" s="12"/>
      <c r="G87" s="12"/>
      <c r="H87" s="12"/>
      <c r="I87" s="12"/>
      <c r="J87" s="12"/>
      <c r="K87" s="12"/>
      <c r="L87" s="12"/>
      <c r="M87" s="12"/>
      <c r="N87" s="3"/>
      <c r="O87" s="3"/>
      <c r="P87" s="3"/>
      <c r="Q87" s="3"/>
    </row>
    <row r="88" spans="1:17" ht="15">
      <c r="A88" s="12"/>
      <c r="B88" s="12"/>
      <c r="C88" s="12"/>
      <c r="D88" s="12"/>
      <c r="E88" s="12"/>
      <c r="F88" s="12"/>
      <c r="G88" s="12"/>
      <c r="H88" s="12"/>
      <c r="I88" s="12"/>
      <c r="J88" s="12"/>
      <c r="K88" s="12"/>
      <c r="L88" s="12"/>
      <c r="M88" s="12"/>
      <c r="N88" s="3"/>
      <c r="O88" s="3"/>
      <c r="P88" s="3"/>
      <c r="Q88" s="3"/>
    </row>
    <row r="89" spans="1:17" ht="15">
      <c r="A89" s="12"/>
      <c r="B89" s="12"/>
      <c r="C89" s="12"/>
      <c r="D89" s="12"/>
      <c r="E89" s="12"/>
      <c r="F89" s="12"/>
      <c r="G89" s="12"/>
      <c r="H89" s="12"/>
      <c r="I89" s="12"/>
      <c r="J89" s="12"/>
      <c r="K89" s="12"/>
      <c r="L89" s="12"/>
      <c r="M89" s="12"/>
      <c r="N89" s="3"/>
      <c r="O89" s="3"/>
      <c r="P89" s="3"/>
      <c r="Q89" s="3"/>
    </row>
    <row r="90" spans="1:17" ht="15">
      <c r="A90" s="12"/>
      <c r="B90" s="12"/>
      <c r="C90" s="12"/>
      <c r="D90" s="12"/>
      <c r="E90" s="12"/>
      <c r="F90" s="12"/>
      <c r="G90" s="12"/>
      <c r="H90" s="12"/>
      <c r="I90" s="12"/>
      <c r="J90" s="12"/>
      <c r="K90" s="12"/>
      <c r="L90" s="12"/>
      <c r="M90" s="12"/>
      <c r="N90" s="3"/>
      <c r="O90" s="3"/>
      <c r="P90" s="3"/>
      <c r="Q90" s="3"/>
    </row>
    <row r="91" spans="1:17" ht="15">
      <c r="A91" s="12"/>
      <c r="B91" s="12"/>
      <c r="C91" s="12"/>
      <c r="D91" s="12"/>
      <c r="E91" s="12"/>
      <c r="F91" s="12"/>
      <c r="G91" s="12"/>
      <c r="H91" s="12"/>
      <c r="I91" s="12"/>
      <c r="J91" s="12"/>
      <c r="K91" s="12"/>
      <c r="L91" s="12"/>
      <c r="M91" s="12"/>
      <c r="N91" s="3"/>
      <c r="O91" s="3"/>
      <c r="P91" s="3"/>
      <c r="Q91" s="3"/>
    </row>
    <row r="92" spans="1:17" ht="15">
      <c r="A92" s="12"/>
      <c r="B92" s="12"/>
      <c r="C92" s="12"/>
      <c r="D92" s="12"/>
      <c r="E92" s="12"/>
      <c r="F92" s="12"/>
      <c r="G92" s="12"/>
      <c r="H92" s="12"/>
      <c r="I92" s="12"/>
      <c r="J92" s="12"/>
      <c r="K92" s="12"/>
      <c r="L92" s="12"/>
      <c r="M92" s="12"/>
      <c r="N92" s="3"/>
      <c r="O92" s="3"/>
      <c r="P92" s="3"/>
      <c r="Q92" s="3"/>
    </row>
    <row r="93" spans="1:17" ht="15">
      <c r="A93" s="12"/>
      <c r="B93" s="12"/>
      <c r="C93" s="12"/>
      <c r="D93" s="12"/>
      <c r="E93" s="12"/>
      <c r="F93" s="12"/>
      <c r="G93" s="12"/>
      <c r="H93" s="12"/>
      <c r="I93" s="12"/>
      <c r="J93" s="12"/>
      <c r="K93" s="12"/>
      <c r="L93" s="12"/>
      <c r="M93" s="12"/>
      <c r="N93" s="3"/>
      <c r="O93" s="3"/>
      <c r="P93" s="3"/>
      <c r="Q93" s="3"/>
    </row>
    <row r="94" spans="1:17" ht="15">
      <c r="A94" s="12"/>
      <c r="B94" s="12"/>
      <c r="C94" s="12"/>
      <c r="D94" s="12"/>
      <c r="E94" s="12"/>
      <c r="F94" s="12"/>
      <c r="G94" s="12"/>
      <c r="H94" s="12"/>
      <c r="I94" s="12"/>
      <c r="J94" s="12"/>
      <c r="K94" s="12"/>
      <c r="L94" s="12"/>
      <c r="M94" s="12"/>
      <c r="N94" s="3"/>
      <c r="O94" s="3"/>
      <c r="P94" s="3"/>
      <c r="Q94" s="3"/>
    </row>
    <row r="95" spans="1:17" ht="15">
      <c r="A95" s="12"/>
      <c r="B95" s="12"/>
      <c r="C95" s="12"/>
      <c r="D95" s="12"/>
      <c r="E95" s="12"/>
      <c r="F95" s="12"/>
      <c r="G95" s="12"/>
      <c r="H95" s="12"/>
      <c r="I95" s="12"/>
      <c r="J95" s="12"/>
      <c r="K95" s="12"/>
      <c r="L95" s="12"/>
      <c r="M95" s="12"/>
      <c r="N95" s="3"/>
      <c r="O95" s="3"/>
      <c r="P95" s="3"/>
      <c r="Q95" s="3"/>
    </row>
    <row r="96" spans="1:17" ht="15">
      <c r="A96" s="12"/>
      <c r="B96" s="12"/>
      <c r="C96" s="12"/>
      <c r="D96" s="12"/>
      <c r="E96" s="12"/>
      <c r="F96" s="12"/>
      <c r="G96" s="12"/>
      <c r="H96" s="12"/>
      <c r="I96" s="12"/>
      <c r="J96" s="12"/>
      <c r="K96" s="12"/>
      <c r="L96" s="12"/>
      <c r="M96" s="12"/>
      <c r="N96" s="3"/>
      <c r="O96" s="3"/>
      <c r="P96" s="3"/>
      <c r="Q96" s="3"/>
    </row>
    <row r="97" spans="1:17" ht="15">
      <c r="A97" s="12"/>
      <c r="B97" s="12"/>
      <c r="C97" s="12"/>
      <c r="D97" s="12"/>
      <c r="E97" s="12"/>
      <c r="F97" s="12"/>
      <c r="G97" s="12"/>
      <c r="H97" s="12"/>
      <c r="I97" s="12"/>
      <c r="J97" s="12"/>
      <c r="K97" s="12"/>
      <c r="L97" s="12"/>
      <c r="M97" s="12"/>
      <c r="N97" s="3"/>
      <c r="O97" s="3"/>
      <c r="P97" s="3"/>
      <c r="Q97" s="3"/>
    </row>
    <row r="98" spans="1:17" ht="15">
      <c r="A98" s="12"/>
      <c r="B98" s="12"/>
      <c r="C98" s="12"/>
      <c r="D98" s="12"/>
      <c r="E98" s="12"/>
      <c r="F98" s="12"/>
      <c r="G98" s="12"/>
      <c r="H98" s="12"/>
      <c r="I98" s="12"/>
      <c r="J98" s="12"/>
      <c r="K98" s="12"/>
      <c r="L98" s="12"/>
      <c r="M98" s="12"/>
      <c r="N98" s="3"/>
      <c r="O98" s="3"/>
      <c r="P98" s="3"/>
      <c r="Q98" s="3"/>
    </row>
    <row r="99" spans="1:17" ht="15">
      <c r="A99" s="12"/>
      <c r="B99" s="12"/>
      <c r="C99" s="12"/>
      <c r="D99" s="12"/>
      <c r="E99" s="12"/>
      <c r="F99" s="12"/>
      <c r="G99" s="12"/>
      <c r="H99" s="12"/>
      <c r="I99" s="12"/>
      <c r="J99" s="12"/>
      <c r="K99" s="12"/>
      <c r="L99" s="12"/>
      <c r="M99" s="12"/>
      <c r="N99" s="3"/>
      <c r="O99" s="3"/>
      <c r="P99" s="3"/>
      <c r="Q99" s="3"/>
    </row>
    <row r="100" spans="1:17" ht="15">
      <c r="A100" s="12"/>
      <c r="B100" s="12"/>
      <c r="C100" s="12"/>
      <c r="D100" s="12"/>
      <c r="E100" s="12"/>
      <c r="F100" s="12"/>
      <c r="G100" s="12"/>
      <c r="H100" s="12"/>
      <c r="I100" s="12"/>
      <c r="J100" s="12"/>
      <c r="K100" s="12"/>
      <c r="L100" s="12"/>
      <c r="M100" s="12"/>
      <c r="N100" s="3"/>
      <c r="O100" s="3"/>
      <c r="P100" s="3"/>
      <c r="Q100" s="3"/>
    </row>
    <row r="101" spans="1:17" ht="15">
      <c r="A101" s="12"/>
      <c r="B101" s="12"/>
      <c r="C101" s="12"/>
      <c r="D101" s="12"/>
      <c r="E101" s="12"/>
      <c r="F101" s="12"/>
      <c r="G101" s="12"/>
      <c r="H101" s="12"/>
      <c r="I101" s="12"/>
      <c r="J101" s="12"/>
      <c r="K101" s="12"/>
      <c r="L101" s="12"/>
      <c r="M101" s="12"/>
      <c r="N101" s="3"/>
      <c r="O101" s="3"/>
      <c r="P101" s="3"/>
      <c r="Q101" s="3"/>
    </row>
    <row r="102" spans="1:17" ht="15">
      <c r="A102" s="12"/>
      <c r="B102" s="12"/>
      <c r="C102" s="12"/>
      <c r="D102" s="12"/>
      <c r="E102" s="12"/>
      <c r="F102" s="12"/>
      <c r="G102" s="12"/>
      <c r="H102" s="12"/>
      <c r="I102" s="12"/>
      <c r="J102" s="12"/>
      <c r="K102" s="12"/>
      <c r="L102" s="12"/>
      <c r="M102" s="12"/>
      <c r="N102" s="3"/>
      <c r="O102" s="3"/>
      <c r="P102" s="3"/>
      <c r="Q102" s="3"/>
    </row>
    <row r="103" spans="1:17" ht="15">
      <c r="A103" s="12"/>
      <c r="B103" s="12"/>
      <c r="C103" s="12"/>
      <c r="D103" s="12"/>
      <c r="E103" s="12"/>
      <c r="F103" s="12"/>
      <c r="G103" s="12"/>
      <c r="H103" s="12"/>
      <c r="I103" s="12"/>
      <c r="J103" s="12"/>
      <c r="K103" s="12"/>
      <c r="L103" s="12"/>
      <c r="M103" s="12"/>
      <c r="N103" s="3"/>
      <c r="O103" s="3"/>
      <c r="P103" s="3"/>
      <c r="Q103" s="3"/>
    </row>
    <row r="104" spans="1:17" ht="15">
      <c r="A104" s="12"/>
      <c r="B104" s="12"/>
      <c r="C104" s="12"/>
      <c r="D104" s="12"/>
      <c r="E104" s="12"/>
      <c r="F104" s="12"/>
      <c r="G104" s="12"/>
      <c r="H104" s="12"/>
      <c r="I104" s="12"/>
      <c r="J104" s="12"/>
      <c r="K104" s="12"/>
      <c r="L104" s="12"/>
      <c r="M104" s="12"/>
      <c r="N104" s="3"/>
      <c r="O104" s="3"/>
      <c r="P104" s="3"/>
      <c r="Q104" s="3"/>
    </row>
    <row r="105" spans="1:17" ht="15">
      <c r="A105" s="12"/>
      <c r="B105" s="12"/>
      <c r="C105" s="12"/>
      <c r="D105" s="12"/>
      <c r="E105" s="12"/>
      <c r="F105" s="12"/>
      <c r="G105" s="12"/>
      <c r="H105" s="12"/>
      <c r="I105" s="12"/>
      <c r="J105" s="12"/>
      <c r="K105" s="12"/>
      <c r="L105" s="12"/>
      <c r="M105" s="12"/>
      <c r="N105" s="3"/>
      <c r="O105" s="3"/>
      <c r="P105" s="3"/>
      <c r="Q105" s="3"/>
    </row>
    <row r="106" spans="1:17" ht="15">
      <c r="A106" s="12"/>
      <c r="B106" s="12"/>
      <c r="C106" s="12"/>
      <c r="D106" s="12"/>
      <c r="E106" s="12"/>
      <c r="F106" s="12"/>
      <c r="G106" s="12"/>
      <c r="H106" s="12"/>
      <c r="I106" s="12"/>
      <c r="J106" s="12"/>
      <c r="K106" s="12"/>
      <c r="L106" s="12"/>
      <c r="M106" s="12"/>
      <c r="N106" s="3"/>
      <c r="O106" s="3"/>
      <c r="P106" s="3"/>
      <c r="Q106" s="3"/>
    </row>
    <row r="107" spans="1:17" ht="15">
      <c r="A107" s="12"/>
      <c r="B107" s="12"/>
      <c r="C107" s="12"/>
      <c r="D107" s="12"/>
      <c r="E107" s="12"/>
      <c r="F107" s="12"/>
      <c r="G107" s="12"/>
      <c r="H107" s="12"/>
      <c r="I107" s="12"/>
      <c r="J107" s="12"/>
      <c r="K107" s="12"/>
      <c r="L107" s="12"/>
      <c r="M107" s="12"/>
      <c r="N107" s="3"/>
      <c r="O107" s="3"/>
      <c r="P107" s="3"/>
      <c r="Q107" s="3"/>
    </row>
    <row r="108" spans="1:17" ht="15">
      <c r="A108" s="12"/>
      <c r="B108" s="12"/>
      <c r="C108" s="12"/>
      <c r="D108" s="12"/>
      <c r="E108" s="12"/>
      <c r="F108" s="12"/>
      <c r="G108" s="12"/>
      <c r="H108" s="12"/>
      <c r="I108" s="12"/>
      <c r="J108" s="12"/>
      <c r="K108" s="12"/>
      <c r="L108" s="12"/>
      <c r="M108" s="12"/>
      <c r="N108" s="3"/>
      <c r="O108" s="3"/>
      <c r="P108" s="3"/>
      <c r="Q108" s="3"/>
    </row>
    <row r="109" spans="1:17" ht="15">
      <c r="A109" s="12"/>
      <c r="B109" s="12"/>
      <c r="C109" s="12"/>
      <c r="D109" s="12"/>
      <c r="E109" s="12"/>
      <c r="F109" s="12"/>
      <c r="G109" s="12"/>
      <c r="H109" s="12"/>
      <c r="I109" s="12"/>
      <c r="J109" s="12"/>
      <c r="K109" s="12"/>
      <c r="L109" s="12"/>
      <c r="M109" s="12"/>
      <c r="N109" s="3"/>
      <c r="O109" s="3"/>
      <c r="P109" s="3"/>
      <c r="Q109" s="3"/>
    </row>
    <row r="110" spans="1:17" ht="15">
      <c r="A110" s="12"/>
      <c r="B110" s="12"/>
      <c r="C110" s="12"/>
      <c r="D110" s="12"/>
      <c r="E110" s="12"/>
      <c r="F110" s="12"/>
      <c r="G110" s="12"/>
      <c r="H110" s="12"/>
      <c r="I110" s="12"/>
      <c r="J110" s="12"/>
      <c r="K110" s="12"/>
      <c r="L110" s="12"/>
      <c r="M110" s="12"/>
      <c r="N110" s="3"/>
      <c r="O110" s="3"/>
      <c r="P110" s="3"/>
      <c r="Q110" s="3"/>
    </row>
    <row r="111" spans="1:17" ht="15">
      <c r="A111" s="12"/>
      <c r="B111" s="12"/>
      <c r="C111" s="12"/>
      <c r="D111" s="12"/>
      <c r="E111" s="12"/>
      <c r="F111" s="12"/>
      <c r="G111" s="12"/>
      <c r="H111" s="12"/>
      <c r="I111" s="12"/>
      <c r="J111" s="12"/>
      <c r="K111" s="12"/>
      <c r="L111" s="12"/>
      <c r="M111" s="12"/>
      <c r="N111" s="3"/>
      <c r="O111" s="3"/>
      <c r="P111" s="3"/>
      <c r="Q111" s="3"/>
    </row>
    <row r="112" spans="1:17" ht="15">
      <c r="A112" s="12"/>
      <c r="B112" s="12"/>
      <c r="C112" s="12"/>
      <c r="D112" s="12"/>
      <c r="E112" s="12"/>
      <c r="F112" s="12"/>
      <c r="G112" s="12"/>
      <c r="H112" s="12"/>
      <c r="I112" s="12"/>
      <c r="J112" s="12"/>
      <c r="K112" s="12"/>
      <c r="L112" s="12"/>
      <c r="M112" s="12"/>
      <c r="N112" s="3"/>
      <c r="O112" s="3"/>
      <c r="P112" s="3"/>
      <c r="Q112" s="3"/>
    </row>
    <row r="113" spans="1:17" ht="15">
      <c r="A113" s="12"/>
      <c r="B113" s="12"/>
      <c r="C113" s="12"/>
      <c r="D113" s="12"/>
      <c r="E113" s="12"/>
      <c r="F113" s="12"/>
      <c r="G113" s="12"/>
      <c r="H113" s="12"/>
      <c r="I113" s="12"/>
      <c r="J113" s="12"/>
      <c r="K113" s="12"/>
      <c r="L113" s="12"/>
      <c r="M113" s="12"/>
      <c r="N113" s="3"/>
      <c r="O113" s="3"/>
      <c r="P113" s="3"/>
      <c r="Q113" s="3"/>
    </row>
    <row r="114" spans="1:17" ht="15">
      <c r="A114" s="12"/>
      <c r="B114" s="12"/>
      <c r="C114" s="12"/>
      <c r="D114" s="12"/>
      <c r="E114" s="12"/>
      <c r="F114" s="12"/>
      <c r="G114" s="12"/>
      <c r="H114" s="12"/>
      <c r="I114" s="12"/>
      <c r="J114" s="12"/>
      <c r="K114" s="12"/>
      <c r="L114" s="12"/>
      <c r="M114" s="12"/>
      <c r="N114" s="3"/>
      <c r="O114" s="3"/>
      <c r="P114" s="3"/>
      <c r="Q114" s="3"/>
    </row>
    <row r="115" spans="1:17" ht="15">
      <c r="A115" s="12"/>
      <c r="B115" s="12"/>
      <c r="C115" s="12"/>
      <c r="D115" s="12"/>
      <c r="E115" s="12"/>
      <c r="F115" s="12"/>
      <c r="G115" s="12"/>
      <c r="H115" s="12"/>
      <c r="I115" s="12"/>
      <c r="J115" s="12"/>
      <c r="K115" s="12"/>
      <c r="L115" s="12"/>
      <c r="M115" s="12"/>
      <c r="N115" s="3"/>
      <c r="O115" s="3"/>
      <c r="P115" s="3"/>
      <c r="Q115" s="3"/>
    </row>
    <row r="116" spans="1:17" ht="15">
      <c r="A116" s="12"/>
      <c r="B116" s="12"/>
      <c r="C116" s="12"/>
      <c r="D116" s="12"/>
      <c r="E116" s="12"/>
      <c r="F116" s="12"/>
      <c r="G116" s="12"/>
      <c r="H116" s="12"/>
      <c r="I116" s="12"/>
      <c r="J116" s="12"/>
      <c r="K116" s="12"/>
      <c r="L116" s="12"/>
      <c r="M116" s="12"/>
      <c r="N116" s="3"/>
      <c r="O116" s="3"/>
      <c r="P116" s="3"/>
      <c r="Q116" s="3"/>
    </row>
    <row r="117" spans="1:17" ht="15">
      <c r="A117" s="12"/>
      <c r="B117" s="12"/>
      <c r="C117" s="12"/>
      <c r="D117" s="12"/>
      <c r="E117" s="12"/>
      <c r="F117" s="12"/>
      <c r="G117" s="12"/>
      <c r="H117" s="12"/>
      <c r="I117" s="12"/>
      <c r="J117" s="12"/>
      <c r="K117" s="12"/>
      <c r="L117" s="12"/>
      <c r="M117" s="12"/>
      <c r="N117" s="3"/>
      <c r="O117" s="3"/>
      <c r="P117" s="3"/>
      <c r="Q117" s="3"/>
    </row>
    <row r="118" spans="1:17" ht="15">
      <c r="A118" s="12"/>
      <c r="B118" s="12"/>
      <c r="C118" s="12"/>
      <c r="D118" s="12"/>
      <c r="E118" s="12"/>
      <c r="F118" s="12"/>
      <c r="G118" s="12"/>
      <c r="H118" s="12"/>
      <c r="I118" s="12"/>
      <c r="J118" s="12"/>
      <c r="K118" s="12"/>
      <c r="L118" s="12"/>
      <c r="M118" s="12"/>
      <c r="N118" s="3"/>
      <c r="O118" s="3"/>
      <c r="P118" s="3"/>
      <c r="Q118" s="3"/>
    </row>
    <row r="119" spans="1:17" ht="15">
      <c r="A119" s="12"/>
      <c r="B119" s="12"/>
      <c r="C119" s="12"/>
      <c r="D119" s="12"/>
      <c r="E119" s="12"/>
      <c r="F119" s="12"/>
      <c r="G119" s="12"/>
      <c r="H119" s="12"/>
      <c r="I119" s="12"/>
      <c r="J119" s="12"/>
      <c r="K119" s="12"/>
      <c r="L119" s="12"/>
      <c r="M119" s="12"/>
      <c r="N119" s="3"/>
      <c r="O119" s="3"/>
      <c r="P119" s="3"/>
      <c r="Q119" s="3"/>
    </row>
    <row r="120" spans="1:17" ht="15">
      <c r="A120" s="12"/>
      <c r="B120" s="12"/>
      <c r="C120" s="12"/>
      <c r="D120" s="12"/>
      <c r="E120" s="12"/>
      <c r="F120" s="12"/>
      <c r="G120" s="12"/>
      <c r="H120" s="12"/>
      <c r="I120" s="12"/>
      <c r="J120" s="12"/>
      <c r="K120" s="12"/>
      <c r="L120" s="12"/>
      <c r="M120" s="12"/>
      <c r="N120" s="3"/>
      <c r="O120" s="3"/>
      <c r="P120" s="3"/>
      <c r="Q120" s="3"/>
    </row>
    <row r="121" spans="1:17" ht="15">
      <c r="A121" s="12"/>
      <c r="B121" s="12"/>
      <c r="C121" s="12"/>
      <c r="D121" s="12"/>
      <c r="E121" s="12"/>
      <c r="F121" s="12"/>
      <c r="G121" s="12"/>
      <c r="H121" s="12"/>
      <c r="I121" s="12"/>
      <c r="J121" s="12"/>
      <c r="K121" s="12"/>
      <c r="L121" s="12"/>
      <c r="M121" s="12"/>
      <c r="N121" s="3"/>
      <c r="O121" s="3"/>
      <c r="P121" s="3"/>
      <c r="Q121" s="3"/>
    </row>
    <row r="122" spans="1:17" ht="15">
      <c r="A122" s="12"/>
      <c r="B122" s="12"/>
      <c r="C122" s="12"/>
      <c r="D122" s="12"/>
      <c r="E122" s="12"/>
      <c r="F122" s="12"/>
      <c r="G122" s="12"/>
      <c r="H122" s="12"/>
      <c r="I122" s="12"/>
      <c r="J122" s="12"/>
      <c r="K122" s="12"/>
      <c r="L122" s="12"/>
      <c r="M122" s="12"/>
      <c r="N122" s="3"/>
      <c r="O122" s="3"/>
      <c r="P122" s="3"/>
      <c r="Q122" s="3"/>
    </row>
    <row r="123" spans="1:17" ht="15">
      <c r="A123" s="12"/>
      <c r="B123" s="12"/>
      <c r="C123" s="12"/>
      <c r="D123" s="12"/>
      <c r="E123" s="12"/>
      <c r="F123" s="12"/>
      <c r="G123" s="12"/>
      <c r="H123" s="12"/>
      <c r="I123" s="12"/>
      <c r="J123" s="12"/>
      <c r="K123" s="12"/>
      <c r="L123" s="12"/>
      <c r="M123" s="12"/>
      <c r="N123" s="3"/>
      <c r="O123" s="3"/>
      <c r="P123" s="3"/>
      <c r="Q123" s="3"/>
    </row>
    <row r="124" spans="1:17" ht="15">
      <c r="A124" s="12"/>
      <c r="B124" s="12"/>
      <c r="C124" s="12"/>
      <c r="D124" s="12"/>
      <c r="E124" s="12"/>
      <c r="F124" s="12"/>
      <c r="G124" s="12"/>
      <c r="H124" s="12"/>
      <c r="I124" s="12"/>
      <c r="J124" s="12"/>
      <c r="K124" s="12"/>
      <c r="L124" s="12"/>
      <c r="M124" s="12"/>
      <c r="N124" s="3"/>
      <c r="O124" s="3"/>
      <c r="P124" s="3"/>
      <c r="Q124" s="3"/>
    </row>
    <row r="125" spans="1:17" ht="15">
      <c r="A125" s="12"/>
      <c r="B125" s="12"/>
      <c r="C125" s="12"/>
      <c r="D125" s="12"/>
      <c r="E125" s="12"/>
      <c r="F125" s="12"/>
      <c r="G125" s="12"/>
      <c r="H125" s="12"/>
      <c r="I125" s="12"/>
      <c r="J125" s="12"/>
      <c r="K125" s="12"/>
      <c r="L125" s="12"/>
      <c r="M125" s="12"/>
      <c r="N125" s="3"/>
      <c r="O125" s="3"/>
      <c r="P125" s="3"/>
      <c r="Q125" s="3"/>
    </row>
    <row r="126" spans="1:17" ht="15">
      <c r="A126" s="12"/>
      <c r="B126" s="12"/>
      <c r="C126" s="12"/>
      <c r="D126" s="12"/>
      <c r="E126" s="12"/>
      <c r="F126" s="12"/>
      <c r="G126" s="12"/>
      <c r="H126" s="12"/>
      <c r="I126" s="12"/>
      <c r="J126" s="12"/>
      <c r="K126" s="12"/>
      <c r="L126" s="12"/>
      <c r="M126" s="12"/>
      <c r="N126" s="3"/>
      <c r="O126" s="3"/>
      <c r="P126" s="3"/>
      <c r="Q126" s="3"/>
    </row>
    <row r="127" spans="1:17" ht="15">
      <c r="A127" s="12"/>
      <c r="B127" s="12"/>
      <c r="C127" s="12"/>
      <c r="D127" s="12"/>
      <c r="E127" s="12"/>
      <c r="F127" s="12"/>
      <c r="G127" s="12"/>
      <c r="H127" s="12"/>
      <c r="I127" s="12"/>
      <c r="J127" s="12"/>
      <c r="K127" s="12"/>
      <c r="L127" s="12"/>
      <c r="M127" s="12"/>
      <c r="N127" s="3"/>
      <c r="O127" s="3"/>
      <c r="P127" s="3"/>
      <c r="Q127" s="3"/>
    </row>
    <row r="128" spans="1:17" ht="15">
      <c r="A128" s="12"/>
      <c r="B128" s="12"/>
      <c r="C128" s="12"/>
      <c r="D128" s="12"/>
      <c r="E128" s="12"/>
      <c r="F128" s="12"/>
      <c r="G128" s="12"/>
      <c r="H128" s="12"/>
      <c r="I128" s="12"/>
      <c r="J128" s="12"/>
      <c r="K128" s="12"/>
      <c r="L128" s="12"/>
      <c r="M128" s="12"/>
      <c r="N128" s="3"/>
      <c r="O128" s="3"/>
      <c r="P128" s="3"/>
      <c r="Q128" s="3"/>
    </row>
    <row r="129" spans="1:17" ht="15">
      <c r="A129" s="12"/>
      <c r="B129" s="12"/>
      <c r="C129" s="12"/>
      <c r="D129" s="12"/>
      <c r="E129" s="12"/>
      <c r="F129" s="12"/>
      <c r="G129" s="12"/>
      <c r="H129" s="12"/>
      <c r="I129" s="12"/>
      <c r="J129" s="12"/>
      <c r="K129" s="12"/>
      <c r="L129" s="12"/>
      <c r="M129" s="12"/>
      <c r="N129" s="3"/>
      <c r="O129" s="3"/>
      <c r="P129" s="3"/>
      <c r="Q129" s="3"/>
    </row>
    <row r="130" spans="1:17" ht="15">
      <c r="A130" s="12"/>
      <c r="B130" s="12"/>
      <c r="C130" s="12"/>
      <c r="D130" s="12"/>
      <c r="E130" s="12"/>
      <c r="F130" s="12"/>
      <c r="G130" s="12"/>
      <c r="H130" s="12"/>
      <c r="I130" s="12"/>
      <c r="J130" s="12"/>
      <c r="K130" s="12"/>
      <c r="L130" s="12"/>
      <c r="M130" s="12"/>
      <c r="N130" s="3"/>
      <c r="O130" s="3"/>
      <c r="P130" s="3"/>
      <c r="Q130" s="3"/>
    </row>
    <row r="131" spans="1:17" ht="15">
      <c r="A131" s="12"/>
      <c r="B131" s="12"/>
      <c r="C131" s="12"/>
      <c r="D131" s="12"/>
      <c r="E131" s="12"/>
      <c r="F131" s="12"/>
      <c r="G131" s="12"/>
      <c r="H131" s="12"/>
      <c r="I131" s="12"/>
      <c r="J131" s="12"/>
      <c r="K131" s="12"/>
      <c r="L131" s="12"/>
      <c r="M131" s="12"/>
      <c r="N131" s="3"/>
      <c r="O131" s="3"/>
      <c r="P131" s="3"/>
      <c r="Q131" s="3"/>
    </row>
    <row r="132" spans="1:17" ht="15">
      <c r="A132" s="12"/>
      <c r="B132" s="12"/>
      <c r="C132" s="12"/>
      <c r="D132" s="12"/>
      <c r="E132" s="12"/>
      <c r="F132" s="12"/>
      <c r="G132" s="12"/>
      <c r="H132" s="12"/>
      <c r="I132" s="12"/>
      <c r="J132" s="12"/>
      <c r="K132" s="12"/>
      <c r="L132" s="12"/>
      <c r="M132" s="12"/>
      <c r="N132" s="3"/>
      <c r="O132" s="3"/>
      <c r="P132" s="3"/>
      <c r="Q132" s="3"/>
    </row>
    <row r="133" spans="1:17" ht="15">
      <c r="A133" s="12"/>
      <c r="B133" s="12"/>
      <c r="C133" s="12"/>
      <c r="D133" s="12"/>
      <c r="E133" s="12"/>
      <c r="F133" s="12"/>
      <c r="G133" s="12"/>
      <c r="H133" s="12"/>
      <c r="I133" s="12"/>
      <c r="J133" s="12"/>
      <c r="K133" s="12"/>
      <c r="L133" s="12"/>
      <c r="M133" s="12"/>
      <c r="N133" s="3"/>
      <c r="O133" s="3"/>
      <c r="P133" s="3"/>
      <c r="Q133" s="3"/>
    </row>
    <row r="134" spans="1:17" ht="15">
      <c r="A134" s="12"/>
      <c r="B134" s="12"/>
      <c r="C134" s="12"/>
      <c r="D134" s="12"/>
      <c r="E134" s="12"/>
      <c r="F134" s="12"/>
      <c r="G134" s="12"/>
      <c r="H134" s="12"/>
      <c r="I134" s="12"/>
      <c r="J134" s="12"/>
      <c r="K134" s="12"/>
      <c r="L134" s="12"/>
      <c r="M134" s="12"/>
      <c r="N134" s="3"/>
      <c r="O134" s="3"/>
      <c r="P134" s="3"/>
      <c r="Q134" s="3"/>
    </row>
    <row r="135" spans="1:17" ht="15">
      <c r="A135" s="12"/>
      <c r="B135" s="12"/>
      <c r="C135" s="12"/>
      <c r="D135" s="12"/>
      <c r="E135" s="12"/>
      <c r="F135" s="12"/>
      <c r="G135" s="12"/>
      <c r="H135" s="12"/>
      <c r="I135" s="12"/>
      <c r="J135" s="12"/>
      <c r="K135" s="12"/>
      <c r="L135" s="12"/>
      <c r="M135" s="12"/>
      <c r="N135" s="3"/>
      <c r="O135" s="3"/>
      <c r="P135" s="3"/>
      <c r="Q135" s="3"/>
    </row>
    <row r="136" spans="1:17" ht="15">
      <c r="A136" s="12"/>
      <c r="B136" s="12"/>
      <c r="C136" s="12"/>
      <c r="D136" s="12"/>
      <c r="E136" s="12"/>
      <c r="F136" s="12"/>
      <c r="G136" s="12"/>
      <c r="H136" s="12"/>
      <c r="I136" s="12"/>
      <c r="J136" s="12"/>
      <c r="K136" s="12"/>
      <c r="L136" s="12"/>
      <c r="M136" s="12"/>
      <c r="N136" s="3"/>
      <c r="O136" s="3"/>
      <c r="P136" s="3"/>
      <c r="Q136" s="3"/>
    </row>
    <row r="137" spans="1:17" ht="15">
      <c r="A137" s="12"/>
      <c r="B137" s="12"/>
      <c r="C137" s="12"/>
      <c r="D137" s="12"/>
      <c r="E137" s="12"/>
      <c r="F137" s="12"/>
      <c r="G137" s="12"/>
      <c r="H137" s="12"/>
      <c r="I137" s="12"/>
      <c r="J137" s="12"/>
      <c r="K137" s="12"/>
      <c r="L137" s="12"/>
      <c r="M137" s="12"/>
      <c r="N137" s="3"/>
      <c r="O137" s="3"/>
      <c r="P137" s="3"/>
      <c r="Q137" s="3"/>
    </row>
    <row r="138" spans="1:17" ht="15">
      <c r="A138" s="12"/>
      <c r="B138" s="12"/>
      <c r="C138" s="12"/>
      <c r="D138" s="12"/>
      <c r="E138" s="12"/>
      <c r="F138" s="12"/>
      <c r="G138" s="12"/>
      <c r="H138" s="12"/>
      <c r="I138" s="12"/>
      <c r="J138" s="12"/>
      <c r="K138" s="12"/>
      <c r="L138" s="12"/>
      <c r="M138" s="12"/>
      <c r="N138" s="3"/>
      <c r="O138" s="3"/>
      <c r="P138" s="3"/>
      <c r="Q138" s="3"/>
    </row>
    <row r="139" spans="1:17" ht="15">
      <c r="A139" s="12"/>
      <c r="B139" s="12"/>
      <c r="C139" s="12"/>
      <c r="D139" s="12"/>
      <c r="E139" s="12"/>
      <c r="F139" s="12"/>
      <c r="G139" s="12"/>
      <c r="H139" s="12"/>
      <c r="I139" s="12"/>
      <c r="J139" s="12"/>
      <c r="K139" s="12"/>
      <c r="L139" s="12"/>
      <c r="M139" s="12"/>
      <c r="N139" s="3"/>
      <c r="O139" s="3"/>
      <c r="P139" s="3"/>
      <c r="Q139" s="3"/>
    </row>
    <row r="140" spans="1:17" ht="15">
      <c r="A140" s="12"/>
      <c r="B140" s="12"/>
      <c r="C140" s="12"/>
      <c r="D140" s="12"/>
      <c r="E140" s="12"/>
      <c r="F140" s="12"/>
      <c r="G140" s="12"/>
      <c r="H140" s="12"/>
      <c r="I140" s="12"/>
      <c r="J140" s="12"/>
      <c r="K140" s="12"/>
      <c r="L140" s="12"/>
      <c r="M140" s="12"/>
      <c r="N140" s="3"/>
      <c r="O140" s="3"/>
      <c r="P140" s="3"/>
      <c r="Q140" s="3"/>
    </row>
    <row r="141" spans="1:17" ht="15">
      <c r="A141" s="12"/>
      <c r="B141" s="12"/>
      <c r="C141" s="12"/>
      <c r="D141" s="12"/>
      <c r="E141" s="12"/>
      <c r="F141" s="12"/>
      <c r="G141" s="12"/>
      <c r="H141" s="12"/>
      <c r="I141" s="12"/>
      <c r="J141" s="12"/>
      <c r="K141" s="12"/>
      <c r="L141" s="12"/>
      <c r="M141" s="12"/>
      <c r="N141" s="3"/>
      <c r="O141" s="3"/>
      <c r="P141" s="3"/>
      <c r="Q141" s="3"/>
    </row>
    <row r="142" spans="1:17" ht="15">
      <c r="A142" s="12"/>
      <c r="B142" s="12"/>
      <c r="C142" s="12"/>
      <c r="D142" s="12"/>
      <c r="E142" s="12"/>
      <c r="F142" s="12"/>
      <c r="G142" s="12"/>
      <c r="H142" s="12"/>
      <c r="I142" s="12"/>
      <c r="J142" s="12"/>
      <c r="K142" s="12"/>
      <c r="L142" s="12"/>
      <c r="M142" s="12"/>
      <c r="N142" s="3"/>
      <c r="O142" s="3"/>
      <c r="P142" s="3"/>
      <c r="Q142" s="3"/>
    </row>
    <row r="143" spans="1:17" ht="15">
      <c r="A143" s="12"/>
      <c r="B143" s="12"/>
      <c r="C143" s="12"/>
      <c r="D143" s="12"/>
      <c r="E143" s="12"/>
      <c r="F143" s="12"/>
      <c r="G143" s="12"/>
      <c r="H143" s="12"/>
      <c r="I143" s="12"/>
      <c r="J143" s="12"/>
      <c r="K143" s="12"/>
      <c r="L143" s="12"/>
      <c r="M143" s="12"/>
      <c r="N143" s="3"/>
      <c r="O143" s="3"/>
      <c r="P143" s="3"/>
      <c r="Q143" s="3"/>
    </row>
    <row r="144" spans="1:17" ht="15">
      <c r="A144" s="12"/>
      <c r="B144" s="12"/>
      <c r="C144" s="12"/>
      <c r="D144" s="12"/>
      <c r="E144" s="12"/>
      <c r="F144" s="12"/>
      <c r="G144" s="12"/>
      <c r="H144" s="12"/>
      <c r="I144" s="12"/>
      <c r="J144" s="12"/>
      <c r="K144" s="12"/>
      <c r="L144" s="12"/>
      <c r="M144" s="12"/>
      <c r="N144" s="3"/>
      <c r="O144" s="3"/>
      <c r="P144" s="3"/>
      <c r="Q144" s="3"/>
    </row>
    <row r="145" spans="1:17" ht="15">
      <c r="A145" s="12"/>
      <c r="B145" s="12"/>
      <c r="C145" s="12"/>
      <c r="D145" s="12"/>
      <c r="E145" s="12"/>
      <c r="F145" s="12"/>
      <c r="G145" s="12"/>
      <c r="H145" s="12"/>
      <c r="I145" s="12"/>
      <c r="J145" s="12"/>
      <c r="K145" s="12"/>
      <c r="L145" s="12"/>
      <c r="M145" s="12"/>
      <c r="N145" s="3"/>
      <c r="O145" s="3"/>
      <c r="P145" s="3"/>
      <c r="Q145" s="3"/>
    </row>
    <row r="146" spans="1:17" ht="15">
      <c r="A146" s="12"/>
      <c r="B146" s="12"/>
      <c r="C146" s="12"/>
      <c r="D146" s="12"/>
      <c r="E146" s="12"/>
      <c r="F146" s="12"/>
      <c r="G146" s="12"/>
      <c r="H146" s="12"/>
      <c r="I146" s="12"/>
      <c r="J146" s="12"/>
      <c r="K146" s="12"/>
      <c r="L146" s="12"/>
      <c r="M146" s="12"/>
      <c r="N146" s="3"/>
      <c r="O146" s="3"/>
      <c r="P146" s="3"/>
      <c r="Q146" s="3"/>
    </row>
    <row r="147" spans="1:17" ht="15">
      <c r="A147" s="12"/>
      <c r="B147" s="12"/>
      <c r="C147" s="12"/>
      <c r="D147" s="12"/>
      <c r="E147" s="12"/>
      <c r="F147" s="12"/>
      <c r="G147" s="12"/>
      <c r="H147" s="12"/>
      <c r="I147" s="12"/>
      <c r="J147" s="12"/>
      <c r="K147" s="12"/>
      <c r="L147" s="12"/>
      <c r="M147" s="12"/>
      <c r="N147" s="3"/>
      <c r="O147" s="3"/>
      <c r="P147" s="3"/>
      <c r="Q147" s="3"/>
    </row>
    <row r="148" spans="1:17" ht="15">
      <c r="A148" s="12"/>
      <c r="B148" s="12"/>
      <c r="C148" s="12"/>
      <c r="D148" s="12"/>
      <c r="E148" s="12"/>
      <c r="F148" s="12"/>
      <c r="G148" s="12"/>
      <c r="H148" s="12"/>
      <c r="I148" s="12"/>
      <c r="J148" s="12"/>
      <c r="K148" s="12"/>
      <c r="L148" s="12"/>
      <c r="M148" s="12"/>
      <c r="N148" s="3"/>
      <c r="O148" s="3"/>
      <c r="P148" s="3"/>
      <c r="Q148" s="3"/>
    </row>
    <row r="149" spans="1:17" ht="15">
      <c r="A149" s="12"/>
      <c r="B149" s="12"/>
      <c r="C149" s="12"/>
      <c r="D149" s="12"/>
      <c r="E149" s="12"/>
      <c r="F149" s="12"/>
      <c r="G149" s="12"/>
      <c r="H149" s="12"/>
      <c r="I149" s="12"/>
      <c r="J149" s="12"/>
      <c r="K149" s="12"/>
      <c r="L149" s="12"/>
      <c r="M149" s="12"/>
      <c r="N149" s="3"/>
      <c r="O149" s="3"/>
      <c r="P149" s="3"/>
      <c r="Q149" s="3"/>
    </row>
    <row r="150" spans="1:17" ht="15">
      <c r="A150" s="12"/>
      <c r="B150" s="12"/>
      <c r="C150" s="12"/>
      <c r="D150" s="12"/>
      <c r="E150" s="12"/>
      <c r="F150" s="12"/>
      <c r="G150" s="12"/>
      <c r="H150" s="12"/>
      <c r="I150" s="12"/>
      <c r="J150" s="12"/>
      <c r="K150" s="12"/>
      <c r="L150" s="12"/>
      <c r="M150" s="12"/>
      <c r="N150" s="3"/>
      <c r="O150" s="3"/>
      <c r="P150" s="3"/>
      <c r="Q150" s="3"/>
    </row>
    <row r="151" spans="1:17" ht="15">
      <c r="A151" s="12"/>
      <c r="B151" s="12"/>
      <c r="C151" s="12"/>
      <c r="D151" s="12"/>
      <c r="E151" s="12"/>
      <c r="F151" s="12"/>
      <c r="G151" s="12"/>
      <c r="H151" s="12"/>
      <c r="I151" s="12"/>
      <c r="J151" s="12"/>
      <c r="K151" s="12"/>
      <c r="L151" s="12"/>
      <c r="M151" s="12"/>
      <c r="N151" s="3"/>
      <c r="O151" s="3"/>
      <c r="P151" s="3"/>
      <c r="Q151" s="3"/>
    </row>
    <row r="152" spans="1:17" ht="15">
      <c r="A152" s="12"/>
      <c r="B152" s="12"/>
      <c r="C152" s="12"/>
      <c r="D152" s="12"/>
      <c r="E152" s="12"/>
      <c r="F152" s="12"/>
      <c r="G152" s="12"/>
      <c r="H152" s="12"/>
      <c r="I152" s="12"/>
      <c r="J152" s="12"/>
      <c r="K152" s="12"/>
      <c r="L152" s="12"/>
      <c r="M152" s="12"/>
      <c r="N152" s="3"/>
      <c r="O152" s="3"/>
      <c r="P152" s="3"/>
      <c r="Q152" s="3"/>
    </row>
    <row r="153" spans="1:17" ht="15">
      <c r="A153" s="12"/>
      <c r="B153" s="12"/>
      <c r="C153" s="12"/>
      <c r="D153" s="12"/>
      <c r="E153" s="12"/>
      <c r="F153" s="12"/>
      <c r="G153" s="12"/>
      <c r="H153" s="12"/>
      <c r="I153" s="12"/>
      <c r="J153" s="12"/>
      <c r="K153" s="12"/>
      <c r="L153" s="12"/>
      <c r="M153" s="12"/>
      <c r="N153" s="3"/>
      <c r="O153" s="3"/>
      <c r="P153" s="3"/>
      <c r="Q153" s="3"/>
    </row>
    <row r="154" spans="1:17" ht="15">
      <c r="A154" s="12"/>
      <c r="B154" s="12"/>
      <c r="C154" s="12"/>
      <c r="D154" s="12"/>
      <c r="E154" s="12"/>
      <c r="F154" s="12"/>
      <c r="G154" s="12"/>
      <c r="H154" s="12"/>
      <c r="I154" s="12"/>
      <c r="J154" s="12"/>
      <c r="K154" s="12"/>
      <c r="L154" s="12"/>
      <c r="M154" s="12"/>
      <c r="N154" s="3"/>
      <c r="O154" s="3"/>
      <c r="P154" s="3"/>
      <c r="Q154" s="3"/>
    </row>
    <row r="155" spans="1:17" ht="15">
      <c r="A155" s="12"/>
      <c r="B155" s="12"/>
      <c r="C155" s="12"/>
      <c r="D155" s="12"/>
      <c r="E155" s="12"/>
      <c r="F155" s="12"/>
      <c r="G155" s="12"/>
      <c r="H155" s="12"/>
      <c r="I155" s="12"/>
      <c r="J155" s="12"/>
      <c r="K155" s="12"/>
      <c r="L155" s="12"/>
      <c r="M155" s="12"/>
      <c r="N155" s="3"/>
      <c r="O155" s="3"/>
      <c r="P155" s="3"/>
      <c r="Q155" s="3"/>
    </row>
    <row r="156" spans="1:17" ht="15">
      <c r="A156" s="12"/>
      <c r="B156" s="12"/>
      <c r="C156" s="12"/>
      <c r="D156" s="12"/>
      <c r="E156" s="12"/>
      <c r="F156" s="12"/>
      <c r="G156" s="12"/>
      <c r="H156" s="12"/>
      <c r="I156" s="12"/>
      <c r="J156" s="12"/>
      <c r="K156" s="12"/>
      <c r="L156" s="12"/>
      <c r="M156" s="12"/>
      <c r="N156" s="3"/>
      <c r="O156" s="3"/>
      <c r="P156" s="3"/>
      <c r="Q156" s="3"/>
    </row>
    <row r="157" spans="1:17" ht="15">
      <c r="A157" s="12"/>
      <c r="B157" s="12"/>
      <c r="C157" s="12"/>
      <c r="D157" s="12"/>
      <c r="E157" s="12"/>
      <c r="F157" s="12"/>
      <c r="G157" s="12"/>
      <c r="H157" s="12"/>
      <c r="I157" s="12"/>
      <c r="J157" s="12"/>
      <c r="K157" s="12"/>
      <c r="L157" s="12"/>
      <c r="M157" s="12"/>
      <c r="N157" s="3"/>
      <c r="O157" s="3"/>
      <c r="P157" s="3"/>
      <c r="Q157" s="3"/>
    </row>
    <row r="158" spans="1:17" ht="15">
      <c r="A158" s="12"/>
      <c r="B158" s="12"/>
      <c r="C158" s="12"/>
      <c r="D158" s="12"/>
      <c r="E158" s="12"/>
      <c r="F158" s="12"/>
      <c r="G158" s="12"/>
      <c r="H158" s="12"/>
      <c r="I158" s="12"/>
      <c r="J158" s="12"/>
      <c r="K158" s="12"/>
      <c r="L158" s="12"/>
      <c r="M158" s="12"/>
      <c r="N158" s="3"/>
      <c r="O158" s="3"/>
      <c r="P158" s="3"/>
      <c r="Q158" s="3"/>
    </row>
    <row r="159" spans="1:17" ht="15">
      <c r="A159" s="12"/>
      <c r="B159" s="12"/>
      <c r="C159" s="12"/>
      <c r="D159" s="12"/>
      <c r="E159" s="12"/>
      <c r="F159" s="12"/>
      <c r="G159" s="12"/>
      <c r="H159" s="12"/>
      <c r="I159" s="12"/>
      <c r="J159" s="12"/>
      <c r="K159" s="12"/>
      <c r="L159" s="12"/>
      <c r="M159" s="12"/>
      <c r="N159" s="3"/>
      <c r="O159" s="3"/>
      <c r="P159" s="3"/>
      <c r="Q159" s="3"/>
    </row>
    <row r="160" spans="1:17" ht="15">
      <c r="A160" s="12"/>
      <c r="B160" s="12"/>
      <c r="C160" s="12"/>
      <c r="D160" s="12"/>
      <c r="E160" s="12"/>
      <c r="F160" s="12"/>
      <c r="G160" s="12"/>
      <c r="H160" s="12"/>
      <c r="I160" s="12"/>
      <c r="J160" s="12"/>
      <c r="K160" s="12"/>
      <c r="L160" s="12"/>
      <c r="M160" s="12"/>
      <c r="N160" s="3"/>
      <c r="O160" s="3"/>
      <c r="P160" s="3"/>
      <c r="Q160" s="3"/>
    </row>
    <row r="161" spans="1:17" ht="15">
      <c r="A161" s="12"/>
      <c r="B161" s="12"/>
      <c r="C161" s="12"/>
      <c r="D161" s="12"/>
      <c r="E161" s="12"/>
      <c r="F161" s="12"/>
      <c r="G161" s="12"/>
      <c r="H161" s="12"/>
      <c r="I161" s="12"/>
      <c r="J161" s="12"/>
      <c r="K161" s="12"/>
      <c r="L161" s="12"/>
      <c r="M161" s="12"/>
      <c r="N161" s="3"/>
      <c r="O161" s="3"/>
      <c r="P161" s="3"/>
      <c r="Q161" s="3"/>
    </row>
    <row r="162" spans="1:17" ht="15">
      <c r="A162" s="12"/>
      <c r="B162" s="12"/>
      <c r="C162" s="12"/>
      <c r="D162" s="12"/>
      <c r="E162" s="12"/>
      <c r="F162" s="12"/>
      <c r="G162" s="12"/>
      <c r="H162" s="12"/>
      <c r="I162" s="12"/>
      <c r="J162" s="12"/>
      <c r="K162" s="12"/>
      <c r="L162" s="12"/>
      <c r="M162" s="12"/>
      <c r="N162" s="3"/>
      <c r="O162" s="3"/>
      <c r="P162" s="3"/>
      <c r="Q162" s="3"/>
    </row>
    <row r="163" spans="1:17" ht="15">
      <c r="A163" s="12"/>
      <c r="B163" s="12"/>
      <c r="C163" s="12"/>
      <c r="D163" s="12"/>
      <c r="E163" s="12"/>
      <c r="F163" s="12"/>
      <c r="G163" s="12"/>
      <c r="H163" s="12"/>
      <c r="I163" s="12"/>
      <c r="J163" s="12"/>
      <c r="K163" s="12"/>
      <c r="L163" s="12"/>
      <c r="M163" s="12"/>
      <c r="N163" s="3"/>
      <c r="O163" s="3"/>
      <c r="P163" s="3"/>
      <c r="Q163" s="3"/>
    </row>
    <row r="164" spans="1:17" ht="15">
      <c r="A164" s="12"/>
      <c r="B164" s="12"/>
      <c r="C164" s="12"/>
      <c r="D164" s="12"/>
      <c r="E164" s="12"/>
      <c r="F164" s="12"/>
      <c r="G164" s="12"/>
      <c r="H164" s="12"/>
      <c r="I164" s="12"/>
      <c r="J164" s="12"/>
      <c r="K164" s="12"/>
      <c r="L164" s="12"/>
      <c r="M164" s="12"/>
      <c r="N164" s="3"/>
      <c r="O164" s="3"/>
      <c r="P164" s="3"/>
      <c r="Q164" s="3"/>
    </row>
    <row r="165" spans="1:17" ht="15">
      <c r="A165" s="12"/>
      <c r="B165" s="12"/>
      <c r="C165" s="12"/>
      <c r="D165" s="12"/>
      <c r="E165" s="12"/>
      <c r="F165" s="12"/>
      <c r="G165" s="12"/>
      <c r="H165" s="12"/>
      <c r="I165" s="12"/>
      <c r="J165" s="12"/>
      <c r="K165" s="12"/>
      <c r="L165" s="12"/>
      <c r="M165" s="12"/>
      <c r="N165" s="3"/>
      <c r="O165" s="3"/>
      <c r="P165" s="3"/>
      <c r="Q165" s="3"/>
    </row>
    <row r="166" spans="1:17" ht="15">
      <c r="A166" s="12"/>
      <c r="B166" s="12"/>
      <c r="C166" s="12"/>
      <c r="D166" s="12"/>
      <c r="E166" s="12"/>
      <c r="F166" s="12"/>
      <c r="G166" s="12"/>
      <c r="H166" s="12"/>
      <c r="I166" s="12"/>
      <c r="J166" s="12"/>
      <c r="K166" s="12"/>
      <c r="L166" s="12"/>
      <c r="M166" s="12"/>
      <c r="N166" s="3"/>
      <c r="O166" s="3"/>
      <c r="P166" s="3"/>
      <c r="Q166" s="3"/>
    </row>
    <row r="167" spans="1:17" ht="15">
      <c r="A167" s="12"/>
      <c r="B167" s="12"/>
      <c r="C167" s="12"/>
      <c r="D167" s="12"/>
      <c r="E167" s="12"/>
      <c r="F167" s="12"/>
      <c r="G167" s="12"/>
      <c r="H167" s="12"/>
      <c r="I167" s="12"/>
      <c r="J167" s="12"/>
      <c r="K167" s="12"/>
      <c r="L167" s="12"/>
      <c r="M167" s="12"/>
      <c r="N167" s="3"/>
      <c r="O167" s="3"/>
      <c r="P167" s="3"/>
      <c r="Q167" s="3"/>
    </row>
    <row r="168" spans="1:17" ht="15">
      <c r="A168" s="12"/>
      <c r="B168" s="12"/>
      <c r="C168" s="12"/>
      <c r="D168" s="12"/>
      <c r="E168" s="12"/>
      <c r="F168" s="12"/>
      <c r="G168" s="12"/>
      <c r="H168" s="12"/>
      <c r="I168" s="12"/>
      <c r="J168" s="12"/>
      <c r="K168" s="12"/>
      <c r="L168" s="12"/>
      <c r="M168" s="12"/>
      <c r="N168" s="3"/>
      <c r="O168" s="3"/>
      <c r="P168" s="3"/>
      <c r="Q168" s="3"/>
    </row>
    <row r="169" spans="1:17" ht="15">
      <c r="A169" s="12"/>
      <c r="B169" s="12"/>
      <c r="C169" s="12"/>
      <c r="D169" s="12"/>
      <c r="E169" s="12"/>
      <c r="F169" s="12"/>
      <c r="G169" s="12"/>
      <c r="H169" s="12"/>
      <c r="I169" s="12"/>
      <c r="J169" s="12"/>
      <c r="K169" s="12"/>
      <c r="L169" s="12"/>
      <c r="M169" s="12"/>
      <c r="N169" s="3"/>
      <c r="O169" s="3"/>
      <c r="P169" s="3"/>
      <c r="Q169" s="3"/>
    </row>
    <row r="170" spans="1:17" ht="15">
      <c r="A170" s="12"/>
      <c r="B170" s="12"/>
      <c r="C170" s="12"/>
      <c r="D170" s="12"/>
      <c r="E170" s="12"/>
      <c r="F170" s="12"/>
      <c r="G170" s="12"/>
      <c r="H170" s="12"/>
      <c r="I170" s="12"/>
      <c r="J170" s="12"/>
      <c r="K170" s="12"/>
      <c r="L170" s="12"/>
      <c r="M170" s="12"/>
      <c r="N170" s="3"/>
      <c r="O170" s="3"/>
      <c r="P170" s="3"/>
      <c r="Q170" s="3"/>
    </row>
    <row r="171" spans="1:17" ht="15">
      <c r="A171" s="12"/>
      <c r="B171" s="12"/>
      <c r="C171" s="12"/>
      <c r="D171" s="12"/>
      <c r="E171" s="12"/>
      <c r="F171" s="12"/>
      <c r="G171" s="12"/>
      <c r="H171" s="12"/>
      <c r="I171" s="12"/>
      <c r="J171" s="12"/>
      <c r="K171" s="12"/>
      <c r="L171" s="12"/>
      <c r="M171" s="12"/>
      <c r="N171" s="3"/>
      <c r="O171" s="3"/>
      <c r="P171" s="3"/>
      <c r="Q171" s="3"/>
    </row>
    <row r="172" spans="1:17" ht="15">
      <c r="A172" s="12"/>
      <c r="B172" s="12"/>
      <c r="C172" s="12"/>
      <c r="D172" s="12"/>
      <c r="E172" s="12"/>
      <c r="F172" s="12"/>
      <c r="G172" s="12"/>
      <c r="H172" s="12"/>
      <c r="I172" s="12"/>
      <c r="J172" s="12"/>
      <c r="K172" s="12"/>
      <c r="L172" s="12"/>
      <c r="M172" s="12"/>
      <c r="N172" s="3"/>
      <c r="O172" s="3"/>
      <c r="P172" s="3"/>
      <c r="Q172" s="3"/>
    </row>
    <row r="173" spans="1:17" ht="15">
      <c r="A173" s="12"/>
      <c r="B173" s="12"/>
      <c r="C173" s="12"/>
      <c r="D173" s="12"/>
      <c r="E173" s="12"/>
      <c r="F173" s="12"/>
      <c r="G173" s="12"/>
      <c r="H173" s="12"/>
      <c r="I173" s="12"/>
      <c r="J173" s="12"/>
      <c r="K173" s="12"/>
      <c r="L173" s="12"/>
      <c r="M173" s="12"/>
      <c r="N173" s="3"/>
      <c r="O173" s="3"/>
      <c r="P173" s="3"/>
      <c r="Q173" s="3"/>
    </row>
    <row r="174" spans="1:17" ht="15">
      <c r="A174" s="12"/>
      <c r="B174" s="12"/>
      <c r="C174" s="12"/>
      <c r="D174" s="12"/>
      <c r="E174" s="12"/>
      <c r="F174" s="12"/>
      <c r="G174" s="12"/>
      <c r="H174" s="12"/>
      <c r="I174" s="12"/>
      <c r="J174" s="12"/>
      <c r="K174" s="12"/>
      <c r="L174" s="12"/>
      <c r="M174" s="12"/>
      <c r="N174" s="3"/>
      <c r="O174" s="3"/>
      <c r="P174" s="3"/>
      <c r="Q174" s="3"/>
    </row>
    <row r="175" spans="1:17" ht="15">
      <c r="A175" s="12"/>
      <c r="B175" s="12"/>
      <c r="C175" s="12"/>
      <c r="D175" s="12"/>
      <c r="E175" s="12"/>
      <c r="F175" s="12"/>
      <c r="G175" s="12"/>
      <c r="H175" s="12"/>
      <c r="I175" s="12"/>
      <c r="J175" s="12"/>
      <c r="K175" s="12"/>
      <c r="L175" s="12"/>
      <c r="M175" s="12"/>
      <c r="N175" s="3"/>
      <c r="O175" s="3"/>
      <c r="P175" s="3"/>
      <c r="Q175" s="3"/>
    </row>
    <row r="176" spans="1:17" ht="15">
      <c r="A176" s="12"/>
      <c r="B176" s="12"/>
      <c r="C176" s="12"/>
      <c r="D176" s="12"/>
      <c r="E176" s="12"/>
      <c r="F176" s="12"/>
      <c r="G176" s="12"/>
      <c r="H176" s="12"/>
      <c r="I176" s="12"/>
      <c r="J176" s="12"/>
      <c r="K176" s="12"/>
      <c r="L176" s="12"/>
      <c r="M176" s="12"/>
      <c r="N176" s="3"/>
      <c r="O176" s="3"/>
      <c r="P176" s="3"/>
      <c r="Q176" s="3"/>
    </row>
    <row r="177" spans="1:17" ht="15">
      <c r="A177" s="12"/>
      <c r="B177" s="12"/>
      <c r="C177" s="12"/>
      <c r="D177" s="12"/>
      <c r="E177" s="12"/>
      <c r="F177" s="12"/>
      <c r="G177" s="12"/>
      <c r="H177" s="12"/>
      <c r="I177" s="12"/>
      <c r="J177" s="12"/>
      <c r="K177" s="12"/>
      <c r="L177" s="12"/>
      <c r="M177" s="12"/>
      <c r="N177" s="3"/>
      <c r="O177" s="3"/>
      <c r="P177" s="3"/>
      <c r="Q177" s="3"/>
    </row>
    <row r="178" spans="1:17" ht="15">
      <c r="A178" s="12"/>
      <c r="B178" s="12"/>
      <c r="C178" s="12"/>
      <c r="D178" s="12"/>
      <c r="E178" s="12"/>
      <c r="F178" s="12"/>
      <c r="G178" s="12"/>
      <c r="H178" s="12"/>
      <c r="I178" s="12"/>
      <c r="J178" s="12"/>
      <c r="K178" s="12"/>
      <c r="L178" s="12"/>
      <c r="M178" s="12"/>
      <c r="N178" s="3"/>
      <c r="O178" s="3"/>
      <c r="P178" s="3"/>
      <c r="Q178" s="3"/>
    </row>
    <row r="179" spans="1:17" ht="15">
      <c r="A179" s="12"/>
      <c r="B179" s="12"/>
      <c r="C179" s="12"/>
      <c r="D179" s="12"/>
      <c r="E179" s="12"/>
      <c r="F179" s="12"/>
      <c r="G179" s="12"/>
      <c r="H179" s="12"/>
      <c r="I179" s="12"/>
      <c r="J179" s="12"/>
      <c r="K179" s="12"/>
      <c r="L179" s="12"/>
      <c r="M179" s="12"/>
      <c r="N179" s="3"/>
      <c r="O179" s="3"/>
      <c r="P179" s="3"/>
      <c r="Q179" s="3"/>
    </row>
    <row r="180" spans="1:17" ht="15">
      <c r="A180" s="12"/>
      <c r="B180" s="12"/>
      <c r="C180" s="12"/>
      <c r="D180" s="12"/>
      <c r="E180" s="12"/>
      <c r="F180" s="12"/>
      <c r="G180" s="12"/>
      <c r="H180" s="12"/>
      <c r="I180" s="12"/>
      <c r="J180" s="12"/>
      <c r="K180" s="12"/>
      <c r="L180" s="12"/>
      <c r="M180" s="12"/>
      <c r="N180" s="3"/>
      <c r="O180" s="3"/>
      <c r="P180" s="3"/>
      <c r="Q180" s="3"/>
    </row>
    <row r="181" spans="1:17" ht="15">
      <c r="A181" s="12"/>
      <c r="B181" s="12"/>
      <c r="C181" s="12"/>
      <c r="D181" s="12"/>
      <c r="E181" s="12"/>
      <c r="F181" s="12"/>
      <c r="G181" s="12"/>
      <c r="H181" s="12"/>
      <c r="I181" s="12"/>
      <c r="J181" s="12"/>
      <c r="K181" s="12"/>
      <c r="L181" s="12"/>
      <c r="M181" s="12"/>
      <c r="N181" s="3"/>
      <c r="O181" s="3"/>
      <c r="P181" s="3"/>
      <c r="Q181" s="3"/>
    </row>
    <row r="182" spans="1:17" ht="15">
      <c r="A182" s="12"/>
      <c r="B182" s="12"/>
      <c r="C182" s="12"/>
      <c r="D182" s="12"/>
      <c r="E182" s="12"/>
      <c r="F182" s="12"/>
      <c r="G182" s="12"/>
      <c r="H182" s="12"/>
      <c r="I182" s="12"/>
      <c r="J182" s="12"/>
      <c r="K182" s="12"/>
      <c r="L182" s="12"/>
      <c r="M182" s="12"/>
      <c r="N182" s="3"/>
      <c r="O182" s="3"/>
      <c r="P182" s="3"/>
      <c r="Q182" s="3"/>
    </row>
    <row r="183" spans="1:17" ht="15">
      <c r="A183" s="12"/>
      <c r="B183" s="12"/>
      <c r="C183" s="12"/>
      <c r="D183" s="12"/>
      <c r="E183" s="12"/>
      <c r="F183" s="12"/>
      <c r="G183" s="12"/>
      <c r="H183" s="12"/>
      <c r="I183" s="12"/>
      <c r="J183" s="12"/>
      <c r="K183" s="12"/>
      <c r="L183" s="12"/>
      <c r="M183" s="12"/>
      <c r="N183" s="3"/>
      <c r="O183" s="3"/>
      <c r="P183" s="3"/>
      <c r="Q183" s="3"/>
    </row>
    <row r="184" spans="1:17" ht="15">
      <c r="A184" s="12"/>
      <c r="B184" s="12"/>
      <c r="C184" s="12"/>
      <c r="D184" s="12"/>
      <c r="E184" s="12"/>
      <c r="F184" s="12"/>
      <c r="G184" s="12"/>
      <c r="H184" s="12"/>
      <c r="I184" s="12"/>
      <c r="J184" s="12"/>
      <c r="K184" s="12"/>
      <c r="L184" s="12"/>
      <c r="M184" s="12"/>
      <c r="N184" s="3"/>
      <c r="O184" s="3"/>
      <c r="P184" s="3"/>
      <c r="Q184" s="3"/>
    </row>
    <row r="185" spans="1:17" ht="15">
      <c r="A185" s="12"/>
      <c r="B185" s="12"/>
      <c r="C185" s="12"/>
      <c r="D185" s="12"/>
      <c r="E185" s="12"/>
      <c r="F185" s="12"/>
      <c r="G185" s="12"/>
      <c r="H185" s="12"/>
      <c r="I185" s="12"/>
      <c r="J185" s="12"/>
      <c r="K185" s="12"/>
      <c r="L185" s="12"/>
      <c r="M185" s="12"/>
      <c r="N185" s="3"/>
      <c r="O185" s="3"/>
      <c r="P185" s="3"/>
      <c r="Q185" s="3"/>
    </row>
    <row r="186" spans="1:17" ht="15">
      <c r="A186" s="12"/>
      <c r="B186" s="12"/>
      <c r="C186" s="12"/>
      <c r="D186" s="12"/>
      <c r="E186" s="12"/>
      <c r="F186" s="12"/>
      <c r="G186" s="12"/>
      <c r="H186" s="12"/>
      <c r="I186" s="12"/>
      <c r="J186" s="12"/>
      <c r="K186" s="12"/>
      <c r="L186" s="12"/>
      <c r="M186" s="12"/>
      <c r="N186" s="3"/>
      <c r="O186" s="3"/>
      <c r="P186" s="3"/>
      <c r="Q186" s="3"/>
    </row>
    <row r="187" spans="1:17" ht="15">
      <c r="A187" s="12"/>
      <c r="B187" s="12"/>
      <c r="C187" s="12"/>
      <c r="D187" s="12"/>
      <c r="E187" s="12"/>
      <c r="F187" s="12"/>
      <c r="G187" s="12"/>
      <c r="H187" s="12"/>
      <c r="I187" s="12"/>
      <c r="J187" s="12"/>
      <c r="K187" s="12"/>
      <c r="L187" s="12"/>
      <c r="M187" s="12"/>
      <c r="N187" s="3"/>
      <c r="O187" s="3"/>
      <c r="P187" s="3"/>
      <c r="Q187" s="3"/>
    </row>
    <row r="188" spans="1:17" ht="15">
      <c r="A188" s="12"/>
      <c r="B188" s="12"/>
      <c r="C188" s="12"/>
      <c r="D188" s="12"/>
      <c r="E188" s="12"/>
      <c r="F188" s="12"/>
      <c r="G188" s="12"/>
      <c r="H188" s="12"/>
      <c r="I188" s="12"/>
      <c r="J188" s="12"/>
      <c r="K188" s="12"/>
      <c r="L188" s="12"/>
      <c r="M188" s="12"/>
      <c r="N188" s="3"/>
      <c r="O188" s="3"/>
      <c r="P188" s="3"/>
      <c r="Q188" s="3"/>
    </row>
    <row r="189" spans="1:17" ht="15">
      <c r="A189" s="12"/>
      <c r="B189" s="12"/>
      <c r="C189" s="12"/>
      <c r="D189" s="12"/>
      <c r="E189" s="12"/>
      <c r="F189" s="12"/>
      <c r="G189" s="12"/>
      <c r="H189" s="12"/>
      <c r="I189" s="12"/>
      <c r="J189" s="12"/>
      <c r="K189" s="12"/>
      <c r="L189" s="12"/>
      <c r="M189" s="12"/>
      <c r="N189" s="3"/>
      <c r="O189" s="3"/>
      <c r="P189" s="3"/>
      <c r="Q189" s="3"/>
    </row>
    <row r="190" spans="1:17" ht="15">
      <c r="A190" s="12"/>
      <c r="B190" s="12"/>
      <c r="C190" s="12"/>
      <c r="D190" s="12"/>
      <c r="E190" s="12"/>
      <c r="F190" s="12"/>
      <c r="G190" s="12"/>
      <c r="H190" s="12"/>
      <c r="I190" s="12"/>
      <c r="J190" s="12"/>
      <c r="K190" s="12"/>
      <c r="L190" s="12"/>
      <c r="M190" s="12"/>
      <c r="N190" s="3"/>
      <c r="O190" s="3"/>
      <c r="P190" s="3"/>
      <c r="Q190" s="3"/>
    </row>
    <row r="191" spans="1:17" ht="15">
      <c r="A191" s="12"/>
      <c r="B191" s="12"/>
      <c r="C191" s="12"/>
      <c r="D191" s="12"/>
      <c r="E191" s="12"/>
      <c r="F191" s="12"/>
      <c r="G191" s="12"/>
      <c r="H191" s="12"/>
      <c r="I191" s="12"/>
      <c r="J191" s="12"/>
      <c r="K191" s="12"/>
      <c r="L191" s="12"/>
      <c r="M191" s="12"/>
      <c r="N191" s="3"/>
      <c r="O191" s="3"/>
      <c r="P191" s="3"/>
      <c r="Q191" s="3"/>
    </row>
    <row r="192" spans="1:17" ht="15">
      <c r="A192" s="12"/>
      <c r="B192" s="12"/>
      <c r="C192" s="12"/>
      <c r="D192" s="12"/>
      <c r="E192" s="12"/>
      <c r="F192" s="12"/>
      <c r="G192" s="12"/>
      <c r="H192" s="12"/>
      <c r="I192" s="12"/>
      <c r="J192" s="12"/>
      <c r="K192" s="12"/>
      <c r="L192" s="12"/>
      <c r="M192" s="12"/>
      <c r="N192" s="3"/>
      <c r="O192" s="3"/>
      <c r="P192" s="3"/>
      <c r="Q192" s="3"/>
    </row>
    <row r="193" spans="1:17" ht="15">
      <c r="A193" s="12"/>
      <c r="B193" s="12"/>
      <c r="C193" s="12"/>
      <c r="D193" s="12"/>
      <c r="E193" s="12"/>
      <c r="F193" s="12"/>
      <c r="G193" s="12"/>
      <c r="H193" s="12"/>
      <c r="I193" s="12"/>
      <c r="J193" s="12"/>
      <c r="K193" s="12"/>
      <c r="L193" s="12"/>
      <c r="M193" s="12"/>
      <c r="N193" s="3"/>
      <c r="O193" s="3"/>
      <c r="P193" s="3"/>
      <c r="Q193" s="3"/>
    </row>
    <row r="194" spans="1:17" ht="15">
      <c r="A194" s="12"/>
      <c r="B194" s="12"/>
      <c r="C194" s="12"/>
      <c r="D194" s="12"/>
      <c r="E194" s="12"/>
      <c r="F194" s="12"/>
      <c r="G194" s="12"/>
      <c r="H194" s="12"/>
      <c r="I194" s="12"/>
      <c r="J194" s="12"/>
      <c r="K194" s="12"/>
      <c r="L194" s="12"/>
      <c r="M194" s="12"/>
      <c r="N194" s="3"/>
      <c r="O194" s="3"/>
      <c r="P194" s="3"/>
      <c r="Q194" s="3"/>
    </row>
    <row r="195" spans="1:17" ht="15">
      <c r="A195" s="12"/>
      <c r="B195" s="12"/>
      <c r="C195" s="12"/>
      <c r="D195" s="12"/>
      <c r="E195" s="12"/>
      <c r="F195" s="12"/>
      <c r="G195" s="12"/>
      <c r="H195" s="12"/>
      <c r="I195" s="12"/>
      <c r="J195" s="12"/>
      <c r="K195" s="12"/>
      <c r="L195" s="12"/>
      <c r="M195" s="12"/>
      <c r="N195" s="3"/>
      <c r="O195" s="3"/>
      <c r="P195" s="3"/>
      <c r="Q195" s="3"/>
    </row>
    <row r="196" spans="1:17" ht="15">
      <c r="A196" s="12"/>
      <c r="B196" s="12"/>
      <c r="C196" s="12"/>
      <c r="D196" s="12"/>
      <c r="E196" s="12"/>
      <c r="F196" s="12"/>
      <c r="G196" s="12"/>
      <c r="H196" s="12"/>
      <c r="I196" s="12"/>
      <c r="J196" s="12"/>
      <c r="K196" s="12"/>
      <c r="L196" s="12"/>
      <c r="M196" s="12"/>
      <c r="N196" s="3"/>
      <c r="O196" s="3"/>
      <c r="P196" s="3"/>
      <c r="Q196" s="3"/>
    </row>
    <row r="197" spans="1:17" ht="15">
      <c r="A197" s="12"/>
      <c r="B197" s="12"/>
      <c r="C197" s="12"/>
      <c r="D197" s="12"/>
      <c r="E197" s="12"/>
      <c r="F197" s="12"/>
      <c r="G197" s="12"/>
      <c r="H197" s="12"/>
      <c r="I197" s="12"/>
      <c r="J197" s="12"/>
      <c r="K197" s="12"/>
      <c r="L197" s="12"/>
      <c r="M197" s="12"/>
      <c r="N197" s="3"/>
      <c r="O197" s="3"/>
      <c r="P197" s="3"/>
      <c r="Q197" s="3"/>
    </row>
    <row r="198" spans="1:17" ht="15">
      <c r="A198" s="12"/>
      <c r="B198" s="12"/>
      <c r="C198" s="12"/>
      <c r="D198" s="12"/>
      <c r="E198" s="12"/>
      <c r="F198" s="12"/>
      <c r="G198" s="12"/>
      <c r="H198" s="12"/>
      <c r="I198" s="12"/>
      <c r="J198" s="12"/>
      <c r="K198" s="12"/>
      <c r="L198" s="12"/>
      <c r="M198" s="12"/>
      <c r="N198" s="3"/>
      <c r="O198" s="3"/>
      <c r="P198" s="3"/>
      <c r="Q198" s="3"/>
    </row>
    <row r="199" spans="1:17" ht="15">
      <c r="A199" s="12"/>
      <c r="B199" s="12"/>
      <c r="C199" s="12"/>
      <c r="D199" s="12"/>
      <c r="E199" s="12"/>
      <c r="F199" s="12"/>
      <c r="G199" s="12"/>
      <c r="H199" s="12"/>
      <c r="I199" s="12"/>
      <c r="J199" s="12"/>
      <c r="K199" s="12"/>
      <c r="L199" s="12"/>
      <c r="M199" s="12"/>
      <c r="N199" s="3"/>
      <c r="O199" s="3"/>
      <c r="P199" s="3"/>
      <c r="Q199" s="3"/>
    </row>
    <row r="200" spans="1:17" ht="15">
      <c r="A200" s="12"/>
      <c r="B200" s="12"/>
      <c r="C200" s="12"/>
      <c r="D200" s="12"/>
      <c r="E200" s="12"/>
      <c r="F200" s="12"/>
      <c r="G200" s="12"/>
      <c r="H200" s="12"/>
      <c r="I200" s="12"/>
      <c r="J200" s="12"/>
      <c r="K200" s="12"/>
      <c r="L200" s="12"/>
      <c r="M200" s="12"/>
      <c r="N200" s="3"/>
      <c r="O200" s="3"/>
      <c r="P200" s="3"/>
      <c r="Q200" s="3"/>
    </row>
    <row r="201" spans="1:17" ht="15">
      <c r="A201" s="12"/>
      <c r="B201" s="12"/>
      <c r="C201" s="12"/>
      <c r="D201" s="12"/>
      <c r="E201" s="12"/>
      <c r="F201" s="12"/>
      <c r="G201" s="12"/>
      <c r="H201" s="12"/>
      <c r="I201" s="12"/>
      <c r="J201" s="12"/>
      <c r="K201" s="12"/>
      <c r="L201" s="12"/>
      <c r="M201" s="12"/>
      <c r="N201" s="3"/>
      <c r="O201" s="3"/>
      <c r="P201" s="3"/>
      <c r="Q201" s="3"/>
    </row>
    <row r="202" spans="1:17" ht="15">
      <c r="A202" s="12"/>
      <c r="B202" s="12"/>
      <c r="C202" s="12"/>
      <c r="D202" s="12"/>
      <c r="E202" s="12"/>
      <c r="F202" s="12"/>
      <c r="G202" s="12"/>
      <c r="H202" s="12"/>
      <c r="I202" s="12"/>
      <c r="J202" s="12"/>
      <c r="K202" s="12"/>
      <c r="L202" s="12"/>
      <c r="M202" s="12"/>
      <c r="N202" s="3"/>
      <c r="O202" s="3"/>
      <c r="P202" s="3"/>
      <c r="Q202" s="3"/>
    </row>
    <row r="203" spans="1:17" ht="15">
      <c r="A203" s="12"/>
      <c r="B203" s="12"/>
      <c r="C203" s="12"/>
      <c r="D203" s="12"/>
      <c r="E203" s="12"/>
      <c r="F203" s="12"/>
      <c r="G203" s="12"/>
      <c r="H203" s="12"/>
      <c r="I203" s="12"/>
      <c r="J203" s="12"/>
      <c r="K203" s="12"/>
      <c r="L203" s="12"/>
      <c r="M203" s="12"/>
      <c r="N203" s="3"/>
      <c r="O203" s="3"/>
      <c r="P203" s="3"/>
      <c r="Q203" s="3"/>
    </row>
    <row r="204" spans="1:17" ht="15">
      <c r="A204" s="12"/>
      <c r="B204" s="12"/>
      <c r="C204" s="12"/>
      <c r="D204" s="12"/>
      <c r="E204" s="12"/>
      <c r="F204" s="12"/>
      <c r="G204" s="12"/>
      <c r="H204" s="12"/>
      <c r="I204" s="12"/>
      <c r="J204" s="12"/>
      <c r="K204" s="12"/>
      <c r="L204" s="12"/>
      <c r="M204" s="12"/>
      <c r="N204" s="3"/>
      <c r="O204" s="3"/>
      <c r="P204" s="3"/>
      <c r="Q204" s="3"/>
    </row>
    <row r="205" spans="1:17" ht="15">
      <c r="A205" s="12"/>
      <c r="B205" s="12"/>
      <c r="C205" s="12"/>
      <c r="D205" s="12"/>
      <c r="E205" s="12"/>
      <c r="F205" s="12"/>
      <c r="G205" s="12"/>
      <c r="H205" s="12"/>
      <c r="I205" s="12"/>
      <c r="J205" s="12"/>
      <c r="K205" s="12"/>
      <c r="L205" s="12"/>
      <c r="M205" s="12"/>
      <c r="N205" s="3"/>
      <c r="O205" s="3"/>
      <c r="P205" s="3"/>
      <c r="Q205" s="3"/>
    </row>
    <row r="206" spans="1:17" ht="15">
      <c r="A206" s="12"/>
      <c r="B206" s="12"/>
      <c r="C206" s="12"/>
      <c r="D206" s="12"/>
      <c r="E206" s="12"/>
      <c r="F206" s="12"/>
      <c r="G206" s="12"/>
      <c r="H206" s="12"/>
      <c r="I206" s="12"/>
      <c r="J206" s="12"/>
      <c r="K206" s="12"/>
      <c r="L206" s="12"/>
      <c r="M206" s="12"/>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M1"/>
    <mergeCell ref="A2:M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06"/>
  <sheetViews>
    <sheetView workbookViewId="0"/>
  </sheetViews>
  <sheetFormatPr defaultRowHeight="14.25"/>
  <cols>
    <col min="1" max="2" width="12" customWidth="1"/>
    <col min="3" max="3" width="26" customWidth="1"/>
    <col min="4" max="6" width="12" customWidth="1"/>
    <col min="7" max="7" width="22" customWidth="1"/>
    <col min="8" max="8" width="30" customWidth="1"/>
    <col min="9" max="9" width="20" customWidth="1"/>
    <col min="10" max="10" width="14" customWidth="1"/>
    <col min="11" max="11" width="16" customWidth="1"/>
    <col min="12" max="12" width="14" customWidth="1"/>
    <col min="13" max="13" width="18" customWidth="1"/>
  </cols>
  <sheetData>
    <row r="1" spans="1:17" ht="24" customHeight="1">
      <c r="A1" s="32" t="s">
        <v>742</v>
      </c>
      <c r="B1" s="33"/>
      <c r="C1" s="33"/>
      <c r="D1" s="33"/>
      <c r="E1" s="33"/>
      <c r="F1" s="33"/>
      <c r="G1" s="33"/>
      <c r="H1" s="33"/>
      <c r="I1" s="33"/>
      <c r="J1" s="33"/>
      <c r="K1" s="33"/>
      <c r="L1" s="35"/>
      <c r="M1" s="35"/>
      <c r="N1" s="3"/>
      <c r="O1" s="3"/>
      <c r="P1" s="3"/>
      <c r="Q1" s="3"/>
    </row>
    <row r="2" spans="1:17" ht="33.950000000000003" customHeight="1">
      <c r="A2" s="34" t="s">
        <v>743</v>
      </c>
      <c r="B2" s="35"/>
      <c r="C2" s="35"/>
      <c r="D2" s="35"/>
      <c r="E2" s="35"/>
      <c r="F2" s="35"/>
      <c r="G2" s="35"/>
      <c r="H2" s="35"/>
      <c r="I2" s="35"/>
      <c r="J2" s="35"/>
      <c r="K2" s="35"/>
      <c r="L2" s="35"/>
      <c r="M2" s="35"/>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703</v>
      </c>
      <c r="B6" s="4" t="s">
        <v>570</v>
      </c>
      <c r="C6" s="4" t="s">
        <v>564</v>
      </c>
      <c r="D6" s="4" t="s">
        <v>744</v>
      </c>
      <c r="E6" s="4" t="s">
        <v>745</v>
      </c>
      <c r="F6" s="4" t="s">
        <v>746</v>
      </c>
      <c r="G6" s="4" t="s">
        <v>747</v>
      </c>
      <c r="H6" s="4" t="s">
        <v>748</v>
      </c>
      <c r="I6" s="4" t="s">
        <v>749</v>
      </c>
      <c r="J6" s="4" t="s">
        <v>750</v>
      </c>
      <c r="K6" s="4" t="s">
        <v>751</v>
      </c>
      <c r="L6" s="4" t="s">
        <v>714</v>
      </c>
      <c r="M6" s="4" t="s">
        <v>715</v>
      </c>
      <c r="N6" s="3"/>
      <c r="O6" s="3"/>
      <c r="P6" s="3"/>
      <c r="Q6" s="3"/>
    </row>
    <row r="7" spans="1:17" ht="15">
      <c r="A7" s="5" t="s">
        <v>752</v>
      </c>
      <c r="B7" s="5" t="s">
        <v>753</v>
      </c>
      <c r="C7" s="5" t="s">
        <v>754</v>
      </c>
      <c r="D7" s="5" t="s">
        <v>755</v>
      </c>
      <c r="E7" s="5" t="s">
        <v>756</v>
      </c>
      <c r="F7" s="5" t="s">
        <v>757</v>
      </c>
      <c r="G7" s="5" t="s">
        <v>758</v>
      </c>
      <c r="H7" s="5" t="s">
        <v>759</v>
      </c>
      <c r="I7" s="5" t="s">
        <v>760</v>
      </c>
      <c r="J7" s="5">
        <v>17600000</v>
      </c>
      <c r="K7" s="5" t="s">
        <v>761</v>
      </c>
      <c r="L7" s="5" t="s">
        <v>523</v>
      </c>
      <c r="M7" s="5" t="s">
        <v>762</v>
      </c>
      <c r="N7" s="3"/>
      <c r="O7" s="3"/>
      <c r="P7" s="3"/>
      <c r="Q7" s="3"/>
    </row>
    <row r="8" spans="1:17" ht="15">
      <c r="A8" s="5" t="s">
        <v>763</v>
      </c>
      <c r="B8" s="5" t="s">
        <v>753</v>
      </c>
      <c r="C8" s="5" t="s">
        <v>754</v>
      </c>
      <c r="D8" s="5" t="s">
        <v>755</v>
      </c>
      <c r="E8" s="5" t="s">
        <v>756</v>
      </c>
      <c r="F8" s="5" t="s">
        <v>757</v>
      </c>
      <c r="G8" s="5" t="s">
        <v>758</v>
      </c>
      <c r="H8" s="5" t="s">
        <v>764</v>
      </c>
      <c r="I8" s="5" t="s">
        <v>765</v>
      </c>
      <c r="J8" s="5">
        <v>8300000</v>
      </c>
      <c r="K8" s="5" t="s">
        <v>761</v>
      </c>
      <c r="L8" s="5" t="s">
        <v>523</v>
      </c>
      <c r="M8" s="5" t="s">
        <v>762</v>
      </c>
      <c r="N8" s="3"/>
      <c r="O8" s="3"/>
      <c r="P8" s="3"/>
      <c r="Q8" s="3"/>
    </row>
    <row r="9" spans="1:17" ht="27">
      <c r="A9" s="5" t="s">
        <v>766</v>
      </c>
      <c r="B9" s="5" t="s">
        <v>753</v>
      </c>
      <c r="C9" s="5" t="s">
        <v>754</v>
      </c>
      <c r="D9" s="5" t="s">
        <v>755</v>
      </c>
      <c r="E9" s="5" t="s">
        <v>756</v>
      </c>
      <c r="F9" s="5" t="s">
        <v>757</v>
      </c>
      <c r="G9" s="5" t="s">
        <v>758</v>
      </c>
      <c r="H9" s="5" t="s">
        <v>767</v>
      </c>
      <c r="I9" s="5" t="s">
        <v>768</v>
      </c>
      <c r="J9" s="5">
        <v>0</v>
      </c>
      <c r="K9" s="5" t="s">
        <v>761</v>
      </c>
      <c r="L9" s="5" t="s">
        <v>523</v>
      </c>
      <c r="M9" s="5" t="s">
        <v>609</v>
      </c>
      <c r="N9" s="3"/>
      <c r="O9" s="3"/>
      <c r="P9" s="3"/>
      <c r="Q9" s="3"/>
    </row>
    <row r="10" spans="1:17" ht="15">
      <c r="A10" s="5"/>
      <c r="B10" s="5"/>
      <c r="C10" s="5"/>
      <c r="D10" s="5"/>
      <c r="E10" s="5"/>
      <c r="F10" s="5"/>
      <c r="G10" s="5"/>
      <c r="H10" s="5"/>
      <c r="I10" s="5"/>
      <c r="J10" s="5"/>
      <c r="K10" s="5"/>
      <c r="L10" s="5"/>
      <c r="M10" s="5"/>
      <c r="N10" s="3"/>
      <c r="O10" s="3"/>
      <c r="P10" s="3"/>
      <c r="Q10" s="3"/>
    </row>
    <row r="11" spans="1:17" ht="15">
      <c r="A11" s="5"/>
      <c r="B11" s="5"/>
      <c r="C11" s="5"/>
      <c r="D11" s="5"/>
      <c r="E11" s="5"/>
      <c r="F11" s="5"/>
      <c r="G11" s="5"/>
      <c r="H11" s="5"/>
      <c r="I11" s="5"/>
      <c r="J11" s="5"/>
      <c r="K11" s="5"/>
      <c r="L11" s="5"/>
      <c r="M11" s="5"/>
      <c r="N11" s="3"/>
      <c r="O11" s="3"/>
      <c r="P11" s="3"/>
      <c r="Q11" s="3"/>
    </row>
    <row r="12" spans="1:17" ht="15">
      <c r="A12" s="5"/>
      <c r="B12" s="5"/>
      <c r="C12" s="5"/>
      <c r="D12" s="5"/>
      <c r="E12" s="5"/>
      <c r="F12" s="5"/>
      <c r="G12" s="5"/>
      <c r="H12" s="5"/>
      <c r="I12" s="5"/>
      <c r="J12" s="5"/>
      <c r="K12" s="5"/>
      <c r="L12" s="5"/>
      <c r="M12" s="5"/>
      <c r="N12" s="3"/>
      <c r="O12" s="3"/>
      <c r="P12" s="3"/>
      <c r="Q12" s="3"/>
    </row>
    <row r="13" spans="1:17" ht="15">
      <c r="A13" s="5"/>
      <c r="B13" s="5"/>
      <c r="C13" s="5"/>
      <c r="D13" s="5"/>
      <c r="E13" s="5"/>
      <c r="F13" s="5"/>
      <c r="G13" s="5"/>
      <c r="H13" s="5"/>
      <c r="I13" s="5"/>
      <c r="J13" s="5"/>
      <c r="K13" s="5"/>
      <c r="L13" s="5"/>
      <c r="M13" s="5"/>
      <c r="N13" s="3"/>
      <c r="O13" s="3"/>
      <c r="P13" s="3"/>
      <c r="Q13" s="3"/>
    </row>
    <row r="14" spans="1:17" ht="15">
      <c r="A14" s="5"/>
      <c r="B14" s="5"/>
      <c r="C14" s="5"/>
      <c r="D14" s="5"/>
      <c r="E14" s="5"/>
      <c r="F14" s="5"/>
      <c r="G14" s="5"/>
      <c r="H14" s="5"/>
      <c r="I14" s="5"/>
      <c r="J14" s="5"/>
      <c r="K14" s="5"/>
      <c r="L14" s="5"/>
      <c r="M14" s="5"/>
      <c r="N14" s="3"/>
      <c r="O14" s="3"/>
      <c r="P14" s="3"/>
      <c r="Q14" s="3"/>
    </row>
    <row r="15" spans="1:17" ht="15">
      <c r="A15" s="5"/>
      <c r="B15" s="5"/>
      <c r="C15" s="5"/>
      <c r="D15" s="5"/>
      <c r="E15" s="5"/>
      <c r="F15" s="5"/>
      <c r="G15" s="5"/>
      <c r="H15" s="5"/>
      <c r="I15" s="5"/>
      <c r="J15" s="5"/>
      <c r="K15" s="5"/>
      <c r="L15" s="5"/>
      <c r="M15" s="5"/>
      <c r="N15" s="3"/>
      <c r="O15" s="3"/>
      <c r="P15" s="3"/>
      <c r="Q15" s="3"/>
    </row>
    <row r="16" spans="1:17" ht="15">
      <c r="A16" s="5"/>
      <c r="B16" s="5"/>
      <c r="C16" s="5"/>
      <c r="D16" s="5"/>
      <c r="E16" s="5"/>
      <c r="F16" s="5"/>
      <c r="G16" s="5"/>
      <c r="H16" s="5"/>
      <c r="I16" s="5"/>
      <c r="J16" s="5"/>
      <c r="K16" s="5"/>
      <c r="L16" s="5"/>
      <c r="M16" s="5"/>
      <c r="N16" s="3"/>
      <c r="O16" s="3"/>
      <c r="P16" s="3"/>
      <c r="Q16" s="3"/>
    </row>
    <row r="17" spans="1:17" ht="15">
      <c r="A17" s="5"/>
      <c r="B17" s="5"/>
      <c r="C17" s="5"/>
      <c r="D17" s="5"/>
      <c r="E17" s="5"/>
      <c r="F17" s="5"/>
      <c r="G17" s="5"/>
      <c r="H17" s="5"/>
      <c r="I17" s="5"/>
      <c r="J17" s="5"/>
      <c r="K17" s="5"/>
      <c r="L17" s="5"/>
      <c r="M17" s="5"/>
      <c r="N17" s="3"/>
      <c r="O17" s="3"/>
      <c r="P17" s="3"/>
      <c r="Q17" s="3"/>
    </row>
    <row r="18" spans="1:17" ht="15">
      <c r="A18" s="5"/>
      <c r="B18" s="5"/>
      <c r="C18" s="5"/>
      <c r="D18" s="5"/>
      <c r="E18" s="5"/>
      <c r="F18" s="5"/>
      <c r="G18" s="5"/>
      <c r="H18" s="5"/>
      <c r="I18" s="5"/>
      <c r="J18" s="5"/>
      <c r="K18" s="5"/>
      <c r="L18" s="5"/>
      <c r="M18" s="5"/>
      <c r="N18" s="3"/>
      <c r="O18" s="3"/>
      <c r="P18" s="3"/>
      <c r="Q18" s="3"/>
    </row>
    <row r="19" spans="1:17" ht="15">
      <c r="A19" s="5"/>
      <c r="B19" s="5"/>
      <c r="C19" s="5"/>
      <c r="D19" s="5"/>
      <c r="E19" s="5"/>
      <c r="F19" s="5"/>
      <c r="G19" s="5"/>
      <c r="H19" s="5"/>
      <c r="I19" s="5"/>
      <c r="J19" s="5"/>
      <c r="K19" s="5"/>
      <c r="L19" s="5"/>
      <c r="M19" s="5"/>
      <c r="N19" s="3"/>
      <c r="O19" s="3"/>
      <c r="P19" s="3"/>
      <c r="Q19" s="3"/>
    </row>
    <row r="20" spans="1:17" ht="15">
      <c r="A20" s="5"/>
      <c r="B20" s="5"/>
      <c r="C20" s="5"/>
      <c r="D20" s="5"/>
      <c r="E20" s="5"/>
      <c r="F20" s="5"/>
      <c r="G20" s="5"/>
      <c r="H20" s="5"/>
      <c r="I20" s="5"/>
      <c r="J20" s="5"/>
      <c r="K20" s="5"/>
      <c r="L20" s="5"/>
      <c r="M20" s="5"/>
      <c r="N20" s="3"/>
      <c r="O20" s="3"/>
      <c r="P20" s="3"/>
      <c r="Q20" s="3"/>
    </row>
    <row r="21" spans="1:17" ht="15">
      <c r="A21" s="5"/>
      <c r="B21" s="5"/>
      <c r="C21" s="5"/>
      <c r="D21" s="5"/>
      <c r="E21" s="5"/>
      <c r="F21" s="5"/>
      <c r="G21" s="5"/>
      <c r="H21" s="5"/>
      <c r="I21" s="5"/>
      <c r="J21" s="5"/>
      <c r="K21" s="5"/>
      <c r="L21" s="5"/>
      <c r="M21" s="5"/>
      <c r="N21" s="3"/>
      <c r="O21" s="3"/>
      <c r="P21" s="3"/>
      <c r="Q21" s="3"/>
    </row>
    <row r="22" spans="1:17" ht="15">
      <c r="A22" s="5"/>
      <c r="B22" s="5"/>
      <c r="C22" s="5"/>
      <c r="D22" s="5"/>
      <c r="E22" s="5"/>
      <c r="F22" s="5"/>
      <c r="G22" s="5"/>
      <c r="H22" s="5"/>
      <c r="I22" s="5"/>
      <c r="J22" s="5"/>
      <c r="K22" s="5"/>
      <c r="L22" s="5"/>
      <c r="M22" s="5"/>
      <c r="N22" s="3"/>
      <c r="O22" s="3"/>
      <c r="P22" s="3"/>
      <c r="Q22" s="3"/>
    </row>
    <row r="23" spans="1:17" ht="15">
      <c r="A23" s="5"/>
      <c r="B23" s="5"/>
      <c r="C23" s="5"/>
      <c r="D23" s="5"/>
      <c r="E23" s="5"/>
      <c r="F23" s="5"/>
      <c r="G23" s="5"/>
      <c r="H23" s="5"/>
      <c r="I23" s="5"/>
      <c r="J23" s="5"/>
      <c r="K23" s="5"/>
      <c r="L23" s="5"/>
      <c r="M23" s="5"/>
      <c r="N23" s="3"/>
      <c r="O23" s="3"/>
      <c r="P23" s="3"/>
      <c r="Q23" s="3"/>
    </row>
    <row r="24" spans="1:17" ht="15">
      <c r="A24" s="5"/>
      <c r="B24" s="5"/>
      <c r="C24" s="5"/>
      <c r="D24" s="5"/>
      <c r="E24" s="5"/>
      <c r="F24" s="5"/>
      <c r="G24" s="5"/>
      <c r="H24" s="5"/>
      <c r="I24" s="5"/>
      <c r="J24" s="5"/>
      <c r="K24" s="5"/>
      <c r="L24" s="5"/>
      <c r="M24" s="5"/>
      <c r="N24" s="3"/>
      <c r="O24" s="3"/>
      <c r="P24" s="3"/>
      <c r="Q24" s="3"/>
    </row>
    <row r="25" spans="1:17" ht="15">
      <c r="A25" s="5"/>
      <c r="B25" s="5"/>
      <c r="C25" s="5"/>
      <c r="D25" s="5"/>
      <c r="E25" s="5"/>
      <c r="F25" s="5"/>
      <c r="G25" s="5"/>
      <c r="H25" s="5"/>
      <c r="I25" s="5"/>
      <c r="J25" s="5"/>
      <c r="K25" s="5"/>
      <c r="L25" s="5"/>
      <c r="M25" s="5"/>
      <c r="N25" s="3"/>
      <c r="O25" s="3"/>
      <c r="P25" s="3"/>
      <c r="Q25" s="3"/>
    </row>
    <row r="26" spans="1:17" ht="15">
      <c r="A26" s="5"/>
      <c r="B26" s="5"/>
      <c r="C26" s="5"/>
      <c r="D26" s="5"/>
      <c r="E26" s="5"/>
      <c r="F26" s="5"/>
      <c r="G26" s="5"/>
      <c r="H26" s="5"/>
      <c r="I26" s="5"/>
      <c r="J26" s="5"/>
      <c r="K26" s="5"/>
      <c r="L26" s="5"/>
      <c r="M26" s="5"/>
      <c r="N26" s="3"/>
      <c r="O26" s="3"/>
      <c r="P26" s="3"/>
      <c r="Q26" s="3"/>
    </row>
    <row r="27" spans="1:17" ht="15">
      <c r="A27" s="5"/>
      <c r="B27" s="5"/>
      <c r="C27" s="5"/>
      <c r="D27" s="5"/>
      <c r="E27" s="5"/>
      <c r="F27" s="5"/>
      <c r="G27" s="5"/>
      <c r="H27" s="5"/>
      <c r="I27" s="5"/>
      <c r="J27" s="5"/>
      <c r="K27" s="5"/>
      <c r="L27" s="5"/>
      <c r="M27" s="5"/>
      <c r="N27" s="3"/>
      <c r="O27" s="3"/>
      <c r="P27" s="3"/>
      <c r="Q27" s="3"/>
    </row>
    <row r="28" spans="1:17" ht="15">
      <c r="A28" s="5"/>
      <c r="B28" s="5"/>
      <c r="C28" s="5"/>
      <c r="D28" s="5"/>
      <c r="E28" s="5"/>
      <c r="F28" s="5"/>
      <c r="G28" s="5"/>
      <c r="H28" s="5"/>
      <c r="I28" s="5"/>
      <c r="J28" s="5"/>
      <c r="K28" s="5"/>
      <c r="L28" s="5"/>
      <c r="M28" s="5"/>
      <c r="N28" s="3"/>
      <c r="O28" s="3"/>
      <c r="P28" s="3"/>
      <c r="Q28" s="3"/>
    </row>
    <row r="29" spans="1:17" ht="15">
      <c r="A29" s="5"/>
      <c r="B29" s="5"/>
      <c r="C29" s="5"/>
      <c r="D29" s="5"/>
      <c r="E29" s="5"/>
      <c r="F29" s="5"/>
      <c r="G29" s="5"/>
      <c r="H29" s="5"/>
      <c r="I29" s="5"/>
      <c r="J29" s="5"/>
      <c r="K29" s="5"/>
      <c r="L29" s="5"/>
      <c r="M29" s="5"/>
      <c r="N29" s="3"/>
      <c r="O29" s="3"/>
      <c r="P29" s="3"/>
      <c r="Q29" s="3"/>
    </row>
    <row r="30" spans="1:17" ht="15">
      <c r="A30" s="5"/>
      <c r="B30" s="5"/>
      <c r="C30" s="5"/>
      <c r="D30" s="5"/>
      <c r="E30" s="5"/>
      <c r="F30" s="5"/>
      <c r="G30" s="5"/>
      <c r="H30" s="5"/>
      <c r="I30" s="5"/>
      <c r="J30" s="5"/>
      <c r="K30" s="5"/>
      <c r="L30" s="5"/>
      <c r="M30" s="5"/>
      <c r="N30" s="3"/>
      <c r="O30" s="3"/>
      <c r="P30" s="3"/>
      <c r="Q30" s="3"/>
    </row>
    <row r="31" spans="1:17" ht="15">
      <c r="A31" s="5"/>
      <c r="B31" s="5"/>
      <c r="C31" s="5"/>
      <c r="D31" s="5"/>
      <c r="E31" s="5"/>
      <c r="F31" s="5"/>
      <c r="G31" s="5"/>
      <c r="H31" s="5"/>
      <c r="I31" s="5"/>
      <c r="J31" s="5"/>
      <c r="K31" s="5"/>
      <c r="L31" s="5"/>
      <c r="M31" s="5"/>
      <c r="N31" s="3"/>
      <c r="O31" s="3"/>
      <c r="P31" s="3"/>
      <c r="Q31" s="3"/>
    </row>
    <row r="32" spans="1:17" ht="15">
      <c r="A32" s="5"/>
      <c r="B32" s="5"/>
      <c r="C32" s="5"/>
      <c r="D32" s="5"/>
      <c r="E32" s="5"/>
      <c r="F32" s="5"/>
      <c r="G32" s="5"/>
      <c r="H32" s="5"/>
      <c r="I32" s="5"/>
      <c r="J32" s="5"/>
      <c r="K32" s="5"/>
      <c r="L32" s="5"/>
      <c r="M32" s="5"/>
      <c r="N32" s="3"/>
      <c r="O32" s="3"/>
      <c r="P32" s="3"/>
      <c r="Q32" s="3"/>
    </row>
    <row r="33" spans="1:17" ht="15">
      <c r="A33" s="5"/>
      <c r="B33" s="5"/>
      <c r="C33" s="5"/>
      <c r="D33" s="5"/>
      <c r="E33" s="5"/>
      <c r="F33" s="5"/>
      <c r="G33" s="5"/>
      <c r="H33" s="5"/>
      <c r="I33" s="5"/>
      <c r="J33" s="5"/>
      <c r="K33" s="5"/>
      <c r="L33" s="5"/>
      <c r="M33" s="5"/>
      <c r="N33" s="3"/>
      <c r="O33" s="3"/>
      <c r="P33" s="3"/>
      <c r="Q33" s="3"/>
    </row>
    <row r="34" spans="1:17" ht="15">
      <c r="A34" s="5"/>
      <c r="B34" s="5"/>
      <c r="C34" s="5"/>
      <c r="D34" s="5"/>
      <c r="E34" s="5"/>
      <c r="F34" s="5"/>
      <c r="G34" s="5"/>
      <c r="H34" s="5"/>
      <c r="I34" s="5"/>
      <c r="J34" s="5"/>
      <c r="K34" s="5"/>
      <c r="L34" s="5"/>
      <c r="M34" s="5"/>
      <c r="N34" s="3"/>
      <c r="O34" s="3"/>
      <c r="P34" s="3"/>
      <c r="Q34" s="3"/>
    </row>
    <row r="35" spans="1:17" ht="15">
      <c r="A35" s="5"/>
      <c r="B35" s="5"/>
      <c r="C35" s="5"/>
      <c r="D35" s="5"/>
      <c r="E35" s="5"/>
      <c r="F35" s="5"/>
      <c r="G35" s="5"/>
      <c r="H35" s="5"/>
      <c r="I35" s="5"/>
      <c r="J35" s="5"/>
      <c r="K35" s="5"/>
      <c r="L35" s="5"/>
      <c r="M35" s="5"/>
      <c r="N35" s="3"/>
      <c r="O35" s="3"/>
      <c r="P35" s="3"/>
      <c r="Q35" s="3"/>
    </row>
    <row r="36" spans="1:17" ht="15">
      <c r="A36" s="5"/>
      <c r="B36" s="5"/>
      <c r="C36" s="5"/>
      <c r="D36" s="5"/>
      <c r="E36" s="5"/>
      <c r="F36" s="5"/>
      <c r="G36" s="5"/>
      <c r="H36" s="5"/>
      <c r="I36" s="5"/>
      <c r="J36" s="5"/>
      <c r="K36" s="5"/>
      <c r="L36" s="5"/>
      <c r="M36" s="5"/>
      <c r="N36" s="3"/>
      <c r="O36" s="3"/>
      <c r="P36" s="3"/>
      <c r="Q36" s="3"/>
    </row>
    <row r="37" spans="1:17" ht="15">
      <c r="A37" s="5"/>
      <c r="B37" s="5"/>
      <c r="C37" s="5"/>
      <c r="D37" s="5"/>
      <c r="E37" s="5"/>
      <c r="F37" s="5"/>
      <c r="G37" s="5"/>
      <c r="H37" s="5"/>
      <c r="I37" s="5"/>
      <c r="J37" s="5"/>
      <c r="K37" s="5"/>
      <c r="L37" s="5"/>
      <c r="M37" s="5"/>
      <c r="N37" s="3"/>
      <c r="O37" s="3"/>
      <c r="P37" s="3"/>
      <c r="Q37" s="3"/>
    </row>
    <row r="38" spans="1:17" ht="15">
      <c r="A38" s="5"/>
      <c r="B38" s="5"/>
      <c r="C38" s="5"/>
      <c r="D38" s="5"/>
      <c r="E38" s="5"/>
      <c r="F38" s="5"/>
      <c r="G38" s="5"/>
      <c r="H38" s="5"/>
      <c r="I38" s="5"/>
      <c r="J38" s="5"/>
      <c r="K38" s="5"/>
      <c r="L38" s="5"/>
      <c r="M38" s="5"/>
      <c r="N38" s="3"/>
      <c r="O38" s="3"/>
      <c r="P38" s="3"/>
      <c r="Q38" s="3"/>
    </row>
    <row r="39" spans="1:17" ht="15">
      <c r="A39" s="5"/>
      <c r="B39" s="5"/>
      <c r="C39" s="5"/>
      <c r="D39" s="5"/>
      <c r="E39" s="5"/>
      <c r="F39" s="5"/>
      <c r="G39" s="5"/>
      <c r="H39" s="5"/>
      <c r="I39" s="5"/>
      <c r="J39" s="5"/>
      <c r="K39" s="5"/>
      <c r="L39" s="5"/>
      <c r="M39" s="5"/>
      <c r="N39" s="3"/>
      <c r="O39" s="3"/>
      <c r="P39" s="3"/>
      <c r="Q39" s="3"/>
    </row>
    <row r="40" spans="1:17" ht="15">
      <c r="A40" s="5"/>
      <c r="B40" s="5"/>
      <c r="C40" s="5"/>
      <c r="D40" s="5"/>
      <c r="E40" s="5"/>
      <c r="F40" s="5"/>
      <c r="G40" s="5"/>
      <c r="H40" s="5"/>
      <c r="I40" s="5"/>
      <c r="J40" s="5"/>
      <c r="K40" s="5"/>
      <c r="L40" s="5"/>
      <c r="M40" s="5"/>
      <c r="N40" s="3"/>
      <c r="O40" s="3"/>
      <c r="P40" s="3"/>
      <c r="Q40" s="3"/>
    </row>
    <row r="41" spans="1:17" ht="15">
      <c r="A41" s="5"/>
      <c r="B41" s="5"/>
      <c r="C41" s="5"/>
      <c r="D41" s="5"/>
      <c r="E41" s="5"/>
      <c r="F41" s="5"/>
      <c r="G41" s="5"/>
      <c r="H41" s="5"/>
      <c r="I41" s="5"/>
      <c r="J41" s="5"/>
      <c r="K41" s="5"/>
      <c r="L41" s="5"/>
      <c r="M41" s="5"/>
      <c r="N41" s="3"/>
      <c r="O41" s="3"/>
      <c r="P41" s="3"/>
      <c r="Q41" s="3"/>
    </row>
    <row r="42" spans="1:17" ht="15">
      <c r="A42" s="5"/>
      <c r="B42" s="5"/>
      <c r="C42" s="5"/>
      <c r="D42" s="5"/>
      <c r="E42" s="5"/>
      <c r="F42" s="5"/>
      <c r="G42" s="5"/>
      <c r="H42" s="5"/>
      <c r="I42" s="5"/>
      <c r="J42" s="5"/>
      <c r="K42" s="5"/>
      <c r="L42" s="5"/>
      <c r="M42" s="5"/>
      <c r="N42" s="3"/>
      <c r="O42" s="3"/>
      <c r="P42" s="3"/>
      <c r="Q42" s="3"/>
    </row>
    <row r="43" spans="1:17" ht="15">
      <c r="A43" s="5"/>
      <c r="B43" s="5"/>
      <c r="C43" s="5"/>
      <c r="D43" s="5"/>
      <c r="E43" s="5"/>
      <c r="F43" s="5"/>
      <c r="G43" s="5"/>
      <c r="H43" s="5"/>
      <c r="I43" s="5"/>
      <c r="J43" s="5"/>
      <c r="K43" s="5"/>
      <c r="L43" s="5"/>
      <c r="M43" s="5"/>
      <c r="N43" s="3"/>
      <c r="O43" s="3"/>
      <c r="P43" s="3"/>
      <c r="Q43" s="3"/>
    </row>
    <row r="44" spans="1:17" ht="15">
      <c r="A44" s="5"/>
      <c r="B44" s="5"/>
      <c r="C44" s="5"/>
      <c r="D44" s="5"/>
      <c r="E44" s="5"/>
      <c r="F44" s="5"/>
      <c r="G44" s="5"/>
      <c r="H44" s="5"/>
      <c r="I44" s="5"/>
      <c r="J44" s="5"/>
      <c r="K44" s="5"/>
      <c r="L44" s="5"/>
      <c r="M44" s="5"/>
      <c r="N44" s="3"/>
      <c r="O44" s="3"/>
      <c r="P44" s="3"/>
      <c r="Q44" s="3"/>
    </row>
    <row r="45" spans="1:17" ht="15">
      <c r="A45" s="5"/>
      <c r="B45" s="5"/>
      <c r="C45" s="5"/>
      <c r="D45" s="5"/>
      <c r="E45" s="5"/>
      <c r="F45" s="5"/>
      <c r="G45" s="5"/>
      <c r="H45" s="5"/>
      <c r="I45" s="5"/>
      <c r="J45" s="5"/>
      <c r="K45" s="5"/>
      <c r="L45" s="5"/>
      <c r="M45" s="5"/>
      <c r="N45" s="3"/>
      <c r="O45" s="3"/>
      <c r="P45" s="3"/>
      <c r="Q45" s="3"/>
    </row>
    <row r="46" spans="1:17" ht="15">
      <c r="A46" s="5"/>
      <c r="B46" s="5"/>
      <c r="C46" s="5"/>
      <c r="D46" s="5"/>
      <c r="E46" s="5"/>
      <c r="F46" s="5"/>
      <c r="G46" s="5"/>
      <c r="H46" s="5"/>
      <c r="I46" s="5"/>
      <c r="J46" s="5"/>
      <c r="K46" s="5"/>
      <c r="L46" s="5"/>
      <c r="M46" s="5"/>
      <c r="N46" s="3"/>
      <c r="O46" s="3"/>
      <c r="P46" s="3"/>
      <c r="Q46" s="3"/>
    </row>
    <row r="47" spans="1:17" ht="15">
      <c r="A47" s="5"/>
      <c r="B47" s="5"/>
      <c r="C47" s="5"/>
      <c r="D47" s="5"/>
      <c r="E47" s="5"/>
      <c r="F47" s="5"/>
      <c r="G47" s="5"/>
      <c r="H47" s="5"/>
      <c r="I47" s="5"/>
      <c r="J47" s="5"/>
      <c r="K47" s="5"/>
      <c r="L47" s="5"/>
      <c r="M47" s="5"/>
      <c r="N47" s="3"/>
      <c r="O47" s="3"/>
      <c r="P47" s="3"/>
      <c r="Q47" s="3"/>
    </row>
    <row r="48" spans="1:17" ht="15">
      <c r="A48" s="5"/>
      <c r="B48" s="5"/>
      <c r="C48" s="5"/>
      <c r="D48" s="5"/>
      <c r="E48" s="5"/>
      <c r="F48" s="5"/>
      <c r="G48" s="5"/>
      <c r="H48" s="5"/>
      <c r="I48" s="5"/>
      <c r="J48" s="5"/>
      <c r="K48" s="5"/>
      <c r="L48" s="5"/>
      <c r="M48" s="5"/>
      <c r="N48" s="3"/>
      <c r="O48" s="3"/>
      <c r="P48" s="3"/>
      <c r="Q48" s="3"/>
    </row>
    <row r="49" spans="1:17" ht="15">
      <c r="A49" s="5"/>
      <c r="B49" s="5"/>
      <c r="C49" s="5"/>
      <c r="D49" s="5"/>
      <c r="E49" s="5"/>
      <c r="F49" s="5"/>
      <c r="G49" s="5"/>
      <c r="H49" s="5"/>
      <c r="I49" s="5"/>
      <c r="J49" s="5"/>
      <c r="K49" s="5"/>
      <c r="L49" s="5"/>
      <c r="M49" s="5"/>
      <c r="N49" s="3"/>
      <c r="O49" s="3"/>
      <c r="P49" s="3"/>
      <c r="Q49" s="3"/>
    </row>
    <row r="50" spans="1:17" ht="15">
      <c r="A50" s="5"/>
      <c r="B50" s="5"/>
      <c r="C50" s="5"/>
      <c r="D50" s="5"/>
      <c r="E50" s="5"/>
      <c r="F50" s="5"/>
      <c r="G50" s="5"/>
      <c r="H50" s="5"/>
      <c r="I50" s="5"/>
      <c r="J50" s="5"/>
      <c r="K50" s="5"/>
      <c r="L50" s="5"/>
      <c r="M50" s="5"/>
      <c r="N50" s="3"/>
      <c r="O50" s="3"/>
      <c r="P50" s="3"/>
      <c r="Q50" s="3"/>
    </row>
    <row r="51" spans="1:17" ht="15">
      <c r="A51" s="5"/>
      <c r="B51" s="5"/>
      <c r="C51" s="5"/>
      <c r="D51" s="5"/>
      <c r="E51" s="5"/>
      <c r="F51" s="5"/>
      <c r="G51" s="5"/>
      <c r="H51" s="5"/>
      <c r="I51" s="5"/>
      <c r="J51" s="5"/>
      <c r="K51" s="5"/>
      <c r="L51" s="5"/>
      <c r="M51" s="5"/>
      <c r="N51" s="3"/>
      <c r="O51" s="3"/>
      <c r="P51" s="3"/>
      <c r="Q51" s="3"/>
    </row>
    <row r="52" spans="1:17" ht="15">
      <c r="A52" s="5"/>
      <c r="B52" s="5"/>
      <c r="C52" s="5"/>
      <c r="D52" s="5"/>
      <c r="E52" s="5"/>
      <c r="F52" s="5"/>
      <c r="G52" s="5"/>
      <c r="H52" s="5"/>
      <c r="I52" s="5"/>
      <c r="J52" s="5"/>
      <c r="K52" s="5"/>
      <c r="L52" s="5"/>
      <c r="M52" s="5"/>
      <c r="N52" s="3"/>
      <c r="O52" s="3"/>
      <c r="P52" s="3"/>
      <c r="Q52" s="3"/>
    </row>
    <row r="53" spans="1:17" ht="15">
      <c r="A53" s="5"/>
      <c r="B53" s="5"/>
      <c r="C53" s="5"/>
      <c r="D53" s="5"/>
      <c r="E53" s="5"/>
      <c r="F53" s="5"/>
      <c r="G53" s="5"/>
      <c r="H53" s="5"/>
      <c r="I53" s="5"/>
      <c r="J53" s="5"/>
      <c r="K53" s="5"/>
      <c r="L53" s="5"/>
      <c r="M53" s="5"/>
      <c r="N53" s="3"/>
      <c r="O53" s="3"/>
      <c r="P53" s="3"/>
      <c r="Q53" s="3"/>
    </row>
    <row r="54" spans="1:17" ht="15">
      <c r="A54" s="5"/>
      <c r="B54" s="5"/>
      <c r="C54" s="5"/>
      <c r="D54" s="5"/>
      <c r="E54" s="5"/>
      <c r="F54" s="5"/>
      <c r="G54" s="5"/>
      <c r="H54" s="5"/>
      <c r="I54" s="5"/>
      <c r="J54" s="5"/>
      <c r="K54" s="5"/>
      <c r="L54" s="5"/>
      <c r="M54" s="5"/>
      <c r="N54" s="3"/>
      <c r="O54" s="3"/>
      <c r="P54" s="3"/>
      <c r="Q54" s="3"/>
    </row>
    <row r="55" spans="1:17" ht="15">
      <c r="A55" s="5"/>
      <c r="B55" s="5"/>
      <c r="C55" s="5"/>
      <c r="D55" s="5"/>
      <c r="E55" s="5"/>
      <c r="F55" s="5"/>
      <c r="G55" s="5"/>
      <c r="H55" s="5"/>
      <c r="I55" s="5"/>
      <c r="J55" s="5"/>
      <c r="K55" s="5"/>
      <c r="L55" s="5"/>
      <c r="M55" s="5"/>
      <c r="N55" s="3"/>
      <c r="O55" s="3"/>
      <c r="P55" s="3"/>
      <c r="Q55" s="3"/>
    </row>
    <row r="56" spans="1:17" ht="15">
      <c r="A56" s="5"/>
      <c r="B56" s="5"/>
      <c r="C56" s="5"/>
      <c r="D56" s="5"/>
      <c r="E56" s="5"/>
      <c r="F56" s="5"/>
      <c r="G56" s="5"/>
      <c r="H56" s="5"/>
      <c r="I56" s="5"/>
      <c r="J56" s="5"/>
      <c r="K56" s="5"/>
      <c r="L56" s="5"/>
      <c r="M56" s="5"/>
      <c r="N56" s="3"/>
      <c r="O56" s="3"/>
      <c r="P56" s="3"/>
      <c r="Q56" s="3"/>
    </row>
    <row r="57" spans="1:17" ht="15">
      <c r="A57" s="5"/>
      <c r="B57" s="5"/>
      <c r="C57" s="5"/>
      <c r="D57" s="5"/>
      <c r="E57" s="5"/>
      <c r="F57" s="5"/>
      <c r="G57" s="5"/>
      <c r="H57" s="5"/>
      <c r="I57" s="5"/>
      <c r="J57" s="5"/>
      <c r="K57" s="5"/>
      <c r="L57" s="5"/>
      <c r="M57" s="5"/>
      <c r="N57" s="3"/>
      <c r="O57" s="3"/>
      <c r="P57" s="3"/>
      <c r="Q57" s="3"/>
    </row>
    <row r="58" spans="1:17" ht="15">
      <c r="A58" s="5"/>
      <c r="B58" s="5"/>
      <c r="C58" s="5"/>
      <c r="D58" s="5"/>
      <c r="E58" s="5"/>
      <c r="F58" s="5"/>
      <c r="G58" s="5"/>
      <c r="H58" s="5"/>
      <c r="I58" s="5"/>
      <c r="J58" s="5"/>
      <c r="K58" s="5"/>
      <c r="L58" s="5"/>
      <c r="M58" s="5"/>
      <c r="N58" s="3"/>
      <c r="O58" s="3"/>
      <c r="P58" s="3"/>
      <c r="Q58" s="3"/>
    </row>
    <row r="59" spans="1:17" ht="15">
      <c r="A59" s="5"/>
      <c r="B59" s="5"/>
      <c r="C59" s="5"/>
      <c r="D59" s="5"/>
      <c r="E59" s="5"/>
      <c r="F59" s="5"/>
      <c r="G59" s="5"/>
      <c r="H59" s="5"/>
      <c r="I59" s="5"/>
      <c r="J59" s="5"/>
      <c r="K59" s="5"/>
      <c r="L59" s="5"/>
      <c r="M59" s="5"/>
      <c r="N59" s="3"/>
      <c r="O59" s="3"/>
      <c r="P59" s="3"/>
      <c r="Q59" s="3"/>
    </row>
    <row r="60" spans="1:17" ht="15">
      <c r="A60" s="5"/>
      <c r="B60" s="5"/>
      <c r="C60" s="5"/>
      <c r="D60" s="5"/>
      <c r="E60" s="5"/>
      <c r="F60" s="5"/>
      <c r="G60" s="5"/>
      <c r="H60" s="5"/>
      <c r="I60" s="5"/>
      <c r="J60" s="5"/>
      <c r="K60" s="5"/>
      <c r="L60" s="5"/>
      <c r="M60" s="5"/>
      <c r="N60" s="3"/>
      <c r="O60" s="3"/>
      <c r="P60" s="3"/>
      <c r="Q60" s="3"/>
    </row>
    <row r="61" spans="1:17" ht="15">
      <c r="A61" s="5"/>
      <c r="B61" s="5"/>
      <c r="C61" s="5"/>
      <c r="D61" s="5"/>
      <c r="E61" s="5"/>
      <c r="F61" s="5"/>
      <c r="G61" s="5"/>
      <c r="H61" s="5"/>
      <c r="I61" s="5"/>
      <c r="J61" s="5"/>
      <c r="K61" s="5"/>
      <c r="L61" s="5"/>
      <c r="M61" s="5"/>
      <c r="N61" s="3"/>
      <c r="O61" s="3"/>
      <c r="P61" s="3"/>
      <c r="Q61" s="3"/>
    </row>
    <row r="62" spans="1:17" ht="15">
      <c r="A62" s="5"/>
      <c r="B62" s="5"/>
      <c r="C62" s="5"/>
      <c r="D62" s="5"/>
      <c r="E62" s="5"/>
      <c r="F62" s="5"/>
      <c r="G62" s="5"/>
      <c r="H62" s="5"/>
      <c r="I62" s="5"/>
      <c r="J62" s="5"/>
      <c r="K62" s="5"/>
      <c r="L62" s="5"/>
      <c r="M62" s="5"/>
      <c r="N62" s="3"/>
      <c r="O62" s="3"/>
      <c r="P62" s="3"/>
      <c r="Q62" s="3"/>
    </row>
    <row r="63" spans="1:17" ht="15">
      <c r="A63" s="5"/>
      <c r="B63" s="5"/>
      <c r="C63" s="5"/>
      <c r="D63" s="5"/>
      <c r="E63" s="5"/>
      <c r="F63" s="5"/>
      <c r="G63" s="5"/>
      <c r="H63" s="5"/>
      <c r="I63" s="5"/>
      <c r="J63" s="5"/>
      <c r="K63" s="5"/>
      <c r="L63" s="5"/>
      <c r="M63" s="5"/>
      <c r="N63" s="3"/>
      <c r="O63" s="3"/>
      <c r="P63" s="3"/>
      <c r="Q63" s="3"/>
    </row>
    <row r="64" spans="1:17" ht="15">
      <c r="A64" s="5"/>
      <c r="B64" s="5"/>
      <c r="C64" s="5"/>
      <c r="D64" s="5"/>
      <c r="E64" s="5"/>
      <c r="F64" s="5"/>
      <c r="G64" s="5"/>
      <c r="H64" s="5"/>
      <c r="I64" s="5"/>
      <c r="J64" s="5"/>
      <c r="K64" s="5"/>
      <c r="L64" s="5"/>
      <c r="M64" s="5"/>
      <c r="N64" s="3"/>
      <c r="O64" s="3"/>
      <c r="P64" s="3"/>
      <c r="Q64" s="3"/>
    </row>
    <row r="65" spans="1:17" ht="15">
      <c r="A65" s="5"/>
      <c r="B65" s="5"/>
      <c r="C65" s="5"/>
      <c r="D65" s="5"/>
      <c r="E65" s="5"/>
      <c r="F65" s="5"/>
      <c r="G65" s="5"/>
      <c r="H65" s="5"/>
      <c r="I65" s="5"/>
      <c r="J65" s="5"/>
      <c r="K65" s="5"/>
      <c r="L65" s="5"/>
      <c r="M65" s="5"/>
      <c r="N65" s="3"/>
      <c r="O65" s="3"/>
      <c r="P65" s="3"/>
      <c r="Q65" s="3"/>
    </row>
    <row r="66" spans="1:17" ht="15">
      <c r="A66" s="5"/>
      <c r="B66" s="5"/>
      <c r="C66" s="5"/>
      <c r="D66" s="5"/>
      <c r="E66" s="5"/>
      <c r="F66" s="5"/>
      <c r="G66" s="5"/>
      <c r="H66" s="5"/>
      <c r="I66" s="5"/>
      <c r="J66" s="5"/>
      <c r="K66" s="5"/>
      <c r="L66" s="5"/>
      <c r="M66" s="5"/>
      <c r="N66" s="3"/>
      <c r="O66" s="3"/>
      <c r="P66" s="3"/>
      <c r="Q66" s="3"/>
    </row>
    <row r="67" spans="1:17" ht="15">
      <c r="A67" s="5"/>
      <c r="B67" s="5"/>
      <c r="C67" s="5"/>
      <c r="D67" s="5"/>
      <c r="E67" s="5"/>
      <c r="F67" s="5"/>
      <c r="G67" s="5"/>
      <c r="H67" s="5"/>
      <c r="I67" s="5"/>
      <c r="J67" s="5"/>
      <c r="K67" s="5"/>
      <c r="L67" s="5"/>
      <c r="M67" s="5"/>
      <c r="N67" s="3"/>
      <c r="O67" s="3"/>
      <c r="P67" s="3"/>
      <c r="Q67" s="3"/>
    </row>
    <row r="68" spans="1:17" ht="15">
      <c r="A68" s="5"/>
      <c r="B68" s="5"/>
      <c r="C68" s="5"/>
      <c r="D68" s="5"/>
      <c r="E68" s="5"/>
      <c r="F68" s="5"/>
      <c r="G68" s="5"/>
      <c r="H68" s="5"/>
      <c r="I68" s="5"/>
      <c r="J68" s="5"/>
      <c r="K68" s="5"/>
      <c r="L68" s="5"/>
      <c r="M68" s="5"/>
      <c r="N68" s="3"/>
      <c r="O68" s="3"/>
      <c r="P68" s="3"/>
      <c r="Q68" s="3"/>
    </row>
    <row r="69" spans="1:17" ht="15">
      <c r="A69" s="5"/>
      <c r="B69" s="5"/>
      <c r="C69" s="5"/>
      <c r="D69" s="5"/>
      <c r="E69" s="5"/>
      <c r="F69" s="5"/>
      <c r="G69" s="5"/>
      <c r="H69" s="5"/>
      <c r="I69" s="5"/>
      <c r="J69" s="5"/>
      <c r="K69" s="5"/>
      <c r="L69" s="5"/>
      <c r="M69" s="5"/>
      <c r="N69" s="3"/>
      <c r="O69" s="3"/>
      <c r="P69" s="3"/>
      <c r="Q69" s="3"/>
    </row>
    <row r="70" spans="1:17" ht="15">
      <c r="A70" s="5"/>
      <c r="B70" s="5"/>
      <c r="C70" s="5"/>
      <c r="D70" s="5"/>
      <c r="E70" s="5"/>
      <c r="F70" s="5"/>
      <c r="G70" s="5"/>
      <c r="H70" s="5"/>
      <c r="I70" s="5"/>
      <c r="J70" s="5"/>
      <c r="K70" s="5"/>
      <c r="L70" s="5"/>
      <c r="M70" s="5"/>
      <c r="N70" s="3"/>
      <c r="O70" s="3"/>
      <c r="P70" s="3"/>
      <c r="Q70" s="3"/>
    </row>
    <row r="71" spans="1:17" ht="15">
      <c r="A71" s="5"/>
      <c r="B71" s="5"/>
      <c r="C71" s="5"/>
      <c r="D71" s="5"/>
      <c r="E71" s="5"/>
      <c r="F71" s="5"/>
      <c r="G71" s="5"/>
      <c r="H71" s="5"/>
      <c r="I71" s="5"/>
      <c r="J71" s="5"/>
      <c r="K71" s="5"/>
      <c r="L71" s="5"/>
      <c r="M71" s="5"/>
      <c r="N71" s="3"/>
      <c r="O71" s="3"/>
      <c r="P71" s="3"/>
      <c r="Q71" s="3"/>
    </row>
    <row r="72" spans="1:17" ht="15">
      <c r="A72" s="5"/>
      <c r="B72" s="5"/>
      <c r="C72" s="5"/>
      <c r="D72" s="5"/>
      <c r="E72" s="5"/>
      <c r="F72" s="5"/>
      <c r="G72" s="5"/>
      <c r="H72" s="5"/>
      <c r="I72" s="5"/>
      <c r="J72" s="5"/>
      <c r="K72" s="5"/>
      <c r="L72" s="5"/>
      <c r="M72" s="5"/>
      <c r="N72" s="3"/>
      <c r="O72" s="3"/>
      <c r="P72" s="3"/>
      <c r="Q72" s="3"/>
    </row>
    <row r="73" spans="1:17" ht="15">
      <c r="A73" s="5"/>
      <c r="B73" s="5"/>
      <c r="C73" s="5"/>
      <c r="D73" s="5"/>
      <c r="E73" s="5"/>
      <c r="F73" s="5"/>
      <c r="G73" s="5"/>
      <c r="H73" s="5"/>
      <c r="I73" s="5"/>
      <c r="J73" s="5"/>
      <c r="K73" s="5"/>
      <c r="L73" s="5"/>
      <c r="M73" s="5"/>
      <c r="N73" s="3"/>
      <c r="O73" s="3"/>
      <c r="P73" s="3"/>
      <c r="Q73" s="3"/>
    </row>
    <row r="74" spans="1:17" ht="15">
      <c r="A74" s="5"/>
      <c r="B74" s="5"/>
      <c r="C74" s="5"/>
      <c r="D74" s="5"/>
      <c r="E74" s="5"/>
      <c r="F74" s="5"/>
      <c r="G74" s="5"/>
      <c r="H74" s="5"/>
      <c r="I74" s="5"/>
      <c r="J74" s="5"/>
      <c r="K74" s="5"/>
      <c r="L74" s="5"/>
      <c r="M74" s="5"/>
      <c r="N74" s="3"/>
      <c r="O74" s="3"/>
      <c r="P74" s="3"/>
      <c r="Q74" s="3"/>
    </row>
    <row r="75" spans="1:17" ht="15">
      <c r="A75" s="5"/>
      <c r="B75" s="5"/>
      <c r="C75" s="5"/>
      <c r="D75" s="5"/>
      <c r="E75" s="5"/>
      <c r="F75" s="5"/>
      <c r="G75" s="5"/>
      <c r="H75" s="5"/>
      <c r="I75" s="5"/>
      <c r="J75" s="5"/>
      <c r="K75" s="5"/>
      <c r="L75" s="5"/>
      <c r="M75" s="5"/>
      <c r="N75" s="3"/>
      <c r="O75" s="3"/>
      <c r="P75" s="3"/>
      <c r="Q75" s="3"/>
    </row>
    <row r="76" spans="1:17" ht="15">
      <c r="A76" s="5"/>
      <c r="B76" s="5"/>
      <c r="C76" s="5"/>
      <c r="D76" s="5"/>
      <c r="E76" s="5"/>
      <c r="F76" s="5"/>
      <c r="G76" s="5"/>
      <c r="H76" s="5"/>
      <c r="I76" s="5"/>
      <c r="J76" s="5"/>
      <c r="K76" s="5"/>
      <c r="L76" s="5"/>
      <c r="M76" s="5"/>
      <c r="N76" s="3"/>
      <c r="O76" s="3"/>
      <c r="P76" s="3"/>
      <c r="Q76" s="3"/>
    </row>
    <row r="77" spans="1:17" ht="15">
      <c r="A77" s="5"/>
      <c r="B77" s="5"/>
      <c r="C77" s="5"/>
      <c r="D77" s="5"/>
      <c r="E77" s="5"/>
      <c r="F77" s="5"/>
      <c r="G77" s="5"/>
      <c r="H77" s="5"/>
      <c r="I77" s="5"/>
      <c r="J77" s="5"/>
      <c r="K77" s="5"/>
      <c r="L77" s="5"/>
      <c r="M77" s="5"/>
      <c r="N77" s="3"/>
      <c r="O77" s="3"/>
      <c r="P77" s="3"/>
      <c r="Q77" s="3"/>
    </row>
    <row r="78" spans="1:17" ht="15">
      <c r="A78" s="5"/>
      <c r="B78" s="5"/>
      <c r="C78" s="5"/>
      <c r="D78" s="5"/>
      <c r="E78" s="5"/>
      <c r="F78" s="5"/>
      <c r="G78" s="5"/>
      <c r="H78" s="5"/>
      <c r="I78" s="5"/>
      <c r="J78" s="5"/>
      <c r="K78" s="5"/>
      <c r="L78" s="5"/>
      <c r="M78" s="5"/>
      <c r="N78" s="3"/>
      <c r="O78" s="3"/>
      <c r="P78" s="3"/>
      <c r="Q78" s="3"/>
    </row>
    <row r="79" spans="1:17" ht="15">
      <c r="A79" s="5"/>
      <c r="B79" s="5"/>
      <c r="C79" s="5"/>
      <c r="D79" s="5"/>
      <c r="E79" s="5"/>
      <c r="F79" s="5"/>
      <c r="G79" s="5"/>
      <c r="H79" s="5"/>
      <c r="I79" s="5"/>
      <c r="J79" s="5"/>
      <c r="K79" s="5"/>
      <c r="L79" s="5"/>
      <c r="M79" s="5"/>
      <c r="N79" s="3"/>
      <c r="O79" s="3"/>
      <c r="P79" s="3"/>
      <c r="Q79" s="3"/>
    </row>
    <row r="80" spans="1:17" ht="15">
      <c r="A80" s="5"/>
      <c r="B80" s="5"/>
      <c r="C80" s="5"/>
      <c r="D80" s="5"/>
      <c r="E80" s="5"/>
      <c r="F80" s="5"/>
      <c r="G80" s="5"/>
      <c r="H80" s="5"/>
      <c r="I80" s="5"/>
      <c r="J80" s="5"/>
      <c r="K80" s="5"/>
      <c r="L80" s="5"/>
      <c r="M80" s="5"/>
      <c r="N80" s="3"/>
      <c r="O80" s="3"/>
      <c r="P80" s="3"/>
      <c r="Q80" s="3"/>
    </row>
    <row r="81" spans="1:17" ht="15">
      <c r="A81" s="5"/>
      <c r="B81" s="5"/>
      <c r="C81" s="5"/>
      <c r="D81" s="5"/>
      <c r="E81" s="5"/>
      <c r="F81" s="5"/>
      <c r="G81" s="5"/>
      <c r="H81" s="5"/>
      <c r="I81" s="5"/>
      <c r="J81" s="5"/>
      <c r="K81" s="5"/>
      <c r="L81" s="5"/>
      <c r="M81" s="5"/>
      <c r="N81" s="3"/>
      <c r="O81" s="3"/>
      <c r="P81" s="3"/>
      <c r="Q81" s="3"/>
    </row>
    <row r="82" spans="1:17" ht="15">
      <c r="A82" s="5"/>
      <c r="B82" s="5"/>
      <c r="C82" s="5"/>
      <c r="D82" s="5"/>
      <c r="E82" s="5"/>
      <c r="F82" s="5"/>
      <c r="G82" s="5"/>
      <c r="H82" s="5"/>
      <c r="I82" s="5"/>
      <c r="J82" s="5"/>
      <c r="K82" s="5"/>
      <c r="L82" s="5"/>
      <c r="M82" s="5"/>
      <c r="N82" s="3"/>
      <c r="O82" s="3"/>
      <c r="P82" s="3"/>
      <c r="Q82" s="3"/>
    </row>
    <row r="83" spans="1:17" ht="15">
      <c r="A83" s="5"/>
      <c r="B83" s="5"/>
      <c r="C83" s="5"/>
      <c r="D83" s="5"/>
      <c r="E83" s="5"/>
      <c r="F83" s="5"/>
      <c r="G83" s="5"/>
      <c r="H83" s="5"/>
      <c r="I83" s="5"/>
      <c r="J83" s="5"/>
      <c r="K83" s="5"/>
      <c r="L83" s="5"/>
      <c r="M83" s="5"/>
      <c r="N83" s="3"/>
      <c r="O83" s="3"/>
      <c r="P83" s="3"/>
      <c r="Q83" s="3"/>
    </row>
    <row r="84" spans="1:17" ht="15">
      <c r="A84" s="5"/>
      <c r="B84" s="5"/>
      <c r="C84" s="5"/>
      <c r="D84" s="5"/>
      <c r="E84" s="5"/>
      <c r="F84" s="5"/>
      <c r="G84" s="5"/>
      <c r="H84" s="5"/>
      <c r="I84" s="5"/>
      <c r="J84" s="5"/>
      <c r="K84" s="5"/>
      <c r="L84" s="5"/>
      <c r="M84" s="5"/>
      <c r="N84" s="3"/>
      <c r="O84" s="3"/>
      <c r="P84" s="3"/>
      <c r="Q84" s="3"/>
    </row>
    <row r="85" spans="1:17" ht="15">
      <c r="A85" s="5"/>
      <c r="B85" s="5"/>
      <c r="C85" s="5"/>
      <c r="D85" s="5"/>
      <c r="E85" s="5"/>
      <c r="F85" s="5"/>
      <c r="G85" s="5"/>
      <c r="H85" s="5"/>
      <c r="I85" s="5"/>
      <c r="J85" s="5"/>
      <c r="K85" s="5"/>
      <c r="L85" s="5"/>
      <c r="M85" s="5"/>
      <c r="N85" s="3"/>
      <c r="O85" s="3"/>
      <c r="P85" s="3"/>
      <c r="Q85" s="3"/>
    </row>
    <row r="86" spans="1:17" ht="15">
      <c r="A86" s="5"/>
      <c r="B86" s="5"/>
      <c r="C86" s="5"/>
      <c r="D86" s="5"/>
      <c r="E86" s="5"/>
      <c r="F86" s="5"/>
      <c r="G86" s="5"/>
      <c r="H86" s="5"/>
      <c r="I86" s="5"/>
      <c r="J86" s="5"/>
      <c r="K86" s="5"/>
      <c r="L86" s="5"/>
      <c r="M86" s="5"/>
      <c r="N86" s="3"/>
      <c r="O86" s="3"/>
      <c r="P86" s="3"/>
      <c r="Q86" s="3"/>
    </row>
    <row r="87" spans="1:17" ht="15">
      <c r="A87" s="5"/>
      <c r="B87" s="5"/>
      <c r="C87" s="5"/>
      <c r="D87" s="5"/>
      <c r="E87" s="5"/>
      <c r="F87" s="5"/>
      <c r="G87" s="5"/>
      <c r="H87" s="5"/>
      <c r="I87" s="5"/>
      <c r="J87" s="5"/>
      <c r="K87" s="5"/>
      <c r="L87" s="5"/>
      <c r="M87" s="5"/>
      <c r="N87" s="3"/>
      <c r="O87" s="3"/>
      <c r="P87" s="3"/>
      <c r="Q87" s="3"/>
    </row>
    <row r="88" spans="1:17" ht="15">
      <c r="A88" s="5"/>
      <c r="B88" s="5"/>
      <c r="C88" s="5"/>
      <c r="D88" s="5"/>
      <c r="E88" s="5"/>
      <c r="F88" s="5"/>
      <c r="G88" s="5"/>
      <c r="H88" s="5"/>
      <c r="I88" s="5"/>
      <c r="J88" s="5"/>
      <c r="K88" s="5"/>
      <c r="L88" s="5"/>
      <c r="M88" s="5"/>
      <c r="N88" s="3"/>
      <c r="O88" s="3"/>
      <c r="P88" s="3"/>
      <c r="Q88" s="3"/>
    </row>
    <row r="89" spans="1:17" ht="15">
      <c r="A89" s="5"/>
      <c r="B89" s="5"/>
      <c r="C89" s="5"/>
      <c r="D89" s="5"/>
      <c r="E89" s="5"/>
      <c r="F89" s="5"/>
      <c r="G89" s="5"/>
      <c r="H89" s="5"/>
      <c r="I89" s="5"/>
      <c r="J89" s="5"/>
      <c r="K89" s="5"/>
      <c r="L89" s="5"/>
      <c r="M89" s="5"/>
      <c r="N89" s="3"/>
      <c r="O89" s="3"/>
      <c r="P89" s="3"/>
      <c r="Q89" s="3"/>
    </row>
    <row r="90" spans="1:17" ht="15">
      <c r="A90" s="5"/>
      <c r="B90" s="5"/>
      <c r="C90" s="5"/>
      <c r="D90" s="5"/>
      <c r="E90" s="5"/>
      <c r="F90" s="5"/>
      <c r="G90" s="5"/>
      <c r="H90" s="5"/>
      <c r="I90" s="5"/>
      <c r="J90" s="5"/>
      <c r="K90" s="5"/>
      <c r="L90" s="5"/>
      <c r="M90" s="5"/>
      <c r="N90" s="3"/>
      <c r="O90" s="3"/>
      <c r="P90" s="3"/>
      <c r="Q90" s="3"/>
    </row>
    <row r="91" spans="1:17" ht="15">
      <c r="A91" s="5"/>
      <c r="B91" s="5"/>
      <c r="C91" s="5"/>
      <c r="D91" s="5"/>
      <c r="E91" s="5"/>
      <c r="F91" s="5"/>
      <c r="G91" s="5"/>
      <c r="H91" s="5"/>
      <c r="I91" s="5"/>
      <c r="J91" s="5"/>
      <c r="K91" s="5"/>
      <c r="L91" s="5"/>
      <c r="M91" s="5"/>
      <c r="N91" s="3"/>
      <c r="O91" s="3"/>
      <c r="P91" s="3"/>
      <c r="Q91" s="3"/>
    </row>
    <row r="92" spans="1:17" ht="15">
      <c r="A92" s="5"/>
      <c r="B92" s="5"/>
      <c r="C92" s="5"/>
      <c r="D92" s="5"/>
      <c r="E92" s="5"/>
      <c r="F92" s="5"/>
      <c r="G92" s="5"/>
      <c r="H92" s="5"/>
      <c r="I92" s="5"/>
      <c r="J92" s="5"/>
      <c r="K92" s="5"/>
      <c r="L92" s="5"/>
      <c r="M92" s="5"/>
      <c r="N92" s="3"/>
      <c r="O92" s="3"/>
      <c r="P92" s="3"/>
      <c r="Q92" s="3"/>
    </row>
    <row r="93" spans="1:17" ht="15">
      <c r="A93" s="5"/>
      <c r="B93" s="5"/>
      <c r="C93" s="5"/>
      <c r="D93" s="5"/>
      <c r="E93" s="5"/>
      <c r="F93" s="5"/>
      <c r="G93" s="5"/>
      <c r="H93" s="5"/>
      <c r="I93" s="5"/>
      <c r="J93" s="5"/>
      <c r="K93" s="5"/>
      <c r="L93" s="5"/>
      <c r="M93" s="5"/>
      <c r="N93" s="3"/>
      <c r="O93" s="3"/>
      <c r="P93" s="3"/>
      <c r="Q93" s="3"/>
    </row>
    <row r="94" spans="1:17" ht="15">
      <c r="A94" s="5"/>
      <c r="B94" s="5"/>
      <c r="C94" s="5"/>
      <c r="D94" s="5"/>
      <c r="E94" s="5"/>
      <c r="F94" s="5"/>
      <c r="G94" s="5"/>
      <c r="H94" s="5"/>
      <c r="I94" s="5"/>
      <c r="J94" s="5"/>
      <c r="K94" s="5"/>
      <c r="L94" s="5"/>
      <c r="M94" s="5"/>
      <c r="N94" s="3"/>
      <c r="O94" s="3"/>
      <c r="P94" s="3"/>
      <c r="Q94" s="3"/>
    </row>
    <row r="95" spans="1:17" ht="15">
      <c r="A95" s="5"/>
      <c r="B95" s="5"/>
      <c r="C95" s="5"/>
      <c r="D95" s="5"/>
      <c r="E95" s="5"/>
      <c r="F95" s="5"/>
      <c r="G95" s="5"/>
      <c r="H95" s="5"/>
      <c r="I95" s="5"/>
      <c r="J95" s="5"/>
      <c r="K95" s="5"/>
      <c r="L95" s="5"/>
      <c r="M95" s="5"/>
      <c r="N95" s="3"/>
      <c r="O95" s="3"/>
      <c r="P95" s="3"/>
      <c r="Q95" s="3"/>
    </row>
    <row r="96" spans="1:17" ht="15">
      <c r="A96" s="5"/>
      <c r="B96" s="5"/>
      <c r="C96" s="5"/>
      <c r="D96" s="5"/>
      <c r="E96" s="5"/>
      <c r="F96" s="5"/>
      <c r="G96" s="5"/>
      <c r="H96" s="5"/>
      <c r="I96" s="5"/>
      <c r="J96" s="5"/>
      <c r="K96" s="5"/>
      <c r="L96" s="5"/>
      <c r="M96" s="5"/>
      <c r="N96" s="3"/>
      <c r="O96" s="3"/>
      <c r="P96" s="3"/>
      <c r="Q96" s="3"/>
    </row>
    <row r="97" spans="1:17" ht="15">
      <c r="A97" s="5"/>
      <c r="B97" s="5"/>
      <c r="C97" s="5"/>
      <c r="D97" s="5"/>
      <c r="E97" s="5"/>
      <c r="F97" s="5"/>
      <c r="G97" s="5"/>
      <c r="H97" s="5"/>
      <c r="I97" s="5"/>
      <c r="J97" s="5"/>
      <c r="K97" s="5"/>
      <c r="L97" s="5"/>
      <c r="M97" s="5"/>
      <c r="N97" s="3"/>
      <c r="O97" s="3"/>
      <c r="P97" s="3"/>
      <c r="Q97" s="3"/>
    </row>
    <row r="98" spans="1:17" ht="15">
      <c r="A98" s="5"/>
      <c r="B98" s="5"/>
      <c r="C98" s="5"/>
      <c r="D98" s="5"/>
      <c r="E98" s="5"/>
      <c r="F98" s="5"/>
      <c r="G98" s="5"/>
      <c r="H98" s="5"/>
      <c r="I98" s="5"/>
      <c r="J98" s="5"/>
      <c r="K98" s="5"/>
      <c r="L98" s="5"/>
      <c r="M98" s="5"/>
      <c r="N98" s="3"/>
      <c r="O98" s="3"/>
      <c r="P98" s="3"/>
      <c r="Q98" s="3"/>
    </row>
    <row r="99" spans="1:17" ht="15">
      <c r="A99" s="5"/>
      <c r="B99" s="5"/>
      <c r="C99" s="5"/>
      <c r="D99" s="5"/>
      <c r="E99" s="5"/>
      <c r="F99" s="5"/>
      <c r="G99" s="5"/>
      <c r="H99" s="5"/>
      <c r="I99" s="5"/>
      <c r="J99" s="5"/>
      <c r="K99" s="5"/>
      <c r="L99" s="5"/>
      <c r="M99" s="5"/>
      <c r="N99" s="3"/>
      <c r="O99" s="3"/>
      <c r="P99" s="3"/>
      <c r="Q99" s="3"/>
    </row>
    <row r="100" spans="1:17" ht="15">
      <c r="A100" s="5"/>
      <c r="B100" s="5"/>
      <c r="C100" s="5"/>
      <c r="D100" s="5"/>
      <c r="E100" s="5"/>
      <c r="F100" s="5"/>
      <c r="G100" s="5"/>
      <c r="H100" s="5"/>
      <c r="I100" s="5"/>
      <c r="J100" s="5"/>
      <c r="K100" s="5"/>
      <c r="L100" s="5"/>
      <c r="M100" s="5"/>
      <c r="N100" s="3"/>
      <c r="O100" s="3"/>
      <c r="P100" s="3"/>
      <c r="Q100" s="3"/>
    </row>
    <row r="101" spans="1:17" ht="15">
      <c r="A101" s="5"/>
      <c r="B101" s="5"/>
      <c r="C101" s="5"/>
      <c r="D101" s="5"/>
      <c r="E101" s="5"/>
      <c r="F101" s="5"/>
      <c r="G101" s="5"/>
      <c r="H101" s="5"/>
      <c r="I101" s="5"/>
      <c r="J101" s="5"/>
      <c r="K101" s="5"/>
      <c r="L101" s="5"/>
      <c r="M101" s="5"/>
      <c r="N101" s="3"/>
      <c r="O101" s="3"/>
      <c r="P101" s="3"/>
      <c r="Q101" s="3"/>
    </row>
    <row r="102" spans="1:17" ht="15">
      <c r="A102" s="5"/>
      <c r="B102" s="5"/>
      <c r="C102" s="5"/>
      <c r="D102" s="5"/>
      <c r="E102" s="5"/>
      <c r="F102" s="5"/>
      <c r="G102" s="5"/>
      <c r="H102" s="5"/>
      <c r="I102" s="5"/>
      <c r="J102" s="5"/>
      <c r="K102" s="5"/>
      <c r="L102" s="5"/>
      <c r="M102" s="5"/>
      <c r="N102" s="3"/>
      <c r="O102" s="3"/>
      <c r="P102" s="3"/>
      <c r="Q102" s="3"/>
    </row>
    <row r="103" spans="1:17" ht="15">
      <c r="A103" s="5"/>
      <c r="B103" s="5"/>
      <c r="C103" s="5"/>
      <c r="D103" s="5"/>
      <c r="E103" s="5"/>
      <c r="F103" s="5"/>
      <c r="G103" s="5"/>
      <c r="H103" s="5"/>
      <c r="I103" s="5"/>
      <c r="J103" s="5"/>
      <c r="K103" s="5"/>
      <c r="L103" s="5"/>
      <c r="M103" s="5"/>
      <c r="N103" s="3"/>
      <c r="O103" s="3"/>
      <c r="P103" s="3"/>
      <c r="Q103" s="3"/>
    </row>
    <row r="104" spans="1:17" ht="15">
      <c r="A104" s="5"/>
      <c r="B104" s="5"/>
      <c r="C104" s="5"/>
      <c r="D104" s="5"/>
      <c r="E104" s="5"/>
      <c r="F104" s="5"/>
      <c r="G104" s="5"/>
      <c r="H104" s="5"/>
      <c r="I104" s="5"/>
      <c r="J104" s="5"/>
      <c r="K104" s="5"/>
      <c r="L104" s="5"/>
      <c r="M104" s="5"/>
      <c r="N104" s="3"/>
      <c r="O104" s="3"/>
      <c r="P104" s="3"/>
      <c r="Q104" s="3"/>
    </row>
    <row r="105" spans="1:17" ht="15">
      <c r="A105" s="5"/>
      <c r="B105" s="5"/>
      <c r="C105" s="5"/>
      <c r="D105" s="5"/>
      <c r="E105" s="5"/>
      <c r="F105" s="5"/>
      <c r="G105" s="5"/>
      <c r="H105" s="5"/>
      <c r="I105" s="5"/>
      <c r="J105" s="5"/>
      <c r="K105" s="5"/>
      <c r="L105" s="5"/>
      <c r="M105" s="5"/>
      <c r="N105" s="3"/>
      <c r="O105" s="3"/>
      <c r="P105" s="3"/>
      <c r="Q105" s="3"/>
    </row>
    <row r="106" spans="1:17" ht="15">
      <c r="A106" s="5"/>
      <c r="B106" s="5"/>
      <c r="C106" s="5"/>
      <c r="D106" s="5"/>
      <c r="E106" s="5"/>
      <c r="F106" s="5"/>
      <c r="G106" s="5"/>
      <c r="H106" s="5"/>
      <c r="I106" s="5"/>
      <c r="J106" s="5"/>
      <c r="K106" s="5"/>
      <c r="L106" s="5"/>
      <c r="M106" s="5"/>
      <c r="N106" s="3"/>
      <c r="O106" s="3"/>
      <c r="P106" s="3"/>
      <c r="Q106" s="3"/>
    </row>
    <row r="107" spans="1:17" ht="15">
      <c r="A107" s="5"/>
      <c r="B107" s="5"/>
      <c r="C107" s="5"/>
      <c r="D107" s="5"/>
      <c r="E107" s="5"/>
      <c r="F107" s="5"/>
      <c r="G107" s="5"/>
      <c r="H107" s="5"/>
      <c r="I107" s="5"/>
      <c r="J107" s="5"/>
      <c r="K107" s="5"/>
      <c r="L107" s="5"/>
      <c r="M107" s="5"/>
      <c r="N107" s="3"/>
      <c r="O107" s="3"/>
      <c r="P107" s="3"/>
      <c r="Q107" s="3"/>
    </row>
    <row r="108" spans="1:17" ht="15">
      <c r="A108" s="5"/>
      <c r="B108" s="5"/>
      <c r="C108" s="5"/>
      <c r="D108" s="5"/>
      <c r="E108" s="5"/>
      <c r="F108" s="5"/>
      <c r="G108" s="5"/>
      <c r="H108" s="5"/>
      <c r="I108" s="5"/>
      <c r="J108" s="5"/>
      <c r="K108" s="5"/>
      <c r="L108" s="5"/>
      <c r="M108" s="5"/>
      <c r="N108" s="3"/>
      <c r="O108" s="3"/>
      <c r="P108" s="3"/>
      <c r="Q108" s="3"/>
    </row>
    <row r="109" spans="1:17" ht="15">
      <c r="A109" s="5"/>
      <c r="B109" s="5"/>
      <c r="C109" s="5"/>
      <c r="D109" s="5"/>
      <c r="E109" s="5"/>
      <c r="F109" s="5"/>
      <c r="G109" s="5"/>
      <c r="H109" s="5"/>
      <c r="I109" s="5"/>
      <c r="J109" s="5"/>
      <c r="K109" s="5"/>
      <c r="L109" s="5"/>
      <c r="M109" s="5"/>
      <c r="N109" s="3"/>
      <c r="O109" s="3"/>
      <c r="P109" s="3"/>
      <c r="Q109" s="3"/>
    </row>
    <row r="110" spans="1:17" ht="15">
      <c r="A110" s="5"/>
      <c r="B110" s="5"/>
      <c r="C110" s="5"/>
      <c r="D110" s="5"/>
      <c r="E110" s="5"/>
      <c r="F110" s="5"/>
      <c r="G110" s="5"/>
      <c r="H110" s="5"/>
      <c r="I110" s="5"/>
      <c r="J110" s="5"/>
      <c r="K110" s="5"/>
      <c r="L110" s="5"/>
      <c r="M110" s="5"/>
      <c r="N110" s="3"/>
      <c r="O110" s="3"/>
      <c r="P110" s="3"/>
      <c r="Q110" s="3"/>
    </row>
    <row r="111" spans="1:17" ht="15">
      <c r="A111" s="5"/>
      <c r="B111" s="5"/>
      <c r="C111" s="5"/>
      <c r="D111" s="5"/>
      <c r="E111" s="5"/>
      <c r="F111" s="5"/>
      <c r="G111" s="5"/>
      <c r="H111" s="5"/>
      <c r="I111" s="5"/>
      <c r="J111" s="5"/>
      <c r="K111" s="5"/>
      <c r="L111" s="5"/>
      <c r="M111" s="5"/>
      <c r="N111" s="3"/>
      <c r="O111" s="3"/>
      <c r="P111" s="3"/>
      <c r="Q111" s="3"/>
    </row>
    <row r="112" spans="1:17" ht="15">
      <c r="A112" s="5"/>
      <c r="B112" s="5"/>
      <c r="C112" s="5"/>
      <c r="D112" s="5"/>
      <c r="E112" s="5"/>
      <c r="F112" s="5"/>
      <c r="G112" s="5"/>
      <c r="H112" s="5"/>
      <c r="I112" s="5"/>
      <c r="J112" s="5"/>
      <c r="K112" s="5"/>
      <c r="L112" s="5"/>
      <c r="M112" s="5"/>
      <c r="N112" s="3"/>
      <c r="O112" s="3"/>
      <c r="P112" s="3"/>
      <c r="Q112" s="3"/>
    </row>
    <row r="113" spans="1:17" ht="15">
      <c r="A113" s="5"/>
      <c r="B113" s="5"/>
      <c r="C113" s="5"/>
      <c r="D113" s="5"/>
      <c r="E113" s="5"/>
      <c r="F113" s="5"/>
      <c r="G113" s="5"/>
      <c r="H113" s="5"/>
      <c r="I113" s="5"/>
      <c r="J113" s="5"/>
      <c r="K113" s="5"/>
      <c r="L113" s="5"/>
      <c r="M113" s="5"/>
      <c r="N113" s="3"/>
      <c r="O113" s="3"/>
      <c r="P113" s="3"/>
      <c r="Q113" s="3"/>
    </row>
    <row r="114" spans="1:17" ht="15">
      <c r="A114" s="5"/>
      <c r="B114" s="5"/>
      <c r="C114" s="5"/>
      <c r="D114" s="5"/>
      <c r="E114" s="5"/>
      <c r="F114" s="5"/>
      <c r="G114" s="5"/>
      <c r="H114" s="5"/>
      <c r="I114" s="5"/>
      <c r="J114" s="5"/>
      <c r="K114" s="5"/>
      <c r="L114" s="5"/>
      <c r="M114" s="5"/>
      <c r="N114" s="3"/>
      <c r="O114" s="3"/>
      <c r="P114" s="3"/>
      <c r="Q114" s="3"/>
    </row>
    <row r="115" spans="1:17" ht="15">
      <c r="A115" s="5"/>
      <c r="B115" s="5"/>
      <c r="C115" s="5"/>
      <c r="D115" s="5"/>
      <c r="E115" s="5"/>
      <c r="F115" s="5"/>
      <c r="G115" s="5"/>
      <c r="H115" s="5"/>
      <c r="I115" s="5"/>
      <c r="J115" s="5"/>
      <c r="K115" s="5"/>
      <c r="L115" s="5"/>
      <c r="M115" s="5"/>
      <c r="N115" s="3"/>
      <c r="O115" s="3"/>
      <c r="P115" s="3"/>
      <c r="Q115" s="3"/>
    </row>
    <row r="116" spans="1:17" ht="15">
      <c r="A116" s="5"/>
      <c r="B116" s="5"/>
      <c r="C116" s="5"/>
      <c r="D116" s="5"/>
      <c r="E116" s="5"/>
      <c r="F116" s="5"/>
      <c r="G116" s="5"/>
      <c r="H116" s="5"/>
      <c r="I116" s="5"/>
      <c r="J116" s="5"/>
      <c r="K116" s="5"/>
      <c r="L116" s="5"/>
      <c r="M116" s="5"/>
      <c r="N116" s="3"/>
      <c r="O116" s="3"/>
      <c r="P116" s="3"/>
      <c r="Q116" s="3"/>
    </row>
    <row r="117" spans="1:17" ht="15">
      <c r="A117" s="5"/>
      <c r="B117" s="5"/>
      <c r="C117" s="5"/>
      <c r="D117" s="5"/>
      <c r="E117" s="5"/>
      <c r="F117" s="5"/>
      <c r="G117" s="5"/>
      <c r="H117" s="5"/>
      <c r="I117" s="5"/>
      <c r="J117" s="5"/>
      <c r="K117" s="5"/>
      <c r="L117" s="5"/>
      <c r="M117" s="5"/>
      <c r="N117" s="3"/>
      <c r="O117" s="3"/>
      <c r="P117" s="3"/>
      <c r="Q117" s="3"/>
    </row>
    <row r="118" spans="1:17" ht="15">
      <c r="A118" s="5"/>
      <c r="B118" s="5"/>
      <c r="C118" s="5"/>
      <c r="D118" s="5"/>
      <c r="E118" s="5"/>
      <c r="F118" s="5"/>
      <c r="G118" s="5"/>
      <c r="H118" s="5"/>
      <c r="I118" s="5"/>
      <c r="J118" s="5"/>
      <c r="K118" s="5"/>
      <c r="L118" s="5"/>
      <c r="M118" s="5"/>
      <c r="N118" s="3"/>
      <c r="O118" s="3"/>
      <c r="P118" s="3"/>
      <c r="Q118" s="3"/>
    </row>
    <row r="119" spans="1:17" ht="15">
      <c r="A119" s="5"/>
      <c r="B119" s="5"/>
      <c r="C119" s="5"/>
      <c r="D119" s="5"/>
      <c r="E119" s="5"/>
      <c r="F119" s="5"/>
      <c r="G119" s="5"/>
      <c r="H119" s="5"/>
      <c r="I119" s="5"/>
      <c r="J119" s="5"/>
      <c r="K119" s="5"/>
      <c r="L119" s="5"/>
      <c r="M119" s="5"/>
      <c r="N119" s="3"/>
      <c r="O119" s="3"/>
      <c r="P119" s="3"/>
      <c r="Q119" s="3"/>
    </row>
    <row r="120" spans="1:17" ht="15">
      <c r="A120" s="5"/>
      <c r="B120" s="5"/>
      <c r="C120" s="5"/>
      <c r="D120" s="5"/>
      <c r="E120" s="5"/>
      <c r="F120" s="5"/>
      <c r="G120" s="5"/>
      <c r="H120" s="5"/>
      <c r="I120" s="5"/>
      <c r="J120" s="5"/>
      <c r="K120" s="5"/>
      <c r="L120" s="5"/>
      <c r="M120" s="5"/>
      <c r="N120" s="3"/>
      <c r="O120" s="3"/>
      <c r="P120" s="3"/>
      <c r="Q120" s="3"/>
    </row>
    <row r="121" spans="1:17" ht="15">
      <c r="A121" s="5"/>
      <c r="B121" s="5"/>
      <c r="C121" s="5"/>
      <c r="D121" s="5"/>
      <c r="E121" s="5"/>
      <c r="F121" s="5"/>
      <c r="G121" s="5"/>
      <c r="H121" s="5"/>
      <c r="I121" s="5"/>
      <c r="J121" s="5"/>
      <c r="K121" s="5"/>
      <c r="L121" s="5"/>
      <c r="M121" s="5"/>
      <c r="N121" s="3"/>
      <c r="O121" s="3"/>
      <c r="P121" s="3"/>
      <c r="Q121" s="3"/>
    </row>
    <row r="122" spans="1:17" ht="15">
      <c r="A122" s="5"/>
      <c r="B122" s="5"/>
      <c r="C122" s="5"/>
      <c r="D122" s="5"/>
      <c r="E122" s="5"/>
      <c r="F122" s="5"/>
      <c r="G122" s="5"/>
      <c r="H122" s="5"/>
      <c r="I122" s="5"/>
      <c r="J122" s="5"/>
      <c r="K122" s="5"/>
      <c r="L122" s="5"/>
      <c r="M122" s="5"/>
      <c r="N122" s="3"/>
      <c r="O122" s="3"/>
      <c r="P122" s="3"/>
      <c r="Q122" s="3"/>
    </row>
    <row r="123" spans="1:17" ht="15">
      <c r="A123" s="5"/>
      <c r="B123" s="5"/>
      <c r="C123" s="5"/>
      <c r="D123" s="5"/>
      <c r="E123" s="5"/>
      <c r="F123" s="5"/>
      <c r="G123" s="5"/>
      <c r="H123" s="5"/>
      <c r="I123" s="5"/>
      <c r="J123" s="5"/>
      <c r="K123" s="5"/>
      <c r="L123" s="5"/>
      <c r="M123" s="5"/>
      <c r="N123" s="3"/>
      <c r="O123" s="3"/>
      <c r="P123" s="3"/>
      <c r="Q123" s="3"/>
    </row>
    <row r="124" spans="1:17" ht="15">
      <c r="A124" s="5"/>
      <c r="B124" s="5"/>
      <c r="C124" s="5"/>
      <c r="D124" s="5"/>
      <c r="E124" s="5"/>
      <c r="F124" s="5"/>
      <c r="G124" s="5"/>
      <c r="H124" s="5"/>
      <c r="I124" s="5"/>
      <c r="J124" s="5"/>
      <c r="K124" s="5"/>
      <c r="L124" s="5"/>
      <c r="M124" s="5"/>
      <c r="N124" s="3"/>
      <c r="O124" s="3"/>
      <c r="P124" s="3"/>
      <c r="Q124" s="3"/>
    </row>
    <row r="125" spans="1:17" ht="15">
      <c r="A125" s="5"/>
      <c r="B125" s="5"/>
      <c r="C125" s="5"/>
      <c r="D125" s="5"/>
      <c r="E125" s="5"/>
      <c r="F125" s="5"/>
      <c r="G125" s="5"/>
      <c r="H125" s="5"/>
      <c r="I125" s="5"/>
      <c r="J125" s="5"/>
      <c r="K125" s="5"/>
      <c r="L125" s="5"/>
      <c r="M125" s="5"/>
      <c r="N125" s="3"/>
      <c r="O125" s="3"/>
      <c r="P125" s="3"/>
      <c r="Q125" s="3"/>
    </row>
    <row r="126" spans="1:17" ht="15">
      <c r="A126" s="5"/>
      <c r="B126" s="5"/>
      <c r="C126" s="5"/>
      <c r="D126" s="5"/>
      <c r="E126" s="5"/>
      <c r="F126" s="5"/>
      <c r="G126" s="5"/>
      <c r="H126" s="5"/>
      <c r="I126" s="5"/>
      <c r="J126" s="5"/>
      <c r="K126" s="5"/>
      <c r="L126" s="5"/>
      <c r="M126" s="5"/>
      <c r="N126" s="3"/>
      <c r="O126" s="3"/>
      <c r="P126" s="3"/>
      <c r="Q126" s="3"/>
    </row>
    <row r="127" spans="1:17" ht="15">
      <c r="A127" s="5"/>
      <c r="B127" s="5"/>
      <c r="C127" s="5"/>
      <c r="D127" s="5"/>
      <c r="E127" s="5"/>
      <c r="F127" s="5"/>
      <c r="G127" s="5"/>
      <c r="H127" s="5"/>
      <c r="I127" s="5"/>
      <c r="J127" s="5"/>
      <c r="K127" s="5"/>
      <c r="L127" s="5"/>
      <c r="M127" s="5"/>
      <c r="N127" s="3"/>
      <c r="O127" s="3"/>
      <c r="P127" s="3"/>
      <c r="Q127" s="3"/>
    </row>
    <row r="128" spans="1:17" ht="15">
      <c r="A128" s="5"/>
      <c r="B128" s="5"/>
      <c r="C128" s="5"/>
      <c r="D128" s="5"/>
      <c r="E128" s="5"/>
      <c r="F128" s="5"/>
      <c r="G128" s="5"/>
      <c r="H128" s="5"/>
      <c r="I128" s="5"/>
      <c r="J128" s="5"/>
      <c r="K128" s="5"/>
      <c r="L128" s="5"/>
      <c r="M128" s="5"/>
      <c r="N128" s="3"/>
      <c r="O128" s="3"/>
      <c r="P128" s="3"/>
      <c r="Q128" s="3"/>
    </row>
    <row r="129" spans="1:17" ht="15">
      <c r="A129" s="5"/>
      <c r="B129" s="5"/>
      <c r="C129" s="5"/>
      <c r="D129" s="5"/>
      <c r="E129" s="5"/>
      <c r="F129" s="5"/>
      <c r="G129" s="5"/>
      <c r="H129" s="5"/>
      <c r="I129" s="5"/>
      <c r="J129" s="5"/>
      <c r="K129" s="5"/>
      <c r="L129" s="5"/>
      <c r="M129" s="5"/>
      <c r="N129" s="3"/>
      <c r="O129" s="3"/>
      <c r="P129" s="3"/>
      <c r="Q129" s="3"/>
    </row>
    <row r="130" spans="1:17" ht="15">
      <c r="A130" s="5"/>
      <c r="B130" s="5"/>
      <c r="C130" s="5"/>
      <c r="D130" s="5"/>
      <c r="E130" s="5"/>
      <c r="F130" s="5"/>
      <c r="G130" s="5"/>
      <c r="H130" s="5"/>
      <c r="I130" s="5"/>
      <c r="J130" s="5"/>
      <c r="K130" s="5"/>
      <c r="L130" s="5"/>
      <c r="M130" s="5"/>
      <c r="N130" s="3"/>
      <c r="O130" s="3"/>
      <c r="P130" s="3"/>
      <c r="Q130" s="3"/>
    </row>
    <row r="131" spans="1:17" ht="15">
      <c r="A131" s="5"/>
      <c r="B131" s="5"/>
      <c r="C131" s="5"/>
      <c r="D131" s="5"/>
      <c r="E131" s="5"/>
      <c r="F131" s="5"/>
      <c r="G131" s="5"/>
      <c r="H131" s="5"/>
      <c r="I131" s="5"/>
      <c r="J131" s="5"/>
      <c r="K131" s="5"/>
      <c r="L131" s="5"/>
      <c r="M131" s="5"/>
      <c r="N131" s="3"/>
      <c r="O131" s="3"/>
      <c r="P131" s="3"/>
      <c r="Q131" s="3"/>
    </row>
    <row r="132" spans="1:17" ht="15">
      <c r="A132" s="5"/>
      <c r="B132" s="5"/>
      <c r="C132" s="5"/>
      <c r="D132" s="5"/>
      <c r="E132" s="5"/>
      <c r="F132" s="5"/>
      <c r="G132" s="5"/>
      <c r="H132" s="5"/>
      <c r="I132" s="5"/>
      <c r="J132" s="5"/>
      <c r="K132" s="5"/>
      <c r="L132" s="5"/>
      <c r="M132" s="5"/>
      <c r="N132" s="3"/>
      <c r="O132" s="3"/>
      <c r="P132" s="3"/>
      <c r="Q132" s="3"/>
    </row>
    <row r="133" spans="1:17" ht="15">
      <c r="A133" s="5"/>
      <c r="B133" s="5"/>
      <c r="C133" s="5"/>
      <c r="D133" s="5"/>
      <c r="E133" s="5"/>
      <c r="F133" s="5"/>
      <c r="G133" s="5"/>
      <c r="H133" s="5"/>
      <c r="I133" s="5"/>
      <c r="J133" s="5"/>
      <c r="K133" s="5"/>
      <c r="L133" s="5"/>
      <c r="M133" s="5"/>
      <c r="N133" s="3"/>
      <c r="O133" s="3"/>
      <c r="P133" s="3"/>
      <c r="Q133" s="3"/>
    </row>
    <row r="134" spans="1:17" ht="15">
      <c r="A134" s="5"/>
      <c r="B134" s="5"/>
      <c r="C134" s="5"/>
      <c r="D134" s="5"/>
      <c r="E134" s="5"/>
      <c r="F134" s="5"/>
      <c r="G134" s="5"/>
      <c r="H134" s="5"/>
      <c r="I134" s="5"/>
      <c r="J134" s="5"/>
      <c r="K134" s="5"/>
      <c r="L134" s="5"/>
      <c r="M134" s="5"/>
      <c r="N134" s="3"/>
      <c r="O134" s="3"/>
      <c r="P134" s="3"/>
      <c r="Q134" s="3"/>
    </row>
    <row r="135" spans="1:17" ht="15">
      <c r="A135" s="5"/>
      <c r="B135" s="5"/>
      <c r="C135" s="5"/>
      <c r="D135" s="5"/>
      <c r="E135" s="5"/>
      <c r="F135" s="5"/>
      <c r="G135" s="5"/>
      <c r="H135" s="5"/>
      <c r="I135" s="5"/>
      <c r="J135" s="5"/>
      <c r="K135" s="5"/>
      <c r="L135" s="5"/>
      <c r="M135" s="5"/>
      <c r="N135" s="3"/>
      <c r="O135" s="3"/>
      <c r="P135" s="3"/>
      <c r="Q135" s="3"/>
    </row>
    <row r="136" spans="1:17" ht="15">
      <c r="A136" s="5"/>
      <c r="B136" s="5"/>
      <c r="C136" s="5"/>
      <c r="D136" s="5"/>
      <c r="E136" s="5"/>
      <c r="F136" s="5"/>
      <c r="G136" s="5"/>
      <c r="H136" s="5"/>
      <c r="I136" s="5"/>
      <c r="J136" s="5"/>
      <c r="K136" s="5"/>
      <c r="L136" s="5"/>
      <c r="M136" s="5"/>
      <c r="N136" s="3"/>
      <c r="O136" s="3"/>
      <c r="P136" s="3"/>
      <c r="Q136" s="3"/>
    </row>
    <row r="137" spans="1:17" ht="15">
      <c r="A137" s="5"/>
      <c r="B137" s="5"/>
      <c r="C137" s="5"/>
      <c r="D137" s="5"/>
      <c r="E137" s="5"/>
      <c r="F137" s="5"/>
      <c r="G137" s="5"/>
      <c r="H137" s="5"/>
      <c r="I137" s="5"/>
      <c r="J137" s="5"/>
      <c r="K137" s="5"/>
      <c r="L137" s="5"/>
      <c r="M137" s="5"/>
      <c r="N137" s="3"/>
      <c r="O137" s="3"/>
      <c r="P137" s="3"/>
      <c r="Q137" s="3"/>
    </row>
    <row r="138" spans="1:17" ht="15">
      <c r="A138" s="5"/>
      <c r="B138" s="5"/>
      <c r="C138" s="5"/>
      <c r="D138" s="5"/>
      <c r="E138" s="5"/>
      <c r="F138" s="5"/>
      <c r="G138" s="5"/>
      <c r="H138" s="5"/>
      <c r="I138" s="5"/>
      <c r="J138" s="5"/>
      <c r="K138" s="5"/>
      <c r="L138" s="5"/>
      <c r="M138" s="5"/>
      <c r="N138" s="3"/>
      <c r="O138" s="3"/>
      <c r="P138" s="3"/>
      <c r="Q138" s="3"/>
    </row>
    <row r="139" spans="1:17" ht="15">
      <c r="A139" s="5"/>
      <c r="B139" s="5"/>
      <c r="C139" s="5"/>
      <c r="D139" s="5"/>
      <c r="E139" s="5"/>
      <c r="F139" s="5"/>
      <c r="G139" s="5"/>
      <c r="H139" s="5"/>
      <c r="I139" s="5"/>
      <c r="J139" s="5"/>
      <c r="K139" s="5"/>
      <c r="L139" s="5"/>
      <c r="M139" s="5"/>
      <c r="N139" s="3"/>
      <c r="O139" s="3"/>
      <c r="P139" s="3"/>
      <c r="Q139" s="3"/>
    </row>
    <row r="140" spans="1:17" ht="15">
      <c r="A140" s="5"/>
      <c r="B140" s="5"/>
      <c r="C140" s="5"/>
      <c r="D140" s="5"/>
      <c r="E140" s="5"/>
      <c r="F140" s="5"/>
      <c r="G140" s="5"/>
      <c r="H140" s="5"/>
      <c r="I140" s="5"/>
      <c r="J140" s="5"/>
      <c r="K140" s="5"/>
      <c r="L140" s="5"/>
      <c r="M140" s="5"/>
      <c r="N140" s="3"/>
      <c r="O140" s="3"/>
      <c r="P140" s="3"/>
      <c r="Q140" s="3"/>
    </row>
    <row r="141" spans="1:17" ht="15">
      <c r="A141" s="5"/>
      <c r="B141" s="5"/>
      <c r="C141" s="5"/>
      <c r="D141" s="5"/>
      <c r="E141" s="5"/>
      <c r="F141" s="5"/>
      <c r="G141" s="5"/>
      <c r="H141" s="5"/>
      <c r="I141" s="5"/>
      <c r="J141" s="5"/>
      <c r="K141" s="5"/>
      <c r="L141" s="5"/>
      <c r="M141" s="5"/>
      <c r="N141" s="3"/>
      <c r="O141" s="3"/>
      <c r="P141" s="3"/>
      <c r="Q141" s="3"/>
    </row>
    <row r="142" spans="1:17" ht="15">
      <c r="A142" s="5"/>
      <c r="B142" s="5"/>
      <c r="C142" s="5"/>
      <c r="D142" s="5"/>
      <c r="E142" s="5"/>
      <c r="F142" s="5"/>
      <c r="G142" s="5"/>
      <c r="H142" s="5"/>
      <c r="I142" s="5"/>
      <c r="J142" s="5"/>
      <c r="K142" s="5"/>
      <c r="L142" s="5"/>
      <c r="M142" s="5"/>
      <c r="N142" s="3"/>
      <c r="O142" s="3"/>
      <c r="P142" s="3"/>
      <c r="Q142" s="3"/>
    </row>
    <row r="143" spans="1:17" ht="15">
      <c r="A143" s="5"/>
      <c r="B143" s="5"/>
      <c r="C143" s="5"/>
      <c r="D143" s="5"/>
      <c r="E143" s="5"/>
      <c r="F143" s="5"/>
      <c r="G143" s="5"/>
      <c r="H143" s="5"/>
      <c r="I143" s="5"/>
      <c r="J143" s="5"/>
      <c r="K143" s="5"/>
      <c r="L143" s="5"/>
      <c r="M143" s="5"/>
      <c r="N143" s="3"/>
      <c r="O143" s="3"/>
      <c r="P143" s="3"/>
      <c r="Q143" s="3"/>
    </row>
    <row r="144" spans="1:17" ht="15">
      <c r="A144" s="5"/>
      <c r="B144" s="5"/>
      <c r="C144" s="5"/>
      <c r="D144" s="5"/>
      <c r="E144" s="5"/>
      <c r="F144" s="5"/>
      <c r="G144" s="5"/>
      <c r="H144" s="5"/>
      <c r="I144" s="5"/>
      <c r="J144" s="5"/>
      <c r="K144" s="5"/>
      <c r="L144" s="5"/>
      <c r="M144" s="5"/>
      <c r="N144" s="3"/>
      <c r="O144" s="3"/>
      <c r="P144" s="3"/>
      <c r="Q144" s="3"/>
    </row>
    <row r="145" spans="1:17" ht="15">
      <c r="A145" s="5"/>
      <c r="B145" s="5"/>
      <c r="C145" s="5"/>
      <c r="D145" s="5"/>
      <c r="E145" s="5"/>
      <c r="F145" s="5"/>
      <c r="G145" s="5"/>
      <c r="H145" s="5"/>
      <c r="I145" s="5"/>
      <c r="J145" s="5"/>
      <c r="K145" s="5"/>
      <c r="L145" s="5"/>
      <c r="M145" s="5"/>
      <c r="N145" s="3"/>
      <c r="O145" s="3"/>
      <c r="P145" s="3"/>
      <c r="Q145" s="3"/>
    </row>
    <row r="146" spans="1:17" ht="15">
      <c r="A146" s="5"/>
      <c r="B146" s="5"/>
      <c r="C146" s="5"/>
      <c r="D146" s="5"/>
      <c r="E146" s="5"/>
      <c r="F146" s="5"/>
      <c r="G146" s="5"/>
      <c r="H146" s="5"/>
      <c r="I146" s="5"/>
      <c r="J146" s="5"/>
      <c r="K146" s="5"/>
      <c r="L146" s="5"/>
      <c r="M146" s="5"/>
      <c r="N146" s="3"/>
      <c r="O146" s="3"/>
      <c r="P146" s="3"/>
      <c r="Q146" s="3"/>
    </row>
    <row r="147" spans="1:17" ht="15">
      <c r="A147" s="5"/>
      <c r="B147" s="5"/>
      <c r="C147" s="5"/>
      <c r="D147" s="5"/>
      <c r="E147" s="5"/>
      <c r="F147" s="5"/>
      <c r="G147" s="5"/>
      <c r="H147" s="5"/>
      <c r="I147" s="5"/>
      <c r="J147" s="5"/>
      <c r="K147" s="5"/>
      <c r="L147" s="5"/>
      <c r="M147" s="5"/>
      <c r="N147" s="3"/>
      <c r="O147" s="3"/>
      <c r="P147" s="3"/>
      <c r="Q147" s="3"/>
    </row>
    <row r="148" spans="1:17" ht="15">
      <c r="A148" s="5"/>
      <c r="B148" s="5"/>
      <c r="C148" s="5"/>
      <c r="D148" s="5"/>
      <c r="E148" s="5"/>
      <c r="F148" s="5"/>
      <c r="G148" s="5"/>
      <c r="H148" s="5"/>
      <c r="I148" s="5"/>
      <c r="J148" s="5"/>
      <c r="K148" s="5"/>
      <c r="L148" s="5"/>
      <c r="M148" s="5"/>
      <c r="N148" s="3"/>
      <c r="O148" s="3"/>
      <c r="P148" s="3"/>
      <c r="Q148" s="3"/>
    </row>
    <row r="149" spans="1:17" ht="15">
      <c r="A149" s="5"/>
      <c r="B149" s="5"/>
      <c r="C149" s="5"/>
      <c r="D149" s="5"/>
      <c r="E149" s="5"/>
      <c r="F149" s="5"/>
      <c r="G149" s="5"/>
      <c r="H149" s="5"/>
      <c r="I149" s="5"/>
      <c r="J149" s="5"/>
      <c r="K149" s="5"/>
      <c r="L149" s="5"/>
      <c r="M149" s="5"/>
      <c r="N149" s="3"/>
      <c r="O149" s="3"/>
      <c r="P149" s="3"/>
      <c r="Q149" s="3"/>
    </row>
    <row r="150" spans="1:17" ht="15">
      <c r="A150" s="5"/>
      <c r="B150" s="5"/>
      <c r="C150" s="5"/>
      <c r="D150" s="5"/>
      <c r="E150" s="5"/>
      <c r="F150" s="5"/>
      <c r="G150" s="5"/>
      <c r="H150" s="5"/>
      <c r="I150" s="5"/>
      <c r="J150" s="5"/>
      <c r="K150" s="5"/>
      <c r="L150" s="5"/>
      <c r="M150" s="5"/>
      <c r="N150" s="3"/>
      <c r="O150" s="3"/>
      <c r="P150" s="3"/>
      <c r="Q150" s="3"/>
    </row>
    <row r="151" spans="1:17" ht="15">
      <c r="A151" s="5"/>
      <c r="B151" s="5"/>
      <c r="C151" s="5"/>
      <c r="D151" s="5"/>
      <c r="E151" s="5"/>
      <c r="F151" s="5"/>
      <c r="G151" s="5"/>
      <c r="H151" s="5"/>
      <c r="I151" s="5"/>
      <c r="J151" s="5"/>
      <c r="K151" s="5"/>
      <c r="L151" s="5"/>
      <c r="M151" s="5"/>
      <c r="N151" s="3"/>
      <c r="O151" s="3"/>
      <c r="P151" s="3"/>
      <c r="Q151" s="3"/>
    </row>
    <row r="152" spans="1:17" ht="15">
      <c r="A152" s="5"/>
      <c r="B152" s="5"/>
      <c r="C152" s="5"/>
      <c r="D152" s="5"/>
      <c r="E152" s="5"/>
      <c r="F152" s="5"/>
      <c r="G152" s="5"/>
      <c r="H152" s="5"/>
      <c r="I152" s="5"/>
      <c r="J152" s="5"/>
      <c r="K152" s="5"/>
      <c r="L152" s="5"/>
      <c r="M152" s="5"/>
      <c r="N152" s="3"/>
      <c r="O152" s="3"/>
      <c r="P152" s="3"/>
      <c r="Q152" s="3"/>
    </row>
    <row r="153" spans="1:17" ht="15">
      <c r="A153" s="5"/>
      <c r="B153" s="5"/>
      <c r="C153" s="5"/>
      <c r="D153" s="5"/>
      <c r="E153" s="5"/>
      <c r="F153" s="5"/>
      <c r="G153" s="5"/>
      <c r="H153" s="5"/>
      <c r="I153" s="5"/>
      <c r="J153" s="5"/>
      <c r="K153" s="5"/>
      <c r="L153" s="5"/>
      <c r="M153" s="5"/>
      <c r="N153" s="3"/>
      <c r="O153" s="3"/>
      <c r="P153" s="3"/>
      <c r="Q153" s="3"/>
    </row>
    <row r="154" spans="1:17" ht="15">
      <c r="A154" s="5"/>
      <c r="B154" s="5"/>
      <c r="C154" s="5"/>
      <c r="D154" s="5"/>
      <c r="E154" s="5"/>
      <c r="F154" s="5"/>
      <c r="G154" s="5"/>
      <c r="H154" s="5"/>
      <c r="I154" s="5"/>
      <c r="J154" s="5"/>
      <c r="K154" s="5"/>
      <c r="L154" s="5"/>
      <c r="M154" s="5"/>
      <c r="N154" s="3"/>
      <c r="O154" s="3"/>
      <c r="P154" s="3"/>
      <c r="Q154" s="3"/>
    </row>
    <row r="155" spans="1:17" ht="15">
      <c r="A155" s="5"/>
      <c r="B155" s="5"/>
      <c r="C155" s="5"/>
      <c r="D155" s="5"/>
      <c r="E155" s="5"/>
      <c r="F155" s="5"/>
      <c r="G155" s="5"/>
      <c r="H155" s="5"/>
      <c r="I155" s="5"/>
      <c r="J155" s="5"/>
      <c r="K155" s="5"/>
      <c r="L155" s="5"/>
      <c r="M155" s="5"/>
      <c r="N155" s="3"/>
      <c r="O155" s="3"/>
      <c r="P155" s="3"/>
      <c r="Q155" s="3"/>
    </row>
    <row r="156" spans="1:17" ht="15">
      <c r="A156" s="5"/>
      <c r="B156" s="5"/>
      <c r="C156" s="5"/>
      <c r="D156" s="5"/>
      <c r="E156" s="5"/>
      <c r="F156" s="5"/>
      <c r="G156" s="5"/>
      <c r="H156" s="5"/>
      <c r="I156" s="5"/>
      <c r="J156" s="5"/>
      <c r="K156" s="5"/>
      <c r="L156" s="5"/>
      <c r="M156" s="5"/>
      <c r="N156" s="3"/>
      <c r="O156" s="3"/>
      <c r="P156" s="3"/>
      <c r="Q156" s="3"/>
    </row>
    <row r="157" spans="1:17" ht="15">
      <c r="A157" s="5"/>
      <c r="B157" s="5"/>
      <c r="C157" s="5"/>
      <c r="D157" s="5"/>
      <c r="E157" s="5"/>
      <c r="F157" s="5"/>
      <c r="G157" s="5"/>
      <c r="H157" s="5"/>
      <c r="I157" s="5"/>
      <c r="J157" s="5"/>
      <c r="K157" s="5"/>
      <c r="L157" s="5"/>
      <c r="M157" s="5"/>
      <c r="N157" s="3"/>
      <c r="O157" s="3"/>
      <c r="P157" s="3"/>
      <c r="Q157" s="3"/>
    </row>
    <row r="158" spans="1:17" ht="15">
      <c r="A158" s="5"/>
      <c r="B158" s="5"/>
      <c r="C158" s="5"/>
      <c r="D158" s="5"/>
      <c r="E158" s="5"/>
      <c r="F158" s="5"/>
      <c r="G158" s="5"/>
      <c r="H158" s="5"/>
      <c r="I158" s="5"/>
      <c r="J158" s="5"/>
      <c r="K158" s="5"/>
      <c r="L158" s="5"/>
      <c r="M158" s="5"/>
      <c r="N158" s="3"/>
      <c r="O158" s="3"/>
      <c r="P158" s="3"/>
      <c r="Q158" s="3"/>
    </row>
    <row r="159" spans="1:17" ht="15">
      <c r="A159" s="5"/>
      <c r="B159" s="5"/>
      <c r="C159" s="5"/>
      <c r="D159" s="5"/>
      <c r="E159" s="5"/>
      <c r="F159" s="5"/>
      <c r="G159" s="5"/>
      <c r="H159" s="5"/>
      <c r="I159" s="5"/>
      <c r="J159" s="5"/>
      <c r="K159" s="5"/>
      <c r="L159" s="5"/>
      <c r="M159" s="5"/>
      <c r="N159" s="3"/>
      <c r="O159" s="3"/>
      <c r="P159" s="3"/>
      <c r="Q159" s="3"/>
    </row>
    <row r="160" spans="1:17" ht="15">
      <c r="A160" s="5"/>
      <c r="B160" s="5"/>
      <c r="C160" s="5"/>
      <c r="D160" s="5"/>
      <c r="E160" s="5"/>
      <c r="F160" s="5"/>
      <c r="G160" s="5"/>
      <c r="H160" s="5"/>
      <c r="I160" s="5"/>
      <c r="J160" s="5"/>
      <c r="K160" s="5"/>
      <c r="L160" s="5"/>
      <c r="M160" s="5"/>
      <c r="N160" s="3"/>
      <c r="O160" s="3"/>
      <c r="P160" s="3"/>
      <c r="Q160" s="3"/>
    </row>
    <row r="161" spans="1:17" ht="15">
      <c r="A161" s="5"/>
      <c r="B161" s="5"/>
      <c r="C161" s="5"/>
      <c r="D161" s="5"/>
      <c r="E161" s="5"/>
      <c r="F161" s="5"/>
      <c r="G161" s="5"/>
      <c r="H161" s="5"/>
      <c r="I161" s="5"/>
      <c r="J161" s="5"/>
      <c r="K161" s="5"/>
      <c r="L161" s="5"/>
      <c r="M161" s="5"/>
      <c r="N161" s="3"/>
      <c r="O161" s="3"/>
      <c r="P161" s="3"/>
      <c r="Q161" s="3"/>
    </row>
    <row r="162" spans="1:17" ht="15">
      <c r="A162" s="5"/>
      <c r="B162" s="5"/>
      <c r="C162" s="5"/>
      <c r="D162" s="5"/>
      <c r="E162" s="5"/>
      <c r="F162" s="5"/>
      <c r="G162" s="5"/>
      <c r="H162" s="5"/>
      <c r="I162" s="5"/>
      <c r="J162" s="5"/>
      <c r="K162" s="5"/>
      <c r="L162" s="5"/>
      <c r="M162" s="5"/>
      <c r="N162" s="3"/>
      <c r="O162" s="3"/>
      <c r="P162" s="3"/>
      <c r="Q162" s="3"/>
    </row>
    <row r="163" spans="1:17" ht="15">
      <c r="A163" s="5"/>
      <c r="B163" s="5"/>
      <c r="C163" s="5"/>
      <c r="D163" s="5"/>
      <c r="E163" s="5"/>
      <c r="F163" s="5"/>
      <c r="G163" s="5"/>
      <c r="H163" s="5"/>
      <c r="I163" s="5"/>
      <c r="J163" s="5"/>
      <c r="K163" s="5"/>
      <c r="L163" s="5"/>
      <c r="M163" s="5"/>
      <c r="N163" s="3"/>
      <c r="O163" s="3"/>
      <c r="P163" s="3"/>
      <c r="Q163" s="3"/>
    </row>
    <row r="164" spans="1:17" ht="15">
      <c r="A164" s="5"/>
      <c r="B164" s="5"/>
      <c r="C164" s="5"/>
      <c r="D164" s="5"/>
      <c r="E164" s="5"/>
      <c r="F164" s="5"/>
      <c r="G164" s="5"/>
      <c r="H164" s="5"/>
      <c r="I164" s="5"/>
      <c r="J164" s="5"/>
      <c r="K164" s="5"/>
      <c r="L164" s="5"/>
      <c r="M164" s="5"/>
      <c r="N164" s="3"/>
      <c r="O164" s="3"/>
      <c r="P164" s="3"/>
      <c r="Q164" s="3"/>
    </row>
    <row r="165" spans="1:17" ht="15">
      <c r="A165" s="5"/>
      <c r="B165" s="5"/>
      <c r="C165" s="5"/>
      <c r="D165" s="5"/>
      <c r="E165" s="5"/>
      <c r="F165" s="5"/>
      <c r="G165" s="5"/>
      <c r="H165" s="5"/>
      <c r="I165" s="5"/>
      <c r="J165" s="5"/>
      <c r="K165" s="5"/>
      <c r="L165" s="5"/>
      <c r="M165" s="5"/>
      <c r="N165" s="3"/>
      <c r="O165" s="3"/>
      <c r="P165" s="3"/>
      <c r="Q165" s="3"/>
    </row>
    <row r="166" spans="1:17" ht="15">
      <c r="A166" s="5"/>
      <c r="B166" s="5"/>
      <c r="C166" s="5"/>
      <c r="D166" s="5"/>
      <c r="E166" s="5"/>
      <c r="F166" s="5"/>
      <c r="G166" s="5"/>
      <c r="H166" s="5"/>
      <c r="I166" s="5"/>
      <c r="J166" s="5"/>
      <c r="K166" s="5"/>
      <c r="L166" s="5"/>
      <c r="M166" s="5"/>
      <c r="N166" s="3"/>
      <c r="O166" s="3"/>
      <c r="P166" s="3"/>
      <c r="Q166" s="3"/>
    </row>
    <row r="167" spans="1:17" ht="15">
      <c r="A167" s="5"/>
      <c r="B167" s="5"/>
      <c r="C167" s="5"/>
      <c r="D167" s="5"/>
      <c r="E167" s="5"/>
      <c r="F167" s="5"/>
      <c r="G167" s="5"/>
      <c r="H167" s="5"/>
      <c r="I167" s="5"/>
      <c r="J167" s="5"/>
      <c r="K167" s="5"/>
      <c r="L167" s="5"/>
      <c r="M167" s="5"/>
      <c r="N167" s="3"/>
      <c r="O167" s="3"/>
      <c r="P167" s="3"/>
      <c r="Q167" s="3"/>
    </row>
    <row r="168" spans="1:17" ht="15">
      <c r="A168" s="5"/>
      <c r="B168" s="5"/>
      <c r="C168" s="5"/>
      <c r="D168" s="5"/>
      <c r="E168" s="5"/>
      <c r="F168" s="5"/>
      <c r="G168" s="5"/>
      <c r="H168" s="5"/>
      <c r="I168" s="5"/>
      <c r="J168" s="5"/>
      <c r="K168" s="5"/>
      <c r="L168" s="5"/>
      <c r="M168" s="5"/>
      <c r="N168" s="3"/>
      <c r="O168" s="3"/>
      <c r="P168" s="3"/>
      <c r="Q168" s="3"/>
    </row>
    <row r="169" spans="1:17" ht="15">
      <c r="A169" s="5"/>
      <c r="B169" s="5"/>
      <c r="C169" s="5"/>
      <c r="D169" s="5"/>
      <c r="E169" s="5"/>
      <c r="F169" s="5"/>
      <c r="G169" s="5"/>
      <c r="H169" s="5"/>
      <c r="I169" s="5"/>
      <c r="J169" s="5"/>
      <c r="K169" s="5"/>
      <c r="L169" s="5"/>
      <c r="M169" s="5"/>
      <c r="N169" s="3"/>
      <c r="O169" s="3"/>
      <c r="P169" s="3"/>
      <c r="Q169" s="3"/>
    </row>
    <row r="170" spans="1:17" ht="15">
      <c r="A170" s="5"/>
      <c r="B170" s="5"/>
      <c r="C170" s="5"/>
      <c r="D170" s="5"/>
      <c r="E170" s="5"/>
      <c r="F170" s="5"/>
      <c r="G170" s="5"/>
      <c r="H170" s="5"/>
      <c r="I170" s="5"/>
      <c r="J170" s="5"/>
      <c r="K170" s="5"/>
      <c r="L170" s="5"/>
      <c r="M170" s="5"/>
      <c r="N170" s="3"/>
      <c r="O170" s="3"/>
      <c r="P170" s="3"/>
      <c r="Q170" s="3"/>
    </row>
    <row r="171" spans="1:17" ht="15">
      <c r="A171" s="5"/>
      <c r="B171" s="5"/>
      <c r="C171" s="5"/>
      <c r="D171" s="5"/>
      <c r="E171" s="5"/>
      <c r="F171" s="5"/>
      <c r="G171" s="5"/>
      <c r="H171" s="5"/>
      <c r="I171" s="5"/>
      <c r="J171" s="5"/>
      <c r="K171" s="5"/>
      <c r="L171" s="5"/>
      <c r="M171" s="5"/>
      <c r="N171" s="3"/>
      <c r="O171" s="3"/>
      <c r="P171" s="3"/>
      <c r="Q171" s="3"/>
    </row>
    <row r="172" spans="1:17" ht="15">
      <c r="A172" s="5"/>
      <c r="B172" s="5"/>
      <c r="C172" s="5"/>
      <c r="D172" s="5"/>
      <c r="E172" s="5"/>
      <c r="F172" s="5"/>
      <c r="G172" s="5"/>
      <c r="H172" s="5"/>
      <c r="I172" s="5"/>
      <c r="J172" s="5"/>
      <c r="K172" s="5"/>
      <c r="L172" s="5"/>
      <c r="M172" s="5"/>
      <c r="N172" s="3"/>
      <c r="O172" s="3"/>
      <c r="P172" s="3"/>
      <c r="Q172" s="3"/>
    </row>
    <row r="173" spans="1:17" ht="15">
      <c r="A173" s="5"/>
      <c r="B173" s="5"/>
      <c r="C173" s="5"/>
      <c r="D173" s="5"/>
      <c r="E173" s="5"/>
      <c r="F173" s="5"/>
      <c r="G173" s="5"/>
      <c r="H173" s="5"/>
      <c r="I173" s="5"/>
      <c r="J173" s="5"/>
      <c r="K173" s="5"/>
      <c r="L173" s="5"/>
      <c r="M173" s="5"/>
      <c r="N173" s="3"/>
      <c r="O173" s="3"/>
      <c r="P173" s="3"/>
      <c r="Q173" s="3"/>
    </row>
    <row r="174" spans="1:17" ht="15">
      <c r="A174" s="5"/>
      <c r="B174" s="5"/>
      <c r="C174" s="5"/>
      <c r="D174" s="5"/>
      <c r="E174" s="5"/>
      <c r="F174" s="5"/>
      <c r="G174" s="5"/>
      <c r="H174" s="5"/>
      <c r="I174" s="5"/>
      <c r="J174" s="5"/>
      <c r="K174" s="5"/>
      <c r="L174" s="5"/>
      <c r="M174" s="5"/>
      <c r="N174" s="3"/>
      <c r="O174" s="3"/>
      <c r="P174" s="3"/>
      <c r="Q174" s="3"/>
    </row>
    <row r="175" spans="1:17" ht="15">
      <c r="A175" s="5"/>
      <c r="B175" s="5"/>
      <c r="C175" s="5"/>
      <c r="D175" s="5"/>
      <c r="E175" s="5"/>
      <c r="F175" s="5"/>
      <c r="G175" s="5"/>
      <c r="H175" s="5"/>
      <c r="I175" s="5"/>
      <c r="J175" s="5"/>
      <c r="K175" s="5"/>
      <c r="L175" s="5"/>
      <c r="M175" s="5"/>
      <c r="N175" s="3"/>
      <c r="O175" s="3"/>
      <c r="P175" s="3"/>
      <c r="Q175" s="3"/>
    </row>
    <row r="176" spans="1:17" ht="15">
      <c r="A176" s="5"/>
      <c r="B176" s="5"/>
      <c r="C176" s="5"/>
      <c r="D176" s="5"/>
      <c r="E176" s="5"/>
      <c r="F176" s="5"/>
      <c r="G176" s="5"/>
      <c r="H176" s="5"/>
      <c r="I176" s="5"/>
      <c r="J176" s="5"/>
      <c r="K176" s="5"/>
      <c r="L176" s="5"/>
      <c r="M176" s="5"/>
      <c r="N176" s="3"/>
      <c r="O176" s="3"/>
      <c r="P176" s="3"/>
      <c r="Q176" s="3"/>
    </row>
    <row r="177" spans="1:17" ht="15">
      <c r="A177" s="5"/>
      <c r="B177" s="5"/>
      <c r="C177" s="5"/>
      <c r="D177" s="5"/>
      <c r="E177" s="5"/>
      <c r="F177" s="5"/>
      <c r="G177" s="5"/>
      <c r="H177" s="5"/>
      <c r="I177" s="5"/>
      <c r="J177" s="5"/>
      <c r="K177" s="5"/>
      <c r="L177" s="5"/>
      <c r="M177" s="5"/>
      <c r="N177" s="3"/>
      <c r="O177" s="3"/>
      <c r="P177" s="3"/>
      <c r="Q177" s="3"/>
    </row>
    <row r="178" spans="1:17" ht="15">
      <c r="A178" s="5"/>
      <c r="B178" s="5"/>
      <c r="C178" s="5"/>
      <c r="D178" s="5"/>
      <c r="E178" s="5"/>
      <c r="F178" s="5"/>
      <c r="G178" s="5"/>
      <c r="H178" s="5"/>
      <c r="I178" s="5"/>
      <c r="J178" s="5"/>
      <c r="K178" s="5"/>
      <c r="L178" s="5"/>
      <c r="M178" s="5"/>
      <c r="N178" s="3"/>
      <c r="O178" s="3"/>
      <c r="P178" s="3"/>
      <c r="Q178" s="3"/>
    </row>
    <row r="179" spans="1:17" ht="15">
      <c r="A179" s="5"/>
      <c r="B179" s="5"/>
      <c r="C179" s="5"/>
      <c r="D179" s="5"/>
      <c r="E179" s="5"/>
      <c r="F179" s="5"/>
      <c r="G179" s="5"/>
      <c r="H179" s="5"/>
      <c r="I179" s="5"/>
      <c r="J179" s="5"/>
      <c r="K179" s="5"/>
      <c r="L179" s="5"/>
      <c r="M179" s="5"/>
      <c r="N179" s="3"/>
      <c r="O179" s="3"/>
      <c r="P179" s="3"/>
      <c r="Q179" s="3"/>
    </row>
    <row r="180" spans="1:17" ht="15">
      <c r="A180" s="5"/>
      <c r="B180" s="5"/>
      <c r="C180" s="5"/>
      <c r="D180" s="5"/>
      <c r="E180" s="5"/>
      <c r="F180" s="5"/>
      <c r="G180" s="5"/>
      <c r="H180" s="5"/>
      <c r="I180" s="5"/>
      <c r="J180" s="5"/>
      <c r="K180" s="5"/>
      <c r="L180" s="5"/>
      <c r="M180" s="5"/>
      <c r="N180" s="3"/>
      <c r="O180" s="3"/>
      <c r="P180" s="3"/>
      <c r="Q180" s="3"/>
    </row>
    <row r="181" spans="1:17" ht="15">
      <c r="A181" s="5"/>
      <c r="B181" s="5"/>
      <c r="C181" s="5"/>
      <c r="D181" s="5"/>
      <c r="E181" s="5"/>
      <c r="F181" s="5"/>
      <c r="G181" s="5"/>
      <c r="H181" s="5"/>
      <c r="I181" s="5"/>
      <c r="J181" s="5"/>
      <c r="K181" s="5"/>
      <c r="L181" s="5"/>
      <c r="M181" s="5"/>
      <c r="N181" s="3"/>
      <c r="O181" s="3"/>
      <c r="P181" s="3"/>
      <c r="Q181" s="3"/>
    </row>
    <row r="182" spans="1:17" ht="15">
      <c r="A182" s="5"/>
      <c r="B182" s="5"/>
      <c r="C182" s="5"/>
      <c r="D182" s="5"/>
      <c r="E182" s="5"/>
      <c r="F182" s="5"/>
      <c r="G182" s="5"/>
      <c r="H182" s="5"/>
      <c r="I182" s="5"/>
      <c r="J182" s="5"/>
      <c r="K182" s="5"/>
      <c r="L182" s="5"/>
      <c r="M182" s="5"/>
      <c r="N182" s="3"/>
      <c r="O182" s="3"/>
      <c r="P182" s="3"/>
      <c r="Q182" s="3"/>
    </row>
    <row r="183" spans="1:17" ht="15">
      <c r="A183" s="5"/>
      <c r="B183" s="5"/>
      <c r="C183" s="5"/>
      <c r="D183" s="5"/>
      <c r="E183" s="5"/>
      <c r="F183" s="5"/>
      <c r="G183" s="5"/>
      <c r="H183" s="5"/>
      <c r="I183" s="5"/>
      <c r="J183" s="5"/>
      <c r="K183" s="5"/>
      <c r="L183" s="5"/>
      <c r="M183" s="5"/>
      <c r="N183" s="3"/>
      <c r="O183" s="3"/>
      <c r="P183" s="3"/>
      <c r="Q183" s="3"/>
    </row>
    <row r="184" spans="1:17" ht="15">
      <c r="A184" s="5"/>
      <c r="B184" s="5"/>
      <c r="C184" s="5"/>
      <c r="D184" s="5"/>
      <c r="E184" s="5"/>
      <c r="F184" s="5"/>
      <c r="G184" s="5"/>
      <c r="H184" s="5"/>
      <c r="I184" s="5"/>
      <c r="J184" s="5"/>
      <c r="K184" s="5"/>
      <c r="L184" s="5"/>
      <c r="M184" s="5"/>
      <c r="N184" s="3"/>
      <c r="O184" s="3"/>
      <c r="P184" s="3"/>
      <c r="Q184" s="3"/>
    </row>
    <row r="185" spans="1:17" ht="15">
      <c r="A185" s="5"/>
      <c r="B185" s="5"/>
      <c r="C185" s="5"/>
      <c r="D185" s="5"/>
      <c r="E185" s="5"/>
      <c r="F185" s="5"/>
      <c r="G185" s="5"/>
      <c r="H185" s="5"/>
      <c r="I185" s="5"/>
      <c r="J185" s="5"/>
      <c r="K185" s="5"/>
      <c r="L185" s="5"/>
      <c r="M185" s="5"/>
      <c r="N185" s="3"/>
      <c r="O185" s="3"/>
      <c r="P185" s="3"/>
      <c r="Q185" s="3"/>
    </row>
    <row r="186" spans="1:17" ht="15">
      <c r="A186" s="5"/>
      <c r="B186" s="5"/>
      <c r="C186" s="5"/>
      <c r="D186" s="5"/>
      <c r="E186" s="5"/>
      <c r="F186" s="5"/>
      <c r="G186" s="5"/>
      <c r="H186" s="5"/>
      <c r="I186" s="5"/>
      <c r="J186" s="5"/>
      <c r="K186" s="5"/>
      <c r="L186" s="5"/>
      <c r="M186" s="5"/>
      <c r="N186" s="3"/>
      <c r="O186" s="3"/>
      <c r="P186" s="3"/>
      <c r="Q186" s="3"/>
    </row>
    <row r="187" spans="1:17" ht="15">
      <c r="A187" s="5"/>
      <c r="B187" s="5"/>
      <c r="C187" s="5"/>
      <c r="D187" s="5"/>
      <c r="E187" s="5"/>
      <c r="F187" s="5"/>
      <c r="G187" s="5"/>
      <c r="H187" s="5"/>
      <c r="I187" s="5"/>
      <c r="J187" s="5"/>
      <c r="K187" s="5"/>
      <c r="L187" s="5"/>
      <c r="M187" s="5"/>
      <c r="N187" s="3"/>
      <c r="O187" s="3"/>
      <c r="P187" s="3"/>
      <c r="Q187" s="3"/>
    </row>
    <row r="188" spans="1:17" ht="15">
      <c r="A188" s="5"/>
      <c r="B188" s="5"/>
      <c r="C188" s="5"/>
      <c r="D188" s="5"/>
      <c r="E188" s="5"/>
      <c r="F188" s="5"/>
      <c r="G188" s="5"/>
      <c r="H188" s="5"/>
      <c r="I188" s="5"/>
      <c r="J188" s="5"/>
      <c r="K188" s="5"/>
      <c r="L188" s="5"/>
      <c r="M188" s="5"/>
      <c r="N188" s="3"/>
      <c r="O188" s="3"/>
      <c r="P188" s="3"/>
      <c r="Q188" s="3"/>
    </row>
    <row r="189" spans="1:17" ht="15">
      <c r="A189" s="5"/>
      <c r="B189" s="5"/>
      <c r="C189" s="5"/>
      <c r="D189" s="5"/>
      <c r="E189" s="5"/>
      <c r="F189" s="5"/>
      <c r="G189" s="5"/>
      <c r="H189" s="5"/>
      <c r="I189" s="5"/>
      <c r="J189" s="5"/>
      <c r="K189" s="5"/>
      <c r="L189" s="5"/>
      <c r="M189" s="5"/>
      <c r="N189" s="3"/>
      <c r="O189" s="3"/>
      <c r="P189" s="3"/>
      <c r="Q189" s="3"/>
    </row>
    <row r="190" spans="1:17" ht="15">
      <c r="A190" s="5"/>
      <c r="B190" s="5"/>
      <c r="C190" s="5"/>
      <c r="D190" s="5"/>
      <c r="E190" s="5"/>
      <c r="F190" s="5"/>
      <c r="G190" s="5"/>
      <c r="H190" s="5"/>
      <c r="I190" s="5"/>
      <c r="J190" s="5"/>
      <c r="K190" s="5"/>
      <c r="L190" s="5"/>
      <c r="M190" s="5"/>
      <c r="N190" s="3"/>
      <c r="O190" s="3"/>
      <c r="P190" s="3"/>
      <c r="Q190" s="3"/>
    </row>
    <row r="191" spans="1:17" ht="15">
      <c r="A191" s="5"/>
      <c r="B191" s="5"/>
      <c r="C191" s="5"/>
      <c r="D191" s="5"/>
      <c r="E191" s="5"/>
      <c r="F191" s="5"/>
      <c r="G191" s="5"/>
      <c r="H191" s="5"/>
      <c r="I191" s="5"/>
      <c r="J191" s="5"/>
      <c r="K191" s="5"/>
      <c r="L191" s="5"/>
      <c r="M191" s="5"/>
      <c r="N191" s="3"/>
      <c r="O191" s="3"/>
      <c r="P191" s="3"/>
      <c r="Q191" s="3"/>
    </row>
    <row r="192" spans="1:17" ht="15">
      <c r="A192" s="5"/>
      <c r="B192" s="5"/>
      <c r="C192" s="5"/>
      <c r="D192" s="5"/>
      <c r="E192" s="5"/>
      <c r="F192" s="5"/>
      <c r="G192" s="5"/>
      <c r="H192" s="5"/>
      <c r="I192" s="5"/>
      <c r="J192" s="5"/>
      <c r="K192" s="5"/>
      <c r="L192" s="5"/>
      <c r="M192" s="5"/>
      <c r="N192" s="3"/>
      <c r="O192" s="3"/>
      <c r="P192" s="3"/>
      <c r="Q192" s="3"/>
    </row>
    <row r="193" spans="1:17" ht="15">
      <c r="A193" s="5"/>
      <c r="B193" s="5"/>
      <c r="C193" s="5"/>
      <c r="D193" s="5"/>
      <c r="E193" s="5"/>
      <c r="F193" s="5"/>
      <c r="G193" s="5"/>
      <c r="H193" s="5"/>
      <c r="I193" s="5"/>
      <c r="J193" s="5"/>
      <c r="K193" s="5"/>
      <c r="L193" s="5"/>
      <c r="M193" s="5"/>
      <c r="N193" s="3"/>
      <c r="O193" s="3"/>
      <c r="P193" s="3"/>
      <c r="Q193" s="3"/>
    </row>
    <row r="194" spans="1:17" ht="15">
      <c r="A194" s="5"/>
      <c r="B194" s="5"/>
      <c r="C194" s="5"/>
      <c r="D194" s="5"/>
      <c r="E194" s="5"/>
      <c r="F194" s="5"/>
      <c r="G194" s="5"/>
      <c r="H194" s="5"/>
      <c r="I194" s="5"/>
      <c r="J194" s="5"/>
      <c r="K194" s="5"/>
      <c r="L194" s="5"/>
      <c r="M194" s="5"/>
      <c r="N194" s="3"/>
      <c r="O194" s="3"/>
      <c r="P194" s="3"/>
      <c r="Q194" s="3"/>
    </row>
    <row r="195" spans="1:17" ht="15">
      <c r="A195" s="5"/>
      <c r="B195" s="5"/>
      <c r="C195" s="5"/>
      <c r="D195" s="5"/>
      <c r="E195" s="5"/>
      <c r="F195" s="5"/>
      <c r="G195" s="5"/>
      <c r="H195" s="5"/>
      <c r="I195" s="5"/>
      <c r="J195" s="5"/>
      <c r="K195" s="5"/>
      <c r="L195" s="5"/>
      <c r="M195" s="5"/>
      <c r="N195" s="3"/>
      <c r="O195" s="3"/>
      <c r="P195" s="3"/>
      <c r="Q195" s="3"/>
    </row>
    <row r="196" spans="1:17" ht="15">
      <c r="A196" s="5"/>
      <c r="B196" s="5"/>
      <c r="C196" s="5"/>
      <c r="D196" s="5"/>
      <c r="E196" s="5"/>
      <c r="F196" s="5"/>
      <c r="G196" s="5"/>
      <c r="H196" s="5"/>
      <c r="I196" s="5"/>
      <c r="J196" s="5"/>
      <c r="K196" s="5"/>
      <c r="L196" s="5"/>
      <c r="M196" s="5"/>
      <c r="N196" s="3"/>
      <c r="O196" s="3"/>
      <c r="P196" s="3"/>
      <c r="Q196" s="3"/>
    </row>
    <row r="197" spans="1:17" ht="15">
      <c r="A197" s="5"/>
      <c r="B197" s="5"/>
      <c r="C197" s="5"/>
      <c r="D197" s="5"/>
      <c r="E197" s="5"/>
      <c r="F197" s="5"/>
      <c r="G197" s="5"/>
      <c r="H197" s="5"/>
      <c r="I197" s="5"/>
      <c r="J197" s="5"/>
      <c r="K197" s="5"/>
      <c r="L197" s="5"/>
      <c r="M197" s="5"/>
      <c r="N197" s="3"/>
      <c r="O197" s="3"/>
      <c r="P197" s="3"/>
      <c r="Q197" s="3"/>
    </row>
    <row r="198" spans="1:17" ht="15">
      <c r="A198" s="5"/>
      <c r="B198" s="5"/>
      <c r="C198" s="5"/>
      <c r="D198" s="5"/>
      <c r="E198" s="5"/>
      <c r="F198" s="5"/>
      <c r="G198" s="5"/>
      <c r="H198" s="5"/>
      <c r="I198" s="5"/>
      <c r="J198" s="5"/>
      <c r="K198" s="5"/>
      <c r="L198" s="5"/>
      <c r="M198" s="5"/>
      <c r="N198" s="3"/>
      <c r="O198" s="3"/>
      <c r="P198" s="3"/>
      <c r="Q198" s="3"/>
    </row>
    <row r="199" spans="1:17" ht="15">
      <c r="A199" s="5"/>
      <c r="B199" s="5"/>
      <c r="C199" s="5"/>
      <c r="D199" s="5"/>
      <c r="E199" s="5"/>
      <c r="F199" s="5"/>
      <c r="G199" s="5"/>
      <c r="H199" s="5"/>
      <c r="I199" s="5"/>
      <c r="J199" s="5"/>
      <c r="K199" s="5"/>
      <c r="L199" s="5"/>
      <c r="M199" s="5"/>
      <c r="N199" s="3"/>
      <c r="O199" s="3"/>
      <c r="P199" s="3"/>
      <c r="Q199" s="3"/>
    </row>
    <row r="200" spans="1:17" ht="15">
      <c r="A200" s="5"/>
      <c r="B200" s="5"/>
      <c r="C200" s="5"/>
      <c r="D200" s="5"/>
      <c r="E200" s="5"/>
      <c r="F200" s="5"/>
      <c r="G200" s="5"/>
      <c r="H200" s="5"/>
      <c r="I200" s="5"/>
      <c r="J200" s="5"/>
      <c r="K200" s="5"/>
      <c r="L200" s="5"/>
      <c r="M200" s="5"/>
      <c r="N200" s="3"/>
      <c r="O200" s="3"/>
      <c r="P200" s="3"/>
      <c r="Q200" s="3"/>
    </row>
    <row r="201" spans="1:17" ht="15">
      <c r="A201" s="5"/>
      <c r="B201" s="5"/>
      <c r="C201" s="5"/>
      <c r="D201" s="5"/>
      <c r="E201" s="5"/>
      <c r="F201" s="5"/>
      <c r="G201" s="5"/>
      <c r="H201" s="5"/>
      <c r="I201" s="5"/>
      <c r="J201" s="5"/>
      <c r="K201" s="5"/>
      <c r="L201" s="5"/>
      <c r="M201" s="5"/>
      <c r="N201" s="3"/>
      <c r="O201" s="3"/>
      <c r="P201" s="3"/>
      <c r="Q201" s="3"/>
    </row>
    <row r="202" spans="1:17" ht="15">
      <c r="A202" s="5"/>
      <c r="B202" s="5"/>
      <c r="C202" s="5"/>
      <c r="D202" s="5"/>
      <c r="E202" s="5"/>
      <c r="F202" s="5"/>
      <c r="G202" s="5"/>
      <c r="H202" s="5"/>
      <c r="I202" s="5"/>
      <c r="J202" s="5"/>
      <c r="K202" s="5"/>
      <c r="L202" s="5"/>
      <c r="M202" s="5"/>
      <c r="N202" s="3"/>
      <c r="O202" s="3"/>
      <c r="P202" s="3"/>
      <c r="Q202" s="3"/>
    </row>
    <row r="203" spans="1:17" ht="15">
      <c r="A203" s="5"/>
      <c r="B203" s="5"/>
      <c r="C203" s="5"/>
      <c r="D203" s="5"/>
      <c r="E203" s="5"/>
      <c r="F203" s="5"/>
      <c r="G203" s="5"/>
      <c r="H203" s="5"/>
      <c r="I203" s="5"/>
      <c r="J203" s="5"/>
      <c r="K203" s="5"/>
      <c r="L203" s="5"/>
      <c r="M203" s="5"/>
      <c r="N203" s="3"/>
      <c r="O203" s="3"/>
      <c r="P203" s="3"/>
      <c r="Q203" s="3"/>
    </row>
    <row r="204" spans="1:17" ht="15">
      <c r="A204" s="5"/>
      <c r="B204" s="5"/>
      <c r="C204" s="5"/>
      <c r="D204" s="5"/>
      <c r="E204" s="5"/>
      <c r="F204" s="5"/>
      <c r="G204" s="5"/>
      <c r="H204" s="5"/>
      <c r="I204" s="5"/>
      <c r="J204" s="5"/>
      <c r="K204" s="5"/>
      <c r="L204" s="5"/>
      <c r="M204" s="5"/>
      <c r="N204" s="3"/>
      <c r="O204" s="3"/>
      <c r="P204" s="3"/>
      <c r="Q204" s="3"/>
    </row>
    <row r="205" spans="1:17" ht="15">
      <c r="A205" s="5"/>
      <c r="B205" s="5"/>
      <c r="C205" s="5"/>
      <c r="D205" s="5"/>
      <c r="E205" s="5"/>
      <c r="F205" s="5"/>
      <c r="G205" s="5"/>
      <c r="H205" s="5"/>
      <c r="I205" s="5"/>
      <c r="J205" s="5"/>
      <c r="K205" s="5"/>
      <c r="L205" s="5"/>
      <c r="M205" s="5"/>
      <c r="N205" s="3"/>
      <c r="O205" s="3"/>
      <c r="P205" s="3"/>
      <c r="Q205" s="3"/>
    </row>
    <row r="206" spans="1:17" ht="15">
      <c r="A206" s="5"/>
      <c r="B206" s="5"/>
      <c r="C206" s="5"/>
      <c r="D206" s="5"/>
      <c r="E206" s="5"/>
      <c r="F206" s="5"/>
      <c r="G206" s="5"/>
      <c r="H206" s="5"/>
      <c r="I206" s="5"/>
      <c r="J206" s="5"/>
      <c r="K206" s="5"/>
      <c r="L206" s="5"/>
      <c r="M206" s="5"/>
      <c r="N206" s="3"/>
      <c r="O206" s="3"/>
      <c r="P206" s="3"/>
      <c r="Q206" s="3"/>
    </row>
    <row r="207" spans="1:17" ht="15">
      <c r="A207" s="5"/>
      <c r="B207" s="5"/>
      <c r="C207" s="5"/>
      <c r="D207" s="5"/>
      <c r="E207" s="5"/>
      <c r="F207" s="5"/>
      <c r="G207" s="5"/>
      <c r="H207" s="5"/>
      <c r="I207" s="5"/>
      <c r="J207" s="5"/>
      <c r="K207" s="5"/>
      <c r="L207" s="5"/>
      <c r="M207" s="5"/>
      <c r="N207" s="3"/>
      <c r="O207" s="3"/>
      <c r="P207" s="3"/>
      <c r="Q207" s="3"/>
    </row>
    <row r="208" spans="1:17" ht="15">
      <c r="A208" s="5"/>
      <c r="B208" s="5"/>
      <c r="C208" s="5"/>
      <c r="D208" s="5"/>
      <c r="E208" s="5"/>
      <c r="F208" s="5"/>
      <c r="G208" s="5"/>
      <c r="H208" s="5"/>
      <c r="I208" s="5"/>
      <c r="J208" s="5"/>
      <c r="K208" s="5"/>
      <c r="L208" s="5"/>
      <c r="M208" s="5"/>
      <c r="N208" s="3"/>
      <c r="O208" s="3"/>
      <c r="P208" s="3"/>
      <c r="Q208" s="3"/>
    </row>
    <row r="209" spans="1:17" ht="15">
      <c r="A209" s="5"/>
      <c r="B209" s="5"/>
      <c r="C209" s="5"/>
      <c r="D209" s="5"/>
      <c r="E209" s="5"/>
      <c r="F209" s="5"/>
      <c r="G209" s="5"/>
      <c r="H209" s="5"/>
      <c r="I209" s="5"/>
      <c r="J209" s="5"/>
      <c r="K209" s="5"/>
      <c r="L209" s="5"/>
      <c r="M209" s="5"/>
      <c r="N209" s="3"/>
      <c r="O209" s="3"/>
      <c r="P209" s="3"/>
      <c r="Q209" s="3"/>
    </row>
    <row r="210" spans="1:17" ht="15">
      <c r="A210" s="5"/>
      <c r="B210" s="5"/>
      <c r="C210" s="5"/>
      <c r="D210" s="5"/>
      <c r="E210" s="5"/>
      <c r="F210" s="5"/>
      <c r="G210" s="5"/>
      <c r="H210" s="5"/>
      <c r="I210" s="5"/>
      <c r="J210" s="5"/>
      <c r="K210" s="5"/>
      <c r="L210" s="5"/>
      <c r="M210" s="5"/>
      <c r="N210" s="3"/>
      <c r="O210" s="3"/>
      <c r="P210" s="3"/>
      <c r="Q210" s="3"/>
    </row>
    <row r="211" spans="1:17" ht="15">
      <c r="A211" s="5"/>
      <c r="B211" s="5"/>
      <c r="C211" s="5"/>
      <c r="D211" s="5"/>
      <c r="E211" s="5"/>
      <c r="F211" s="5"/>
      <c r="G211" s="5"/>
      <c r="H211" s="5"/>
      <c r="I211" s="5"/>
      <c r="J211" s="5"/>
      <c r="K211" s="5"/>
      <c r="L211" s="5"/>
      <c r="M211" s="5"/>
      <c r="N211" s="3"/>
      <c r="O211" s="3"/>
      <c r="P211" s="3"/>
      <c r="Q211" s="3"/>
    </row>
    <row r="212" spans="1:17" ht="15">
      <c r="A212" s="5"/>
      <c r="B212" s="5"/>
      <c r="C212" s="5"/>
      <c r="D212" s="5"/>
      <c r="E212" s="5"/>
      <c r="F212" s="5"/>
      <c r="G212" s="5"/>
      <c r="H212" s="5"/>
      <c r="I212" s="5"/>
      <c r="J212" s="5"/>
      <c r="K212" s="5"/>
      <c r="L212" s="5"/>
      <c r="M212" s="5"/>
      <c r="N212" s="3"/>
      <c r="O212" s="3"/>
      <c r="P212" s="3"/>
      <c r="Q212" s="3"/>
    </row>
    <row r="213" spans="1:17" ht="15">
      <c r="A213" s="5"/>
      <c r="B213" s="5"/>
      <c r="C213" s="5"/>
      <c r="D213" s="5"/>
      <c r="E213" s="5"/>
      <c r="F213" s="5"/>
      <c r="G213" s="5"/>
      <c r="H213" s="5"/>
      <c r="I213" s="5"/>
      <c r="J213" s="5"/>
      <c r="K213" s="5"/>
      <c r="L213" s="5"/>
      <c r="M213" s="5"/>
      <c r="N213" s="3"/>
      <c r="O213" s="3"/>
      <c r="P213" s="3"/>
      <c r="Q213" s="3"/>
    </row>
    <row r="214" spans="1:17" ht="15">
      <c r="A214" s="5"/>
      <c r="B214" s="5"/>
      <c r="C214" s="5"/>
      <c r="D214" s="5"/>
      <c r="E214" s="5"/>
      <c r="F214" s="5"/>
      <c r="G214" s="5"/>
      <c r="H214" s="5"/>
      <c r="I214" s="5"/>
      <c r="J214" s="5"/>
      <c r="K214" s="5"/>
      <c r="L214" s="5"/>
      <c r="M214" s="5"/>
      <c r="N214" s="3"/>
      <c r="O214" s="3"/>
      <c r="P214" s="3"/>
      <c r="Q214" s="3"/>
    </row>
    <row r="215" spans="1:17" ht="15">
      <c r="A215" s="5"/>
      <c r="B215" s="5"/>
      <c r="C215" s="5"/>
      <c r="D215" s="5"/>
      <c r="E215" s="5"/>
      <c r="F215" s="5"/>
      <c r="G215" s="5"/>
      <c r="H215" s="5"/>
      <c r="I215" s="5"/>
      <c r="J215" s="5"/>
      <c r="K215" s="5"/>
      <c r="L215" s="5"/>
      <c r="M215" s="5"/>
      <c r="N215" s="3"/>
      <c r="O215" s="3"/>
      <c r="P215" s="3"/>
      <c r="Q215" s="3"/>
    </row>
    <row r="216" spans="1:17" ht="15">
      <c r="A216" s="5"/>
      <c r="B216" s="5"/>
      <c r="C216" s="5"/>
      <c r="D216" s="5"/>
      <c r="E216" s="5"/>
      <c r="F216" s="5"/>
      <c r="G216" s="5"/>
      <c r="H216" s="5"/>
      <c r="I216" s="5"/>
      <c r="J216" s="5"/>
      <c r="K216" s="5"/>
      <c r="L216" s="5"/>
      <c r="M216" s="5"/>
      <c r="N216" s="3"/>
      <c r="O216" s="3"/>
      <c r="P216" s="3"/>
      <c r="Q216" s="3"/>
    </row>
    <row r="217" spans="1:17" ht="15">
      <c r="A217" s="5"/>
      <c r="B217" s="5"/>
      <c r="C217" s="5"/>
      <c r="D217" s="5"/>
      <c r="E217" s="5"/>
      <c r="F217" s="5"/>
      <c r="G217" s="5"/>
      <c r="H217" s="5"/>
      <c r="I217" s="5"/>
      <c r="J217" s="5"/>
      <c r="K217" s="5"/>
      <c r="L217" s="5"/>
      <c r="M217" s="5"/>
      <c r="N217" s="3"/>
      <c r="O217" s="3"/>
      <c r="P217" s="3"/>
      <c r="Q217" s="3"/>
    </row>
    <row r="218" spans="1:17" ht="15">
      <c r="A218" s="5"/>
      <c r="B218" s="5"/>
      <c r="C218" s="5"/>
      <c r="D218" s="5"/>
      <c r="E218" s="5"/>
      <c r="F218" s="5"/>
      <c r="G218" s="5"/>
      <c r="H218" s="5"/>
      <c r="I218" s="5"/>
      <c r="J218" s="5"/>
      <c r="K218" s="5"/>
      <c r="L218" s="5"/>
      <c r="M218" s="5"/>
      <c r="N218" s="3"/>
      <c r="O218" s="3"/>
      <c r="P218" s="3"/>
      <c r="Q218" s="3"/>
    </row>
    <row r="219" spans="1:17" ht="15">
      <c r="A219" s="5"/>
      <c r="B219" s="5"/>
      <c r="C219" s="5"/>
      <c r="D219" s="5"/>
      <c r="E219" s="5"/>
      <c r="F219" s="5"/>
      <c r="G219" s="5"/>
      <c r="H219" s="5"/>
      <c r="I219" s="5"/>
      <c r="J219" s="5"/>
      <c r="K219" s="5"/>
      <c r="L219" s="5"/>
      <c r="M219" s="5"/>
      <c r="N219" s="3"/>
      <c r="O219" s="3"/>
      <c r="P219" s="3"/>
      <c r="Q219" s="3"/>
    </row>
    <row r="220" spans="1:17" ht="15">
      <c r="A220" s="5"/>
      <c r="B220" s="5"/>
      <c r="C220" s="5"/>
      <c r="D220" s="5"/>
      <c r="E220" s="5"/>
      <c r="F220" s="5"/>
      <c r="G220" s="5"/>
      <c r="H220" s="5"/>
      <c r="I220" s="5"/>
      <c r="J220" s="5"/>
      <c r="K220" s="5"/>
      <c r="L220" s="5"/>
      <c r="M220" s="5"/>
      <c r="N220" s="3"/>
      <c r="O220" s="3"/>
      <c r="P220" s="3"/>
      <c r="Q220" s="3"/>
    </row>
    <row r="221" spans="1:17" ht="15">
      <c r="A221" s="5"/>
      <c r="B221" s="5"/>
      <c r="C221" s="5"/>
      <c r="D221" s="5"/>
      <c r="E221" s="5"/>
      <c r="F221" s="5"/>
      <c r="G221" s="5"/>
      <c r="H221" s="5"/>
      <c r="I221" s="5"/>
      <c r="J221" s="5"/>
      <c r="K221" s="5"/>
      <c r="L221" s="5"/>
      <c r="M221" s="5"/>
      <c r="N221" s="3"/>
      <c r="O221" s="3"/>
      <c r="P221" s="3"/>
      <c r="Q221" s="3"/>
    </row>
    <row r="222" spans="1:17" ht="15">
      <c r="A222" s="5"/>
      <c r="B222" s="5"/>
      <c r="C222" s="5"/>
      <c r="D222" s="5"/>
      <c r="E222" s="5"/>
      <c r="F222" s="5"/>
      <c r="G222" s="5"/>
      <c r="H222" s="5"/>
      <c r="I222" s="5"/>
      <c r="J222" s="5"/>
      <c r="K222" s="5"/>
      <c r="L222" s="5"/>
      <c r="M222" s="5"/>
      <c r="N222" s="3"/>
      <c r="O222" s="3"/>
      <c r="P222" s="3"/>
      <c r="Q222" s="3"/>
    </row>
    <row r="223" spans="1:17" ht="15">
      <c r="A223" s="5"/>
      <c r="B223" s="5"/>
      <c r="C223" s="5"/>
      <c r="D223" s="5"/>
      <c r="E223" s="5"/>
      <c r="F223" s="5"/>
      <c r="G223" s="5"/>
      <c r="H223" s="5"/>
      <c r="I223" s="5"/>
      <c r="J223" s="5"/>
      <c r="K223" s="5"/>
      <c r="L223" s="5"/>
      <c r="M223" s="5"/>
      <c r="N223" s="3"/>
      <c r="O223" s="3"/>
      <c r="P223" s="3"/>
      <c r="Q223" s="3"/>
    </row>
    <row r="224" spans="1:17" ht="15">
      <c r="A224" s="5"/>
      <c r="B224" s="5"/>
      <c r="C224" s="5"/>
      <c r="D224" s="5"/>
      <c r="E224" s="5"/>
      <c r="F224" s="5"/>
      <c r="G224" s="5"/>
      <c r="H224" s="5"/>
      <c r="I224" s="5"/>
      <c r="J224" s="5"/>
      <c r="K224" s="5"/>
      <c r="L224" s="5"/>
      <c r="M224" s="5"/>
      <c r="N224" s="3"/>
      <c r="O224" s="3"/>
      <c r="P224" s="3"/>
      <c r="Q224" s="3"/>
    </row>
    <row r="225" spans="1:17" ht="15">
      <c r="A225" s="5"/>
      <c r="B225" s="5"/>
      <c r="C225" s="5"/>
      <c r="D225" s="5"/>
      <c r="E225" s="5"/>
      <c r="F225" s="5"/>
      <c r="G225" s="5"/>
      <c r="H225" s="5"/>
      <c r="I225" s="5"/>
      <c r="J225" s="5"/>
      <c r="K225" s="5"/>
      <c r="L225" s="5"/>
      <c r="M225" s="5"/>
      <c r="N225" s="3"/>
      <c r="O225" s="3"/>
      <c r="P225" s="3"/>
      <c r="Q225" s="3"/>
    </row>
    <row r="226" spans="1:17" ht="15">
      <c r="A226" s="5"/>
      <c r="B226" s="5"/>
      <c r="C226" s="5"/>
      <c r="D226" s="5"/>
      <c r="E226" s="5"/>
      <c r="F226" s="5"/>
      <c r="G226" s="5"/>
      <c r="H226" s="5"/>
      <c r="I226" s="5"/>
      <c r="J226" s="5"/>
      <c r="K226" s="5"/>
      <c r="L226" s="5"/>
      <c r="M226" s="5"/>
      <c r="N226" s="3"/>
      <c r="O226" s="3"/>
      <c r="P226" s="3"/>
      <c r="Q226" s="3"/>
    </row>
    <row r="227" spans="1:17" ht="15">
      <c r="A227" s="5"/>
      <c r="B227" s="5"/>
      <c r="C227" s="5"/>
      <c r="D227" s="5"/>
      <c r="E227" s="5"/>
      <c r="F227" s="5"/>
      <c r="G227" s="5"/>
      <c r="H227" s="5"/>
      <c r="I227" s="5"/>
      <c r="J227" s="5"/>
      <c r="K227" s="5"/>
      <c r="L227" s="5"/>
      <c r="M227" s="5"/>
      <c r="N227" s="3"/>
      <c r="O227" s="3"/>
      <c r="P227" s="3"/>
      <c r="Q227" s="3"/>
    </row>
    <row r="228" spans="1:17" ht="15">
      <c r="A228" s="5"/>
      <c r="B228" s="5"/>
      <c r="C228" s="5"/>
      <c r="D228" s="5"/>
      <c r="E228" s="5"/>
      <c r="F228" s="5"/>
      <c r="G228" s="5"/>
      <c r="H228" s="5"/>
      <c r="I228" s="5"/>
      <c r="J228" s="5"/>
      <c r="K228" s="5"/>
      <c r="L228" s="5"/>
      <c r="M228" s="5"/>
      <c r="N228" s="3"/>
      <c r="O228" s="3"/>
      <c r="P228" s="3"/>
      <c r="Q228" s="3"/>
    </row>
    <row r="229" spans="1:17" ht="15">
      <c r="A229" s="5"/>
      <c r="B229" s="5"/>
      <c r="C229" s="5"/>
      <c r="D229" s="5"/>
      <c r="E229" s="5"/>
      <c r="F229" s="5"/>
      <c r="G229" s="5"/>
      <c r="H229" s="5"/>
      <c r="I229" s="5"/>
      <c r="J229" s="5"/>
      <c r="K229" s="5"/>
      <c r="L229" s="5"/>
      <c r="M229" s="5"/>
      <c r="N229" s="3"/>
      <c r="O229" s="3"/>
      <c r="P229" s="3"/>
      <c r="Q229" s="3"/>
    </row>
    <row r="230" spans="1:17" ht="15">
      <c r="A230" s="5"/>
      <c r="B230" s="5"/>
      <c r="C230" s="5"/>
      <c r="D230" s="5"/>
      <c r="E230" s="5"/>
      <c r="F230" s="5"/>
      <c r="G230" s="5"/>
      <c r="H230" s="5"/>
      <c r="I230" s="5"/>
      <c r="J230" s="5"/>
      <c r="K230" s="5"/>
      <c r="L230" s="5"/>
      <c r="M230" s="5"/>
      <c r="N230" s="3"/>
      <c r="O230" s="3"/>
      <c r="P230" s="3"/>
      <c r="Q230" s="3"/>
    </row>
    <row r="231" spans="1:17" ht="15">
      <c r="A231" s="5"/>
      <c r="B231" s="5"/>
      <c r="C231" s="5"/>
      <c r="D231" s="5"/>
      <c r="E231" s="5"/>
      <c r="F231" s="5"/>
      <c r="G231" s="5"/>
      <c r="H231" s="5"/>
      <c r="I231" s="5"/>
      <c r="J231" s="5"/>
      <c r="K231" s="5"/>
      <c r="L231" s="5"/>
      <c r="M231" s="5"/>
      <c r="N231" s="3"/>
      <c r="O231" s="3"/>
      <c r="P231" s="3"/>
      <c r="Q231" s="3"/>
    </row>
    <row r="232" spans="1:17" ht="15">
      <c r="A232" s="5"/>
      <c r="B232" s="5"/>
      <c r="C232" s="5"/>
      <c r="D232" s="5"/>
      <c r="E232" s="5"/>
      <c r="F232" s="5"/>
      <c r="G232" s="5"/>
      <c r="H232" s="5"/>
      <c r="I232" s="5"/>
      <c r="J232" s="5"/>
      <c r="K232" s="5"/>
      <c r="L232" s="5"/>
      <c r="M232" s="5"/>
      <c r="N232" s="3"/>
      <c r="O232" s="3"/>
      <c r="P232" s="3"/>
      <c r="Q232" s="3"/>
    </row>
    <row r="233" spans="1:17" ht="15">
      <c r="A233" s="5"/>
      <c r="B233" s="5"/>
      <c r="C233" s="5"/>
      <c r="D233" s="5"/>
      <c r="E233" s="5"/>
      <c r="F233" s="5"/>
      <c r="G233" s="5"/>
      <c r="H233" s="5"/>
      <c r="I233" s="5"/>
      <c r="J233" s="5"/>
      <c r="K233" s="5"/>
      <c r="L233" s="5"/>
      <c r="M233" s="5"/>
      <c r="N233" s="3"/>
      <c r="O233" s="3"/>
      <c r="P233" s="3"/>
      <c r="Q233" s="3"/>
    </row>
    <row r="234" spans="1:17" ht="15">
      <c r="A234" s="5"/>
      <c r="B234" s="5"/>
      <c r="C234" s="5"/>
      <c r="D234" s="5"/>
      <c r="E234" s="5"/>
      <c r="F234" s="5"/>
      <c r="G234" s="5"/>
      <c r="H234" s="5"/>
      <c r="I234" s="5"/>
      <c r="J234" s="5"/>
      <c r="K234" s="5"/>
      <c r="L234" s="5"/>
      <c r="M234" s="5"/>
      <c r="N234" s="3"/>
      <c r="O234" s="3"/>
      <c r="P234" s="3"/>
      <c r="Q234" s="3"/>
    </row>
    <row r="235" spans="1:17" ht="15">
      <c r="A235" s="5"/>
      <c r="B235" s="5"/>
      <c r="C235" s="5"/>
      <c r="D235" s="5"/>
      <c r="E235" s="5"/>
      <c r="F235" s="5"/>
      <c r="G235" s="5"/>
      <c r="H235" s="5"/>
      <c r="I235" s="5"/>
      <c r="J235" s="5"/>
      <c r="K235" s="5"/>
      <c r="L235" s="5"/>
      <c r="M235" s="5"/>
      <c r="N235" s="3"/>
      <c r="O235" s="3"/>
      <c r="P235" s="3"/>
      <c r="Q235" s="3"/>
    </row>
    <row r="236" spans="1:17" ht="15">
      <c r="A236" s="5"/>
      <c r="B236" s="5"/>
      <c r="C236" s="5"/>
      <c r="D236" s="5"/>
      <c r="E236" s="5"/>
      <c r="F236" s="5"/>
      <c r="G236" s="5"/>
      <c r="H236" s="5"/>
      <c r="I236" s="5"/>
      <c r="J236" s="5"/>
      <c r="K236" s="5"/>
      <c r="L236" s="5"/>
      <c r="M236" s="5"/>
      <c r="N236" s="3"/>
      <c r="O236" s="3"/>
      <c r="P236" s="3"/>
      <c r="Q236" s="3"/>
    </row>
    <row r="237" spans="1:17" ht="15">
      <c r="A237" s="5"/>
      <c r="B237" s="5"/>
      <c r="C237" s="5"/>
      <c r="D237" s="5"/>
      <c r="E237" s="5"/>
      <c r="F237" s="5"/>
      <c r="G237" s="5"/>
      <c r="H237" s="5"/>
      <c r="I237" s="5"/>
      <c r="J237" s="5"/>
      <c r="K237" s="5"/>
      <c r="L237" s="5"/>
      <c r="M237" s="5"/>
      <c r="N237" s="3"/>
      <c r="O237" s="3"/>
      <c r="P237" s="3"/>
      <c r="Q237" s="3"/>
    </row>
    <row r="238" spans="1:17" ht="15">
      <c r="A238" s="5"/>
      <c r="B238" s="5"/>
      <c r="C238" s="5"/>
      <c r="D238" s="5"/>
      <c r="E238" s="5"/>
      <c r="F238" s="5"/>
      <c r="G238" s="5"/>
      <c r="H238" s="5"/>
      <c r="I238" s="5"/>
      <c r="J238" s="5"/>
      <c r="K238" s="5"/>
      <c r="L238" s="5"/>
      <c r="M238" s="5"/>
      <c r="N238" s="3"/>
      <c r="O238" s="3"/>
      <c r="P238" s="3"/>
      <c r="Q238" s="3"/>
    </row>
    <row r="239" spans="1:17" ht="15">
      <c r="A239" s="5"/>
      <c r="B239" s="5"/>
      <c r="C239" s="5"/>
      <c r="D239" s="5"/>
      <c r="E239" s="5"/>
      <c r="F239" s="5"/>
      <c r="G239" s="5"/>
      <c r="H239" s="5"/>
      <c r="I239" s="5"/>
      <c r="J239" s="5"/>
      <c r="K239" s="5"/>
      <c r="L239" s="5"/>
      <c r="M239" s="5"/>
      <c r="N239" s="3"/>
      <c r="O239" s="3"/>
      <c r="P239" s="3"/>
      <c r="Q239" s="3"/>
    </row>
    <row r="240" spans="1:17" ht="15">
      <c r="A240" s="5"/>
      <c r="B240" s="5"/>
      <c r="C240" s="5"/>
      <c r="D240" s="5"/>
      <c r="E240" s="5"/>
      <c r="F240" s="5"/>
      <c r="G240" s="5"/>
      <c r="H240" s="5"/>
      <c r="I240" s="5"/>
      <c r="J240" s="5"/>
      <c r="K240" s="5"/>
      <c r="L240" s="5"/>
      <c r="M240" s="5"/>
      <c r="N240" s="3"/>
      <c r="O240" s="3"/>
      <c r="P240" s="3"/>
      <c r="Q240" s="3"/>
    </row>
    <row r="241" spans="1:17" ht="15">
      <c r="A241" s="5"/>
      <c r="B241" s="5"/>
      <c r="C241" s="5"/>
      <c r="D241" s="5"/>
      <c r="E241" s="5"/>
      <c r="F241" s="5"/>
      <c r="G241" s="5"/>
      <c r="H241" s="5"/>
      <c r="I241" s="5"/>
      <c r="J241" s="5"/>
      <c r="K241" s="5"/>
      <c r="L241" s="5"/>
      <c r="M241" s="5"/>
      <c r="N241" s="3"/>
      <c r="O241" s="3"/>
      <c r="P241" s="3"/>
      <c r="Q241" s="3"/>
    </row>
    <row r="242" spans="1:17" ht="15">
      <c r="A242" s="5"/>
      <c r="B242" s="5"/>
      <c r="C242" s="5"/>
      <c r="D242" s="5"/>
      <c r="E242" s="5"/>
      <c r="F242" s="5"/>
      <c r="G242" s="5"/>
      <c r="H242" s="5"/>
      <c r="I242" s="5"/>
      <c r="J242" s="5"/>
      <c r="K242" s="5"/>
      <c r="L242" s="5"/>
      <c r="M242" s="5"/>
      <c r="N242" s="3"/>
      <c r="O242" s="3"/>
      <c r="P242" s="3"/>
      <c r="Q242" s="3"/>
    </row>
    <row r="243" spans="1:17" ht="15">
      <c r="A243" s="5"/>
      <c r="B243" s="5"/>
      <c r="C243" s="5"/>
      <c r="D243" s="5"/>
      <c r="E243" s="5"/>
      <c r="F243" s="5"/>
      <c r="G243" s="5"/>
      <c r="H243" s="5"/>
      <c r="I243" s="5"/>
      <c r="J243" s="5"/>
      <c r="K243" s="5"/>
      <c r="L243" s="5"/>
      <c r="M243" s="5"/>
      <c r="N243" s="3"/>
      <c r="O243" s="3"/>
      <c r="P243" s="3"/>
      <c r="Q243" s="3"/>
    </row>
    <row r="244" spans="1:17" ht="15">
      <c r="A244" s="5"/>
      <c r="B244" s="5"/>
      <c r="C244" s="5"/>
      <c r="D244" s="5"/>
      <c r="E244" s="5"/>
      <c r="F244" s="5"/>
      <c r="G244" s="5"/>
      <c r="H244" s="5"/>
      <c r="I244" s="5"/>
      <c r="J244" s="5"/>
      <c r="K244" s="5"/>
      <c r="L244" s="5"/>
      <c r="M244" s="5"/>
      <c r="N244" s="3"/>
      <c r="O244" s="3"/>
      <c r="P244" s="3"/>
      <c r="Q244" s="3"/>
    </row>
    <row r="245" spans="1:17" ht="15">
      <c r="A245" s="5"/>
      <c r="B245" s="5"/>
      <c r="C245" s="5"/>
      <c r="D245" s="5"/>
      <c r="E245" s="5"/>
      <c r="F245" s="5"/>
      <c r="G245" s="5"/>
      <c r="H245" s="5"/>
      <c r="I245" s="5"/>
      <c r="J245" s="5"/>
      <c r="K245" s="5"/>
      <c r="L245" s="5"/>
      <c r="M245" s="5"/>
      <c r="N245" s="3"/>
      <c r="O245" s="3"/>
      <c r="P245" s="3"/>
      <c r="Q245" s="3"/>
    </row>
    <row r="246" spans="1:17" ht="15">
      <c r="A246" s="5"/>
      <c r="B246" s="5"/>
      <c r="C246" s="5"/>
      <c r="D246" s="5"/>
      <c r="E246" s="5"/>
      <c r="F246" s="5"/>
      <c r="G246" s="5"/>
      <c r="H246" s="5"/>
      <c r="I246" s="5"/>
      <c r="J246" s="5"/>
      <c r="K246" s="5"/>
      <c r="L246" s="5"/>
      <c r="M246" s="5"/>
      <c r="N246" s="3"/>
      <c r="O246" s="3"/>
      <c r="P246" s="3"/>
      <c r="Q246" s="3"/>
    </row>
    <row r="247" spans="1:17" ht="15">
      <c r="A247" s="5"/>
      <c r="B247" s="5"/>
      <c r="C247" s="5"/>
      <c r="D247" s="5"/>
      <c r="E247" s="5"/>
      <c r="F247" s="5"/>
      <c r="G247" s="5"/>
      <c r="H247" s="5"/>
      <c r="I247" s="5"/>
      <c r="J247" s="5"/>
      <c r="K247" s="5"/>
      <c r="L247" s="5"/>
      <c r="M247" s="5"/>
      <c r="N247" s="3"/>
      <c r="O247" s="3"/>
      <c r="P247" s="3"/>
      <c r="Q247" s="3"/>
    </row>
    <row r="248" spans="1:17" ht="15">
      <c r="A248" s="5"/>
      <c r="B248" s="5"/>
      <c r="C248" s="5"/>
      <c r="D248" s="5"/>
      <c r="E248" s="5"/>
      <c r="F248" s="5"/>
      <c r="G248" s="5"/>
      <c r="H248" s="5"/>
      <c r="I248" s="5"/>
      <c r="J248" s="5"/>
      <c r="K248" s="5"/>
      <c r="L248" s="5"/>
      <c r="M248" s="5"/>
      <c r="N248" s="3"/>
      <c r="O248" s="3"/>
      <c r="P248" s="3"/>
      <c r="Q248" s="3"/>
    </row>
    <row r="249" spans="1:17" ht="15">
      <c r="A249" s="5"/>
      <c r="B249" s="5"/>
      <c r="C249" s="5"/>
      <c r="D249" s="5"/>
      <c r="E249" s="5"/>
      <c r="F249" s="5"/>
      <c r="G249" s="5"/>
      <c r="H249" s="5"/>
      <c r="I249" s="5"/>
      <c r="J249" s="5"/>
      <c r="K249" s="5"/>
      <c r="L249" s="5"/>
      <c r="M249" s="5"/>
      <c r="N249" s="3"/>
      <c r="O249" s="3"/>
      <c r="P249" s="3"/>
      <c r="Q249" s="3"/>
    </row>
    <row r="250" spans="1:17" ht="15">
      <c r="A250" s="5"/>
      <c r="B250" s="5"/>
      <c r="C250" s="5"/>
      <c r="D250" s="5"/>
      <c r="E250" s="5"/>
      <c r="F250" s="5"/>
      <c r="G250" s="5"/>
      <c r="H250" s="5"/>
      <c r="I250" s="5"/>
      <c r="J250" s="5"/>
      <c r="K250" s="5"/>
      <c r="L250" s="5"/>
      <c r="M250" s="5"/>
      <c r="N250" s="3"/>
      <c r="O250" s="3"/>
      <c r="P250" s="3"/>
      <c r="Q250" s="3"/>
    </row>
    <row r="251" spans="1:17">
      <c r="A251" s="1"/>
      <c r="B251" s="1"/>
      <c r="C251" s="1"/>
      <c r="D251" s="1"/>
      <c r="E251" s="1"/>
      <c r="F251" s="1"/>
      <c r="G251" s="1"/>
      <c r="H251" s="1"/>
      <c r="I251" s="1"/>
      <c r="J251" s="1"/>
      <c r="K251" s="1"/>
      <c r="L251" s="1"/>
      <c r="M251" s="1"/>
    </row>
    <row r="252" spans="1:17">
      <c r="A252" s="1"/>
      <c r="B252" s="1"/>
      <c r="C252" s="1"/>
      <c r="D252" s="1"/>
      <c r="E252" s="1"/>
      <c r="F252" s="1"/>
      <c r="G252" s="1"/>
      <c r="H252" s="1"/>
      <c r="I252" s="1"/>
      <c r="J252" s="1"/>
      <c r="K252" s="1"/>
      <c r="L252" s="1"/>
      <c r="M252" s="1"/>
    </row>
    <row r="253" spans="1:17">
      <c r="A253" s="1"/>
      <c r="B253" s="1"/>
      <c r="C253" s="1"/>
      <c r="D253" s="1"/>
      <c r="E253" s="1"/>
      <c r="F253" s="1"/>
      <c r="G253" s="1"/>
      <c r="H253" s="1"/>
      <c r="I253" s="1"/>
      <c r="J253" s="1"/>
      <c r="K253" s="1"/>
      <c r="L253" s="1"/>
      <c r="M253" s="1"/>
    </row>
    <row r="254" spans="1:17">
      <c r="A254" s="1"/>
      <c r="B254" s="1"/>
      <c r="C254" s="1"/>
      <c r="D254" s="1"/>
      <c r="E254" s="1"/>
      <c r="F254" s="1"/>
      <c r="G254" s="1"/>
      <c r="H254" s="1"/>
      <c r="I254" s="1"/>
      <c r="J254" s="1"/>
      <c r="K254" s="1"/>
      <c r="L254" s="1"/>
      <c r="M254" s="1"/>
    </row>
    <row r="255" spans="1:17">
      <c r="A255" s="1"/>
      <c r="B255" s="1"/>
      <c r="C255" s="1"/>
      <c r="D255" s="1"/>
      <c r="E255" s="1"/>
      <c r="F255" s="1"/>
      <c r="G255" s="1"/>
      <c r="H255" s="1"/>
      <c r="I255" s="1"/>
      <c r="J255" s="1"/>
      <c r="K255" s="1"/>
      <c r="L255" s="1"/>
      <c r="M255" s="1"/>
    </row>
    <row r="256" spans="1:17">
      <c r="A256" s="1"/>
      <c r="B256" s="1"/>
      <c r="C256" s="1"/>
      <c r="D256" s="1"/>
      <c r="E256" s="1"/>
      <c r="F256" s="1"/>
      <c r="G256" s="1"/>
      <c r="H256" s="1"/>
      <c r="I256" s="1"/>
      <c r="J256" s="1"/>
      <c r="K256" s="1"/>
      <c r="L256" s="1"/>
      <c r="M256" s="1"/>
    </row>
    <row r="257" spans="1:13">
      <c r="A257" s="1"/>
      <c r="B257" s="1"/>
      <c r="C257" s="1"/>
      <c r="D257" s="1"/>
      <c r="E257" s="1"/>
      <c r="F257" s="1"/>
      <c r="G257" s="1"/>
      <c r="H257" s="1"/>
      <c r="I257" s="1"/>
      <c r="J257" s="1"/>
      <c r="K257" s="1"/>
      <c r="L257" s="1"/>
      <c r="M257" s="1"/>
    </row>
    <row r="258" spans="1:13">
      <c r="A258" s="1"/>
      <c r="B258" s="1"/>
      <c r="C258" s="1"/>
      <c r="D258" s="1"/>
      <c r="E258" s="1"/>
      <c r="F258" s="1"/>
      <c r="G258" s="1"/>
      <c r="H258" s="1"/>
      <c r="I258" s="1"/>
      <c r="J258" s="1"/>
      <c r="K258" s="1"/>
      <c r="L258" s="1"/>
      <c r="M258" s="1"/>
    </row>
    <row r="259" spans="1:13">
      <c r="A259" s="1"/>
      <c r="B259" s="1"/>
      <c r="C259" s="1"/>
      <c r="D259" s="1"/>
      <c r="E259" s="1"/>
      <c r="F259" s="1"/>
      <c r="G259" s="1"/>
      <c r="H259" s="1"/>
      <c r="I259" s="1"/>
      <c r="J259" s="1"/>
      <c r="K259" s="1"/>
      <c r="L259" s="1"/>
      <c r="M259" s="1"/>
    </row>
    <row r="260" spans="1:13">
      <c r="A260" s="1"/>
      <c r="B260" s="1"/>
      <c r="C260" s="1"/>
      <c r="D260" s="1"/>
      <c r="E260" s="1"/>
      <c r="F260" s="1"/>
      <c r="G260" s="1"/>
      <c r="H260" s="1"/>
      <c r="I260" s="1"/>
      <c r="J260" s="1"/>
      <c r="K260" s="1"/>
      <c r="L260" s="1"/>
      <c r="M260" s="1"/>
    </row>
    <row r="261" spans="1:13">
      <c r="A261" s="1"/>
      <c r="B261" s="1"/>
      <c r="C261" s="1"/>
      <c r="D261" s="1"/>
      <c r="E261" s="1"/>
      <c r="F261" s="1"/>
      <c r="G261" s="1"/>
      <c r="H261" s="1"/>
      <c r="I261" s="1"/>
      <c r="J261" s="1"/>
      <c r="K261" s="1"/>
      <c r="L261" s="1"/>
      <c r="M261" s="1"/>
    </row>
    <row r="262" spans="1:13">
      <c r="A262" s="1"/>
      <c r="B262" s="1"/>
      <c r="C262" s="1"/>
      <c r="D262" s="1"/>
      <c r="E262" s="1"/>
      <c r="F262" s="1"/>
      <c r="G262" s="1"/>
      <c r="H262" s="1"/>
      <c r="I262" s="1"/>
      <c r="J262" s="1"/>
      <c r="K262" s="1"/>
      <c r="L262" s="1"/>
      <c r="M262" s="1"/>
    </row>
    <row r="263" spans="1:13">
      <c r="A263" s="1"/>
      <c r="B263" s="1"/>
      <c r="C263" s="1"/>
      <c r="D263" s="1"/>
      <c r="E263" s="1"/>
      <c r="F263" s="1"/>
      <c r="G263" s="1"/>
      <c r="H263" s="1"/>
      <c r="I263" s="1"/>
      <c r="J263" s="1"/>
      <c r="K263" s="1"/>
      <c r="L263" s="1"/>
      <c r="M263" s="1"/>
    </row>
    <row r="264" spans="1:13">
      <c r="A264" s="1"/>
      <c r="B264" s="1"/>
      <c r="C264" s="1"/>
      <c r="D264" s="1"/>
      <c r="E264" s="1"/>
      <c r="F264" s="1"/>
      <c r="G264" s="1"/>
      <c r="H264" s="1"/>
      <c r="I264" s="1"/>
      <c r="J264" s="1"/>
      <c r="K264" s="1"/>
      <c r="L264" s="1"/>
      <c r="M264" s="1"/>
    </row>
    <row r="265" spans="1:13">
      <c r="A265" s="1"/>
      <c r="B265" s="1"/>
      <c r="C265" s="1"/>
      <c r="D265" s="1"/>
      <c r="E265" s="1"/>
      <c r="F265" s="1"/>
      <c r="G265" s="1"/>
      <c r="H265" s="1"/>
      <c r="I265" s="1"/>
      <c r="J265" s="1"/>
      <c r="K265" s="1"/>
      <c r="L265" s="1"/>
      <c r="M265" s="1"/>
    </row>
    <row r="266" spans="1:13">
      <c r="A266" s="1"/>
      <c r="B266" s="1"/>
      <c r="C266" s="1"/>
      <c r="D266" s="1"/>
      <c r="E266" s="1"/>
      <c r="F266" s="1"/>
      <c r="G266" s="1"/>
      <c r="H266" s="1"/>
      <c r="I266" s="1"/>
      <c r="J266" s="1"/>
      <c r="K266" s="1"/>
      <c r="L266" s="1"/>
      <c r="M266" s="1"/>
    </row>
    <row r="267" spans="1:13">
      <c r="A267" s="1"/>
      <c r="B267" s="1"/>
      <c r="C267" s="1"/>
      <c r="D267" s="1"/>
      <c r="E267" s="1"/>
      <c r="F267" s="1"/>
      <c r="G267" s="1"/>
      <c r="H267" s="1"/>
      <c r="I267" s="1"/>
      <c r="J267" s="1"/>
      <c r="K267" s="1"/>
      <c r="L267" s="1"/>
      <c r="M267" s="1"/>
    </row>
    <row r="268" spans="1:13">
      <c r="A268" s="1"/>
      <c r="B268" s="1"/>
      <c r="C268" s="1"/>
      <c r="D268" s="1"/>
      <c r="E268" s="1"/>
      <c r="F268" s="1"/>
      <c r="G268" s="1"/>
      <c r="H268" s="1"/>
      <c r="I268" s="1"/>
      <c r="J268" s="1"/>
      <c r="K268" s="1"/>
      <c r="L268" s="1"/>
      <c r="M268" s="1"/>
    </row>
    <row r="269" spans="1:13">
      <c r="A269" s="1"/>
      <c r="B269" s="1"/>
      <c r="C269" s="1"/>
      <c r="D269" s="1"/>
      <c r="E269" s="1"/>
      <c r="F269" s="1"/>
      <c r="G269" s="1"/>
      <c r="H269" s="1"/>
      <c r="I269" s="1"/>
      <c r="J269" s="1"/>
      <c r="K269" s="1"/>
      <c r="L269" s="1"/>
      <c r="M269" s="1"/>
    </row>
    <row r="270" spans="1:13">
      <c r="A270" s="1"/>
      <c r="B270" s="1"/>
      <c r="C270" s="1"/>
      <c r="D270" s="1"/>
      <c r="E270" s="1"/>
      <c r="F270" s="1"/>
      <c r="G270" s="1"/>
      <c r="H270" s="1"/>
      <c r="I270" s="1"/>
      <c r="J270" s="1"/>
      <c r="K270" s="1"/>
      <c r="L270" s="1"/>
      <c r="M270" s="1"/>
    </row>
    <row r="271" spans="1:13">
      <c r="A271" s="1"/>
      <c r="B271" s="1"/>
      <c r="C271" s="1"/>
      <c r="D271" s="1"/>
      <c r="E271" s="1"/>
      <c r="F271" s="1"/>
      <c r="G271" s="1"/>
      <c r="H271" s="1"/>
      <c r="I271" s="1"/>
      <c r="J271" s="1"/>
      <c r="K271" s="1"/>
      <c r="L271" s="1"/>
      <c r="M271" s="1"/>
    </row>
    <row r="272" spans="1:13">
      <c r="A272" s="1"/>
      <c r="B272" s="1"/>
      <c r="C272" s="1"/>
      <c r="D272" s="1"/>
      <c r="E272" s="1"/>
      <c r="F272" s="1"/>
      <c r="G272" s="1"/>
      <c r="H272" s="1"/>
      <c r="I272" s="1"/>
      <c r="J272" s="1"/>
      <c r="K272" s="1"/>
      <c r="L272" s="1"/>
      <c r="M272" s="1"/>
    </row>
    <row r="273" spans="1:13">
      <c r="A273" s="1"/>
      <c r="B273" s="1"/>
      <c r="C273" s="1"/>
      <c r="D273" s="1"/>
      <c r="E273" s="1"/>
      <c r="F273" s="1"/>
      <c r="G273" s="1"/>
      <c r="H273" s="1"/>
      <c r="I273" s="1"/>
      <c r="J273" s="1"/>
      <c r="K273" s="1"/>
      <c r="L273" s="1"/>
      <c r="M273" s="1"/>
    </row>
    <row r="274" spans="1:13">
      <c r="A274" s="1"/>
      <c r="B274" s="1"/>
      <c r="C274" s="1"/>
      <c r="D274" s="1"/>
      <c r="E274" s="1"/>
      <c r="F274" s="1"/>
      <c r="G274" s="1"/>
      <c r="H274" s="1"/>
      <c r="I274" s="1"/>
      <c r="J274" s="1"/>
      <c r="K274" s="1"/>
      <c r="L274" s="1"/>
      <c r="M274" s="1"/>
    </row>
    <row r="275" spans="1:13">
      <c r="A275" s="1"/>
      <c r="B275" s="1"/>
      <c r="C275" s="1"/>
      <c r="D275" s="1"/>
      <c r="E275" s="1"/>
      <c r="F275" s="1"/>
      <c r="G275" s="1"/>
      <c r="H275" s="1"/>
      <c r="I275" s="1"/>
      <c r="J275" s="1"/>
      <c r="K275" s="1"/>
      <c r="L275" s="1"/>
      <c r="M275" s="1"/>
    </row>
    <row r="276" spans="1:13">
      <c r="A276" s="1"/>
      <c r="B276" s="1"/>
      <c r="C276" s="1"/>
      <c r="D276" s="1"/>
      <c r="E276" s="1"/>
      <c r="F276" s="1"/>
      <c r="G276" s="1"/>
      <c r="H276" s="1"/>
      <c r="I276" s="1"/>
      <c r="J276" s="1"/>
      <c r="K276" s="1"/>
      <c r="L276" s="1"/>
      <c r="M276" s="1"/>
    </row>
    <row r="277" spans="1:13">
      <c r="A277" s="1"/>
      <c r="B277" s="1"/>
      <c r="C277" s="1"/>
      <c r="D277" s="1"/>
      <c r="E277" s="1"/>
      <c r="F277" s="1"/>
      <c r="G277" s="1"/>
      <c r="H277" s="1"/>
      <c r="I277" s="1"/>
      <c r="J277" s="1"/>
      <c r="K277" s="1"/>
      <c r="L277" s="1"/>
      <c r="M277" s="1"/>
    </row>
    <row r="278" spans="1:13">
      <c r="A278" s="1"/>
      <c r="B278" s="1"/>
      <c r="C278" s="1"/>
      <c r="D278" s="1"/>
      <c r="E278" s="1"/>
      <c r="F278" s="1"/>
      <c r="G278" s="1"/>
      <c r="H278" s="1"/>
      <c r="I278" s="1"/>
      <c r="J278" s="1"/>
      <c r="K278" s="1"/>
      <c r="L278" s="1"/>
      <c r="M278" s="1"/>
    </row>
    <row r="279" spans="1:13">
      <c r="A279" s="1"/>
      <c r="B279" s="1"/>
      <c r="C279" s="1"/>
      <c r="D279" s="1"/>
      <c r="E279" s="1"/>
      <c r="F279" s="1"/>
      <c r="G279" s="1"/>
      <c r="H279" s="1"/>
      <c r="I279" s="1"/>
      <c r="J279" s="1"/>
      <c r="K279" s="1"/>
      <c r="L279" s="1"/>
      <c r="M279" s="1"/>
    </row>
    <row r="280" spans="1:13">
      <c r="A280" s="1"/>
      <c r="B280" s="1"/>
      <c r="C280" s="1"/>
      <c r="D280" s="1"/>
      <c r="E280" s="1"/>
      <c r="F280" s="1"/>
      <c r="G280" s="1"/>
      <c r="H280" s="1"/>
      <c r="I280" s="1"/>
      <c r="J280" s="1"/>
      <c r="K280" s="1"/>
      <c r="L280" s="1"/>
      <c r="M280" s="1"/>
    </row>
    <row r="281" spans="1:13">
      <c r="A281" s="1"/>
      <c r="B281" s="1"/>
      <c r="C281" s="1"/>
      <c r="D281" s="1"/>
      <c r="E281" s="1"/>
      <c r="F281" s="1"/>
      <c r="G281" s="1"/>
      <c r="H281" s="1"/>
      <c r="I281" s="1"/>
      <c r="J281" s="1"/>
      <c r="K281" s="1"/>
      <c r="L281" s="1"/>
      <c r="M281" s="1"/>
    </row>
    <row r="282" spans="1:13">
      <c r="A282" s="1"/>
      <c r="B282" s="1"/>
      <c r="C282" s="1"/>
      <c r="D282" s="1"/>
      <c r="E282" s="1"/>
      <c r="F282" s="1"/>
      <c r="G282" s="1"/>
      <c r="H282" s="1"/>
      <c r="I282" s="1"/>
      <c r="J282" s="1"/>
      <c r="K282" s="1"/>
      <c r="L282" s="1"/>
      <c r="M282" s="1"/>
    </row>
    <row r="283" spans="1:13">
      <c r="A283" s="1"/>
      <c r="B283" s="1"/>
      <c r="C283" s="1"/>
      <c r="D283" s="1"/>
      <c r="E283" s="1"/>
      <c r="F283" s="1"/>
      <c r="G283" s="1"/>
      <c r="H283" s="1"/>
      <c r="I283" s="1"/>
      <c r="J283" s="1"/>
      <c r="K283" s="1"/>
      <c r="L283" s="1"/>
      <c r="M283" s="1"/>
    </row>
    <row r="284" spans="1:13">
      <c r="A284" s="1"/>
      <c r="B284" s="1"/>
      <c r="C284" s="1"/>
      <c r="D284" s="1"/>
      <c r="E284" s="1"/>
      <c r="F284" s="1"/>
      <c r="G284" s="1"/>
      <c r="H284" s="1"/>
      <c r="I284" s="1"/>
      <c r="J284" s="1"/>
      <c r="K284" s="1"/>
      <c r="L284" s="1"/>
      <c r="M284" s="1"/>
    </row>
    <row r="285" spans="1:13">
      <c r="A285" s="1"/>
      <c r="B285" s="1"/>
      <c r="C285" s="1"/>
      <c r="D285" s="1"/>
      <c r="E285" s="1"/>
      <c r="F285" s="1"/>
      <c r="G285" s="1"/>
      <c r="H285" s="1"/>
      <c r="I285" s="1"/>
      <c r="J285" s="1"/>
      <c r="K285" s="1"/>
      <c r="L285" s="1"/>
      <c r="M285" s="1"/>
    </row>
    <row r="286" spans="1:13">
      <c r="A286" s="1"/>
      <c r="B286" s="1"/>
      <c r="C286" s="1"/>
      <c r="D286" s="1"/>
      <c r="E286" s="1"/>
      <c r="F286" s="1"/>
      <c r="G286" s="1"/>
      <c r="H286" s="1"/>
      <c r="I286" s="1"/>
      <c r="J286" s="1"/>
      <c r="K286" s="1"/>
      <c r="L286" s="1"/>
      <c r="M286" s="1"/>
    </row>
    <row r="287" spans="1:13">
      <c r="A287" s="1"/>
      <c r="B287" s="1"/>
      <c r="C287" s="1"/>
      <c r="D287" s="1"/>
      <c r="E287" s="1"/>
      <c r="F287" s="1"/>
      <c r="G287" s="1"/>
      <c r="H287" s="1"/>
      <c r="I287" s="1"/>
      <c r="J287" s="1"/>
      <c r="K287" s="1"/>
      <c r="L287" s="1"/>
      <c r="M287" s="1"/>
    </row>
    <row r="288" spans="1:13">
      <c r="A288" s="1"/>
      <c r="B288" s="1"/>
      <c r="C288" s="1"/>
      <c r="D288" s="1"/>
      <c r="E288" s="1"/>
      <c r="F288" s="1"/>
      <c r="G288" s="1"/>
      <c r="H288" s="1"/>
      <c r="I288" s="1"/>
      <c r="J288" s="1"/>
      <c r="K288" s="1"/>
      <c r="L288" s="1"/>
      <c r="M288" s="1"/>
    </row>
    <row r="289" spans="1:13">
      <c r="A289" s="1"/>
      <c r="B289" s="1"/>
      <c r="C289" s="1"/>
      <c r="D289" s="1"/>
      <c r="E289" s="1"/>
      <c r="F289" s="1"/>
      <c r="G289" s="1"/>
      <c r="H289" s="1"/>
      <c r="I289" s="1"/>
      <c r="J289" s="1"/>
      <c r="K289" s="1"/>
      <c r="L289" s="1"/>
      <c r="M289" s="1"/>
    </row>
    <row r="290" spans="1:13">
      <c r="A290" s="1"/>
      <c r="B290" s="1"/>
      <c r="C290" s="1"/>
      <c r="D290" s="1"/>
      <c r="E290" s="1"/>
      <c r="F290" s="1"/>
      <c r="G290" s="1"/>
      <c r="H290" s="1"/>
      <c r="I290" s="1"/>
      <c r="J290" s="1"/>
      <c r="K290" s="1"/>
      <c r="L290" s="1"/>
      <c r="M290" s="1"/>
    </row>
    <row r="291" spans="1:13">
      <c r="A291" s="1"/>
      <c r="B291" s="1"/>
      <c r="C291" s="1"/>
      <c r="D291" s="1"/>
      <c r="E291" s="1"/>
      <c r="F291" s="1"/>
      <c r="G291" s="1"/>
      <c r="H291" s="1"/>
      <c r="I291" s="1"/>
      <c r="J291" s="1"/>
      <c r="K291" s="1"/>
      <c r="L291" s="1"/>
      <c r="M291" s="1"/>
    </row>
    <row r="292" spans="1:13">
      <c r="A292" s="1"/>
      <c r="B292" s="1"/>
      <c r="C292" s="1"/>
      <c r="D292" s="1"/>
      <c r="E292" s="1"/>
      <c r="F292" s="1"/>
      <c r="G292" s="1"/>
      <c r="H292" s="1"/>
      <c r="I292" s="1"/>
      <c r="J292" s="1"/>
      <c r="K292" s="1"/>
      <c r="L292" s="1"/>
      <c r="M292" s="1"/>
    </row>
    <row r="293" spans="1:13">
      <c r="A293" s="1"/>
      <c r="B293" s="1"/>
      <c r="C293" s="1"/>
      <c r="D293" s="1"/>
      <c r="E293" s="1"/>
      <c r="F293" s="1"/>
      <c r="G293" s="1"/>
      <c r="H293" s="1"/>
      <c r="I293" s="1"/>
      <c r="J293" s="1"/>
      <c r="K293" s="1"/>
      <c r="L293" s="1"/>
      <c r="M293" s="1"/>
    </row>
    <row r="294" spans="1:13">
      <c r="A294" s="1"/>
      <c r="B294" s="1"/>
      <c r="C294" s="1"/>
      <c r="D294" s="1"/>
      <c r="E294" s="1"/>
      <c r="F294" s="1"/>
      <c r="G294" s="1"/>
      <c r="H294" s="1"/>
      <c r="I294" s="1"/>
      <c r="J294" s="1"/>
      <c r="K294" s="1"/>
      <c r="L294" s="1"/>
      <c r="M294" s="1"/>
    </row>
    <row r="295" spans="1:13">
      <c r="A295" s="1"/>
      <c r="B295" s="1"/>
      <c r="C295" s="1"/>
      <c r="D295" s="1"/>
      <c r="E295" s="1"/>
      <c r="F295" s="1"/>
      <c r="G295" s="1"/>
      <c r="H295" s="1"/>
      <c r="I295" s="1"/>
      <c r="J295" s="1"/>
      <c r="K295" s="1"/>
      <c r="L295" s="1"/>
      <c r="M295" s="1"/>
    </row>
    <row r="296" spans="1:13">
      <c r="A296" s="1"/>
      <c r="B296" s="1"/>
      <c r="C296" s="1"/>
      <c r="D296" s="1"/>
      <c r="E296" s="1"/>
      <c r="F296" s="1"/>
      <c r="G296" s="1"/>
      <c r="H296" s="1"/>
      <c r="I296" s="1"/>
      <c r="J296" s="1"/>
      <c r="K296" s="1"/>
      <c r="L296" s="1"/>
      <c r="M296" s="1"/>
    </row>
    <row r="297" spans="1:13">
      <c r="A297" s="1"/>
      <c r="B297" s="1"/>
      <c r="C297" s="1"/>
      <c r="D297" s="1"/>
      <c r="E297" s="1"/>
      <c r="F297" s="1"/>
      <c r="G297" s="1"/>
      <c r="H297" s="1"/>
      <c r="I297" s="1"/>
      <c r="J297" s="1"/>
      <c r="K297" s="1"/>
      <c r="L297" s="1"/>
      <c r="M297" s="1"/>
    </row>
    <row r="298" spans="1:13">
      <c r="A298" s="1"/>
      <c r="B298" s="1"/>
      <c r="C298" s="1"/>
      <c r="D298" s="1"/>
      <c r="E298" s="1"/>
      <c r="F298" s="1"/>
      <c r="G298" s="1"/>
      <c r="H298" s="1"/>
      <c r="I298" s="1"/>
      <c r="J298" s="1"/>
      <c r="K298" s="1"/>
      <c r="L298" s="1"/>
      <c r="M298" s="1"/>
    </row>
    <row r="299" spans="1:13">
      <c r="A299" s="1"/>
      <c r="B299" s="1"/>
      <c r="C299" s="1"/>
      <c r="D299" s="1"/>
      <c r="E299" s="1"/>
      <c r="F299" s="1"/>
      <c r="G299" s="1"/>
      <c r="H299" s="1"/>
      <c r="I299" s="1"/>
      <c r="J299" s="1"/>
      <c r="K299" s="1"/>
      <c r="L299" s="1"/>
      <c r="M299" s="1"/>
    </row>
    <row r="300" spans="1:13">
      <c r="A300" s="1"/>
      <c r="B300" s="1"/>
      <c r="C300" s="1"/>
      <c r="D300" s="1"/>
      <c r="E300" s="1"/>
      <c r="F300" s="1"/>
      <c r="G300" s="1"/>
      <c r="H300" s="1"/>
      <c r="I300" s="1"/>
      <c r="J300" s="1"/>
      <c r="K300" s="1"/>
      <c r="L300" s="1"/>
      <c r="M300" s="1"/>
    </row>
    <row r="301" spans="1:13">
      <c r="A301" s="1"/>
      <c r="B301" s="1"/>
      <c r="C301" s="1"/>
      <c r="D301" s="1"/>
      <c r="E301" s="1"/>
      <c r="F301" s="1"/>
      <c r="G301" s="1"/>
      <c r="H301" s="1"/>
      <c r="I301" s="1"/>
      <c r="J301" s="1"/>
      <c r="K301" s="1"/>
      <c r="L301" s="1"/>
      <c r="M301" s="1"/>
    </row>
    <row r="302" spans="1:13">
      <c r="A302" s="1"/>
      <c r="B302" s="1"/>
      <c r="C302" s="1"/>
      <c r="D302" s="1"/>
      <c r="E302" s="1"/>
      <c r="F302" s="1"/>
      <c r="G302" s="1"/>
      <c r="H302" s="1"/>
      <c r="I302" s="1"/>
      <c r="J302" s="1"/>
      <c r="K302" s="1"/>
      <c r="L302" s="1"/>
      <c r="M302" s="1"/>
    </row>
    <row r="303" spans="1:13">
      <c r="A303" s="1"/>
      <c r="B303" s="1"/>
      <c r="C303" s="1"/>
      <c r="D303" s="1"/>
      <c r="E303" s="1"/>
      <c r="F303" s="1"/>
      <c r="G303" s="1"/>
      <c r="H303" s="1"/>
      <c r="I303" s="1"/>
      <c r="J303" s="1"/>
      <c r="K303" s="1"/>
      <c r="L303" s="1"/>
      <c r="M303" s="1"/>
    </row>
    <row r="304" spans="1:13">
      <c r="A304" s="1"/>
      <c r="B304" s="1"/>
      <c r="C304" s="1"/>
      <c r="D304" s="1"/>
      <c r="E304" s="1"/>
      <c r="F304" s="1"/>
      <c r="G304" s="1"/>
      <c r="H304" s="1"/>
      <c r="I304" s="1"/>
      <c r="J304" s="1"/>
      <c r="K304" s="1"/>
      <c r="L304" s="1"/>
      <c r="M304" s="1"/>
    </row>
    <row r="305" spans="1:13">
      <c r="A305" s="1"/>
      <c r="B305" s="1"/>
      <c r="C305" s="1"/>
      <c r="D305" s="1"/>
      <c r="E305" s="1"/>
      <c r="F305" s="1"/>
      <c r="G305" s="1"/>
      <c r="H305" s="1"/>
      <c r="I305" s="1"/>
      <c r="J305" s="1"/>
      <c r="K305" s="1"/>
      <c r="L305" s="1"/>
      <c r="M305" s="1"/>
    </row>
    <row r="306" spans="1:13">
      <c r="A306" s="1"/>
      <c r="B306" s="1"/>
      <c r="C306" s="1"/>
      <c r="D306" s="1"/>
      <c r="E306" s="1"/>
      <c r="F306" s="1"/>
      <c r="G306" s="1"/>
      <c r="H306" s="1"/>
      <c r="I306" s="1"/>
      <c r="J306" s="1"/>
      <c r="K306" s="1"/>
      <c r="L306" s="1"/>
      <c r="M306" s="1"/>
    </row>
  </sheetData>
  <mergeCells count="2">
    <mergeCell ref="A1:M1"/>
    <mergeCell ref="A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50"/>
  <sheetViews>
    <sheetView workbookViewId="0"/>
  </sheetViews>
  <sheetFormatPr defaultRowHeight="14.25"/>
  <cols>
    <col min="1" max="2" width="12" customWidth="1"/>
    <col min="3" max="3" width="22" customWidth="1"/>
    <col min="4" max="4" width="11" customWidth="1"/>
    <col min="5" max="6" width="18" customWidth="1"/>
    <col min="7" max="14" width="15" customWidth="1"/>
    <col min="15" max="17" width="18" customWidth="1"/>
    <col min="18" max="18" width="38" customWidth="1"/>
  </cols>
  <sheetData>
    <row r="1" spans="1:18" ht="24" customHeight="1">
      <c r="A1" s="37" t="s">
        <v>769</v>
      </c>
      <c r="B1" s="37"/>
      <c r="C1" s="37"/>
      <c r="D1" s="37"/>
      <c r="E1" s="37"/>
      <c r="F1" s="37"/>
      <c r="G1" s="37"/>
      <c r="H1" s="37"/>
      <c r="I1" s="37"/>
      <c r="J1" s="37"/>
      <c r="K1" s="37"/>
      <c r="L1" s="37"/>
      <c r="M1" s="37"/>
      <c r="N1" s="37"/>
      <c r="O1" s="37"/>
      <c r="P1" s="37"/>
      <c r="Q1" s="37"/>
      <c r="R1" s="22"/>
    </row>
    <row r="2" spans="1:18" ht="33.950000000000003" customHeight="1">
      <c r="A2" s="34" t="s">
        <v>770</v>
      </c>
      <c r="B2" s="35"/>
      <c r="C2" s="35"/>
      <c r="D2" s="35"/>
      <c r="E2" s="35"/>
      <c r="F2" s="35"/>
      <c r="G2" s="35"/>
      <c r="H2" s="35"/>
      <c r="I2" s="35"/>
      <c r="J2" s="35"/>
      <c r="K2" s="35"/>
      <c r="L2" s="35"/>
      <c r="M2" s="35"/>
      <c r="N2" s="35"/>
      <c r="O2" s="35"/>
      <c r="P2" s="35"/>
      <c r="Q2" s="35"/>
    </row>
    <row r="3" spans="1:18" ht="15">
      <c r="A3" s="3"/>
      <c r="B3" s="3"/>
      <c r="C3" s="3"/>
      <c r="D3" s="3"/>
      <c r="E3" s="3"/>
      <c r="F3" s="3"/>
      <c r="G3" s="3"/>
      <c r="H3" s="3"/>
      <c r="I3" s="3"/>
      <c r="J3" s="3"/>
      <c r="K3" s="3"/>
      <c r="L3" s="3"/>
      <c r="M3" s="3"/>
      <c r="N3" s="3"/>
      <c r="O3" s="3"/>
      <c r="P3" s="3"/>
      <c r="Q3" s="3"/>
    </row>
    <row r="4" spans="1:18" ht="15">
      <c r="A4" s="3"/>
      <c r="B4" s="3"/>
      <c r="C4" s="3"/>
      <c r="D4" s="3"/>
      <c r="E4" s="3"/>
      <c r="F4" s="3"/>
      <c r="G4" s="3"/>
      <c r="H4" s="3"/>
      <c r="I4" s="3"/>
      <c r="J4" s="3"/>
      <c r="K4" s="3"/>
      <c r="L4" s="3"/>
      <c r="M4" s="3"/>
      <c r="N4" s="3"/>
      <c r="O4" s="3"/>
      <c r="P4" s="3"/>
      <c r="Q4" s="3"/>
    </row>
    <row r="5" spans="1:18" ht="15">
      <c r="A5" s="3"/>
      <c r="B5" s="3"/>
      <c r="C5" s="3"/>
      <c r="D5" s="3"/>
      <c r="E5" s="3"/>
      <c r="F5" s="3"/>
      <c r="G5" s="3"/>
      <c r="H5" s="3"/>
      <c r="I5" s="3"/>
      <c r="J5" s="3"/>
      <c r="K5" s="3"/>
      <c r="L5" s="3"/>
      <c r="M5" s="3"/>
      <c r="N5" s="3"/>
      <c r="O5" s="3"/>
      <c r="P5" s="3"/>
      <c r="Q5" s="3"/>
    </row>
    <row r="6" spans="1:18" ht="30" customHeight="1">
      <c r="A6" s="23" t="s">
        <v>771</v>
      </c>
      <c r="B6" s="23" t="s">
        <v>570</v>
      </c>
      <c r="C6" s="23" t="s">
        <v>564</v>
      </c>
      <c r="D6" s="23" t="s">
        <v>575</v>
      </c>
      <c r="E6" s="23" t="s">
        <v>772</v>
      </c>
      <c r="F6" s="23" t="s">
        <v>635</v>
      </c>
      <c r="G6" s="23" t="s">
        <v>773</v>
      </c>
      <c r="H6" s="23" t="s">
        <v>774</v>
      </c>
      <c r="I6" s="23" t="s">
        <v>775</v>
      </c>
      <c r="J6" s="23" t="s">
        <v>776</v>
      </c>
      <c r="K6" s="23" t="s">
        <v>777</v>
      </c>
      <c r="L6" s="23" t="s">
        <v>778</v>
      </c>
      <c r="M6" s="23" t="s">
        <v>779</v>
      </c>
      <c r="N6" s="23" t="s">
        <v>780</v>
      </c>
      <c r="O6" s="23" t="s">
        <v>714</v>
      </c>
      <c r="P6" s="23" t="s">
        <v>715</v>
      </c>
      <c r="Q6" s="23" t="s">
        <v>781</v>
      </c>
      <c r="R6" s="28" t="s">
        <v>358</v>
      </c>
    </row>
    <row r="7" spans="1:18" ht="15">
      <c r="A7" s="5" t="s">
        <v>782</v>
      </c>
      <c r="B7" s="5" t="s">
        <v>640</v>
      </c>
      <c r="C7" s="5" t="s">
        <v>641</v>
      </c>
      <c r="D7" s="24" t="s">
        <v>143</v>
      </c>
      <c r="E7" s="24" t="s">
        <v>783</v>
      </c>
      <c r="F7" s="24" t="s">
        <v>646</v>
      </c>
      <c r="G7" s="25"/>
      <c r="H7" s="27"/>
      <c r="I7" s="24"/>
      <c r="J7" s="24"/>
      <c r="K7" s="14" t="str">
        <f t="shared" ref="K7:K38" si="0">IF(N7&lt;&gt;"","",IF(AND(G7&lt;&gt;"",H7&lt;&gt;"",J7&lt;&gt;""),ROUND(PPMT(H7,1,J7,-G7),0),""))</f>
        <v/>
      </c>
      <c r="L7" s="14" t="str">
        <f t="shared" ref="L7:L38" si="1">IF(N7&lt;&gt;"","",IF(AND(G7&lt;&gt;"",H7&lt;&gt;""),ROUND(G7*H7,0),""))</f>
        <v/>
      </c>
      <c r="M7" s="14" t="str">
        <f t="shared" ref="M7:M38" si="2">IF(N7&lt;&gt;"",N7,IF(AND(G7&lt;&gt;"",H7&lt;&gt;"",J7&lt;&gt;""),ROUND(PMT(H7,J7,-G7),0),""))</f>
        <v/>
      </c>
      <c r="N7" s="25"/>
      <c r="O7" s="24" t="s">
        <v>514</v>
      </c>
      <c r="P7" s="24" t="s">
        <v>784</v>
      </c>
      <c r="Q7" s="26" t="str">
        <f t="shared" ref="Q7:Q38" si="3">IF(A7="","",IF(D7="No","Excluded",IF(AND(OR(F7="N/A",E7="No Debt / N/A"),G7=""),"No Debt / N/A",IF(M7&lt;&gt;"","Ready","Partial"))))</f>
        <v>Excluded</v>
      </c>
      <c r="R7" s="29" t="s">
        <v>785</v>
      </c>
    </row>
    <row r="8" spans="1:18" ht="29.25">
      <c r="A8" s="5" t="s">
        <v>786</v>
      </c>
      <c r="B8" s="5" t="s">
        <v>647</v>
      </c>
      <c r="C8" s="5" t="s">
        <v>648</v>
      </c>
      <c r="D8" s="24" t="s">
        <v>443</v>
      </c>
      <c r="E8" s="24" t="s">
        <v>783</v>
      </c>
      <c r="F8" s="24" t="s">
        <v>651</v>
      </c>
      <c r="G8" s="25">
        <v>794745.17</v>
      </c>
      <c r="H8" s="27">
        <v>4.0239999999999998E-2</v>
      </c>
      <c r="I8" s="24"/>
      <c r="J8" s="24">
        <v>22</v>
      </c>
      <c r="K8" s="14" t="str">
        <f t="shared" si="0"/>
        <v/>
      </c>
      <c r="L8" s="14" t="str">
        <f t="shared" si="1"/>
        <v/>
      </c>
      <c r="M8" s="14">
        <f t="shared" si="2"/>
        <v>54330.12</v>
      </c>
      <c r="N8" s="25">
        <v>54330.12</v>
      </c>
      <c r="O8" s="24" t="s">
        <v>514</v>
      </c>
      <c r="P8" s="24" t="s">
        <v>787</v>
      </c>
      <c r="Q8" s="26" t="str">
        <f t="shared" si="3"/>
        <v>Ready</v>
      </c>
      <c r="R8" s="29" t="s">
        <v>788</v>
      </c>
    </row>
    <row r="9" spans="1:18" ht="29.25">
      <c r="A9" s="5" t="s">
        <v>789</v>
      </c>
      <c r="B9" s="5" t="s">
        <v>652</v>
      </c>
      <c r="C9" s="5" t="s">
        <v>653</v>
      </c>
      <c r="D9" s="24" t="s">
        <v>443</v>
      </c>
      <c r="E9" s="24" t="s">
        <v>783</v>
      </c>
      <c r="F9" s="24" t="s">
        <v>651</v>
      </c>
      <c r="G9" s="25">
        <v>1617334.89</v>
      </c>
      <c r="H9" s="27">
        <v>4.0239999999999998E-2</v>
      </c>
      <c r="I9" s="24"/>
      <c r="J9" s="24">
        <v>22</v>
      </c>
      <c r="K9" s="14" t="str">
        <f t="shared" si="0"/>
        <v/>
      </c>
      <c r="L9" s="14" t="str">
        <f t="shared" si="1"/>
        <v/>
      </c>
      <c r="M9" s="14">
        <f t="shared" si="2"/>
        <v>110563.68</v>
      </c>
      <c r="N9" s="25">
        <v>110563.68</v>
      </c>
      <c r="O9" s="24" t="s">
        <v>514</v>
      </c>
      <c r="P9" s="24" t="s">
        <v>787</v>
      </c>
      <c r="Q9" s="26" t="str">
        <f t="shared" si="3"/>
        <v>Ready</v>
      </c>
      <c r="R9" s="29" t="s">
        <v>788</v>
      </c>
    </row>
    <row r="10" spans="1:18" ht="29.25">
      <c r="A10" s="5" t="s">
        <v>790</v>
      </c>
      <c r="B10" s="5" t="s">
        <v>654</v>
      </c>
      <c r="C10" s="5" t="s">
        <v>655</v>
      </c>
      <c r="D10" s="24" t="s">
        <v>443</v>
      </c>
      <c r="E10" s="24" t="s">
        <v>791</v>
      </c>
      <c r="F10" s="24" t="s">
        <v>646</v>
      </c>
      <c r="G10" s="25"/>
      <c r="H10" s="27"/>
      <c r="I10" s="24"/>
      <c r="J10" s="24"/>
      <c r="K10" s="14" t="str">
        <f t="shared" si="0"/>
        <v/>
      </c>
      <c r="L10" s="14" t="str">
        <f t="shared" si="1"/>
        <v/>
      </c>
      <c r="M10" s="14" t="str">
        <f t="shared" si="2"/>
        <v/>
      </c>
      <c r="N10" s="25"/>
      <c r="O10" s="24" t="s">
        <v>514</v>
      </c>
      <c r="P10" s="24" t="s">
        <v>784</v>
      </c>
      <c r="Q10" s="26" t="str">
        <f t="shared" si="3"/>
        <v>No Debt / N/A</v>
      </c>
      <c r="R10" s="29" t="s">
        <v>792</v>
      </c>
    </row>
    <row r="11" spans="1:18" ht="29.25">
      <c r="A11" s="5" t="s">
        <v>793</v>
      </c>
      <c r="B11" s="5" t="s">
        <v>657</v>
      </c>
      <c r="C11" s="5" t="s">
        <v>658</v>
      </c>
      <c r="D11" s="24" t="s">
        <v>443</v>
      </c>
      <c r="E11" s="24" t="s">
        <v>783</v>
      </c>
      <c r="F11" s="24" t="s">
        <v>660</v>
      </c>
      <c r="G11" s="25">
        <v>274036.81</v>
      </c>
      <c r="H11" s="27">
        <v>4.2299999999999997E-2</v>
      </c>
      <c r="I11" s="24"/>
      <c r="J11" s="24">
        <v>3</v>
      </c>
      <c r="K11" s="14" t="str">
        <f t="shared" si="0"/>
        <v/>
      </c>
      <c r="L11" s="14" t="str">
        <f t="shared" si="1"/>
        <v/>
      </c>
      <c r="M11" s="14">
        <f t="shared" si="2"/>
        <v>178507.8</v>
      </c>
      <c r="N11" s="25">
        <v>178507.8</v>
      </c>
      <c r="O11" s="24" t="s">
        <v>514</v>
      </c>
      <c r="P11" s="24" t="s">
        <v>787</v>
      </c>
      <c r="Q11" s="26" t="str">
        <f t="shared" si="3"/>
        <v>Ready</v>
      </c>
      <c r="R11" s="29" t="s">
        <v>788</v>
      </c>
    </row>
    <row r="12" spans="1:18" ht="29.25">
      <c r="A12" s="5" t="s">
        <v>794</v>
      </c>
      <c r="B12" s="5" t="s">
        <v>661</v>
      </c>
      <c r="C12" s="5" t="s">
        <v>662</v>
      </c>
      <c r="D12" s="24" t="s">
        <v>443</v>
      </c>
      <c r="E12" s="24" t="s">
        <v>783</v>
      </c>
      <c r="F12" s="24" t="s">
        <v>664</v>
      </c>
      <c r="G12" s="25">
        <v>5475821.2999999998</v>
      </c>
      <c r="H12" s="27">
        <v>4.2099999999999999E-2</v>
      </c>
      <c r="I12" s="24"/>
      <c r="J12" s="24">
        <v>35</v>
      </c>
      <c r="K12" s="14" t="str">
        <f t="shared" si="0"/>
        <v/>
      </c>
      <c r="L12" s="14" t="str">
        <f t="shared" si="1"/>
        <v/>
      </c>
      <c r="M12" s="14">
        <f t="shared" si="2"/>
        <v>297840</v>
      </c>
      <c r="N12" s="25">
        <v>297840</v>
      </c>
      <c r="O12" s="24" t="s">
        <v>514</v>
      </c>
      <c r="P12" s="24" t="s">
        <v>787</v>
      </c>
      <c r="Q12" s="26" t="str">
        <f t="shared" si="3"/>
        <v>Ready</v>
      </c>
      <c r="R12" s="29" t="s">
        <v>788</v>
      </c>
    </row>
    <row r="13" spans="1:18" ht="29.25">
      <c r="A13" s="5" t="s">
        <v>795</v>
      </c>
      <c r="B13" s="5" t="s">
        <v>665</v>
      </c>
      <c r="C13" s="5" t="s">
        <v>666</v>
      </c>
      <c r="D13" s="24" t="s">
        <v>443</v>
      </c>
      <c r="E13" s="24" t="s">
        <v>783</v>
      </c>
      <c r="F13" s="24" t="s">
        <v>660</v>
      </c>
      <c r="G13" s="25">
        <v>639949.68999999994</v>
      </c>
      <c r="H13" s="27">
        <v>3.7400000000000003E-2</v>
      </c>
      <c r="I13" s="24"/>
      <c r="J13" s="24">
        <v>4</v>
      </c>
      <c r="K13" s="14" t="str">
        <f t="shared" si="0"/>
        <v/>
      </c>
      <c r="L13" s="14" t="str">
        <f t="shared" si="1"/>
        <v/>
      </c>
      <c r="M13" s="14">
        <f t="shared" si="2"/>
        <v>244376.04</v>
      </c>
      <c r="N13" s="25">
        <v>244376.04</v>
      </c>
      <c r="O13" s="24" t="s">
        <v>514</v>
      </c>
      <c r="P13" s="24" t="s">
        <v>787</v>
      </c>
      <c r="Q13" s="26" t="str">
        <f t="shared" si="3"/>
        <v>Ready</v>
      </c>
      <c r="R13" s="29" t="s">
        <v>788</v>
      </c>
    </row>
    <row r="14" spans="1:18" ht="29.25">
      <c r="A14" s="5" t="s">
        <v>796</v>
      </c>
      <c r="B14" s="5" t="s">
        <v>668</v>
      </c>
      <c r="C14" s="5" t="s">
        <v>669</v>
      </c>
      <c r="D14" s="24" t="s">
        <v>443</v>
      </c>
      <c r="E14" s="24" t="s">
        <v>783</v>
      </c>
      <c r="F14" s="24" t="s">
        <v>660</v>
      </c>
      <c r="G14" s="25">
        <v>176698.83</v>
      </c>
      <c r="H14" s="27">
        <v>1.01E-2</v>
      </c>
      <c r="I14" s="24"/>
      <c r="J14" s="24">
        <v>4</v>
      </c>
      <c r="K14" s="14" t="str">
        <f t="shared" si="0"/>
        <v/>
      </c>
      <c r="L14" s="14" t="str">
        <f t="shared" si="1"/>
        <v/>
      </c>
      <c r="M14" s="14">
        <f t="shared" si="2"/>
        <v>176698.83</v>
      </c>
      <c r="N14" s="25">
        <v>176698.83</v>
      </c>
      <c r="O14" s="24" t="s">
        <v>514</v>
      </c>
      <c r="P14" s="24" t="s">
        <v>787</v>
      </c>
      <c r="Q14" s="26" t="str">
        <f t="shared" si="3"/>
        <v>Ready</v>
      </c>
      <c r="R14" s="29" t="s">
        <v>788</v>
      </c>
    </row>
    <row r="15" spans="1:18" ht="29.25">
      <c r="A15" s="5" t="s">
        <v>797</v>
      </c>
      <c r="B15" s="5" t="s">
        <v>670</v>
      </c>
      <c r="C15" s="5" t="s">
        <v>671</v>
      </c>
      <c r="D15" s="24" t="s">
        <v>443</v>
      </c>
      <c r="E15" s="24" t="s">
        <v>783</v>
      </c>
      <c r="F15" s="24" t="s">
        <v>660</v>
      </c>
      <c r="G15" s="25">
        <v>145670.51999999999</v>
      </c>
      <c r="H15" s="27">
        <v>1.01E-2</v>
      </c>
      <c r="I15" s="24"/>
      <c r="J15" s="24">
        <v>5</v>
      </c>
      <c r="K15" s="14" t="str">
        <f t="shared" si="0"/>
        <v/>
      </c>
      <c r="L15" s="14" t="str">
        <f t="shared" si="1"/>
        <v/>
      </c>
      <c r="M15" s="14">
        <f t="shared" si="2"/>
        <v>125540.52</v>
      </c>
      <c r="N15" s="25">
        <v>125540.52</v>
      </c>
      <c r="O15" s="24" t="s">
        <v>514</v>
      </c>
      <c r="P15" s="24" t="s">
        <v>787</v>
      </c>
      <c r="Q15" s="26" t="str">
        <f t="shared" si="3"/>
        <v>Ready</v>
      </c>
      <c r="R15" s="29" t="s">
        <v>788</v>
      </c>
    </row>
    <row r="16" spans="1:18" ht="29.25">
      <c r="A16" s="5" t="s">
        <v>798</v>
      </c>
      <c r="B16" s="5" t="s">
        <v>673</v>
      </c>
      <c r="C16" s="5" t="s">
        <v>674</v>
      </c>
      <c r="D16" s="24" t="s">
        <v>443</v>
      </c>
      <c r="E16" s="24" t="s">
        <v>783</v>
      </c>
      <c r="F16" s="24" t="s">
        <v>664</v>
      </c>
      <c r="G16" s="25">
        <v>4992966</v>
      </c>
      <c r="H16" s="27">
        <v>4.2099999999999999E-2</v>
      </c>
      <c r="I16" s="24"/>
      <c r="J16" s="24">
        <v>35</v>
      </c>
      <c r="K16" s="14" t="str">
        <f t="shared" si="0"/>
        <v/>
      </c>
      <c r="L16" s="14" t="str">
        <f t="shared" si="1"/>
        <v/>
      </c>
      <c r="M16" s="14">
        <f t="shared" si="2"/>
        <v>271563.84000000003</v>
      </c>
      <c r="N16" s="25">
        <v>271563.84000000003</v>
      </c>
      <c r="O16" s="24" t="s">
        <v>514</v>
      </c>
      <c r="P16" s="24" t="s">
        <v>787</v>
      </c>
      <c r="Q16" s="26" t="str">
        <f t="shared" si="3"/>
        <v>Ready</v>
      </c>
      <c r="R16" s="29" t="s">
        <v>788</v>
      </c>
    </row>
    <row r="17" spans="1:18" ht="29.25">
      <c r="A17" s="5" t="s">
        <v>799</v>
      </c>
      <c r="B17" s="5" t="s">
        <v>676</v>
      </c>
      <c r="C17" s="5" t="s">
        <v>677</v>
      </c>
      <c r="D17" s="24" t="s">
        <v>443</v>
      </c>
      <c r="E17" s="24" t="s">
        <v>783</v>
      </c>
      <c r="F17" s="24" t="s">
        <v>660</v>
      </c>
      <c r="G17" s="25">
        <v>485006.87</v>
      </c>
      <c r="H17" s="27">
        <v>4.24E-2</v>
      </c>
      <c r="I17" s="24"/>
      <c r="J17" s="24">
        <v>3</v>
      </c>
      <c r="K17" s="14" t="str">
        <f t="shared" si="0"/>
        <v/>
      </c>
      <c r="L17" s="14" t="str">
        <f t="shared" si="1"/>
        <v/>
      </c>
      <c r="M17" s="14">
        <f t="shared" si="2"/>
        <v>274351.8</v>
      </c>
      <c r="N17" s="25">
        <v>274351.8</v>
      </c>
      <c r="O17" s="24" t="s">
        <v>514</v>
      </c>
      <c r="P17" s="24" t="s">
        <v>787</v>
      </c>
      <c r="Q17" s="26" t="str">
        <f t="shared" si="3"/>
        <v>Ready</v>
      </c>
      <c r="R17" s="29" t="s">
        <v>788</v>
      </c>
    </row>
    <row r="18" spans="1:18" ht="29.25">
      <c r="A18" s="5" t="s">
        <v>800</v>
      </c>
      <c r="B18" s="5" t="s">
        <v>678</v>
      </c>
      <c r="C18" s="5" t="s">
        <v>679</v>
      </c>
      <c r="D18" s="24" t="s">
        <v>443</v>
      </c>
      <c r="E18" s="24" t="s">
        <v>783</v>
      </c>
      <c r="F18" s="24" t="s">
        <v>680</v>
      </c>
      <c r="G18" s="25">
        <v>3432387.1</v>
      </c>
      <c r="H18" s="27">
        <v>4.4650000000000002E-2</v>
      </c>
      <c r="I18" s="24"/>
      <c r="J18" s="24">
        <v>9</v>
      </c>
      <c r="K18" s="14" t="str">
        <f t="shared" si="0"/>
        <v/>
      </c>
      <c r="L18" s="14" t="str">
        <f t="shared" si="1"/>
        <v/>
      </c>
      <c r="M18" s="14">
        <f t="shared" si="2"/>
        <v>443187</v>
      </c>
      <c r="N18" s="25">
        <v>443187</v>
      </c>
      <c r="O18" s="24" t="s">
        <v>514</v>
      </c>
      <c r="P18" s="24" t="s">
        <v>787</v>
      </c>
      <c r="Q18" s="26" t="str">
        <f t="shared" si="3"/>
        <v>Ready</v>
      </c>
      <c r="R18" s="29" t="s">
        <v>788</v>
      </c>
    </row>
    <row r="19" spans="1:18" ht="29.25">
      <c r="A19" s="5" t="s">
        <v>801</v>
      </c>
      <c r="B19" s="5" t="s">
        <v>681</v>
      </c>
      <c r="C19" s="5" t="s">
        <v>682</v>
      </c>
      <c r="D19" s="24" t="s">
        <v>443</v>
      </c>
      <c r="E19" s="24" t="s">
        <v>783</v>
      </c>
      <c r="F19" s="24" t="s">
        <v>683</v>
      </c>
      <c r="G19" s="25">
        <v>1976761.19</v>
      </c>
      <c r="H19" s="27">
        <v>2.4E-2</v>
      </c>
      <c r="I19" s="24"/>
      <c r="J19" s="24">
        <v>10</v>
      </c>
      <c r="K19" s="14" t="str">
        <f t="shared" si="0"/>
        <v/>
      </c>
      <c r="L19" s="14" t="str">
        <f t="shared" si="1"/>
        <v/>
      </c>
      <c r="M19" s="14">
        <f t="shared" si="2"/>
        <v>291146.28000000003</v>
      </c>
      <c r="N19" s="25">
        <v>291146.28000000003</v>
      </c>
      <c r="O19" s="24" t="s">
        <v>514</v>
      </c>
      <c r="P19" s="24" t="s">
        <v>787</v>
      </c>
      <c r="Q19" s="26" t="str">
        <f t="shared" si="3"/>
        <v>Ready</v>
      </c>
      <c r="R19" s="29" t="s">
        <v>788</v>
      </c>
    </row>
    <row r="20" spans="1:18" ht="29.25">
      <c r="A20" s="5" t="s">
        <v>802</v>
      </c>
      <c r="B20" s="5" t="s">
        <v>684</v>
      </c>
      <c r="C20" s="5" t="s">
        <v>685</v>
      </c>
      <c r="D20" s="24" t="s">
        <v>443</v>
      </c>
      <c r="E20" s="24" t="s">
        <v>783</v>
      </c>
      <c r="F20" s="24" t="s">
        <v>689</v>
      </c>
      <c r="G20" s="25">
        <v>26374193</v>
      </c>
      <c r="H20" s="27">
        <v>4.9700000000000001E-2</v>
      </c>
      <c r="I20" s="24">
        <v>10</v>
      </c>
      <c r="J20" s="24">
        <v>35</v>
      </c>
      <c r="K20" s="14">
        <f t="shared" si="0"/>
        <v>293827</v>
      </c>
      <c r="L20" s="14">
        <f t="shared" si="1"/>
        <v>1310797</v>
      </c>
      <c r="M20" s="14">
        <f t="shared" si="2"/>
        <v>1604624</v>
      </c>
      <c r="N20" s="25"/>
      <c r="O20" s="24" t="s">
        <v>803</v>
      </c>
      <c r="P20" s="24" t="s">
        <v>804</v>
      </c>
      <c r="Q20" s="26" t="str">
        <f t="shared" si="3"/>
        <v>Ready</v>
      </c>
      <c r="R20" s="29" t="s">
        <v>805</v>
      </c>
    </row>
    <row r="21" spans="1:18" ht="29.25">
      <c r="A21" s="5" t="s">
        <v>806</v>
      </c>
      <c r="B21" s="5" t="s">
        <v>690</v>
      </c>
      <c r="C21" s="5" t="s">
        <v>691</v>
      </c>
      <c r="D21" s="24" t="s">
        <v>443</v>
      </c>
      <c r="E21" s="24" t="s">
        <v>783</v>
      </c>
      <c r="F21" s="24" t="s">
        <v>689</v>
      </c>
      <c r="G21" s="25">
        <v>38826068</v>
      </c>
      <c r="H21" s="27">
        <v>4.7300000000000002E-2</v>
      </c>
      <c r="I21" s="24">
        <v>10</v>
      </c>
      <c r="J21" s="24">
        <v>40</v>
      </c>
      <c r="K21" s="14">
        <f t="shared" si="0"/>
        <v>343200</v>
      </c>
      <c r="L21" s="14">
        <f t="shared" si="1"/>
        <v>1836473</v>
      </c>
      <c r="M21" s="14">
        <f t="shared" si="2"/>
        <v>2179673</v>
      </c>
      <c r="N21" s="25"/>
      <c r="O21" s="24" t="s">
        <v>803</v>
      </c>
      <c r="P21" s="24" t="s">
        <v>804</v>
      </c>
      <c r="Q21" s="26" t="str">
        <f t="shared" si="3"/>
        <v>Ready</v>
      </c>
      <c r="R21" s="29" t="s">
        <v>805</v>
      </c>
    </row>
    <row r="22" spans="1:18" ht="29.25">
      <c r="A22" s="5" t="s">
        <v>807</v>
      </c>
      <c r="B22" s="5" t="s">
        <v>692</v>
      </c>
      <c r="C22" s="5" t="s">
        <v>693</v>
      </c>
      <c r="D22" s="24" t="s">
        <v>443</v>
      </c>
      <c r="E22" s="24" t="s">
        <v>783</v>
      </c>
      <c r="F22" s="24" t="s">
        <v>695</v>
      </c>
      <c r="G22" s="25">
        <v>105080576</v>
      </c>
      <c r="H22" s="27">
        <v>4.2500000000000003E-2</v>
      </c>
      <c r="I22" s="24">
        <v>10</v>
      </c>
      <c r="J22" s="24">
        <v>50</v>
      </c>
      <c r="K22" s="14">
        <f t="shared" si="0"/>
        <v>636793</v>
      </c>
      <c r="L22" s="14">
        <f t="shared" si="1"/>
        <v>4465924</v>
      </c>
      <c r="M22" s="14">
        <f t="shared" si="2"/>
        <v>5102718</v>
      </c>
      <c r="N22" s="25"/>
      <c r="O22" s="24" t="s">
        <v>803</v>
      </c>
      <c r="P22" s="24" t="s">
        <v>804</v>
      </c>
      <c r="Q22" s="26" t="str">
        <f t="shared" si="3"/>
        <v>Ready</v>
      </c>
      <c r="R22" s="29" t="s">
        <v>808</v>
      </c>
    </row>
    <row r="23" spans="1:18" ht="43.5">
      <c r="A23" s="5" t="s">
        <v>809</v>
      </c>
      <c r="B23" s="5" t="s">
        <v>698</v>
      </c>
      <c r="C23" s="5" t="s">
        <v>699</v>
      </c>
      <c r="D23" s="24" t="s">
        <v>443</v>
      </c>
      <c r="E23" s="24" t="s">
        <v>783</v>
      </c>
      <c r="F23" s="24" t="s">
        <v>689</v>
      </c>
      <c r="G23" s="25">
        <v>58887021</v>
      </c>
      <c r="H23" s="27">
        <v>4.5499999999999999E-2</v>
      </c>
      <c r="I23" s="24">
        <v>10</v>
      </c>
      <c r="J23" s="24">
        <v>35</v>
      </c>
      <c r="K23" s="14">
        <f t="shared" si="0"/>
        <v>715230</v>
      </c>
      <c r="L23" s="14">
        <f t="shared" si="1"/>
        <v>2679359</v>
      </c>
      <c r="M23" s="14">
        <f t="shared" si="2"/>
        <v>3394590</v>
      </c>
      <c r="N23" s="25"/>
      <c r="O23" s="24" t="s">
        <v>803</v>
      </c>
      <c r="P23" s="24" t="s">
        <v>804</v>
      </c>
      <c r="Q23" s="26" t="str">
        <f t="shared" si="3"/>
        <v>Ready</v>
      </c>
      <c r="R23" s="29" t="s">
        <v>810</v>
      </c>
    </row>
    <row r="24" spans="1:18" ht="15">
      <c r="A24" s="11"/>
      <c r="B24" s="11"/>
      <c r="C24" s="11"/>
      <c r="D24" s="24"/>
      <c r="E24" s="24"/>
      <c r="F24" s="24"/>
      <c r="G24" s="25"/>
      <c r="H24" s="27"/>
      <c r="I24" s="24"/>
      <c r="J24" s="24"/>
      <c r="K24" s="14" t="str">
        <f t="shared" si="0"/>
        <v/>
      </c>
      <c r="L24" s="14" t="str">
        <f t="shared" si="1"/>
        <v/>
      </c>
      <c r="M24" s="14" t="str">
        <f t="shared" si="2"/>
        <v/>
      </c>
      <c r="N24" s="25"/>
      <c r="O24" s="24"/>
      <c r="P24" s="24"/>
      <c r="Q24" s="26" t="str">
        <f t="shared" si="3"/>
        <v/>
      </c>
      <c r="R24" s="29"/>
    </row>
    <row r="25" spans="1:18" ht="15">
      <c r="A25" s="11"/>
      <c r="B25" s="11"/>
      <c r="C25" s="11"/>
      <c r="D25" s="24"/>
      <c r="E25" s="24"/>
      <c r="F25" s="24"/>
      <c r="G25" s="25"/>
      <c r="H25" s="27"/>
      <c r="I25" s="24"/>
      <c r="J25" s="24"/>
      <c r="K25" s="14" t="str">
        <f t="shared" si="0"/>
        <v/>
      </c>
      <c r="L25" s="14" t="str">
        <f t="shared" si="1"/>
        <v/>
      </c>
      <c r="M25" s="14" t="str">
        <f t="shared" si="2"/>
        <v/>
      </c>
      <c r="N25" s="25"/>
      <c r="O25" s="24"/>
      <c r="P25" s="24"/>
      <c r="Q25" s="26" t="str">
        <f t="shared" si="3"/>
        <v/>
      </c>
      <c r="R25" s="29"/>
    </row>
    <row r="26" spans="1:18" ht="15">
      <c r="A26" s="11"/>
      <c r="B26" s="11"/>
      <c r="C26" s="11"/>
      <c r="D26" s="24"/>
      <c r="E26" s="24"/>
      <c r="F26" s="24"/>
      <c r="G26" s="25"/>
      <c r="H26" s="27"/>
      <c r="I26" s="24"/>
      <c r="J26" s="24"/>
      <c r="K26" s="14" t="str">
        <f t="shared" si="0"/>
        <v/>
      </c>
      <c r="L26" s="14" t="str">
        <f t="shared" si="1"/>
        <v/>
      </c>
      <c r="M26" s="14" t="str">
        <f t="shared" si="2"/>
        <v/>
      </c>
      <c r="N26" s="25"/>
      <c r="O26" s="24"/>
      <c r="P26" s="24"/>
      <c r="Q26" s="26" t="str">
        <f t="shared" si="3"/>
        <v/>
      </c>
      <c r="R26" s="29"/>
    </row>
    <row r="27" spans="1:18" ht="15">
      <c r="A27" s="11"/>
      <c r="B27" s="11"/>
      <c r="C27" s="11"/>
      <c r="D27" s="24"/>
      <c r="E27" s="24"/>
      <c r="F27" s="24"/>
      <c r="G27" s="25"/>
      <c r="H27" s="27"/>
      <c r="I27" s="24"/>
      <c r="J27" s="24"/>
      <c r="K27" s="14" t="str">
        <f t="shared" si="0"/>
        <v/>
      </c>
      <c r="L27" s="14" t="str">
        <f t="shared" si="1"/>
        <v/>
      </c>
      <c r="M27" s="14" t="str">
        <f t="shared" si="2"/>
        <v/>
      </c>
      <c r="N27" s="25"/>
      <c r="O27" s="24"/>
      <c r="P27" s="24"/>
      <c r="Q27" s="26" t="str">
        <f t="shared" si="3"/>
        <v/>
      </c>
      <c r="R27" s="29"/>
    </row>
    <row r="28" spans="1:18" ht="15">
      <c r="A28" s="11"/>
      <c r="B28" s="11"/>
      <c r="C28" s="11"/>
      <c r="D28" s="24"/>
      <c r="E28" s="24"/>
      <c r="F28" s="24"/>
      <c r="G28" s="25"/>
      <c r="H28" s="27"/>
      <c r="I28" s="24"/>
      <c r="J28" s="24"/>
      <c r="K28" s="14" t="str">
        <f t="shared" si="0"/>
        <v/>
      </c>
      <c r="L28" s="14" t="str">
        <f t="shared" si="1"/>
        <v/>
      </c>
      <c r="M28" s="14" t="str">
        <f t="shared" si="2"/>
        <v/>
      </c>
      <c r="N28" s="25"/>
      <c r="O28" s="24"/>
      <c r="P28" s="24"/>
      <c r="Q28" s="26" t="str">
        <f t="shared" si="3"/>
        <v/>
      </c>
      <c r="R28" s="29"/>
    </row>
    <row r="29" spans="1:18" ht="15">
      <c r="A29" s="11"/>
      <c r="B29" s="11"/>
      <c r="C29" s="11"/>
      <c r="D29" s="24"/>
      <c r="E29" s="24"/>
      <c r="F29" s="24"/>
      <c r="G29" s="25"/>
      <c r="H29" s="27"/>
      <c r="I29" s="24"/>
      <c r="J29" s="24"/>
      <c r="K29" s="14" t="str">
        <f t="shared" si="0"/>
        <v/>
      </c>
      <c r="L29" s="14" t="str">
        <f t="shared" si="1"/>
        <v/>
      </c>
      <c r="M29" s="14" t="str">
        <f t="shared" si="2"/>
        <v/>
      </c>
      <c r="N29" s="25"/>
      <c r="O29" s="24"/>
      <c r="P29" s="24"/>
      <c r="Q29" s="26" t="str">
        <f t="shared" si="3"/>
        <v/>
      </c>
      <c r="R29" s="29"/>
    </row>
    <row r="30" spans="1:18" ht="15">
      <c r="A30" s="11"/>
      <c r="B30" s="11"/>
      <c r="C30" s="11"/>
      <c r="D30" s="24"/>
      <c r="E30" s="24"/>
      <c r="F30" s="24"/>
      <c r="G30" s="25"/>
      <c r="H30" s="27"/>
      <c r="I30" s="24"/>
      <c r="J30" s="24"/>
      <c r="K30" s="14" t="str">
        <f t="shared" si="0"/>
        <v/>
      </c>
      <c r="L30" s="14" t="str">
        <f t="shared" si="1"/>
        <v/>
      </c>
      <c r="M30" s="14" t="str">
        <f t="shared" si="2"/>
        <v/>
      </c>
      <c r="N30" s="25"/>
      <c r="O30" s="24"/>
      <c r="P30" s="24"/>
      <c r="Q30" s="26" t="str">
        <f t="shared" si="3"/>
        <v/>
      </c>
      <c r="R30" s="29"/>
    </row>
    <row r="31" spans="1:18" ht="15">
      <c r="A31" s="11"/>
      <c r="B31" s="11"/>
      <c r="C31" s="11"/>
      <c r="D31" s="24"/>
      <c r="E31" s="24"/>
      <c r="F31" s="24"/>
      <c r="G31" s="25"/>
      <c r="H31" s="27"/>
      <c r="I31" s="24"/>
      <c r="J31" s="24"/>
      <c r="K31" s="14" t="str">
        <f t="shared" si="0"/>
        <v/>
      </c>
      <c r="L31" s="14" t="str">
        <f t="shared" si="1"/>
        <v/>
      </c>
      <c r="M31" s="14" t="str">
        <f t="shared" si="2"/>
        <v/>
      </c>
      <c r="N31" s="25"/>
      <c r="O31" s="24"/>
      <c r="P31" s="24"/>
      <c r="Q31" s="26" t="str">
        <f t="shared" si="3"/>
        <v/>
      </c>
      <c r="R31" s="29"/>
    </row>
    <row r="32" spans="1:18" ht="15">
      <c r="A32" s="11"/>
      <c r="B32" s="11"/>
      <c r="C32" s="11"/>
      <c r="D32" s="24"/>
      <c r="E32" s="24"/>
      <c r="F32" s="24"/>
      <c r="G32" s="25"/>
      <c r="H32" s="27"/>
      <c r="I32" s="24"/>
      <c r="J32" s="24"/>
      <c r="K32" s="14" t="str">
        <f t="shared" si="0"/>
        <v/>
      </c>
      <c r="L32" s="14" t="str">
        <f t="shared" si="1"/>
        <v/>
      </c>
      <c r="M32" s="14" t="str">
        <f t="shared" si="2"/>
        <v/>
      </c>
      <c r="N32" s="25"/>
      <c r="O32" s="24"/>
      <c r="P32" s="24"/>
      <c r="Q32" s="26" t="str">
        <f t="shared" si="3"/>
        <v/>
      </c>
      <c r="R32" s="29"/>
    </row>
    <row r="33" spans="1:18" ht="15">
      <c r="A33" s="11"/>
      <c r="B33" s="11"/>
      <c r="C33" s="11"/>
      <c r="D33" s="24"/>
      <c r="E33" s="24"/>
      <c r="F33" s="24"/>
      <c r="G33" s="25"/>
      <c r="H33" s="27"/>
      <c r="I33" s="24"/>
      <c r="J33" s="24"/>
      <c r="K33" s="14" t="str">
        <f t="shared" si="0"/>
        <v/>
      </c>
      <c r="L33" s="14" t="str">
        <f t="shared" si="1"/>
        <v/>
      </c>
      <c r="M33" s="14" t="str">
        <f t="shared" si="2"/>
        <v/>
      </c>
      <c r="N33" s="25"/>
      <c r="O33" s="24"/>
      <c r="P33" s="24"/>
      <c r="Q33" s="26" t="str">
        <f t="shared" si="3"/>
        <v/>
      </c>
      <c r="R33" s="29"/>
    </row>
    <row r="34" spans="1:18" ht="15">
      <c r="A34" s="11"/>
      <c r="B34" s="11"/>
      <c r="C34" s="11"/>
      <c r="D34" s="24"/>
      <c r="E34" s="24"/>
      <c r="F34" s="24"/>
      <c r="G34" s="25"/>
      <c r="H34" s="27"/>
      <c r="I34" s="24"/>
      <c r="J34" s="24"/>
      <c r="K34" s="14" t="str">
        <f t="shared" si="0"/>
        <v/>
      </c>
      <c r="L34" s="14" t="str">
        <f t="shared" si="1"/>
        <v/>
      </c>
      <c r="M34" s="14" t="str">
        <f t="shared" si="2"/>
        <v/>
      </c>
      <c r="N34" s="25"/>
      <c r="O34" s="24"/>
      <c r="P34" s="24"/>
      <c r="Q34" s="26" t="str">
        <f t="shared" si="3"/>
        <v/>
      </c>
      <c r="R34" s="29"/>
    </row>
    <row r="35" spans="1:18" ht="15">
      <c r="A35" s="11"/>
      <c r="B35" s="11"/>
      <c r="C35" s="11"/>
      <c r="D35" s="24"/>
      <c r="E35" s="24"/>
      <c r="F35" s="24"/>
      <c r="G35" s="25"/>
      <c r="H35" s="27"/>
      <c r="I35" s="24"/>
      <c r="J35" s="24"/>
      <c r="K35" s="14" t="str">
        <f t="shared" si="0"/>
        <v/>
      </c>
      <c r="L35" s="14" t="str">
        <f t="shared" si="1"/>
        <v/>
      </c>
      <c r="M35" s="14" t="str">
        <f t="shared" si="2"/>
        <v/>
      </c>
      <c r="N35" s="25"/>
      <c r="O35" s="24"/>
      <c r="P35" s="24"/>
      <c r="Q35" s="26" t="str">
        <f t="shared" si="3"/>
        <v/>
      </c>
      <c r="R35" s="29"/>
    </row>
    <row r="36" spans="1:18" ht="15">
      <c r="A36" s="11"/>
      <c r="B36" s="11"/>
      <c r="C36" s="11"/>
      <c r="D36" s="24"/>
      <c r="E36" s="24"/>
      <c r="F36" s="24"/>
      <c r="G36" s="25"/>
      <c r="H36" s="27"/>
      <c r="I36" s="24"/>
      <c r="J36" s="24"/>
      <c r="K36" s="14" t="str">
        <f t="shared" si="0"/>
        <v/>
      </c>
      <c r="L36" s="14" t="str">
        <f t="shared" si="1"/>
        <v/>
      </c>
      <c r="M36" s="14" t="str">
        <f t="shared" si="2"/>
        <v/>
      </c>
      <c r="N36" s="25"/>
      <c r="O36" s="24"/>
      <c r="P36" s="24"/>
      <c r="Q36" s="26" t="str">
        <f t="shared" si="3"/>
        <v/>
      </c>
      <c r="R36" s="29"/>
    </row>
    <row r="37" spans="1:18" ht="15">
      <c r="A37" s="11"/>
      <c r="B37" s="11"/>
      <c r="C37" s="11"/>
      <c r="D37" s="24"/>
      <c r="E37" s="24"/>
      <c r="F37" s="24"/>
      <c r="G37" s="25"/>
      <c r="H37" s="27"/>
      <c r="I37" s="24"/>
      <c r="J37" s="24"/>
      <c r="K37" s="14" t="str">
        <f t="shared" si="0"/>
        <v/>
      </c>
      <c r="L37" s="14" t="str">
        <f t="shared" si="1"/>
        <v/>
      </c>
      <c r="M37" s="14" t="str">
        <f t="shared" si="2"/>
        <v/>
      </c>
      <c r="N37" s="25"/>
      <c r="O37" s="24"/>
      <c r="P37" s="24"/>
      <c r="Q37" s="26" t="str">
        <f t="shared" si="3"/>
        <v/>
      </c>
      <c r="R37" s="29"/>
    </row>
    <row r="38" spans="1:18" ht="15">
      <c r="A38" s="11"/>
      <c r="B38" s="11"/>
      <c r="C38" s="11"/>
      <c r="D38" s="24"/>
      <c r="E38" s="24"/>
      <c r="F38" s="24"/>
      <c r="G38" s="25"/>
      <c r="H38" s="27"/>
      <c r="I38" s="24"/>
      <c r="J38" s="24"/>
      <c r="K38" s="14" t="str">
        <f t="shared" si="0"/>
        <v/>
      </c>
      <c r="L38" s="14" t="str">
        <f t="shared" si="1"/>
        <v/>
      </c>
      <c r="M38" s="14" t="str">
        <f t="shared" si="2"/>
        <v/>
      </c>
      <c r="N38" s="25"/>
      <c r="O38" s="24"/>
      <c r="P38" s="24"/>
      <c r="Q38" s="26" t="str">
        <f t="shared" si="3"/>
        <v/>
      </c>
      <c r="R38" s="29"/>
    </row>
    <row r="39" spans="1:18" ht="15">
      <c r="A39" s="11"/>
      <c r="B39" s="11"/>
      <c r="C39" s="11"/>
      <c r="D39" s="24"/>
      <c r="E39" s="24"/>
      <c r="F39" s="24"/>
      <c r="G39" s="25"/>
      <c r="H39" s="27"/>
      <c r="I39" s="24"/>
      <c r="J39" s="24"/>
      <c r="K39" s="14" t="str">
        <f t="shared" ref="K39:K70" si="4">IF(N39&lt;&gt;"","",IF(AND(G39&lt;&gt;"",H39&lt;&gt;"",J39&lt;&gt;""),ROUND(PPMT(H39,1,J39,-G39),0),""))</f>
        <v/>
      </c>
      <c r="L39" s="14" t="str">
        <f t="shared" ref="L39:L70" si="5">IF(N39&lt;&gt;"","",IF(AND(G39&lt;&gt;"",H39&lt;&gt;""),ROUND(G39*H39,0),""))</f>
        <v/>
      </c>
      <c r="M39" s="14" t="str">
        <f t="shared" ref="M39:M70" si="6">IF(N39&lt;&gt;"",N39,IF(AND(G39&lt;&gt;"",H39&lt;&gt;"",J39&lt;&gt;""),ROUND(PMT(H39,J39,-G39),0),""))</f>
        <v/>
      </c>
      <c r="N39" s="25"/>
      <c r="O39" s="24"/>
      <c r="P39" s="24"/>
      <c r="Q39" s="26" t="str">
        <f t="shared" ref="Q39:Q70" si="7">IF(A39="","",IF(D39="No","Excluded",IF(AND(OR(F39="N/A",E39="No Debt / N/A"),G39=""),"No Debt / N/A",IF(M39&lt;&gt;"","Ready","Partial"))))</f>
        <v/>
      </c>
      <c r="R39" s="29"/>
    </row>
    <row r="40" spans="1:18" ht="15">
      <c r="A40" s="11"/>
      <c r="B40" s="11"/>
      <c r="C40" s="11"/>
      <c r="D40" s="24"/>
      <c r="E40" s="24"/>
      <c r="F40" s="24"/>
      <c r="G40" s="25"/>
      <c r="H40" s="27"/>
      <c r="I40" s="24"/>
      <c r="J40" s="24"/>
      <c r="K40" s="14" t="str">
        <f t="shared" si="4"/>
        <v/>
      </c>
      <c r="L40" s="14" t="str">
        <f t="shared" si="5"/>
        <v/>
      </c>
      <c r="M40" s="14" t="str">
        <f t="shared" si="6"/>
        <v/>
      </c>
      <c r="N40" s="25"/>
      <c r="O40" s="24"/>
      <c r="P40" s="24"/>
      <c r="Q40" s="26" t="str">
        <f t="shared" si="7"/>
        <v/>
      </c>
      <c r="R40" s="29"/>
    </row>
    <row r="41" spans="1:18" ht="15">
      <c r="A41" s="11"/>
      <c r="B41" s="11"/>
      <c r="C41" s="11"/>
      <c r="D41" s="24"/>
      <c r="E41" s="24"/>
      <c r="F41" s="24"/>
      <c r="G41" s="25"/>
      <c r="H41" s="27"/>
      <c r="I41" s="24"/>
      <c r="J41" s="24"/>
      <c r="K41" s="14" t="str">
        <f t="shared" si="4"/>
        <v/>
      </c>
      <c r="L41" s="14" t="str">
        <f t="shared" si="5"/>
        <v/>
      </c>
      <c r="M41" s="14" t="str">
        <f t="shared" si="6"/>
        <v/>
      </c>
      <c r="N41" s="25"/>
      <c r="O41" s="24"/>
      <c r="P41" s="24"/>
      <c r="Q41" s="26" t="str">
        <f t="shared" si="7"/>
        <v/>
      </c>
      <c r="R41" s="29"/>
    </row>
    <row r="42" spans="1:18" ht="15">
      <c r="A42" s="11"/>
      <c r="B42" s="11"/>
      <c r="C42" s="11"/>
      <c r="D42" s="24"/>
      <c r="E42" s="24"/>
      <c r="F42" s="24"/>
      <c r="G42" s="25"/>
      <c r="H42" s="27"/>
      <c r="I42" s="24"/>
      <c r="J42" s="24"/>
      <c r="K42" s="14" t="str">
        <f t="shared" si="4"/>
        <v/>
      </c>
      <c r="L42" s="14" t="str">
        <f t="shared" si="5"/>
        <v/>
      </c>
      <c r="M42" s="14" t="str">
        <f t="shared" si="6"/>
        <v/>
      </c>
      <c r="N42" s="25"/>
      <c r="O42" s="24"/>
      <c r="P42" s="24"/>
      <c r="Q42" s="26" t="str">
        <f t="shared" si="7"/>
        <v/>
      </c>
      <c r="R42" s="29"/>
    </row>
    <row r="43" spans="1:18" ht="15">
      <c r="A43" s="11"/>
      <c r="B43" s="11"/>
      <c r="C43" s="11"/>
      <c r="D43" s="24"/>
      <c r="E43" s="24"/>
      <c r="F43" s="24"/>
      <c r="G43" s="25"/>
      <c r="H43" s="27"/>
      <c r="I43" s="24"/>
      <c r="J43" s="24"/>
      <c r="K43" s="14" t="str">
        <f t="shared" si="4"/>
        <v/>
      </c>
      <c r="L43" s="14" t="str">
        <f t="shared" si="5"/>
        <v/>
      </c>
      <c r="M43" s="14" t="str">
        <f t="shared" si="6"/>
        <v/>
      </c>
      <c r="N43" s="25"/>
      <c r="O43" s="24"/>
      <c r="P43" s="24"/>
      <c r="Q43" s="26" t="str">
        <f t="shared" si="7"/>
        <v/>
      </c>
      <c r="R43" s="29"/>
    </row>
    <row r="44" spans="1:18" ht="15">
      <c r="A44" s="11"/>
      <c r="B44" s="11"/>
      <c r="C44" s="11"/>
      <c r="D44" s="24"/>
      <c r="E44" s="24"/>
      <c r="F44" s="24"/>
      <c r="G44" s="25"/>
      <c r="H44" s="27"/>
      <c r="I44" s="24"/>
      <c r="J44" s="24"/>
      <c r="K44" s="14" t="str">
        <f t="shared" si="4"/>
        <v/>
      </c>
      <c r="L44" s="14" t="str">
        <f t="shared" si="5"/>
        <v/>
      </c>
      <c r="M44" s="14" t="str">
        <f t="shared" si="6"/>
        <v/>
      </c>
      <c r="N44" s="25"/>
      <c r="O44" s="24"/>
      <c r="P44" s="24"/>
      <c r="Q44" s="26" t="str">
        <f t="shared" si="7"/>
        <v/>
      </c>
      <c r="R44" s="29"/>
    </row>
    <row r="45" spans="1:18" ht="15">
      <c r="A45" s="11"/>
      <c r="B45" s="11"/>
      <c r="C45" s="11"/>
      <c r="D45" s="24"/>
      <c r="E45" s="24"/>
      <c r="F45" s="24"/>
      <c r="G45" s="25"/>
      <c r="H45" s="27"/>
      <c r="I45" s="24"/>
      <c r="J45" s="24"/>
      <c r="K45" s="14" t="str">
        <f t="shared" si="4"/>
        <v/>
      </c>
      <c r="L45" s="14" t="str">
        <f t="shared" si="5"/>
        <v/>
      </c>
      <c r="M45" s="14" t="str">
        <f t="shared" si="6"/>
        <v/>
      </c>
      <c r="N45" s="25"/>
      <c r="O45" s="24"/>
      <c r="P45" s="24"/>
      <c r="Q45" s="26" t="str">
        <f t="shared" si="7"/>
        <v/>
      </c>
      <c r="R45" s="29"/>
    </row>
    <row r="46" spans="1:18" ht="15">
      <c r="A46" s="11"/>
      <c r="B46" s="11"/>
      <c r="C46" s="11"/>
      <c r="D46" s="24"/>
      <c r="E46" s="24"/>
      <c r="F46" s="24"/>
      <c r="G46" s="25"/>
      <c r="H46" s="27"/>
      <c r="I46" s="24"/>
      <c r="J46" s="24"/>
      <c r="K46" s="14" t="str">
        <f t="shared" si="4"/>
        <v/>
      </c>
      <c r="L46" s="14" t="str">
        <f t="shared" si="5"/>
        <v/>
      </c>
      <c r="M46" s="14" t="str">
        <f t="shared" si="6"/>
        <v/>
      </c>
      <c r="N46" s="25"/>
      <c r="O46" s="24"/>
      <c r="P46" s="24"/>
      <c r="Q46" s="26" t="str">
        <f t="shared" si="7"/>
        <v/>
      </c>
      <c r="R46" s="29"/>
    </row>
    <row r="47" spans="1:18" ht="15">
      <c r="A47" s="11"/>
      <c r="B47" s="11"/>
      <c r="C47" s="11"/>
      <c r="D47" s="24"/>
      <c r="E47" s="24"/>
      <c r="F47" s="24"/>
      <c r="G47" s="25"/>
      <c r="H47" s="27"/>
      <c r="I47" s="24"/>
      <c r="J47" s="24"/>
      <c r="K47" s="14" t="str">
        <f t="shared" si="4"/>
        <v/>
      </c>
      <c r="L47" s="14" t="str">
        <f t="shared" si="5"/>
        <v/>
      </c>
      <c r="M47" s="14" t="str">
        <f t="shared" si="6"/>
        <v/>
      </c>
      <c r="N47" s="25"/>
      <c r="O47" s="24"/>
      <c r="P47" s="24"/>
      <c r="Q47" s="26" t="str">
        <f t="shared" si="7"/>
        <v/>
      </c>
      <c r="R47" s="29"/>
    </row>
    <row r="48" spans="1:18" ht="15">
      <c r="A48" s="11"/>
      <c r="B48" s="11"/>
      <c r="C48" s="11"/>
      <c r="D48" s="24"/>
      <c r="E48" s="24"/>
      <c r="F48" s="24"/>
      <c r="G48" s="25"/>
      <c r="H48" s="27"/>
      <c r="I48" s="24"/>
      <c r="J48" s="24"/>
      <c r="K48" s="14" t="str">
        <f t="shared" si="4"/>
        <v/>
      </c>
      <c r="L48" s="14" t="str">
        <f t="shared" si="5"/>
        <v/>
      </c>
      <c r="M48" s="14" t="str">
        <f t="shared" si="6"/>
        <v/>
      </c>
      <c r="N48" s="25"/>
      <c r="O48" s="24"/>
      <c r="P48" s="24"/>
      <c r="Q48" s="26" t="str">
        <f t="shared" si="7"/>
        <v/>
      </c>
      <c r="R48" s="29"/>
    </row>
    <row r="49" spans="1:18" ht="15">
      <c r="A49" s="11"/>
      <c r="B49" s="11"/>
      <c r="C49" s="11"/>
      <c r="D49" s="24"/>
      <c r="E49" s="24"/>
      <c r="F49" s="24"/>
      <c r="G49" s="25"/>
      <c r="H49" s="27"/>
      <c r="I49" s="24"/>
      <c r="J49" s="24"/>
      <c r="K49" s="14" t="str">
        <f t="shared" si="4"/>
        <v/>
      </c>
      <c r="L49" s="14" t="str">
        <f t="shared" si="5"/>
        <v/>
      </c>
      <c r="M49" s="14" t="str">
        <f t="shared" si="6"/>
        <v/>
      </c>
      <c r="N49" s="25"/>
      <c r="O49" s="24"/>
      <c r="P49" s="24"/>
      <c r="Q49" s="26" t="str">
        <f t="shared" si="7"/>
        <v/>
      </c>
      <c r="R49" s="29"/>
    </row>
    <row r="50" spans="1:18" ht="15">
      <c r="A50" s="11"/>
      <c r="B50" s="11"/>
      <c r="C50" s="11"/>
      <c r="D50" s="24"/>
      <c r="E50" s="24"/>
      <c r="F50" s="24"/>
      <c r="G50" s="25"/>
      <c r="H50" s="27"/>
      <c r="I50" s="24"/>
      <c r="J50" s="24"/>
      <c r="K50" s="14" t="str">
        <f t="shared" si="4"/>
        <v/>
      </c>
      <c r="L50" s="14" t="str">
        <f t="shared" si="5"/>
        <v/>
      </c>
      <c r="M50" s="14" t="str">
        <f t="shared" si="6"/>
        <v/>
      </c>
      <c r="N50" s="25"/>
      <c r="O50" s="24"/>
      <c r="P50" s="24"/>
      <c r="Q50" s="26" t="str">
        <f t="shared" si="7"/>
        <v/>
      </c>
      <c r="R50" s="29"/>
    </row>
    <row r="51" spans="1:18" ht="15">
      <c r="A51" s="11"/>
      <c r="B51" s="11"/>
      <c r="C51" s="11"/>
      <c r="D51" s="24"/>
      <c r="E51" s="24"/>
      <c r="F51" s="24"/>
      <c r="G51" s="25"/>
      <c r="H51" s="27"/>
      <c r="I51" s="24"/>
      <c r="J51" s="24"/>
      <c r="K51" s="14" t="str">
        <f t="shared" si="4"/>
        <v/>
      </c>
      <c r="L51" s="14" t="str">
        <f t="shared" si="5"/>
        <v/>
      </c>
      <c r="M51" s="14" t="str">
        <f t="shared" si="6"/>
        <v/>
      </c>
      <c r="N51" s="25"/>
      <c r="O51" s="24"/>
      <c r="P51" s="24"/>
      <c r="Q51" s="26" t="str">
        <f t="shared" si="7"/>
        <v/>
      </c>
      <c r="R51" s="29"/>
    </row>
    <row r="52" spans="1:18" ht="15">
      <c r="A52" s="11"/>
      <c r="B52" s="11"/>
      <c r="C52" s="11"/>
      <c r="D52" s="24"/>
      <c r="E52" s="24"/>
      <c r="F52" s="24"/>
      <c r="G52" s="25"/>
      <c r="H52" s="27"/>
      <c r="I52" s="24"/>
      <c r="J52" s="24"/>
      <c r="K52" s="14" t="str">
        <f t="shared" si="4"/>
        <v/>
      </c>
      <c r="L52" s="14" t="str">
        <f t="shared" si="5"/>
        <v/>
      </c>
      <c r="M52" s="14" t="str">
        <f t="shared" si="6"/>
        <v/>
      </c>
      <c r="N52" s="25"/>
      <c r="O52" s="24"/>
      <c r="P52" s="24"/>
      <c r="Q52" s="26" t="str">
        <f t="shared" si="7"/>
        <v/>
      </c>
      <c r="R52" s="29"/>
    </row>
    <row r="53" spans="1:18" ht="15">
      <c r="A53" s="11"/>
      <c r="B53" s="11"/>
      <c r="C53" s="11"/>
      <c r="D53" s="24"/>
      <c r="E53" s="24"/>
      <c r="F53" s="24"/>
      <c r="G53" s="25"/>
      <c r="H53" s="27"/>
      <c r="I53" s="24"/>
      <c r="J53" s="24"/>
      <c r="K53" s="14" t="str">
        <f t="shared" si="4"/>
        <v/>
      </c>
      <c r="L53" s="14" t="str">
        <f t="shared" si="5"/>
        <v/>
      </c>
      <c r="M53" s="14" t="str">
        <f t="shared" si="6"/>
        <v/>
      </c>
      <c r="N53" s="25"/>
      <c r="O53" s="24"/>
      <c r="P53" s="24"/>
      <c r="Q53" s="26" t="str">
        <f t="shared" si="7"/>
        <v/>
      </c>
      <c r="R53" s="29"/>
    </row>
    <row r="54" spans="1:18" ht="15">
      <c r="A54" s="11"/>
      <c r="B54" s="11"/>
      <c r="C54" s="11"/>
      <c r="D54" s="24"/>
      <c r="E54" s="24"/>
      <c r="F54" s="24"/>
      <c r="G54" s="25"/>
      <c r="H54" s="27"/>
      <c r="I54" s="24"/>
      <c r="J54" s="24"/>
      <c r="K54" s="14" t="str">
        <f t="shared" si="4"/>
        <v/>
      </c>
      <c r="L54" s="14" t="str">
        <f t="shared" si="5"/>
        <v/>
      </c>
      <c r="M54" s="14" t="str">
        <f t="shared" si="6"/>
        <v/>
      </c>
      <c r="N54" s="25"/>
      <c r="O54" s="24"/>
      <c r="P54" s="24"/>
      <c r="Q54" s="26" t="str">
        <f t="shared" si="7"/>
        <v/>
      </c>
      <c r="R54" s="29"/>
    </row>
    <row r="55" spans="1:18" ht="15">
      <c r="A55" s="11"/>
      <c r="B55" s="11"/>
      <c r="C55" s="11"/>
      <c r="D55" s="24"/>
      <c r="E55" s="24"/>
      <c r="F55" s="24"/>
      <c r="G55" s="25"/>
      <c r="H55" s="27"/>
      <c r="I55" s="24"/>
      <c r="J55" s="24"/>
      <c r="K55" s="14" t="str">
        <f t="shared" si="4"/>
        <v/>
      </c>
      <c r="L55" s="14" t="str">
        <f t="shared" si="5"/>
        <v/>
      </c>
      <c r="M55" s="14" t="str">
        <f t="shared" si="6"/>
        <v/>
      </c>
      <c r="N55" s="25"/>
      <c r="O55" s="24"/>
      <c r="P55" s="24"/>
      <c r="Q55" s="26" t="str">
        <f t="shared" si="7"/>
        <v/>
      </c>
      <c r="R55" s="29"/>
    </row>
    <row r="56" spans="1:18" ht="15">
      <c r="A56" s="11"/>
      <c r="B56" s="11"/>
      <c r="C56" s="11"/>
      <c r="D56" s="24"/>
      <c r="E56" s="24"/>
      <c r="F56" s="24"/>
      <c r="G56" s="25"/>
      <c r="H56" s="27"/>
      <c r="I56" s="24"/>
      <c r="J56" s="24"/>
      <c r="K56" s="14" t="str">
        <f t="shared" si="4"/>
        <v/>
      </c>
      <c r="L56" s="14" t="str">
        <f t="shared" si="5"/>
        <v/>
      </c>
      <c r="M56" s="14" t="str">
        <f t="shared" si="6"/>
        <v/>
      </c>
      <c r="N56" s="25"/>
      <c r="O56" s="24"/>
      <c r="P56" s="24"/>
      <c r="Q56" s="26" t="str">
        <f t="shared" si="7"/>
        <v/>
      </c>
      <c r="R56" s="29"/>
    </row>
    <row r="57" spans="1:18" ht="15">
      <c r="A57" s="11"/>
      <c r="B57" s="11"/>
      <c r="C57" s="11"/>
      <c r="D57" s="24"/>
      <c r="E57" s="24"/>
      <c r="F57" s="24"/>
      <c r="G57" s="25"/>
      <c r="H57" s="27"/>
      <c r="I57" s="24"/>
      <c r="J57" s="24"/>
      <c r="K57" s="14" t="str">
        <f t="shared" si="4"/>
        <v/>
      </c>
      <c r="L57" s="14" t="str">
        <f t="shared" si="5"/>
        <v/>
      </c>
      <c r="M57" s="14" t="str">
        <f t="shared" si="6"/>
        <v/>
      </c>
      <c r="N57" s="25"/>
      <c r="O57" s="24"/>
      <c r="P57" s="24"/>
      <c r="Q57" s="26" t="str">
        <f t="shared" si="7"/>
        <v/>
      </c>
      <c r="R57" s="29"/>
    </row>
    <row r="58" spans="1:18" ht="15">
      <c r="A58" s="11"/>
      <c r="B58" s="11"/>
      <c r="C58" s="11"/>
      <c r="D58" s="24"/>
      <c r="E58" s="24"/>
      <c r="F58" s="24"/>
      <c r="G58" s="25"/>
      <c r="H58" s="27"/>
      <c r="I58" s="24"/>
      <c r="J58" s="24"/>
      <c r="K58" s="14" t="str">
        <f t="shared" si="4"/>
        <v/>
      </c>
      <c r="L58" s="14" t="str">
        <f t="shared" si="5"/>
        <v/>
      </c>
      <c r="M58" s="14" t="str">
        <f t="shared" si="6"/>
        <v/>
      </c>
      <c r="N58" s="25"/>
      <c r="O58" s="24"/>
      <c r="P58" s="24"/>
      <c r="Q58" s="26" t="str">
        <f t="shared" si="7"/>
        <v/>
      </c>
      <c r="R58" s="29"/>
    </row>
    <row r="59" spans="1:18" ht="15">
      <c r="A59" s="11"/>
      <c r="B59" s="11"/>
      <c r="C59" s="11"/>
      <c r="D59" s="24"/>
      <c r="E59" s="24"/>
      <c r="F59" s="24"/>
      <c r="G59" s="25"/>
      <c r="H59" s="27"/>
      <c r="I59" s="24"/>
      <c r="J59" s="24"/>
      <c r="K59" s="14" t="str">
        <f t="shared" si="4"/>
        <v/>
      </c>
      <c r="L59" s="14" t="str">
        <f t="shared" si="5"/>
        <v/>
      </c>
      <c r="M59" s="14" t="str">
        <f t="shared" si="6"/>
        <v/>
      </c>
      <c r="N59" s="25"/>
      <c r="O59" s="24"/>
      <c r="P59" s="24"/>
      <c r="Q59" s="26" t="str">
        <f t="shared" si="7"/>
        <v/>
      </c>
      <c r="R59" s="29"/>
    </row>
    <row r="60" spans="1:18" ht="15">
      <c r="A60" s="11"/>
      <c r="B60" s="11"/>
      <c r="C60" s="11"/>
      <c r="D60" s="24"/>
      <c r="E60" s="24"/>
      <c r="F60" s="24"/>
      <c r="G60" s="25"/>
      <c r="H60" s="27"/>
      <c r="I60" s="24"/>
      <c r="J60" s="24"/>
      <c r="K60" s="14" t="str">
        <f t="shared" si="4"/>
        <v/>
      </c>
      <c r="L60" s="14" t="str">
        <f t="shared" si="5"/>
        <v/>
      </c>
      <c r="M60" s="14" t="str">
        <f t="shared" si="6"/>
        <v/>
      </c>
      <c r="N60" s="25"/>
      <c r="O60" s="24"/>
      <c r="P60" s="24"/>
      <c r="Q60" s="26" t="str">
        <f t="shared" si="7"/>
        <v/>
      </c>
      <c r="R60" s="29"/>
    </row>
    <row r="61" spans="1:18" ht="15">
      <c r="A61" s="11"/>
      <c r="B61" s="11"/>
      <c r="C61" s="11"/>
      <c r="D61" s="24"/>
      <c r="E61" s="24"/>
      <c r="F61" s="24"/>
      <c r="G61" s="25"/>
      <c r="H61" s="27"/>
      <c r="I61" s="24"/>
      <c r="J61" s="24"/>
      <c r="K61" s="14" t="str">
        <f t="shared" si="4"/>
        <v/>
      </c>
      <c r="L61" s="14" t="str">
        <f t="shared" si="5"/>
        <v/>
      </c>
      <c r="M61" s="14" t="str">
        <f t="shared" si="6"/>
        <v/>
      </c>
      <c r="N61" s="25"/>
      <c r="O61" s="24"/>
      <c r="P61" s="24"/>
      <c r="Q61" s="26" t="str">
        <f t="shared" si="7"/>
        <v/>
      </c>
      <c r="R61" s="29"/>
    </row>
    <row r="62" spans="1:18" ht="15">
      <c r="A62" s="11"/>
      <c r="B62" s="11"/>
      <c r="C62" s="11"/>
      <c r="D62" s="24"/>
      <c r="E62" s="24"/>
      <c r="F62" s="24"/>
      <c r="G62" s="25"/>
      <c r="H62" s="27"/>
      <c r="I62" s="24"/>
      <c r="J62" s="24"/>
      <c r="K62" s="14" t="str">
        <f t="shared" si="4"/>
        <v/>
      </c>
      <c r="L62" s="14" t="str">
        <f t="shared" si="5"/>
        <v/>
      </c>
      <c r="M62" s="14" t="str">
        <f t="shared" si="6"/>
        <v/>
      </c>
      <c r="N62" s="25"/>
      <c r="O62" s="24"/>
      <c r="P62" s="24"/>
      <c r="Q62" s="26" t="str">
        <f t="shared" si="7"/>
        <v/>
      </c>
      <c r="R62" s="29"/>
    </row>
    <row r="63" spans="1:18" ht="15">
      <c r="A63" s="11"/>
      <c r="B63" s="11"/>
      <c r="C63" s="11"/>
      <c r="D63" s="24"/>
      <c r="E63" s="24"/>
      <c r="F63" s="24"/>
      <c r="G63" s="25"/>
      <c r="H63" s="27"/>
      <c r="I63" s="24"/>
      <c r="J63" s="24"/>
      <c r="K63" s="14" t="str">
        <f t="shared" si="4"/>
        <v/>
      </c>
      <c r="L63" s="14" t="str">
        <f t="shared" si="5"/>
        <v/>
      </c>
      <c r="M63" s="14" t="str">
        <f t="shared" si="6"/>
        <v/>
      </c>
      <c r="N63" s="25"/>
      <c r="O63" s="24"/>
      <c r="P63" s="24"/>
      <c r="Q63" s="26" t="str">
        <f t="shared" si="7"/>
        <v/>
      </c>
      <c r="R63" s="29"/>
    </row>
    <row r="64" spans="1:18" ht="15">
      <c r="A64" s="11"/>
      <c r="B64" s="11"/>
      <c r="C64" s="11"/>
      <c r="D64" s="24"/>
      <c r="E64" s="24"/>
      <c r="F64" s="24"/>
      <c r="G64" s="25"/>
      <c r="H64" s="27"/>
      <c r="I64" s="24"/>
      <c r="J64" s="24"/>
      <c r="K64" s="14" t="str">
        <f t="shared" si="4"/>
        <v/>
      </c>
      <c r="L64" s="14" t="str">
        <f t="shared" si="5"/>
        <v/>
      </c>
      <c r="M64" s="14" t="str">
        <f t="shared" si="6"/>
        <v/>
      </c>
      <c r="N64" s="25"/>
      <c r="O64" s="24"/>
      <c r="P64" s="24"/>
      <c r="Q64" s="26" t="str">
        <f t="shared" si="7"/>
        <v/>
      </c>
      <c r="R64" s="29"/>
    </row>
    <row r="65" spans="1:18" ht="15">
      <c r="A65" s="11"/>
      <c r="B65" s="11"/>
      <c r="C65" s="11"/>
      <c r="D65" s="24"/>
      <c r="E65" s="24"/>
      <c r="F65" s="24"/>
      <c r="G65" s="25"/>
      <c r="H65" s="27"/>
      <c r="I65" s="24"/>
      <c r="J65" s="24"/>
      <c r="K65" s="14" t="str">
        <f t="shared" si="4"/>
        <v/>
      </c>
      <c r="L65" s="14" t="str">
        <f t="shared" si="5"/>
        <v/>
      </c>
      <c r="M65" s="14" t="str">
        <f t="shared" si="6"/>
        <v/>
      </c>
      <c r="N65" s="25"/>
      <c r="O65" s="24"/>
      <c r="P65" s="24"/>
      <c r="Q65" s="26" t="str">
        <f t="shared" si="7"/>
        <v/>
      </c>
      <c r="R65" s="29"/>
    </row>
    <row r="66" spans="1:18" ht="15">
      <c r="A66" s="11"/>
      <c r="B66" s="11"/>
      <c r="C66" s="11"/>
      <c r="D66" s="24"/>
      <c r="E66" s="24"/>
      <c r="F66" s="24"/>
      <c r="G66" s="25"/>
      <c r="H66" s="27"/>
      <c r="I66" s="24"/>
      <c r="J66" s="24"/>
      <c r="K66" s="14" t="str">
        <f t="shared" si="4"/>
        <v/>
      </c>
      <c r="L66" s="14" t="str">
        <f t="shared" si="5"/>
        <v/>
      </c>
      <c r="M66" s="14" t="str">
        <f t="shared" si="6"/>
        <v/>
      </c>
      <c r="N66" s="25"/>
      <c r="O66" s="24"/>
      <c r="P66" s="24"/>
      <c r="Q66" s="26" t="str">
        <f t="shared" si="7"/>
        <v/>
      </c>
      <c r="R66" s="29"/>
    </row>
    <row r="67" spans="1:18" ht="15">
      <c r="A67" s="11"/>
      <c r="B67" s="11"/>
      <c r="C67" s="11"/>
      <c r="D67" s="24"/>
      <c r="E67" s="24"/>
      <c r="F67" s="24"/>
      <c r="G67" s="25"/>
      <c r="H67" s="27"/>
      <c r="I67" s="24"/>
      <c r="J67" s="24"/>
      <c r="K67" s="14" t="str">
        <f t="shared" si="4"/>
        <v/>
      </c>
      <c r="L67" s="14" t="str">
        <f t="shared" si="5"/>
        <v/>
      </c>
      <c r="M67" s="14" t="str">
        <f t="shared" si="6"/>
        <v/>
      </c>
      <c r="N67" s="25"/>
      <c r="O67" s="24"/>
      <c r="P67" s="24"/>
      <c r="Q67" s="26" t="str">
        <f t="shared" si="7"/>
        <v/>
      </c>
      <c r="R67" s="29"/>
    </row>
    <row r="68" spans="1:18" ht="15">
      <c r="A68" s="11"/>
      <c r="B68" s="11"/>
      <c r="C68" s="11"/>
      <c r="D68" s="24"/>
      <c r="E68" s="24"/>
      <c r="F68" s="24"/>
      <c r="G68" s="25"/>
      <c r="H68" s="27"/>
      <c r="I68" s="24"/>
      <c r="J68" s="24"/>
      <c r="K68" s="14" t="str">
        <f t="shared" si="4"/>
        <v/>
      </c>
      <c r="L68" s="14" t="str">
        <f t="shared" si="5"/>
        <v/>
      </c>
      <c r="M68" s="14" t="str">
        <f t="shared" si="6"/>
        <v/>
      </c>
      <c r="N68" s="25"/>
      <c r="O68" s="24"/>
      <c r="P68" s="24"/>
      <c r="Q68" s="26" t="str">
        <f t="shared" si="7"/>
        <v/>
      </c>
      <c r="R68" s="29"/>
    </row>
    <row r="69" spans="1:18" ht="15">
      <c r="A69" s="11"/>
      <c r="B69" s="11"/>
      <c r="C69" s="11"/>
      <c r="D69" s="24"/>
      <c r="E69" s="24"/>
      <c r="F69" s="24"/>
      <c r="G69" s="25"/>
      <c r="H69" s="27"/>
      <c r="I69" s="24"/>
      <c r="J69" s="24"/>
      <c r="K69" s="14" t="str">
        <f t="shared" si="4"/>
        <v/>
      </c>
      <c r="L69" s="14" t="str">
        <f t="shared" si="5"/>
        <v/>
      </c>
      <c r="M69" s="14" t="str">
        <f t="shared" si="6"/>
        <v/>
      </c>
      <c r="N69" s="25"/>
      <c r="O69" s="24"/>
      <c r="P69" s="24"/>
      <c r="Q69" s="26" t="str">
        <f t="shared" si="7"/>
        <v/>
      </c>
      <c r="R69" s="29"/>
    </row>
    <row r="70" spans="1:18" ht="15">
      <c r="A70" s="11"/>
      <c r="B70" s="11"/>
      <c r="C70" s="11"/>
      <c r="D70" s="24"/>
      <c r="E70" s="24"/>
      <c r="F70" s="24"/>
      <c r="G70" s="25"/>
      <c r="H70" s="27"/>
      <c r="I70" s="24"/>
      <c r="J70" s="24"/>
      <c r="K70" s="14" t="str">
        <f t="shared" si="4"/>
        <v/>
      </c>
      <c r="L70" s="14" t="str">
        <f t="shared" si="5"/>
        <v/>
      </c>
      <c r="M70" s="14" t="str">
        <f t="shared" si="6"/>
        <v/>
      </c>
      <c r="N70" s="25"/>
      <c r="O70" s="24"/>
      <c r="P70" s="24"/>
      <c r="Q70" s="26" t="str">
        <f t="shared" si="7"/>
        <v/>
      </c>
      <c r="R70" s="29"/>
    </row>
    <row r="71" spans="1:18" ht="15">
      <c r="A71" s="11"/>
      <c r="B71" s="11"/>
      <c r="C71" s="11"/>
      <c r="D71" s="24"/>
      <c r="E71" s="24"/>
      <c r="F71" s="24"/>
      <c r="G71" s="25"/>
      <c r="H71" s="27"/>
      <c r="I71" s="24"/>
      <c r="J71" s="24"/>
      <c r="K71" s="14" t="str">
        <f t="shared" ref="K71:K102" si="8">IF(N71&lt;&gt;"","",IF(AND(G71&lt;&gt;"",H71&lt;&gt;"",J71&lt;&gt;""),ROUND(PPMT(H71,1,J71,-G71),0),""))</f>
        <v/>
      </c>
      <c r="L71" s="14" t="str">
        <f t="shared" ref="L71:L102" si="9">IF(N71&lt;&gt;"","",IF(AND(G71&lt;&gt;"",H71&lt;&gt;""),ROUND(G71*H71,0),""))</f>
        <v/>
      </c>
      <c r="M71" s="14" t="str">
        <f t="shared" ref="M71:M102" si="10">IF(N71&lt;&gt;"",N71,IF(AND(G71&lt;&gt;"",H71&lt;&gt;"",J71&lt;&gt;""),ROUND(PMT(H71,J71,-G71),0),""))</f>
        <v/>
      </c>
      <c r="N71" s="25"/>
      <c r="O71" s="24"/>
      <c r="P71" s="24"/>
      <c r="Q71" s="26" t="str">
        <f t="shared" ref="Q71:Q102" si="11">IF(A71="","",IF(D71="No","Excluded",IF(AND(OR(F71="N/A",E71="No Debt / N/A"),G71=""),"No Debt / N/A",IF(M71&lt;&gt;"","Ready","Partial"))))</f>
        <v/>
      </c>
      <c r="R71" s="29"/>
    </row>
    <row r="72" spans="1:18" ht="15">
      <c r="A72" s="11"/>
      <c r="B72" s="11"/>
      <c r="C72" s="11"/>
      <c r="D72" s="24"/>
      <c r="E72" s="24"/>
      <c r="F72" s="24"/>
      <c r="G72" s="25"/>
      <c r="H72" s="27"/>
      <c r="I72" s="24"/>
      <c r="J72" s="24"/>
      <c r="K72" s="14" t="str">
        <f t="shared" si="8"/>
        <v/>
      </c>
      <c r="L72" s="14" t="str">
        <f t="shared" si="9"/>
        <v/>
      </c>
      <c r="M72" s="14" t="str">
        <f t="shared" si="10"/>
        <v/>
      </c>
      <c r="N72" s="25"/>
      <c r="O72" s="24"/>
      <c r="P72" s="24"/>
      <c r="Q72" s="26" t="str">
        <f t="shared" si="11"/>
        <v/>
      </c>
      <c r="R72" s="29"/>
    </row>
    <row r="73" spans="1:18" ht="15">
      <c r="A73" s="11"/>
      <c r="B73" s="11"/>
      <c r="C73" s="11"/>
      <c r="D73" s="24"/>
      <c r="E73" s="24"/>
      <c r="F73" s="24"/>
      <c r="G73" s="25"/>
      <c r="H73" s="27"/>
      <c r="I73" s="24"/>
      <c r="J73" s="24"/>
      <c r="K73" s="14" t="str">
        <f t="shared" si="8"/>
        <v/>
      </c>
      <c r="L73" s="14" t="str">
        <f t="shared" si="9"/>
        <v/>
      </c>
      <c r="M73" s="14" t="str">
        <f t="shared" si="10"/>
        <v/>
      </c>
      <c r="N73" s="25"/>
      <c r="O73" s="24"/>
      <c r="P73" s="24"/>
      <c r="Q73" s="26" t="str">
        <f t="shared" si="11"/>
        <v/>
      </c>
      <c r="R73" s="29"/>
    </row>
    <row r="74" spans="1:18" ht="15">
      <c r="A74" s="11"/>
      <c r="B74" s="11"/>
      <c r="C74" s="11"/>
      <c r="D74" s="24"/>
      <c r="E74" s="24"/>
      <c r="F74" s="24"/>
      <c r="G74" s="25"/>
      <c r="H74" s="27"/>
      <c r="I74" s="24"/>
      <c r="J74" s="24"/>
      <c r="K74" s="14" t="str">
        <f t="shared" si="8"/>
        <v/>
      </c>
      <c r="L74" s="14" t="str">
        <f t="shared" si="9"/>
        <v/>
      </c>
      <c r="M74" s="14" t="str">
        <f t="shared" si="10"/>
        <v/>
      </c>
      <c r="N74" s="25"/>
      <c r="O74" s="24"/>
      <c r="P74" s="24"/>
      <c r="Q74" s="26" t="str">
        <f t="shared" si="11"/>
        <v/>
      </c>
      <c r="R74" s="29"/>
    </row>
    <row r="75" spans="1:18" ht="15">
      <c r="A75" s="11"/>
      <c r="B75" s="11"/>
      <c r="C75" s="11"/>
      <c r="D75" s="24"/>
      <c r="E75" s="24"/>
      <c r="F75" s="24"/>
      <c r="G75" s="25"/>
      <c r="H75" s="27"/>
      <c r="I75" s="24"/>
      <c r="J75" s="24"/>
      <c r="K75" s="14" t="str">
        <f t="shared" si="8"/>
        <v/>
      </c>
      <c r="L75" s="14" t="str">
        <f t="shared" si="9"/>
        <v/>
      </c>
      <c r="M75" s="14" t="str">
        <f t="shared" si="10"/>
        <v/>
      </c>
      <c r="N75" s="25"/>
      <c r="O75" s="24"/>
      <c r="P75" s="24"/>
      <c r="Q75" s="26" t="str">
        <f t="shared" si="11"/>
        <v/>
      </c>
      <c r="R75" s="29"/>
    </row>
    <row r="76" spans="1:18" ht="15">
      <c r="A76" s="11"/>
      <c r="B76" s="11"/>
      <c r="C76" s="11"/>
      <c r="D76" s="24"/>
      <c r="E76" s="24"/>
      <c r="F76" s="24"/>
      <c r="G76" s="25"/>
      <c r="H76" s="27"/>
      <c r="I76" s="24"/>
      <c r="J76" s="24"/>
      <c r="K76" s="14" t="str">
        <f t="shared" si="8"/>
        <v/>
      </c>
      <c r="L76" s="14" t="str">
        <f t="shared" si="9"/>
        <v/>
      </c>
      <c r="M76" s="14" t="str">
        <f t="shared" si="10"/>
        <v/>
      </c>
      <c r="N76" s="25"/>
      <c r="O76" s="24"/>
      <c r="P76" s="24"/>
      <c r="Q76" s="26" t="str">
        <f t="shared" si="11"/>
        <v/>
      </c>
      <c r="R76" s="29"/>
    </row>
    <row r="77" spans="1:18" ht="15">
      <c r="A77" s="11"/>
      <c r="B77" s="11"/>
      <c r="C77" s="11"/>
      <c r="D77" s="24"/>
      <c r="E77" s="24"/>
      <c r="F77" s="24"/>
      <c r="G77" s="25"/>
      <c r="H77" s="27"/>
      <c r="I77" s="24"/>
      <c r="J77" s="24"/>
      <c r="K77" s="14" t="str">
        <f t="shared" si="8"/>
        <v/>
      </c>
      <c r="L77" s="14" t="str">
        <f t="shared" si="9"/>
        <v/>
      </c>
      <c r="M77" s="14" t="str">
        <f t="shared" si="10"/>
        <v/>
      </c>
      <c r="N77" s="25"/>
      <c r="O77" s="24"/>
      <c r="P77" s="24"/>
      <c r="Q77" s="26" t="str">
        <f t="shared" si="11"/>
        <v/>
      </c>
      <c r="R77" s="29"/>
    </row>
    <row r="78" spans="1:18" ht="15">
      <c r="A78" s="11"/>
      <c r="B78" s="11"/>
      <c r="C78" s="11"/>
      <c r="D78" s="24"/>
      <c r="E78" s="24"/>
      <c r="F78" s="24"/>
      <c r="G78" s="25"/>
      <c r="H78" s="27"/>
      <c r="I78" s="24"/>
      <c r="J78" s="24"/>
      <c r="K78" s="14" t="str">
        <f t="shared" si="8"/>
        <v/>
      </c>
      <c r="L78" s="14" t="str">
        <f t="shared" si="9"/>
        <v/>
      </c>
      <c r="M78" s="14" t="str">
        <f t="shared" si="10"/>
        <v/>
      </c>
      <c r="N78" s="25"/>
      <c r="O78" s="24"/>
      <c r="P78" s="24"/>
      <c r="Q78" s="26" t="str">
        <f t="shared" si="11"/>
        <v/>
      </c>
      <c r="R78" s="29"/>
    </row>
    <row r="79" spans="1:18" ht="15">
      <c r="A79" s="11"/>
      <c r="B79" s="11"/>
      <c r="C79" s="11"/>
      <c r="D79" s="24"/>
      <c r="E79" s="24"/>
      <c r="F79" s="24"/>
      <c r="G79" s="25"/>
      <c r="H79" s="27"/>
      <c r="I79" s="24"/>
      <c r="J79" s="24"/>
      <c r="K79" s="14" t="str">
        <f t="shared" si="8"/>
        <v/>
      </c>
      <c r="L79" s="14" t="str">
        <f t="shared" si="9"/>
        <v/>
      </c>
      <c r="M79" s="14" t="str">
        <f t="shared" si="10"/>
        <v/>
      </c>
      <c r="N79" s="25"/>
      <c r="O79" s="24"/>
      <c r="P79" s="24"/>
      <c r="Q79" s="26" t="str">
        <f t="shared" si="11"/>
        <v/>
      </c>
      <c r="R79" s="29"/>
    </row>
    <row r="80" spans="1:18" ht="15">
      <c r="A80" s="11"/>
      <c r="B80" s="11"/>
      <c r="C80" s="11"/>
      <c r="D80" s="24"/>
      <c r="E80" s="24"/>
      <c r="F80" s="24"/>
      <c r="G80" s="25"/>
      <c r="H80" s="27"/>
      <c r="I80" s="24"/>
      <c r="J80" s="24"/>
      <c r="K80" s="14" t="str">
        <f t="shared" si="8"/>
        <v/>
      </c>
      <c r="L80" s="14" t="str">
        <f t="shared" si="9"/>
        <v/>
      </c>
      <c r="M80" s="14" t="str">
        <f t="shared" si="10"/>
        <v/>
      </c>
      <c r="N80" s="25"/>
      <c r="O80" s="24"/>
      <c r="P80" s="24"/>
      <c r="Q80" s="26" t="str">
        <f t="shared" si="11"/>
        <v/>
      </c>
      <c r="R80" s="29"/>
    </row>
    <row r="81" spans="1:18" ht="15">
      <c r="A81" s="11"/>
      <c r="B81" s="11"/>
      <c r="C81" s="11"/>
      <c r="D81" s="24"/>
      <c r="E81" s="24"/>
      <c r="F81" s="24"/>
      <c r="G81" s="25"/>
      <c r="H81" s="27"/>
      <c r="I81" s="24"/>
      <c r="J81" s="24"/>
      <c r="K81" s="14" t="str">
        <f t="shared" si="8"/>
        <v/>
      </c>
      <c r="L81" s="14" t="str">
        <f t="shared" si="9"/>
        <v/>
      </c>
      <c r="M81" s="14" t="str">
        <f t="shared" si="10"/>
        <v/>
      </c>
      <c r="N81" s="25"/>
      <c r="O81" s="24"/>
      <c r="P81" s="24"/>
      <c r="Q81" s="26" t="str">
        <f t="shared" si="11"/>
        <v/>
      </c>
      <c r="R81" s="29"/>
    </row>
    <row r="82" spans="1:18" ht="15">
      <c r="A82" s="11"/>
      <c r="B82" s="11"/>
      <c r="C82" s="11"/>
      <c r="D82" s="24"/>
      <c r="E82" s="24"/>
      <c r="F82" s="24"/>
      <c r="G82" s="25"/>
      <c r="H82" s="27"/>
      <c r="I82" s="24"/>
      <c r="J82" s="24"/>
      <c r="K82" s="14" t="str">
        <f t="shared" si="8"/>
        <v/>
      </c>
      <c r="L82" s="14" t="str">
        <f t="shared" si="9"/>
        <v/>
      </c>
      <c r="M82" s="14" t="str">
        <f t="shared" si="10"/>
        <v/>
      </c>
      <c r="N82" s="25"/>
      <c r="O82" s="24"/>
      <c r="P82" s="24"/>
      <c r="Q82" s="26" t="str">
        <f t="shared" si="11"/>
        <v/>
      </c>
      <c r="R82" s="29"/>
    </row>
    <row r="83" spans="1:18" ht="15">
      <c r="A83" s="11"/>
      <c r="B83" s="11"/>
      <c r="C83" s="11"/>
      <c r="D83" s="24"/>
      <c r="E83" s="24"/>
      <c r="F83" s="24"/>
      <c r="G83" s="25"/>
      <c r="H83" s="27"/>
      <c r="I83" s="24"/>
      <c r="J83" s="24"/>
      <c r="K83" s="14" t="str">
        <f t="shared" si="8"/>
        <v/>
      </c>
      <c r="L83" s="14" t="str">
        <f t="shared" si="9"/>
        <v/>
      </c>
      <c r="M83" s="14" t="str">
        <f t="shared" si="10"/>
        <v/>
      </c>
      <c r="N83" s="25"/>
      <c r="O83" s="24"/>
      <c r="P83" s="24"/>
      <c r="Q83" s="26" t="str">
        <f t="shared" si="11"/>
        <v/>
      </c>
      <c r="R83" s="29"/>
    </row>
    <row r="84" spans="1:18" ht="15">
      <c r="A84" s="11"/>
      <c r="B84" s="11"/>
      <c r="C84" s="11"/>
      <c r="D84" s="24"/>
      <c r="E84" s="24"/>
      <c r="F84" s="24"/>
      <c r="G84" s="25"/>
      <c r="H84" s="27"/>
      <c r="I84" s="24"/>
      <c r="J84" s="24"/>
      <c r="K84" s="14" t="str">
        <f t="shared" si="8"/>
        <v/>
      </c>
      <c r="L84" s="14" t="str">
        <f t="shared" si="9"/>
        <v/>
      </c>
      <c r="M84" s="14" t="str">
        <f t="shared" si="10"/>
        <v/>
      </c>
      <c r="N84" s="25"/>
      <c r="O84" s="24"/>
      <c r="P84" s="24"/>
      <c r="Q84" s="26" t="str">
        <f t="shared" si="11"/>
        <v/>
      </c>
      <c r="R84" s="29"/>
    </row>
    <row r="85" spans="1:18" ht="15">
      <c r="A85" s="11"/>
      <c r="B85" s="11"/>
      <c r="C85" s="11"/>
      <c r="D85" s="24"/>
      <c r="E85" s="24"/>
      <c r="F85" s="24"/>
      <c r="G85" s="25"/>
      <c r="H85" s="27"/>
      <c r="I85" s="24"/>
      <c r="J85" s="24"/>
      <c r="K85" s="14" t="str">
        <f t="shared" si="8"/>
        <v/>
      </c>
      <c r="L85" s="14" t="str">
        <f t="shared" si="9"/>
        <v/>
      </c>
      <c r="M85" s="14" t="str">
        <f t="shared" si="10"/>
        <v/>
      </c>
      <c r="N85" s="25"/>
      <c r="O85" s="24"/>
      <c r="P85" s="24"/>
      <c r="Q85" s="26" t="str">
        <f t="shared" si="11"/>
        <v/>
      </c>
      <c r="R85" s="29"/>
    </row>
    <row r="86" spans="1:18" ht="15">
      <c r="A86" s="11"/>
      <c r="B86" s="11"/>
      <c r="C86" s="11"/>
      <c r="D86" s="24"/>
      <c r="E86" s="24"/>
      <c r="F86" s="24"/>
      <c r="G86" s="25"/>
      <c r="H86" s="27"/>
      <c r="I86" s="24"/>
      <c r="J86" s="24"/>
      <c r="K86" s="14" t="str">
        <f t="shared" si="8"/>
        <v/>
      </c>
      <c r="L86" s="14" t="str">
        <f t="shared" si="9"/>
        <v/>
      </c>
      <c r="M86" s="14" t="str">
        <f t="shared" si="10"/>
        <v/>
      </c>
      <c r="N86" s="25"/>
      <c r="O86" s="24"/>
      <c r="P86" s="24"/>
      <c r="Q86" s="26" t="str">
        <f t="shared" si="11"/>
        <v/>
      </c>
      <c r="R86" s="29"/>
    </row>
    <row r="87" spans="1:18" ht="15">
      <c r="A87" s="11"/>
      <c r="B87" s="11"/>
      <c r="C87" s="11"/>
      <c r="D87" s="24"/>
      <c r="E87" s="24"/>
      <c r="F87" s="24"/>
      <c r="G87" s="25"/>
      <c r="H87" s="27"/>
      <c r="I87" s="24"/>
      <c r="J87" s="24"/>
      <c r="K87" s="14" t="str">
        <f t="shared" si="8"/>
        <v/>
      </c>
      <c r="L87" s="14" t="str">
        <f t="shared" si="9"/>
        <v/>
      </c>
      <c r="M87" s="14" t="str">
        <f t="shared" si="10"/>
        <v/>
      </c>
      <c r="N87" s="25"/>
      <c r="O87" s="24"/>
      <c r="P87" s="24"/>
      <c r="Q87" s="26" t="str">
        <f t="shared" si="11"/>
        <v/>
      </c>
      <c r="R87" s="29"/>
    </row>
    <row r="88" spans="1:18" ht="15">
      <c r="A88" s="11"/>
      <c r="B88" s="11"/>
      <c r="C88" s="11"/>
      <c r="D88" s="24"/>
      <c r="E88" s="24"/>
      <c r="F88" s="24"/>
      <c r="G88" s="25"/>
      <c r="H88" s="27"/>
      <c r="I88" s="24"/>
      <c r="J88" s="24"/>
      <c r="K88" s="14" t="str">
        <f t="shared" si="8"/>
        <v/>
      </c>
      <c r="L88" s="14" t="str">
        <f t="shared" si="9"/>
        <v/>
      </c>
      <c r="M88" s="14" t="str">
        <f t="shared" si="10"/>
        <v/>
      </c>
      <c r="N88" s="25"/>
      <c r="O88" s="24"/>
      <c r="P88" s="24"/>
      <c r="Q88" s="26" t="str">
        <f t="shared" si="11"/>
        <v/>
      </c>
      <c r="R88" s="29"/>
    </row>
    <row r="89" spans="1:18" ht="15">
      <c r="A89" s="11"/>
      <c r="B89" s="11"/>
      <c r="C89" s="11"/>
      <c r="D89" s="24"/>
      <c r="E89" s="24"/>
      <c r="F89" s="24"/>
      <c r="G89" s="25"/>
      <c r="H89" s="27"/>
      <c r="I89" s="24"/>
      <c r="J89" s="24"/>
      <c r="K89" s="14" t="str">
        <f t="shared" si="8"/>
        <v/>
      </c>
      <c r="L89" s="14" t="str">
        <f t="shared" si="9"/>
        <v/>
      </c>
      <c r="M89" s="14" t="str">
        <f t="shared" si="10"/>
        <v/>
      </c>
      <c r="N89" s="25"/>
      <c r="O89" s="24"/>
      <c r="P89" s="24"/>
      <c r="Q89" s="26" t="str">
        <f t="shared" si="11"/>
        <v/>
      </c>
      <c r="R89" s="29"/>
    </row>
    <row r="90" spans="1:18" ht="15">
      <c r="A90" s="11"/>
      <c r="B90" s="11"/>
      <c r="C90" s="11"/>
      <c r="D90" s="24"/>
      <c r="E90" s="24"/>
      <c r="F90" s="24"/>
      <c r="G90" s="25"/>
      <c r="H90" s="27"/>
      <c r="I90" s="24"/>
      <c r="J90" s="24"/>
      <c r="K90" s="14" t="str">
        <f t="shared" si="8"/>
        <v/>
      </c>
      <c r="L90" s="14" t="str">
        <f t="shared" si="9"/>
        <v/>
      </c>
      <c r="M90" s="14" t="str">
        <f t="shared" si="10"/>
        <v/>
      </c>
      <c r="N90" s="25"/>
      <c r="O90" s="24"/>
      <c r="P90" s="24"/>
      <c r="Q90" s="26" t="str">
        <f t="shared" si="11"/>
        <v/>
      </c>
      <c r="R90" s="29"/>
    </row>
    <row r="91" spans="1:18" ht="15">
      <c r="A91" s="11"/>
      <c r="B91" s="11"/>
      <c r="C91" s="11"/>
      <c r="D91" s="24"/>
      <c r="E91" s="24"/>
      <c r="F91" s="24"/>
      <c r="G91" s="25"/>
      <c r="H91" s="27"/>
      <c r="I91" s="24"/>
      <c r="J91" s="24"/>
      <c r="K91" s="14" t="str">
        <f t="shared" si="8"/>
        <v/>
      </c>
      <c r="L91" s="14" t="str">
        <f t="shared" si="9"/>
        <v/>
      </c>
      <c r="M91" s="14" t="str">
        <f t="shared" si="10"/>
        <v/>
      </c>
      <c r="N91" s="25"/>
      <c r="O91" s="24"/>
      <c r="P91" s="24"/>
      <c r="Q91" s="26" t="str">
        <f t="shared" si="11"/>
        <v/>
      </c>
      <c r="R91" s="29"/>
    </row>
    <row r="92" spans="1:18" ht="15">
      <c r="A92" s="11"/>
      <c r="B92" s="11"/>
      <c r="C92" s="11"/>
      <c r="D92" s="24"/>
      <c r="E92" s="24"/>
      <c r="F92" s="24"/>
      <c r="G92" s="25"/>
      <c r="H92" s="27"/>
      <c r="I92" s="24"/>
      <c r="J92" s="24"/>
      <c r="K92" s="14" t="str">
        <f t="shared" si="8"/>
        <v/>
      </c>
      <c r="L92" s="14" t="str">
        <f t="shared" si="9"/>
        <v/>
      </c>
      <c r="M92" s="14" t="str">
        <f t="shared" si="10"/>
        <v/>
      </c>
      <c r="N92" s="25"/>
      <c r="O92" s="24"/>
      <c r="P92" s="24"/>
      <c r="Q92" s="26" t="str">
        <f t="shared" si="11"/>
        <v/>
      </c>
      <c r="R92" s="29"/>
    </row>
    <row r="93" spans="1:18" ht="15">
      <c r="A93" s="11"/>
      <c r="B93" s="11"/>
      <c r="C93" s="11"/>
      <c r="D93" s="24"/>
      <c r="E93" s="24"/>
      <c r="F93" s="24"/>
      <c r="G93" s="25"/>
      <c r="H93" s="27"/>
      <c r="I93" s="24"/>
      <c r="J93" s="24"/>
      <c r="K93" s="14" t="str">
        <f t="shared" si="8"/>
        <v/>
      </c>
      <c r="L93" s="14" t="str">
        <f t="shared" si="9"/>
        <v/>
      </c>
      <c r="M93" s="14" t="str">
        <f t="shared" si="10"/>
        <v/>
      </c>
      <c r="N93" s="25"/>
      <c r="O93" s="24"/>
      <c r="P93" s="24"/>
      <c r="Q93" s="26" t="str">
        <f t="shared" si="11"/>
        <v/>
      </c>
      <c r="R93" s="29"/>
    </row>
    <row r="94" spans="1:18" ht="15">
      <c r="A94" s="11"/>
      <c r="B94" s="11"/>
      <c r="C94" s="11"/>
      <c r="D94" s="24"/>
      <c r="E94" s="24"/>
      <c r="F94" s="24"/>
      <c r="G94" s="25"/>
      <c r="H94" s="27"/>
      <c r="I94" s="24"/>
      <c r="J94" s="24"/>
      <c r="K94" s="14" t="str">
        <f t="shared" si="8"/>
        <v/>
      </c>
      <c r="L94" s="14" t="str">
        <f t="shared" si="9"/>
        <v/>
      </c>
      <c r="M94" s="14" t="str">
        <f t="shared" si="10"/>
        <v/>
      </c>
      <c r="N94" s="25"/>
      <c r="O94" s="24"/>
      <c r="P94" s="24"/>
      <c r="Q94" s="26" t="str">
        <f t="shared" si="11"/>
        <v/>
      </c>
      <c r="R94" s="29"/>
    </row>
    <row r="95" spans="1:18" ht="15">
      <c r="A95" s="11"/>
      <c r="B95" s="11"/>
      <c r="C95" s="11"/>
      <c r="D95" s="24"/>
      <c r="E95" s="24"/>
      <c r="F95" s="24"/>
      <c r="G95" s="25"/>
      <c r="H95" s="27"/>
      <c r="I95" s="24"/>
      <c r="J95" s="24"/>
      <c r="K95" s="14" t="str">
        <f t="shared" si="8"/>
        <v/>
      </c>
      <c r="L95" s="14" t="str">
        <f t="shared" si="9"/>
        <v/>
      </c>
      <c r="M95" s="14" t="str">
        <f t="shared" si="10"/>
        <v/>
      </c>
      <c r="N95" s="25"/>
      <c r="O95" s="24"/>
      <c r="P95" s="24"/>
      <c r="Q95" s="26" t="str">
        <f t="shared" si="11"/>
        <v/>
      </c>
      <c r="R95" s="29"/>
    </row>
    <row r="96" spans="1:18" ht="15">
      <c r="A96" s="11"/>
      <c r="B96" s="11"/>
      <c r="C96" s="11"/>
      <c r="D96" s="24"/>
      <c r="E96" s="24"/>
      <c r="F96" s="24"/>
      <c r="G96" s="25"/>
      <c r="H96" s="27"/>
      <c r="I96" s="24"/>
      <c r="J96" s="24"/>
      <c r="K96" s="14" t="str">
        <f t="shared" si="8"/>
        <v/>
      </c>
      <c r="L96" s="14" t="str">
        <f t="shared" si="9"/>
        <v/>
      </c>
      <c r="M96" s="14" t="str">
        <f t="shared" si="10"/>
        <v/>
      </c>
      <c r="N96" s="25"/>
      <c r="O96" s="24"/>
      <c r="P96" s="24"/>
      <c r="Q96" s="26" t="str">
        <f t="shared" si="11"/>
        <v/>
      </c>
      <c r="R96" s="29"/>
    </row>
    <row r="97" spans="1:18" ht="15">
      <c r="A97" s="11"/>
      <c r="B97" s="11"/>
      <c r="C97" s="11"/>
      <c r="D97" s="24"/>
      <c r="E97" s="24"/>
      <c r="F97" s="24"/>
      <c r="G97" s="25"/>
      <c r="H97" s="27"/>
      <c r="I97" s="24"/>
      <c r="J97" s="24"/>
      <c r="K97" s="14" t="str">
        <f t="shared" si="8"/>
        <v/>
      </c>
      <c r="L97" s="14" t="str">
        <f t="shared" si="9"/>
        <v/>
      </c>
      <c r="M97" s="14" t="str">
        <f t="shared" si="10"/>
        <v/>
      </c>
      <c r="N97" s="25"/>
      <c r="O97" s="24"/>
      <c r="P97" s="24"/>
      <c r="Q97" s="26" t="str">
        <f t="shared" si="11"/>
        <v/>
      </c>
      <c r="R97" s="29"/>
    </row>
    <row r="98" spans="1:18" ht="15">
      <c r="A98" s="11"/>
      <c r="B98" s="11"/>
      <c r="C98" s="11"/>
      <c r="D98" s="24"/>
      <c r="E98" s="24"/>
      <c r="F98" s="24"/>
      <c r="G98" s="25"/>
      <c r="H98" s="27"/>
      <c r="I98" s="24"/>
      <c r="J98" s="24"/>
      <c r="K98" s="14" t="str">
        <f t="shared" si="8"/>
        <v/>
      </c>
      <c r="L98" s="14" t="str">
        <f t="shared" si="9"/>
        <v/>
      </c>
      <c r="M98" s="14" t="str">
        <f t="shared" si="10"/>
        <v/>
      </c>
      <c r="N98" s="25"/>
      <c r="O98" s="24"/>
      <c r="P98" s="24"/>
      <c r="Q98" s="26" t="str">
        <f t="shared" si="11"/>
        <v/>
      </c>
      <c r="R98" s="29"/>
    </row>
    <row r="99" spans="1:18" ht="15">
      <c r="A99" s="11"/>
      <c r="B99" s="11"/>
      <c r="C99" s="11"/>
      <c r="D99" s="24"/>
      <c r="E99" s="24"/>
      <c r="F99" s="24"/>
      <c r="G99" s="25"/>
      <c r="H99" s="27"/>
      <c r="I99" s="24"/>
      <c r="J99" s="24"/>
      <c r="K99" s="14" t="str">
        <f t="shared" si="8"/>
        <v/>
      </c>
      <c r="L99" s="14" t="str">
        <f t="shared" si="9"/>
        <v/>
      </c>
      <c r="M99" s="14" t="str">
        <f t="shared" si="10"/>
        <v/>
      </c>
      <c r="N99" s="25"/>
      <c r="O99" s="24"/>
      <c r="P99" s="24"/>
      <c r="Q99" s="26" t="str">
        <f t="shared" si="11"/>
        <v/>
      </c>
      <c r="R99" s="29"/>
    </row>
    <row r="100" spans="1:18" ht="15">
      <c r="A100" s="11"/>
      <c r="B100" s="11"/>
      <c r="C100" s="11"/>
      <c r="D100" s="24"/>
      <c r="E100" s="24"/>
      <c r="F100" s="24"/>
      <c r="G100" s="25"/>
      <c r="H100" s="27"/>
      <c r="I100" s="24"/>
      <c r="J100" s="24"/>
      <c r="K100" s="14" t="str">
        <f t="shared" si="8"/>
        <v/>
      </c>
      <c r="L100" s="14" t="str">
        <f t="shared" si="9"/>
        <v/>
      </c>
      <c r="M100" s="14" t="str">
        <f t="shared" si="10"/>
        <v/>
      </c>
      <c r="N100" s="25"/>
      <c r="O100" s="24"/>
      <c r="P100" s="24"/>
      <c r="Q100" s="26" t="str">
        <f t="shared" si="11"/>
        <v/>
      </c>
      <c r="R100" s="29"/>
    </row>
    <row r="101" spans="1:18" ht="15">
      <c r="A101" s="11"/>
      <c r="B101" s="11"/>
      <c r="C101" s="11"/>
      <c r="D101" s="24"/>
      <c r="E101" s="24"/>
      <c r="F101" s="24"/>
      <c r="G101" s="25"/>
      <c r="H101" s="27"/>
      <c r="I101" s="24"/>
      <c r="J101" s="24"/>
      <c r="K101" s="14" t="str">
        <f t="shared" si="8"/>
        <v/>
      </c>
      <c r="L101" s="14" t="str">
        <f t="shared" si="9"/>
        <v/>
      </c>
      <c r="M101" s="14" t="str">
        <f t="shared" si="10"/>
        <v/>
      </c>
      <c r="N101" s="25"/>
      <c r="O101" s="24"/>
      <c r="P101" s="24"/>
      <c r="Q101" s="26" t="str">
        <f t="shared" si="11"/>
        <v/>
      </c>
      <c r="R101" s="29"/>
    </row>
    <row r="102" spans="1:18" ht="15">
      <c r="A102" s="11"/>
      <c r="B102" s="11"/>
      <c r="C102" s="11"/>
      <c r="D102" s="24"/>
      <c r="E102" s="24"/>
      <c r="F102" s="24"/>
      <c r="G102" s="25"/>
      <c r="H102" s="27"/>
      <c r="I102" s="24"/>
      <c r="J102" s="24"/>
      <c r="K102" s="14" t="str">
        <f t="shared" si="8"/>
        <v/>
      </c>
      <c r="L102" s="14" t="str">
        <f t="shared" si="9"/>
        <v/>
      </c>
      <c r="M102" s="14" t="str">
        <f t="shared" si="10"/>
        <v/>
      </c>
      <c r="N102" s="25"/>
      <c r="O102" s="24"/>
      <c r="P102" s="24"/>
      <c r="Q102" s="26" t="str">
        <f t="shared" si="11"/>
        <v/>
      </c>
      <c r="R102" s="29"/>
    </row>
    <row r="103" spans="1:18" ht="15">
      <c r="A103" s="11"/>
      <c r="B103" s="11"/>
      <c r="C103" s="11"/>
      <c r="D103" s="24"/>
      <c r="E103" s="24"/>
      <c r="F103" s="24"/>
      <c r="G103" s="25"/>
      <c r="H103" s="27"/>
      <c r="I103" s="24"/>
      <c r="J103" s="24"/>
      <c r="K103" s="14" t="str">
        <f t="shared" ref="K103:K134" si="12">IF(N103&lt;&gt;"","",IF(AND(G103&lt;&gt;"",H103&lt;&gt;"",J103&lt;&gt;""),ROUND(PPMT(H103,1,J103,-G103),0),""))</f>
        <v/>
      </c>
      <c r="L103" s="14" t="str">
        <f t="shared" ref="L103:L134" si="13">IF(N103&lt;&gt;"","",IF(AND(G103&lt;&gt;"",H103&lt;&gt;""),ROUND(G103*H103,0),""))</f>
        <v/>
      </c>
      <c r="M103" s="14" t="str">
        <f t="shared" ref="M103:M134" si="14">IF(N103&lt;&gt;"",N103,IF(AND(G103&lt;&gt;"",H103&lt;&gt;"",J103&lt;&gt;""),ROUND(PMT(H103,J103,-G103),0),""))</f>
        <v/>
      </c>
      <c r="N103" s="25"/>
      <c r="O103" s="24"/>
      <c r="P103" s="24"/>
      <c r="Q103" s="26" t="str">
        <f t="shared" ref="Q103:Q134" si="15">IF(A103="","",IF(D103="No","Excluded",IF(AND(OR(F103="N/A",E103="No Debt / N/A"),G103=""),"No Debt / N/A",IF(M103&lt;&gt;"","Ready","Partial"))))</f>
        <v/>
      </c>
      <c r="R103" s="29"/>
    </row>
    <row r="104" spans="1:18" ht="15">
      <c r="A104" s="11"/>
      <c r="B104" s="11"/>
      <c r="C104" s="11"/>
      <c r="D104" s="24"/>
      <c r="E104" s="24"/>
      <c r="F104" s="24"/>
      <c r="G104" s="25"/>
      <c r="H104" s="27"/>
      <c r="I104" s="24"/>
      <c r="J104" s="24"/>
      <c r="K104" s="14" t="str">
        <f t="shared" si="12"/>
        <v/>
      </c>
      <c r="L104" s="14" t="str">
        <f t="shared" si="13"/>
        <v/>
      </c>
      <c r="M104" s="14" t="str">
        <f t="shared" si="14"/>
        <v/>
      </c>
      <c r="N104" s="25"/>
      <c r="O104" s="24"/>
      <c r="P104" s="24"/>
      <c r="Q104" s="26" t="str">
        <f t="shared" si="15"/>
        <v/>
      </c>
      <c r="R104" s="29"/>
    </row>
    <row r="105" spans="1:18" ht="15">
      <c r="A105" s="11"/>
      <c r="B105" s="11"/>
      <c r="C105" s="11"/>
      <c r="D105" s="24"/>
      <c r="E105" s="24"/>
      <c r="F105" s="24"/>
      <c r="G105" s="25"/>
      <c r="H105" s="27"/>
      <c r="I105" s="24"/>
      <c r="J105" s="24"/>
      <c r="K105" s="14" t="str">
        <f t="shared" si="12"/>
        <v/>
      </c>
      <c r="L105" s="14" t="str">
        <f t="shared" si="13"/>
        <v/>
      </c>
      <c r="M105" s="14" t="str">
        <f t="shared" si="14"/>
        <v/>
      </c>
      <c r="N105" s="25"/>
      <c r="O105" s="24"/>
      <c r="P105" s="24"/>
      <c r="Q105" s="26" t="str">
        <f t="shared" si="15"/>
        <v/>
      </c>
      <c r="R105" s="29"/>
    </row>
    <row r="106" spans="1:18" ht="15">
      <c r="A106" s="11"/>
      <c r="B106" s="11"/>
      <c r="C106" s="11"/>
      <c r="D106" s="24"/>
      <c r="E106" s="24"/>
      <c r="F106" s="24"/>
      <c r="G106" s="25"/>
      <c r="H106" s="27"/>
      <c r="I106" s="24"/>
      <c r="J106" s="24"/>
      <c r="K106" s="14" t="str">
        <f t="shared" si="12"/>
        <v/>
      </c>
      <c r="L106" s="14" t="str">
        <f t="shared" si="13"/>
        <v/>
      </c>
      <c r="M106" s="14" t="str">
        <f t="shared" si="14"/>
        <v/>
      </c>
      <c r="N106" s="25"/>
      <c r="O106" s="24"/>
      <c r="P106" s="24"/>
      <c r="Q106" s="26" t="str">
        <f t="shared" si="15"/>
        <v/>
      </c>
      <c r="R106" s="29"/>
    </row>
    <row r="107" spans="1:18" ht="15">
      <c r="A107" s="11"/>
      <c r="B107" s="11"/>
      <c r="C107" s="11"/>
      <c r="D107" s="24"/>
      <c r="E107" s="24"/>
      <c r="F107" s="24"/>
      <c r="G107" s="25"/>
      <c r="H107" s="27"/>
      <c r="I107" s="24"/>
      <c r="J107" s="24"/>
      <c r="K107" s="14" t="str">
        <f t="shared" si="12"/>
        <v/>
      </c>
      <c r="L107" s="14" t="str">
        <f t="shared" si="13"/>
        <v/>
      </c>
      <c r="M107" s="14" t="str">
        <f t="shared" si="14"/>
        <v/>
      </c>
      <c r="N107" s="25"/>
      <c r="O107" s="24"/>
      <c r="P107" s="24"/>
      <c r="Q107" s="26" t="str">
        <f t="shared" si="15"/>
        <v/>
      </c>
      <c r="R107" s="29"/>
    </row>
    <row r="108" spans="1:18" ht="15">
      <c r="A108" s="11"/>
      <c r="B108" s="11"/>
      <c r="C108" s="11"/>
      <c r="D108" s="24"/>
      <c r="E108" s="24"/>
      <c r="F108" s="24"/>
      <c r="G108" s="25"/>
      <c r="H108" s="27"/>
      <c r="I108" s="24"/>
      <c r="J108" s="24"/>
      <c r="K108" s="14" t="str">
        <f t="shared" si="12"/>
        <v/>
      </c>
      <c r="L108" s="14" t="str">
        <f t="shared" si="13"/>
        <v/>
      </c>
      <c r="M108" s="14" t="str">
        <f t="shared" si="14"/>
        <v/>
      </c>
      <c r="N108" s="25"/>
      <c r="O108" s="24"/>
      <c r="P108" s="24"/>
      <c r="Q108" s="26" t="str">
        <f t="shared" si="15"/>
        <v/>
      </c>
      <c r="R108" s="29"/>
    </row>
    <row r="109" spans="1:18" ht="15">
      <c r="A109" s="11"/>
      <c r="B109" s="11"/>
      <c r="C109" s="11"/>
      <c r="D109" s="24"/>
      <c r="E109" s="24"/>
      <c r="F109" s="24"/>
      <c r="G109" s="25"/>
      <c r="H109" s="27"/>
      <c r="I109" s="24"/>
      <c r="J109" s="24"/>
      <c r="K109" s="14" t="str">
        <f t="shared" si="12"/>
        <v/>
      </c>
      <c r="L109" s="14" t="str">
        <f t="shared" si="13"/>
        <v/>
      </c>
      <c r="M109" s="14" t="str">
        <f t="shared" si="14"/>
        <v/>
      </c>
      <c r="N109" s="25"/>
      <c r="O109" s="24"/>
      <c r="P109" s="24"/>
      <c r="Q109" s="26" t="str">
        <f t="shared" si="15"/>
        <v/>
      </c>
      <c r="R109" s="29"/>
    </row>
    <row r="110" spans="1:18" ht="15">
      <c r="A110" s="11"/>
      <c r="B110" s="11"/>
      <c r="C110" s="11"/>
      <c r="D110" s="24"/>
      <c r="E110" s="24"/>
      <c r="F110" s="24"/>
      <c r="G110" s="25"/>
      <c r="H110" s="27"/>
      <c r="I110" s="24"/>
      <c r="J110" s="24"/>
      <c r="K110" s="14" t="str">
        <f t="shared" si="12"/>
        <v/>
      </c>
      <c r="L110" s="14" t="str">
        <f t="shared" si="13"/>
        <v/>
      </c>
      <c r="M110" s="14" t="str">
        <f t="shared" si="14"/>
        <v/>
      </c>
      <c r="N110" s="25"/>
      <c r="O110" s="24"/>
      <c r="P110" s="24"/>
      <c r="Q110" s="26" t="str">
        <f t="shared" si="15"/>
        <v/>
      </c>
      <c r="R110" s="29"/>
    </row>
    <row r="111" spans="1:18" ht="15">
      <c r="A111" s="11"/>
      <c r="B111" s="11"/>
      <c r="C111" s="11"/>
      <c r="D111" s="24"/>
      <c r="E111" s="24"/>
      <c r="F111" s="24"/>
      <c r="G111" s="25"/>
      <c r="H111" s="27"/>
      <c r="I111" s="24"/>
      <c r="J111" s="24"/>
      <c r="K111" s="14" t="str">
        <f t="shared" si="12"/>
        <v/>
      </c>
      <c r="L111" s="14" t="str">
        <f t="shared" si="13"/>
        <v/>
      </c>
      <c r="M111" s="14" t="str">
        <f t="shared" si="14"/>
        <v/>
      </c>
      <c r="N111" s="25"/>
      <c r="O111" s="24"/>
      <c r="P111" s="24"/>
      <c r="Q111" s="26" t="str">
        <f t="shared" si="15"/>
        <v/>
      </c>
      <c r="R111" s="29"/>
    </row>
    <row r="112" spans="1:18" ht="15">
      <c r="A112" s="11"/>
      <c r="B112" s="11"/>
      <c r="C112" s="11"/>
      <c r="D112" s="24"/>
      <c r="E112" s="24"/>
      <c r="F112" s="24"/>
      <c r="G112" s="25"/>
      <c r="H112" s="27"/>
      <c r="I112" s="24"/>
      <c r="J112" s="24"/>
      <c r="K112" s="14" t="str">
        <f t="shared" si="12"/>
        <v/>
      </c>
      <c r="L112" s="14" t="str">
        <f t="shared" si="13"/>
        <v/>
      </c>
      <c r="M112" s="14" t="str">
        <f t="shared" si="14"/>
        <v/>
      </c>
      <c r="N112" s="25"/>
      <c r="O112" s="24"/>
      <c r="P112" s="24"/>
      <c r="Q112" s="26" t="str">
        <f t="shared" si="15"/>
        <v/>
      </c>
      <c r="R112" s="29"/>
    </row>
    <row r="113" spans="1:18" ht="15">
      <c r="A113" s="11"/>
      <c r="B113" s="11"/>
      <c r="C113" s="11"/>
      <c r="D113" s="24"/>
      <c r="E113" s="24"/>
      <c r="F113" s="24"/>
      <c r="G113" s="25"/>
      <c r="H113" s="27"/>
      <c r="I113" s="24"/>
      <c r="J113" s="24"/>
      <c r="K113" s="14" t="str">
        <f t="shared" si="12"/>
        <v/>
      </c>
      <c r="L113" s="14" t="str">
        <f t="shared" si="13"/>
        <v/>
      </c>
      <c r="M113" s="14" t="str">
        <f t="shared" si="14"/>
        <v/>
      </c>
      <c r="N113" s="25"/>
      <c r="O113" s="24"/>
      <c r="P113" s="24"/>
      <c r="Q113" s="26" t="str">
        <f t="shared" si="15"/>
        <v/>
      </c>
      <c r="R113" s="29"/>
    </row>
    <row r="114" spans="1:18" ht="15">
      <c r="A114" s="11"/>
      <c r="B114" s="11"/>
      <c r="C114" s="11"/>
      <c r="D114" s="24"/>
      <c r="E114" s="24"/>
      <c r="F114" s="24"/>
      <c r="G114" s="25"/>
      <c r="H114" s="27"/>
      <c r="I114" s="24"/>
      <c r="J114" s="24"/>
      <c r="K114" s="14" t="str">
        <f t="shared" si="12"/>
        <v/>
      </c>
      <c r="L114" s="14" t="str">
        <f t="shared" si="13"/>
        <v/>
      </c>
      <c r="M114" s="14" t="str">
        <f t="shared" si="14"/>
        <v/>
      </c>
      <c r="N114" s="25"/>
      <c r="O114" s="24"/>
      <c r="P114" s="24"/>
      <c r="Q114" s="26" t="str">
        <f t="shared" si="15"/>
        <v/>
      </c>
      <c r="R114" s="29"/>
    </row>
    <row r="115" spans="1:18" ht="15">
      <c r="A115" s="11"/>
      <c r="B115" s="11"/>
      <c r="C115" s="11"/>
      <c r="D115" s="24"/>
      <c r="E115" s="24"/>
      <c r="F115" s="24"/>
      <c r="G115" s="25"/>
      <c r="H115" s="27"/>
      <c r="I115" s="24"/>
      <c r="J115" s="24"/>
      <c r="K115" s="14" t="str">
        <f t="shared" si="12"/>
        <v/>
      </c>
      <c r="L115" s="14" t="str">
        <f t="shared" si="13"/>
        <v/>
      </c>
      <c r="M115" s="14" t="str">
        <f t="shared" si="14"/>
        <v/>
      </c>
      <c r="N115" s="25"/>
      <c r="O115" s="24"/>
      <c r="P115" s="24"/>
      <c r="Q115" s="26" t="str">
        <f t="shared" si="15"/>
        <v/>
      </c>
      <c r="R115" s="29"/>
    </row>
    <row r="116" spans="1:18" ht="15">
      <c r="A116" s="11"/>
      <c r="B116" s="11"/>
      <c r="C116" s="11"/>
      <c r="D116" s="24"/>
      <c r="E116" s="24"/>
      <c r="F116" s="24"/>
      <c r="G116" s="25"/>
      <c r="H116" s="27"/>
      <c r="I116" s="24"/>
      <c r="J116" s="24"/>
      <c r="K116" s="14" t="str">
        <f t="shared" si="12"/>
        <v/>
      </c>
      <c r="L116" s="14" t="str">
        <f t="shared" si="13"/>
        <v/>
      </c>
      <c r="M116" s="14" t="str">
        <f t="shared" si="14"/>
        <v/>
      </c>
      <c r="N116" s="25"/>
      <c r="O116" s="24"/>
      <c r="P116" s="24"/>
      <c r="Q116" s="26" t="str">
        <f t="shared" si="15"/>
        <v/>
      </c>
      <c r="R116" s="29"/>
    </row>
    <row r="117" spans="1:18" ht="15">
      <c r="A117" s="11"/>
      <c r="B117" s="11"/>
      <c r="C117" s="11"/>
      <c r="D117" s="24"/>
      <c r="E117" s="24"/>
      <c r="F117" s="24"/>
      <c r="G117" s="25"/>
      <c r="H117" s="27"/>
      <c r="I117" s="24"/>
      <c r="J117" s="24"/>
      <c r="K117" s="14" t="str">
        <f t="shared" si="12"/>
        <v/>
      </c>
      <c r="L117" s="14" t="str">
        <f t="shared" si="13"/>
        <v/>
      </c>
      <c r="M117" s="14" t="str">
        <f t="shared" si="14"/>
        <v/>
      </c>
      <c r="N117" s="25"/>
      <c r="O117" s="24"/>
      <c r="P117" s="24"/>
      <c r="Q117" s="26" t="str">
        <f t="shared" si="15"/>
        <v/>
      </c>
      <c r="R117" s="29"/>
    </row>
    <row r="118" spans="1:18" ht="15">
      <c r="A118" s="11"/>
      <c r="B118" s="11"/>
      <c r="C118" s="11"/>
      <c r="D118" s="24"/>
      <c r="E118" s="24"/>
      <c r="F118" s="24"/>
      <c r="G118" s="25"/>
      <c r="H118" s="27"/>
      <c r="I118" s="24"/>
      <c r="J118" s="24"/>
      <c r="K118" s="14" t="str">
        <f t="shared" si="12"/>
        <v/>
      </c>
      <c r="L118" s="14" t="str">
        <f t="shared" si="13"/>
        <v/>
      </c>
      <c r="M118" s="14" t="str">
        <f t="shared" si="14"/>
        <v/>
      </c>
      <c r="N118" s="25"/>
      <c r="O118" s="24"/>
      <c r="P118" s="24"/>
      <c r="Q118" s="26" t="str">
        <f t="shared" si="15"/>
        <v/>
      </c>
      <c r="R118" s="29"/>
    </row>
    <row r="119" spans="1:18" ht="15">
      <c r="A119" s="11"/>
      <c r="B119" s="11"/>
      <c r="C119" s="11"/>
      <c r="D119" s="24"/>
      <c r="E119" s="24"/>
      <c r="F119" s="24"/>
      <c r="G119" s="25"/>
      <c r="H119" s="27"/>
      <c r="I119" s="24"/>
      <c r="J119" s="24"/>
      <c r="K119" s="14" t="str">
        <f t="shared" si="12"/>
        <v/>
      </c>
      <c r="L119" s="14" t="str">
        <f t="shared" si="13"/>
        <v/>
      </c>
      <c r="M119" s="14" t="str">
        <f t="shared" si="14"/>
        <v/>
      </c>
      <c r="N119" s="25"/>
      <c r="O119" s="24"/>
      <c r="P119" s="24"/>
      <c r="Q119" s="26" t="str">
        <f t="shared" si="15"/>
        <v/>
      </c>
      <c r="R119" s="29"/>
    </row>
    <row r="120" spans="1:18" ht="15">
      <c r="A120" s="11"/>
      <c r="B120" s="11"/>
      <c r="C120" s="11"/>
      <c r="D120" s="24"/>
      <c r="E120" s="24"/>
      <c r="F120" s="24"/>
      <c r="G120" s="25"/>
      <c r="H120" s="27"/>
      <c r="I120" s="24"/>
      <c r="J120" s="24"/>
      <c r="K120" s="14" t="str">
        <f t="shared" si="12"/>
        <v/>
      </c>
      <c r="L120" s="14" t="str">
        <f t="shared" si="13"/>
        <v/>
      </c>
      <c r="M120" s="14" t="str">
        <f t="shared" si="14"/>
        <v/>
      </c>
      <c r="N120" s="25"/>
      <c r="O120" s="24"/>
      <c r="P120" s="24"/>
      <c r="Q120" s="26" t="str">
        <f t="shared" si="15"/>
        <v/>
      </c>
      <c r="R120" s="29"/>
    </row>
    <row r="121" spans="1:18" ht="15">
      <c r="A121" s="11"/>
      <c r="B121" s="11"/>
      <c r="C121" s="11"/>
      <c r="D121" s="24"/>
      <c r="E121" s="24"/>
      <c r="F121" s="24"/>
      <c r="G121" s="25"/>
      <c r="H121" s="27"/>
      <c r="I121" s="24"/>
      <c r="J121" s="24"/>
      <c r="K121" s="14" t="str">
        <f t="shared" si="12"/>
        <v/>
      </c>
      <c r="L121" s="14" t="str">
        <f t="shared" si="13"/>
        <v/>
      </c>
      <c r="M121" s="14" t="str">
        <f t="shared" si="14"/>
        <v/>
      </c>
      <c r="N121" s="25"/>
      <c r="O121" s="24"/>
      <c r="P121" s="24"/>
      <c r="Q121" s="26" t="str">
        <f t="shared" si="15"/>
        <v/>
      </c>
      <c r="R121" s="29"/>
    </row>
    <row r="122" spans="1:18" ht="15">
      <c r="A122" s="11"/>
      <c r="B122" s="11"/>
      <c r="C122" s="11"/>
      <c r="D122" s="24"/>
      <c r="E122" s="24"/>
      <c r="F122" s="24"/>
      <c r="G122" s="25"/>
      <c r="H122" s="27"/>
      <c r="I122" s="24"/>
      <c r="J122" s="24"/>
      <c r="K122" s="14" t="str">
        <f t="shared" si="12"/>
        <v/>
      </c>
      <c r="L122" s="14" t="str">
        <f t="shared" si="13"/>
        <v/>
      </c>
      <c r="M122" s="14" t="str">
        <f t="shared" si="14"/>
        <v/>
      </c>
      <c r="N122" s="25"/>
      <c r="O122" s="24"/>
      <c r="P122" s="24"/>
      <c r="Q122" s="26" t="str">
        <f t="shared" si="15"/>
        <v/>
      </c>
      <c r="R122" s="29"/>
    </row>
    <row r="123" spans="1:18" ht="15">
      <c r="A123" s="11"/>
      <c r="B123" s="11"/>
      <c r="C123" s="11"/>
      <c r="D123" s="24"/>
      <c r="E123" s="24"/>
      <c r="F123" s="24"/>
      <c r="G123" s="25"/>
      <c r="H123" s="27"/>
      <c r="I123" s="24"/>
      <c r="J123" s="24"/>
      <c r="K123" s="14" t="str">
        <f t="shared" si="12"/>
        <v/>
      </c>
      <c r="L123" s="14" t="str">
        <f t="shared" si="13"/>
        <v/>
      </c>
      <c r="M123" s="14" t="str">
        <f t="shared" si="14"/>
        <v/>
      </c>
      <c r="N123" s="25"/>
      <c r="O123" s="24"/>
      <c r="P123" s="24"/>
      <c r="Q123" s="26" t="str">
        <f t="shared" si="15"/>
        <v/>
      </c>
      <c r="R123" s="29"/>
    </row>
    <row r="124" spans="1:18" ht="15">
      <c r="A124" s="11"/>
      <c r="B124" s="11"/>
      <c r="C124" s="11"/>
      <c r="D124" s="24"/>
      <c r="E124" s="24"/>
      <c r="F124" s="24"/>
      <c r="G124" s="25"/>
      <c r="H124" s="27"/>
      <c r="I124" s="24"/>
      <c r="J124" s="24"/>
      <c r="K124" s="14" t="str">
        <f t="shared" si="12"/>
        <v/>
      </c>
      <c r="L124" s="14" t="str">
        <f t="shared" si="13"/>
        <v/>
      </c>
      <c r="M124" s="14" t="str">
        <f t="shared" si="14"/>
        <v/>
      </c>
      <c r="N124" s="25"/>
      <c r="O124" s="24"/>
      <c r="P124" s="24"/>
      <c r="Q124" s="26" t="str">
        <f t="shared" si="15"/>
        <v/>
      </c>
      <c r="R124" s="29"/>
    </row>
    <row r="125" spans="1:18" ht="15">
      <c r="A125" s="11"/>
      <c r="B125" s="11"/>
      <c r="C125" s="11"/>
      <c r="D125" s="24"/>
      <c r="E125" s="24"/>
      <c r="F125" s="24"/>
      <c r="G125" s="25"/>
      <c r="H125" s="27"/>
      <c r="I125" s="24"/>
      <c r="J125" s="24"/>
      <c r="K125" s="14" t="str">
        <f t="shared" si="12"/>
        <v/>
      </c>
      <c r="L125" s="14" t="str">
        <f t="shared" si="13"/>
        <v/>
      </c>
      <c r="M125" s="14" t="str">
        <f t="shared" si="14"/>
        <v/>
      </c>
      <c r="N125" s="25"/>
      <c r="O125" s="24"/>
      <c r="P125" s="24"/>
      <c r="Q125" s="26" t="str">
        <f t="shared" si="15"/>
        <v/>
      </c>
      <c r="R125" s="29"/>
    </row>
    <row r="126" spans="1:18" ht="15">
      <c r="A126" s="11"/>
      <c r="B126" s="11"/>
      <c r="C126" s="11"/>
      <c r="D126" s="24"/>
      <c r="E126" s="24"/>
      <c r="F126" s="24"/>
      <c r="G126" s="25"/>
      <c r="H126" s="27"/>
      <c r="I126" s="24"/>
      <c r="J126" s="24"/>
      <c r="K126" s="14" t="str">
        <f t="shared" si="12"/>
        <v/>
      </c>
      <c r="L126" s="14" t="str">
        <f t="shared" si="13"/>
        <v/>
      </c>
      <c r="M126" s="14" t="str">
        <f t="shared" si="14"/>
        <v/>
      </c>
      <c r="N126" s="25"/>
      <c r="O126" s="24"/>
      <c r="P126" s="24"/>
      <c r="Q126" s="26" t="str">
        <f t="shared" si="15"/>
        <v/>
      </c>
      <c r="R126" s="29"/>
    </row>
    <row r="127" spans="1:18" ht="15">
      <c r="A127" s="11"/>
      <c r="B127" s="11"/>
      <c r="C127" s="11"/>
      <c r="D127" s="24"/>
      <c r="E127" s="24"/>
      <c r="F127" s="24"/>
      <c r="G127" s="25"/>
      <c r="H127" s="27"/>
      <c r="I127" s="24"/>
      <c r="J127" s="24"/>
      <c r="K127" s="14" t="str">
        <f t="shared" si="12"/>
        <v/>
      </c>
      <c r="L127" s="14" t="str">
        <f t="shared" si="13"/>
        <v/>
      </c>
      <c r="M127" s="14" t="str">
        <f t="shared" si="14"/>
        <v/>
      </c>
      <c r="N127" s="25"/>
      <c r="O127" s="24"/>
      <c r="P127" s="24"/>
      <c r="Q127" s="26" t="str">
        <f t="shared" si="15"/>
        <v/>
      </c>
      <c r="R127" s="29"/>
    </row>
    <row r="128" spans="1:18" ht="15">
      <c r="A128" s="11"/>
      <c r="B128" s="11"/>
      <c r="C128" s="11"/>
      <c r="D128" s="24"/>
      <c r="E128" s="24"/>
      <c r="F128" s="24"/>
      <c r="G128" s="25"/>
      <c r="H128" s="27"/>
      <c r="I128" s="24"/>
      <c r="J128" s="24"/>
      <c r="K128" s="14" t="str">
        <f t="shared" si="12"/>
        <v/>
      </c>
      <c r="L128" s="14" t="str">
        <f t="shared" si="13"/>
        <v/>
      </c>
      <c r="M128" s="14" t="str">
        <f t="shared" si="14"/>
        <v/>
      </c>
      <c r="N128" s="25"/>
      <c r="O128" s="24"/>
      <c r="P128" s="24"/>
      <c r="Q128" s="26" t="str">
        <f t="shared" si="15"/>
        <v/>
      </c>
      <c r="R128" s="29"/>
    </row>
    <row r="129" spans="1:18" ht="15">
      <c r="A129" s="11"/>
      <c r="B129" s="11"/>
      <c r="C129" s="11"/>
      <c r="D129" s="24"/>
      <c r="E129" s="24"/>
      <c r="F129" s="24"/>
      <c r="G129" s="25"/>
      <c r="H129" s="27"/>
      <c r="I129" s="24"/>
      <c r="J129" s="24"/>
      <c r="K129" s="14" t="str">
        <f t="shared" si="12"/>
        <v/>
      </c>
      <c r="L129" s="14" t="str">
        <f t="shared" si="13"/>
        <v/>
      </c>
      <c r="M129" s="14" t="str">
        <f t="shared" si="14"/>
        <v/>
      </c>
      <c r="N129" s="25"/>
      <c r="O129" s="24"/>
      <c r="P129" s="24"/>
      <c r="Q129" s="26" t="str">
        <f t="shared" si="15"/>
        <v/>
      </c>
      <c r="R129" s="29"/>
    </row>
    <row r="130" spans="1:18" ht="15">
      <c r="A130" s="11"/>
      <c r="B130" s="11"/>
      <c r="C130" s="11"/>
      <c r="D130" s="24"/>
      <c r="E130" s="24"/>
      <c r="F130" s="24"/>
      <c r="G130" s="25"/>
      <c r="H130" s="27"/>
      <c r="I130" s="24"/>
      <c r="J130" s="24"/>
      <c r="K130" s="14" t="str">
        <f t="shared" si="12"/>
        <v/>
      </c>
      <c r="L130" s="14" t="str">
        <f t="shared" si="13"/>
        <v/>
      </c>
      <c r="M130" s="14" t="str">
        <f t="shared" si="14"/>
        <v/>
      </c>
      <c r="N130" s="25"/>
      <c r="O130" s="24"/>
      <c r="P130" s="24"/>
      <c r="Q130" s="26" t="str">
        <f t="shared" si="15"/>
        <v/>
      </c>
      <c r="R130" s="29"/>
    </row>
    <row r="131" spans="1:18" ht="15">
      <c r="A131" s="11"/>
      <c r="B131" s="11"/>
      <c r="C131" s="11"/>
      <c r="D131" s="24"/>
      <c r="E131" s="24"/>
      <c r="F131" s="24"/>
      <c r="G131" s="25"/>
      <c r="H131" s="27"/>
      <c r="I131" s="24"/>
      <c r="J131" s="24"/>
      <c r="K131" s="14" t="str">
        <f t="shared" si="12"/>
        <v/>
      </c>
      <c r="L131" s="14" t="str">
        <f t="shared" si="13"/>
        <v/>
      </c>
      <c r="M131" s="14" t="str">
        <f t="shared" si="14"/>
        <v/>
      </c>
      <c r="N131" s="25"/>
      <c r="O131" s="24"/>
      <c r="P131" s="24"/>
      <c r="Q131" s="26" t="str">
        <f t="shared" si="15"/>
        <v/>
      </c>
      <c r="R131" s="29"/>
    </row>
    <row r="132" spans="1:18" ht="15">
      <c r="A132" s="11"/>
      <c r="B132" s="11"/>
      <c r="C132" s="11"/>
      <c r="D132" s="24"/>
      <c r="E132" s="24"/>
      <c r="F132" s="24"/>
      <c r="G132" s="25"/>
      <c r="H132" s="27"/>
      <c r="I132" s="24"/>
      <c r="J132" s="24"/>
      <c r="K132" s="14" t="str">
        <f t="shared" si="12"/>
        <v/>
      </c>
      <c r="L132" s="14" t="str">
        <f t="shared" si="13"/>
        <v/>
      </c>
      <c r="M132" s="14" t="str">
        <f t="shared" si="14"/>
        <v/>
      </c>
      <c r="N132" s="25"/>
      <c r="O132" s="24"/>
      <c r="P132" s="24"/>
      <c r="Q132" s="26" t="str">
        <f t="shared" si="15"/>
        <v/>
      </c>
      <c r="R132" s="29"/>
    </row>
    <row r="133" spans="1:18" ht="15">
      <c r="A133" s="11"/>
      <c r="B133" s="11"/>
      <c r="C133" s="11"/>
      <c r="D133" s="24"/>
      <c r="E133" s="24"/>
      <c r="F133" s="24"/>
      <c r="G133" s="25"/>
      <c r="H133" s="27"/>
      <c r="I133" s="24"/>
      <c r="J133" s="24"/>
      <c r="K133" s="14" t="str">
        <f t="shared" si="12"/>
        <v/>
      </c>
      <c r="L133" s="14" t="str">
        <f t="shared" si="13"/>
        <v/>
      </c>
      <c r="M133" s="14" t="str">
        <f t="shared" si="14"/>
        <v/>
      </c>
      <c r="N133" s="25"/>
      <c r="O133" s="24"/>
      <c r="P133" s="24"/>
      <c r="Q133" s="26" t="str">
        <f t="shared" si="15"/>
        <v/>
      </c>
      <c r="R133" s="29"/>
    </row>
    <row r="134" spans="1:18" ht="15">
      <c r="A134" s="11"/>
      <c r="B134" s="11"/>
      <c r="C134" s="11"/>
      <c r="D134" s="24"/>
      <c r="E134" s="24"/>
      <c r="F134" s="24"/>
      <c r="G134" s="25"/>
      <c r="H134" s="27"/>
      <c r="I134" s="24"/>
      <c r="J134" s="24"/>
      <c r="K134" s="14" t="str">
        <f t="shared" si="12"/>
        <v/>
      </c>
      <c r="L134" s="14" t="str">
        <f t="shared" si="13"/>
        <v/>
      </c>
      <c r="M134" s="14" t="str">
        <f t="shared" si="14"/>
        <v/>
      </c>
      <c r="N134" s="25"/>
      <c r="O134" s="24"/>
      <c r="P134" s="24"/>
      <c r="Q134" s="26" t="str">
        <f t="shared" si="15"/>
        <v/>
      </c>
      <c r="R134" s="29"/>
    </row>
    <row r="135" spans="1:18" ht="15">
      <c r="A135" s="11"/>
      <c r="B135" s="11"/>
      <c r="C135" s="11"/>
      <c r="D135" s="24"/>
      <c r="E135" s="24"/>
      <c r="F135" s="24"/>
      <c r="G135" s="25"/>
      <c r="H135" s="27"/>
      <c r="I135" s="24"/>
      <c r="J135" s="24"/>
      <c r="K135" s="14" t="str">
        <f t="shared" ref="K135:K166" si="16">IF(N135&lt;&gt;"","",IF(AND(G135&lt;&gt;"",H135&lt;&gt;"",J135&lt;&gt;""),ROUND(PPMT(H135,1,J135,-G135),0),""))</f>
        <v/>
      </c>
      <c r="L135" s="14" t="str">
        <f t="shared" ref="L135:L166" si="17">IF(N135&lt;&gt;"","",IF(AND(G135&lt;&gt;"",H135&lt;&gt;""),ROUND(G135*H135,0),""))</f>
        <v/>
      </c>
      <c r="M135" s="14" t="str">
        <f t="shared" ref="M135:M166" si="18">IF(N135&lt;&gt;"",N135,IF(AND(G135&lt;&gt;"",H135&lt;&gt;"",J135&lt;&gt;""),ROUND(PMT(H135,J135,-G135),0),""))</f>
        <v/>
      </c>
      <c r="N135" s="25"/>
      <c r="O135" s="24"/>
      <c r="P135" s="24"/>
      <c r="Q135" s="26" t="str">
        <f t="shared" ref="Q135:Q166" si="19">IF(A135="","",IF(D135="No","Excluded",IF(AND(OR(F135="N/A",E135="No Debt / N/A"),G135=""),"No Debt / N/A",IF(M135&lt;&gt;"","Ready","Partial"))))</f>
        <v/>
      </c>
      <c r="R135" s="29"/>
    </row>
    <row r="136" spans="1:18" ht="15">
      <c r="A136" s="11"/>
      <c r="B136" s="11"/>
      <c r="C136" s="11"/>
      <c r="D136" s="24"/>
      <c r="E136" s="24"/>
      <c r="F136" s="24"/>
      <c r="G136" s="25"/>
      <c r="H136" s="27"/>
      <c r="I136" s="24"/>
      <c r="J136" s="24"/>
      <c r="K136" s="14" t="str">
        <f t="shared" si="16"/>
        <v/>
      </c>
      <c r="L136" s="14" t="str">
        <f t="shared" si="17"/>
        <v/>
      </c>
      <c r="M136" s="14" t="str">
        <f t="shared" si="18"/>
        <v/>
      </c>
      <c r="N136" s="25"/>
      <c r="O136" s="24"/>
      <c r="P136" s="24"/>
      <c r="Q136" s="26" t="str">
        <f t="shared" si="19"/>
        <v/>
      </c>
      <c r="R136" s="29"/>
    </row>
    <row r="137" spans="1:18" ht="15">
      <c r="A137" s="11"/>
      <c r="B137" s="11"/>
      <c r="C137" s="11"/>
      <c r="D137" s="24"/>
      <c r="E137" s="24"/>
      <c r="F137" s="24"/>
      <c r="G137" s="25"/>
      <c r="H137" s="27"/>
      <c r="I137" s="24"/>
      <c r="J137" s="24"/>
      <c r="K137" s="14" t="str">
        <f t="shared" si="16"/>
        <v/>
      </c>
      <c r="L137" s="14" t="str">
        <f t="shared" si="17"/>
        <v/>
      </c>
      <c r="M137" s="14" t="str">
        <f t="shared" si="18"/>
        <v/>
      </c>
      <c r="N137" s="25"/>
      <c r="O137" s="24"/>
      <c r="P137" s="24"/>
      <c r="Q137" s="26" t="str">
        <f t="shared" si="19"/>
        <v/>
      </c>
      <c r="R137" s="29"/>
    </row>
    <row r="138" spans="1:18" ht="15">
      <c r="A138" s="11"/>
      <c r="B138" s="11"/>
      <c r="C138" s="11"/>
      <c r="D138" s="24"/>
      <c r="E138" s="24"/>
      <c r="F138" s="24"/>
      <c r="G138" s="25"/>
      <c r="H138" s="27"/>
      <c r="I138" s="24"/>
      <c r="J138" s="24"/>
      <c r="K138" s="14" t="str">
        <f t="shared" si="16"/>
        <v/>
      </c>
      <c r="L138" s="14" t="str">
        <f t="shared" si="17"/>
        <v/>
      </c>
      <c r="M138" s="14" t="str">
        <f t="shared" si="18"/>
        <v/>
      </c>
      <c r="N138" s="25"/>
      <c r="O138" s="24"/>
      <c r="P138" s="24"/>
      <c r="Q138" s="26" t="str">
        <f t="shared" si="19"/>
        <v/>
      </c>
      <c r="R138" s="29"/>
    </row>
    <row r="139" spans="1:18" ht="15">
      <c r="A139" s="11"/>
      <c r="B139" s="11"/>
      <c r="C139" s="11"/>
      <c r="D139" s="24"/>
      <c r="E139" s="24"/>
      <c r="F139" s="24"/>
      <c r="G139" s="25"/>
      <c r="H139" s="27"/>
      <c r="I139" s="24"/>
      <c r="J139" s="24"/>
      <c r="K139" s="14" t="str">
        <f t="shared" si="16"/>
        <v/>
      </c>
      <c r="L139" s="14" t="str">
        <f t="shared" si="17"/>
        <v/>
      </c>
      <c r="M139" s="14" t="str">
        <f t="shared" si="18"/>
        <v/>
      </c>
      <c r="N139" s="25"/>
      <c r="O139" s="24"/>
      <c r="P139" s="24"/>
      <c r="Q139" s="26" t="str">
        <f t="shared" si="19"/>
        <v/>
      </c>
      <c r="R139" s="29"/>
    </row>
    <row r="140" spans="1:18" ht="15">
      <c r="A140" s="11"/>
      <c r="B140" s="11"/>
      <c r="C140" s="11"/>
      <c r="D140" s="24"/>
      <c r="E140" s="24"/>
      <c r="F140" s="24"/>
      <c r="G140" s="25"/>
      <c r="H140" s="27"/>
      <c r="I140" s="24"/>
      <c r="J140" s="24"/>
      <c r="K140" s="14" t="str">
        <f t="shared" si="16"/>
        <v/>
      </c>
      <c r="L140" s="14" t="str">
        <f t="shared" si="17"/>
        <v/>
      </c>
      <c r="M140" s="14" t="str">
        <f t="shared" si="18"/>
        <v/>
      </c>
      <c r="N140" s="25"/>
      <c r="O140" s="24"/>
      <c r="P140" s="24"/>
      <c r="Q140" s="26" t="str">
        <f t="shared" si="19"/>
        <v/>
      </c>
      <c r="R140" s="29"/>
    </row>
    <row r="141" spans="1:18" ht="15">
      <c r="A141" s="11"/>
      <c r="B141" s="11"/>
      <c r="C141" s="11"/>
      <c r="D141" s="24"/>
      <c r="E141" s="24"/>
      <c r="F141" s="24"/>
      <c r="G141" s="25"/>
      <c r="H141" s="27"/>
      <c r="I141" s="24"/>
      <c r="J141" s="24"/>
      <c r="K141" s="14" t="str">
        <f t="shared" si="16"/>
        <v/>
      </c>
      <c r="L141" s="14" t="str">
        <f t="shared" si="17"/>
        <v/>
      </c>
      <c r="M141" s="14" t="str">
        <f t="shared" si="18"/>
        <v/>
      </c>
      <c r="N141" s="25"/>
      <c r="O141" s="24"/>
      <c r="P141" s="24"/>
      <c r="Q141" s="26" t="str">
        <f t="shared" si="19"/>
        <v/>
      </c>
      <c r="R141" s="29"/>
    </row>
    <row r="142" spans="1:18" ht="15">
      <c r="A142" s="11"/>
      <c r="B142" s="11"/>
      <c r="C142" s="11"/>
      <c r="D142" s="24"/>
      <c r="E142" s="24"/>
      <c r="F142" s="24"/>
      <c r="G142" s="25"/>
      <c r="H142" s="27"/>
      <c r="I142" s="24"/>
      <c r="J142" s="24"/>
      <c r="K142" s="14" t="str">
        <f t="shared" si="16"/>
        <v/>
      </c>
      <c r="L142" s="14" t="str">
        <f t="shared" si="17"/>
        <v/>
      </c>
      <c r="M142" s="14" t="str">
        <f t="shared" si="18"/>
        <v/>
      </c>
      <c r="N142" s="25"/>
      <c r="O142" s="24"/>
      <c r="P142" s="24"/>
      <c r="Q142" s="26" t="str">
        <f t="shared" si="19"/>
        <v/>
      </c>
      <c r="R142" s="29"/>
    </row>
    <row r="143" spans="1:18" ht="15">
      <c r="A143" s="11"/>
      <c r="B143" s="11"/>
      <c r="C143" s="11"/>
      <c r="D143" s="24"/>
      <c r="E143" s="24"/>
      <c r="F143" s="24"/>
      <c r="G143" s="25"/>
      <c r="H143" s="27"/>
      <c r="I143" s="24"/>
      <c r="J143" s="24"/>
      <c r="K143" s="14" t="str">
        <f t="shared" si="16"/>
        <v/>
      </c>
      <c r="L143" s="14" t="str">
        <f t="shared" si="17"/>
        <v/>
      </c>
      <c r="M143" s="14" t="str">
        <f t="shared" si="18"/>
        <v/>
      </c>
      <c r="N143" s="25"/>
      <c r="O143" s="24"/>
      <c r="P143" s="24"/>
      <c r="Q143" s="26" t="str">
        <f t="shared" si="19"/>
        <v/>
      </c>
      <c r="R143" s="29"/>
    </row>
    <row r="144" spans="1:18" ht="15">
      <c r="A144" s="11"/>
      <c r="B144" s="11"/>
      <c r="C144" s="11"/>
      <c r="D144" s="24"/>
      <c r="E144" s="24"/>
      <c r="F144" s="24"/>
      <c r="G144" s="25"/>
      <c r="H144" s="27"/>
      <c r="I144" s="24"/>
      <c r="J144" s="24"/>
      <c r="K144" s="14" t="str">
        <f t="shared" si="16"/>
        <v/>
      </c>
      <c r="L144" s="14" t="str">
        <f t="shared" si="17"/>
        <v/>
      </c>
      <c r="M144" s="14" t="str">
        <f t="shared" si="18"/>
        <v/>
      </c>
      <c r="N144" s="25"/>
      <c r="O144" s="24"/>
      <c r="P144" s="24"/>
      <c r="Q144" s="26" t="str">
        <f t="shared" si="19"/>
        <v/>
      </c>
      <c r="R144" s="29"/>
    </row>
    <row r="145" spans="1:18" ht="15">
      <c r="A145" s="11"/>
      <c r="B145" s="11"/>
      <c r="C145" s="11"/>
      <c r="D145" s="24"/>
      <c r="E145" s="24"/>
      <c r="F145" s="24"/>
      <c r="G145" s="25"/>
      <c r="H145" s="27"/>
      <c r="I145" s="24"/>
      <c r="J145" s="24"/>
      <c r="K145" s="14" t="str">
        <f t="shared" si="16"/>
        <v/>
      </c>
      <c r="L145" s="14" t="str">
        <f t="shared" si="17"/>
        <v/>
      </c>
      <c r="M145" s="14" t="str">
        <f t="shared" si="18"/>
        <v/>
      </c>
      <c r="N145" s="25"/>
      <c r="O145" s="24"/>
      <c r="P145" s="24"/>
      <c r="Q145" s="26" t="str">
        <f t="shared" si="19"/>
        <v/>
      </c>
      <c r="R145" s="29"/>
    </row>
    <row r="146" spans="1:18" ht="15">
      <c r="A146" s="11"/>
      <c r="B146" s="11"/>
      <c r="C146" s="11"/>
      <c r="D146" s="24"/>
      <c r="E146" s="24"/>
      <c r="F146" s="24"/>
      <c r="G146" s="25"/>
      <c r="H146" s="27"/>
      <c r="I146" s="24"/>
      <c r="J146" s="24"/>
      <c r="K146" s="14" t="str">
        <f t="shared" si="16"/>
        <v/>
      </c>
      <c r="L146" s="14" t="str">
        <f t="shared" si="17"/>
        <v/>
      </c>
      <c r="M146" s="14" t="str">
        <f t="shared" si="18"/>
        <v/>
      </c>
      <c r="N146" s="25"/>
      <c r="O146" s="24"/>
      <c r="P146" s="24"/>
      <c r="Q146" s="26" t="str">
        <f t="shared" si="19"/>
        <v/>
      </c>
      <c r="R146" s="29"/>
    </row>
    <row r="147" spans="1:18" ht="15">
      <c r="A147" s="11"/>
      <c r="B147" s="11"/>
      <c r="C147" s="11"/>
      <c r="D147" s="24"/>
      <c r="E147" s="24"/>
      <c r="F147" s="24"/>
      <c r="G147" s="25"/>
      <c r="H147" s="27"/>
      <c r="I147" s="24"/>
      <c r="J147" s="24"/>
      <c r="K147" s="14" t="str">
        <f t="shared" si="16"/>
        <v/>
      </c>
      <c r="L147" s="14" t="str">
        <f t="shared" si="17"/>
        <v/>
      </c>
      <c r="M147" s="14" t="str">
        <f t="shared" si="18"/>
        <v/>
      </c>
      <c r="N147" s="25"/>
      <c r="O147" s="24"/>
      <c r="P147" s="24"/>
      <c r="Q147" s="26" t="str">
        <f t="shared" si="19"/>
        <v/>
      </c>
      <c r="R147" s="29"/>
    </row>
    <row r="148" spans="1:18" ht="15">
      <c r="A148" s="11"/>
      <c r="B148" s="11"/>
      <c r="C148" s="11"/>
      <c r="D148" s="24"/>
      <c r="E148" s="24"/>
      <c r="F148" s="24"/>
      <c r="G148" s="25"/>
      <c r="H148" s="27"/>
      <c r="I148" s="24"/>
      <c r="J148" s="24"/>
      <c r="K148" s="14" t="str">
        <f t="shared" si="16"/>
        <v/>
      </c>
      <c r="L148" s="14" t="str">
        <f t="shared" si="17"/>
        <v/>
      </c>
      <c r="M148" s="14" t="str">
        <f t="shared" si="18"/>
        <v/>
      </c>
      <c r="N148" s="25"/>
      <c r="O148" s="24"/>
      <c r="P148" s="24"/>
      <c r="Q148" s="26" t="str">
        <f t="shared" si="19"/>
        <v/>
      </c>
      <c r="R148" s="29"/>
    </row>
    <row r="149" spans="1:18" ht="15">
      <c r="A149" s="11"/>
      <c r="B149" s="11"/>
      <c r="C149" s="11"/>
      <c r="D149" s="24"/>
      <c r="E149" s="24"/>
      <c r="F149" s="24"/>
      <c r="G149" s="25"/>
      <c r="H149" s="27"/>
      <c r="I149" s="24"/>
      <c r="J149" s="24"/>
      <c r="K149" s="14" t="str">
        <f t="shared" si="16"/>
        <v/>
      </c>
      <c r="L149" s="14" t="str">
        <f t="shared" si="17"/>
        <v/>
      </c>
      <c r="M149" s="14" t="str">
        <f t="shared" si="18"/>
        <v/>
      </c>
      <c r="N149" s="25"/>
      <c r="O149" s="24"/>
      <c r="P149" s="24"/>
      <c r="Q149" s="26" t="str">
        <f t="shared" si="19"/>
        <v/>
      </c>
      <c r="R149" s="29"/>
    </row>
    <row r="150" spans="1:18" ht="15">
      <c r="A150" s="11"/>
      <c r="B150" s="11"/>
      <c r="C150" s="11"/>
      <c r="D150" s="24"/>
      <c r="E150" s="24"/>
      <c r="F150" s="24"/>
      <c r="G150" s="25"/>
      <c r="H150" s="27"/>
      <c r="I150" s="24"/>
      <c r="J150" s="24"/>
      <c r="K150" s="14" t="str">
        <f t="shared" si="16"/>
        <v/>
      </c>
      <c r="L150" s="14" t="str">
        <f t="shared" si="17"/>
        <v/>
      </c>
      <c r="M150" s="14" t="str">
        <f t="shared" si="18"/>
        <v/>
      </c>
      <c r="N150" s="25"/>
      <c r="O150" s="24"/>
      <c r="P150" s="24"/>
      <c r="Q150" s="26" t="str">
        <f t="shared" si="19"/>
        <v/>
      </c>
      <c r="R150" s="29"/>
    </row>
    <row r="151" spans="1:18" ht="15">
      <c r="A151" s="11"/>
      <c r="B151" s="11"/>
      <c r="C151" s="11"/>
      <c r="D151" s="24"/>
      <c r="E151" s="24"/>
      <c r="F151" s="24"/>
      <c r="G151" s="25"/>
      <c r="H151" s="27"/>
      <c r="I151" s="24"/>
      <c r="J151" s="24"/>
      <c r="K151" s="14" t="str">
        <f t="shared" si="16"/>
        <v/>
      </c>
      <c r="L151" s="14" t="str">
        <f t="shared" si="17"/>
        <v/>
      </c>
      <c r="M151" s="14" t="str">
        <f t="shared" si="18"/>
        <v/>
      </c>
      <c r="N151" s="25"/>
      <c r="O151" s="24"/>
      <c r="P151" s="24"/>
      <c r="Q151" s="26" t="str">
        <f t="shared" si="19"/>
        <v/>
      </c>
      <c r="R151" s="29"/>
    </row>
    <row r="152" spans="1:18" ht="15">
      <c r="A152" s="11"/>
      <c r="B152" s="11"/>
      <c r="C152" s="11"/>
      <c r="D152" s="24"/>
      <c r="E152" s="24"/>
      <c r="F152" s="24"/>
      <c r="G152" s="25"/>
      <c r="H152" s="27"/>
      <c r="I152" s="24"/>
      <c r="J152" s="24"/>
      <c r="K152" s="14" t="str">
        <f t="shared" si="16"/>
        <v/>
      </c>
      <c r="L152" s="14" t="str">
        <f t="shared" si="17"/>
        <v/>
      </c>
      <c r="M152" s="14" t="str">
        <f t="shared" si="18"/>
        <v/>
      </c>
      <c r="N152" s="25"/>
      <c r="O152" s="24"/>
      <c r="P152" s="24"/>
      <c r="Q152" s="26" t="str">
        <f t="shared" si="19"/>
        <v/>
      </c>
      <c r="R152" s="29"/>
    </row>
    <row r="153" spans="1:18" ht="15">
      <c r="A153" s="11"/>
      <c r="B153" s="11"/>
      <c r="C153" s="11"/>
      <c r="D153" s="24"/>
      <c r="E153" s="24"/>
      <c r="F153" s="24"/>
      <c r="G153" s="25"/>
      <c r="H153" s="27"/>
      <c r="I153" s="24"/>
      <c r="J153" s="24"/>
      <c r="K153" s="14" t="str">
        <f t="shared" si="16"/>
        <v/>
      </c>
      <c r="L153" s="14" t="str">
        <f t="shared" si="17"/>
        <v/>
      </c>
      <c r="M153" s="14" t="str">
        <f t="shared" si="18"/>
        <v/>
      </c>
      <c r="N153" s="25"/>
      <c r="O153" s="24"/>
      <c r="P153" s="24"/>
      <c r="Q153" s="26" t="str">
        <f t="shared" si="19"/>
        <v/>
      </c>
      <c r="R153" s="29"/>
    </row>
    <row r="154" spans="1:18" ht="15">
      <c r="A154" s="11"/>
      <c r="B154" s="11"/>
      <c r="C154" s="11"/>
      <c r="D154" s="24"/>
      <c r="E154" s="24"/>
      <c r="F154" s="24"/>
      <c r="G154" s="25"/>
      <c r="H154" s="27"/>
      <c r="I154" s="24"/>
      <c r="J154" s="24"/>
      <c r="K154" s="14" t="str">
        <f t="shared" si="16"/>
        <v/>
      </c>
      <c r="L154" s="14" t="str">
        <f t="shared" si="17"/>
        <v/>
      </c>
      <c r="M154" s="14" t="str">
        <f t="shared" si="18"/>
        <v/>
      </c>
      <c r="N154" s="25"/>
      <c r="O154" s="24"/>
      <c r="P154" s="24"/>
      <c r="Q154" s="26" t="str">
        <f t="shared" si="19"/>
        <v/>
      </c>
      <c r="R154" s="29"/>
    </row>
    <row r="155" spans="1:18" ht="15">
      <c r="A155" s="11"/>
      <c r="B155" s="11"/>
      <c r="C155" s="11"/>
      <c r="D155" s="24"/>
      <c r="E155" s="24"/>
      <c r="F155" s="24"/>
      <c r="G155" s="25"/>
      <c r="H155" s="27"/>
      <c r="I155" s="24"/>
      <c r="J155" s="24"/>
      <c r="K155" s="14" t="str">
        <f t="shared" si="16"/>
        <v/>
      </c>
      <c r="L155" s="14" t="str">
        <f t="shared" si="17"/>
        <v/>
      </c>
      <c r="M155" s="14" t="str">
        <f t="shared" si="18"/>
        <v/>
      </c>
      <c r="N155" s="25"/>
      <c r="O155" s="24"/>
      <c r="P155" s="24"/>
      <c r="Q155" s="26" t="str">
        <f t="shared" si="19"/>
        <v/>
      </c>
      <c r="R155" s="29"/>
    </row>
    <row r="156" spans="1:18" ht="15">
      <c r="A156" s="11"/>
      <c r="B156" s="11"/>
      <c r="C156" s="11"/>
      <c r="D156" s="24"/>
      <c r="E156" s="24"/>
      <c r="F156" s="24"/>
      <c r="G156" s="25"/>
      <c r="H156" s="27"/>
      <c r="I156" s="24"/>
      <c r="J156" s="24"/>
      <c r="K156" s="14" t="str">
        <f t="shared" si="16"/>
        <v/>
      </c>
      <c r="L156" s="14" t="str">
        <f t="shared" si="17"/>
        <v/>
      </c>
      <c r="M156" s="14" t="str">
        <f t="shared" si="18"/>
        <v/>
      </c>
      <c r="N156" s="25"/>
      <c r="O156" s="24"/>
      <c r="P156" s="24"/>
      <c r="Q156" s="26" t="str">
        <f t="shared" si="19"/>
        <v/>
      </c>
      <c r="R156" s="29"/>
    </row>
    <row r="157" spans="1:18" ht="15">
      <c r="A157" s="11"/>
      <c r="B157" s="11"/>
      <c r="C157" s="11"/>
      <c r="D157" s="24"/>
      <c r="E157" s="24"/>
      <c r="F157" s="24"/>
      <c r="G157" s="25"/>
      <c r="H157" s="27"/>
      <c r="I157" s="24"/>
      <c r="J157" s="24"/>
      <c r="K157" s="14" t="str">
        <f t="shared" si="16"/>
        <v/>
      </c>
      <c r="L157" s="14" t="str">
        <f t="shared" si="17"/>
        <v/>
      </c>
      <c r="M157" s="14" t="str">
        <f t="shared" si="18"/>
        <v/>
      </c>
      <c r="N157" s="25"/>
      <c r="O157" s="24"/>
      <c r="P157" s="24"/>
      <c r="Q157" s="26" t="str">
        <f t="shared" si="19"/>
        <v/>
      </c>
      <c r="R157" s="29"/>
    </row>
    <row r="158" spans="1:18" ht="15">
      <c r="A158" s="11"/>
      <c r="B158" s="11"/>
      <c r="C158" s="11"/>
      <c r="D158" s="24"/>
      <c r="E158" s="24"/>
      <c r="F158" s="24"/>
      <c r="G158" s="25"/>
      <c r="H158" s="27"/>
      <c r="I158" s="24"/>
      <c r="J158" s="24"/>
      <c r="K158" s="14" t="str">
        <f t="shared" si="16"/>
        <v/>
      </c>
      <c r="L158" s="14" t="str">
        <f t="shared" si="17"/>
        <v/>
      </c>
      <c r="M158" s="14" t="str">
        <f t="shared" si="18"/>
        <v/>
      </c>
      <c r="N158" s="25"/>
      <c r="O158" s="24"/>
      <c r="P158" s="24"/>
      <c r="Q158" s="26" t="str">
        <f t="shared" si="19"/>
        <v/>
      </c>
      <c r="R158" s="29"/>
    </row>
    <row r="159" spans="1:18" ht="15">
      <c r="A159" s="11"/>
      <c r="B159" s="11"/>
      <c r="C159" s="11"/>
      <c r="D159" s="24"/>
      <c r="E159" s="24"/>
      <c r="F159" s="24"/>
      <c r="G159" s="25"/>
      <c r="H159" s="27"/>
      <c r="I159" s="24"/>
      <c r="J159" s="24"/>
      <c r="K159" s="14" t="str">
        <f t="shared" si="16"/>
        <v/>
      </c>
      <c r="L159" s="14" t="str">
        <f t="shared" si="17"/>
        <v/>
      </c>
      <c r="M159" s="14" t="str">
        <f t="shared" si="18"/>
        <v/>
      </c>
      <c r="N159" s="25"/>
      <c r="O159" s="24"/>
      <c r="P159" s="24"/>
      <c r="Q159" s="26" t="str">
        <f t="shared" si="19"/>
        <v/>
      </c>
      <c r="R159" s="29"/>
    </row>
    <row r="160" spans="1:18" ht="15">
      <c r="A160" s="11"/>
      <c r="B160" s="11"/>
      <c r="C160" s="11"/>
      <c r="D160" s="24"/>
      <c r="E160" s="24"/>
      <c r="F160" s="24"/>
      <c r="G160" s="25"/>
      <c r="H160" s="27"/>
      <c r="I160" s="24"/>
      <c r="J160" s="24"/>
      <c r="K160" s="14" t="str">
        <f t="shared" si="16"/>
        <v/>
      </c>
      <c r="L160" s="14" t="str">
        <f t="shared" si="17"/>
        <v/>
      </c>
      <c r="M160" s="14" t="str">
        <f t="shared" si="18"/>
        <v/>
      </c>
      <c r="N160" s="25"/>
      <c r="O160" s="24"/>
      <c r="P160" s="24"/>
      <c r="Q160" s="26" t="str">
        <f t="shared" si="19"/>
        <v/>
      </c>
      <c r="R160" s="29"/>
    </row>
    <row r="161" spans="1:18" ht="15">
      <c r="A161" s="11"/>
      <c r="B161" s="11"/>
      <c r="C161" s="11"/>
      <c r="D161" s="24"/>
      <c r="E161" s="24"/>
      <c r="F161" s="24"/>
      <c r="G161" s="25"/>
      <c r="H161" s="27"/>
      <c r="I161" s="24"/>
      <c r="J161" s="24"/>
      <c r="K161" s="14" t="str">
        <f t="shared" si="16"/>
        <v/>
      </c>
      <c r="L161" s="14" t="str">
        <f t="shared" si="17"/>
        <v/>
      </c>
      <c r="M161" s="14" t="str">
        <f t="shared" si="18"/>
        <v/>
      </c>
      <c r="N161" s="25"/>
      <c r="O161" s="24"/>
      <c r="P161" s="24"/>
      <c r="Q161" s="26" t="str">
        <f t="shared" si="19"/>
        <v/>
      </c>
      <c r="R161" s="29"/>
    </row>
    <row r="162" spans="1:18" ht="15">
      <c r="A162" s="11"/>
      <c r="B162" s="11"/>
      <c r="C162" s="11"/>
      <c r="D162" s="24"/>
      <c r="E162" s="24"/>
      <c r="F162" s="24"/>
      <c r="G162" s="25"/>
      <c r="H162" s="27"/>
      <c r="I162" s="24"/>
      <c r="J162" s="24"/>
      <c r="K162" s="14" t="str">
        <f t="shared" si="16"/>
        <v/>
      </c>
      <c r="L162" s="14" t="str">
        <f t="shared" si="17"/>
        <v/>
      </c>
      <c r="M162" s="14" t="str">
        <f t="shared" si="18"/>
        <v/>
      </c>
      <c r="N162" s="25"/>
      <c r="O162" s="24"/>
      <c r="P162" s="24"/>
      <c r="Q162" s="26" t="str">
        <f t="shared" si="19"/>
        <v/>
      </c>
      <c r="R162" s="29"/>
    </row>
    <row r="163" spans="1:18" ht="15">
      <c r="A163" s="11"/>
      <c r="B163" s="11"/>
      <c r="C163" s="11"/>
      <c r="D163" s="24"/>
      <c r="E163" s="24"/>
      <c r="F163" s="24"/>
      <c r="G163" s="25"/>
      <c r="H163" s="27"/>
      <c r="I163" s="24"/>
      <c r="J163" s="24"/>
      <c r="K163" s="14" t="str">
        <f t="shared" si="16"/>
        <v/>
      </c>
      <c r="L163" s="14" t="str">
        <f t="shared" si="17"/>
        <v/>
      </c>
      <c r="M163" s="14" t="str">
        <f t="shared" si="18"/>
        <v/>
      </c>
      <c r="N163" s="25"/>
      <c r="O163" s="24"/>
      <c r="P163" s="24"/>
      <c r="Q163" s="26" t="str">
        <f t="shared" si="19"/>
        <v/>
      </c>
      <c r="R163" s="29"/>
    </row>
    <row r="164" spans="1:18" ht="15">
      <c r="A164" s="11"/>
      <c r="B164" s="11"/>
      <c r="C164" s="11"/>
      <c r="D164" s="24"/>
      <c r="E164" s="24"/>
      <c r="F164" s="24"/>
      <c r="G164" s="25"/>
      <c r="H164" s="27"/>
      <c r="I164" s="24"/>
      <c r="J164" s="24"/>
      <c r="K164" s="14" t="str">
        <f t="shared" si="16"/>
        <v/>
      </c>
      <c r="L164" s="14" t="str">
        <f t="shared" si="17"/>
        <v/>
      </c>
      <c r="M164" s="14" t="str">
        <f t="shared" si="18"/>
        <v/>
      </c>
      <c r="N164" s="25"/>
      <c r="O164" s="24"/>
      <c r="P164" s="24"/>
      <c r="Q164" s="26" t="str">
        <f t="shared" si="19"/>
        <v/>
      </c>
      <c r="R164" s="29"/>
    </row>
    <row r="165" spans="1:18" ht="15">
      <c r="A165" s="11"/>
      <c r="B165" s="11"/>
      <c r="C165" s="11"/>
      <c r="D165" s="24"/>
      <c r="E165" s="24"/>
      <c r="F165" s="24"/>
      <c r="G165" s="25"/>
      <c r="H165" s="27"/>
      <c r="I165" s="24"/>
      <c r="J165" s="24"/>
      <c r="K165" s="14" t="str">
        <f t="shared" si="16"/>
        <v/>
      </c>
      <c r="L165" s="14" t="str">
        <f t="shared" si="17"/>
        <v/>
      </c>
      <c r="M165" s="14" t="str">
        <f t="shared" si="18"/>
        <v/>
      </c>
      <c r="N165" s="25"/>
      <c r="O165" s="24"/>
      <c r="P165" s="24"/>
      <c r="Q165" s="26" t="str">
        <f t="shared" si="19"/>
        <v/>
      </c>
      <c r="R165" s="29"/>
    </row>
    <row r="166" spans="1:18" ht="15">
      <c r="A166" s="11"/>
      <c r="B166" s="11"/>
      <c r="C166" s="11"/>
      <c r="D166" s="24"/>
      <c r="E166" s="24"/>
      <c r="F166" s="24"/>
      <c r="G166" s="25"/>
      <c r="H166" s="27"/>
      <c r="I166" s="24"/>
      <c r="J166" s="24"/>
      <c r="K166" s="14" t="str">
        <f t="shared" si="16"/>
        <v/>
      </c>
      <c r="L166" s="14" t="str">
        <f t="shared" si="17"/>
        <v/>
      </c>
      <c r="M166" s="14" t="str">
        <f t="shared" si="18"/>
        <v/>
      </c>
      <c r="N166" s="25"/>
      <c r="O166" s="24"/>
      <c r="P166" s="24"/>
      <c r="Q166" s="26" t="str">
        <f t="shared" si="19"/>
        <v/>
      </c>
      <c r="R166" s="29"/>
    </row>
    <row r="167" spans="1:18" ht="15">
      <c r="A167" s="11"/>
      <c r="B167" s="11"/>
      <c r="C167" s="11"/>
      <c r="D167" s="24"/>
      <c r="E167" s="24"/>
      <c r="F167" s="24"/>
      <c r="G167" s="25"/>
      <c r="H167" s="27"/>
      <c r="I167" s="24"/>
      <c r="J167" s="24"/>
      <c r="K167" s="14" t="str">
        <f t="shared" ref="K167:K198" si="20">IF(N167&lt;&gt;"","",IF(AND(G167&lt;&gt;"",H167&lt;&gt;"",J167&lt;&gt;""),ROUND(PPMT(H167,1,J167,-G167),0),""))</f>
        <v/>
      </c>
      <c r="L167" s="14" t="str">
        <f t="shared" ref="L167:L198" si="21">IF(N167&lt;&gt;"","",IF(AND(G167&lt;&gt;"",H167&lt;&gt;""),ROUND(G167*H167,0),""))</f>
        <v/>
      </c>
      <c r="M167" s="14" t="str">
        <f t="shared" ref="M167:M198" si="22">IF(N167&lt;&gt;"",N167,IF(AND(G167&lt;&gt;"",H167&lt;&gt;"",J167&lt;&gt;""),ROUND(PMT(H167,J167,-G167),0),""))</f>
        <v/>
      </c>
      <c r="N167" s="25"/>
      <c r="O167" s="24"/>
      <c r="P167" s="24"/>
      <c r="Q167" s="26" t="str">
        <f t="shared" ref="Q167:Q198" si="23">IF(A167="","",IF(D167="No","Excluded",IF(AND(OR(F167="N/A",E167="No Debt / N/A"),G167=""),"No Debt / N/A",IF(M167&lt;&gt;"","Ready","Partial"))))</f>
        <v/>
      </c>
      <c r="R167" s="29"/>
    </row>
    <row r="168" spans="1:18" ht="15">
      <c r="A168" s="11"/>
      <c r="B168" s="11"/>
      <c r="C168" s="11"/>
      <c r="D168" s="24"/>
      <c r="E168" s="24"/>
      <c r="F168" s="24"/>
      <c r="G168" s="25"/>
      <c r="H168" s="27"/>
      <c r="I168" s="24"/>
      <c r="J168" s="24"/>
      <c r="K168" s="14" t="str">
        <f t="shared" si="20"/>
        <v/>
      </c>
      <c r="L168" s="14" t="str">
        <f t="shared" si="21"/>
        <v/>
      </c>
      <c r="M168" s="14" t="str">
        <f t="shared" si="22"/>
        <v/>
      </c>
      <c r="N168" s="25"/>
      <c r="O168" s="24"/>
      <c r="P168" s="24"/>
      <c r="Q168" s="26" t="str">
        <f t="shared" si="23"/>
        <v/>
      </c>
      <c r="R168" s="29"/>
    </row>
    <row r="169" spans="1:18" ht="15">
      <c r="A169" s="11"/>
      <c r="B169" s="11"/>
      <c r="C169" s="11"/>
      <c r="D169" s="24"/>
      <c r="E169" s="24"/>
      <c r="F169" s="24"/>
      <c r="G169" s="25"/>
      <c r="H169" s="27"/>
      <c r="I169" s="24"/>
      <c r="J169" s="24"/>
      <c r="K169" s="14" t="str">
        <f t="shared" si="20"/>
        <v/>
      </c>
      <c r="L169" s="14" t="str">
        <f t="shared" si="21"/>
        <v/>
      </c>
      <c r="M169" s="14" t="str">
        <f t="shared" si="22"/>
        <v/>
      </c>
      <c r="N169" s="25"/>
      <c r="O169" s="24"/>
      <c r="P169" s="24"/>
      <c r="Q169" s="26" t="str">
        <f t="shared" si="23"/>
        <v/>
      </c>
      <c r="R169" s="29"/>
    </row>
    <row r="170" spans="1:18" ht="15">
      <c r="A170" s="11"/>
      <c r="B170" s="11"/>
      <c r="C170" s="11"/>
      <c r="D170" s="24"/>
      <c r="E170" s="24"/>
      <c r="F170" s="24"/>
      <c r="G170" s="25"/>
      <c r="H170" s="27"/>
      <c r="I170" s="24"/>
      <c r="J170" s="24"/>
      <c r="K170" s="14" t="str">
        <f t="shared" si="20"/>
        <v/>
      </c>
      <c r="L170" s="14" t="str">
        <f t="shared" si="21"/>
        <v/>
      </c>
      <c r="M170" s="14" t="str">
        <f t="shared" si="22"/>
        <v/>
      </c>
      <c r="N170" s="25"/>
      <c r="O170" s="24"/>
      <c r="P170" s="24"/>
      <c r="Q170" s="26" t="str">
        <f t="shared" si="23"/>
        <v/>
      </c>
      <c r="R170" s="29"/>
    </row>
    <row r="171" spans="1:18" ht="15">
      <c r="A171" s="11"/>
      <c r="B171" s="11"/>
      <c r="C171" s="11"/>
      <c r="D171" s="24"/>
      <c r="E171" s="24"/>
      <c r="F171" s="24"/>
      <c r="G171" s="25"/>
      <c r="H171" s="27"/>
      <c r="I171" s="24"/>
      <c r="J171" s="24"/>
      <c r="K171" s="14" t="str">
        <f t="shared" si="20"/>
        <v/>
      </c>
      <c r="L171" s="14" t="str">
        <f t="shared" si="21"/>
        <v/>
      </c>
      <c r="M171" s="14" t="str">
        <f t="shared" si="22"/>
        <v/>
      </c>
      <c r="N171" s="25"/>
      <c r="O171" s="24"/>
      <c r="P171" s="24"/>
      <c r="Q171" s="26" t="str">
        <f t="shared" si="23"/>
        <v/>
      </c>
      <c r="R171" s="29"/>
    </row>
    <row r="172" spans="1:18" ht="15">
      <c r="A172" s="11"/>
      <c r="B172" s="11"/>
      <c r="C172" s="11"/>
      <c r="D172" s="24"/>
      <c r="E172" s="24"/>
      <c r="F172" s="24"/>
      <c r="G172" s="25"/>
      <c r="H172" s="27"/>
      <c r="I172" s="24"/>
      <c r="J172" s="24"/>
      <c r="K172" s="14" t="str">
        <f t="shared" si="20"/>
        <v/>
      </c>
      <c r="L172" s="14" t="str">
        <f t="shared" si="21"/>
        <v/>
      </c>
      <c r="M172" s="14" t="str">
        <f t="shared" si="22"/>
        <v/>
      </c>
      <c r="N172" s="25"/>
      <c r="O172" s="24"/>
      <c r="P172" s="24"/>
      <c r="Q172" s="26" t="str">
        <f t="shared" si="23"/>
        <v/>
      </c>
      <c r="R172" s="29"/>
    </row>
    <row r="173" spans="1:18" ht="15">
      <c r="A173" s="11"/>
      <c r="B173" s="11"/>
      <c r="C173" s="11"/>
      <c r="D173" s="24"/>
      <c r="E173" s="24"/>
      <c r="F173" s="24"/>
      <c r="G173" s="25"/>
      <c r="H173" s="27"/>
      <c r="I173" s="24"/>
      <c r="J173" s="24"/>
      <c r="K173" s="14" t="str">
        <f t="shared" si="20"/>
        <v/>
      </c>
      <c r="L173" s="14" t="str">
        <f t="shared" si="21"/>
        <v/>
      </c>
      <c r="M173" s="14" t="str">
        <f t="shared" si="22"/>
        <v/>
      </c>
      <c r="N173" s="25"/>
      <c r="O173" s="24"/>
      <c r="P173" s="24"/>
      <c r="Q173" s="26" t="str">
        <f t="shared" si="23"/>
        <v/>
      </c>
      <c r="R173" s="29"/>
    </row>
    <row r="174" spans="1:18" ht="15">
      <c r="A174" s="11"/>
      <c r="B174" s="11"/>
      <c r="C174" s="11"/>
      <c r="D174" s="24"/>
      <c r="E174" s="24"/>
      <c r="F174" s="24"/>
      <c r="G174" s="25"/>
      <c r="H174" s="27"/>
      <c r="I174" s="24"/>
      <c r="J174" s="24"/>
      <c r="K174" s="14" t="str">
        <f t="shared" si="20"/>
        <v/>
      </c>
      <c r="L174" s="14" t="str">
        <f t="shared" si="21"/>
        <v/>
      </c>
      <c r="M174" s="14" t="str">
        <f t="shared" si="22"/>
        <v/>
      </c>
      <c r="N174" s="25"/>
      <c r="O174" s="24"/>
      <c r="P174" s="24"/>
      <c r="Q174" s="26" t="str">
        <f t="shared" si="23"/>
        <v/>
      </c>
      <c r="R174" s="29"/>
    </row>
    <row r="175" spans="1:18" ht="15">
      <c r="A175" s="11"/>
      <c r="B175" s="11"/>
      <c r="C175" s="11"/>
      <c r="D175" s="24"/>
      <c r="E175" s="24"/>
      <c r="F175" s="24"/>
      <c r="G175" s="25"/>
      <c r="H175" s="27"/>
      <c r="I175" s="24"/>
      <c r="J175" s="24"/>
      <c r="K175" s="14" t="str">
        <f t="shared" si="20"/>
        <v/>
      </c>
      <c r="L175" s="14" t="str">
        <f t="shared" si="21"/>
        <v/>
      </c>
      <c r="M175" s="14" t="str">
        <f t="shared" si="22"/>
        <v/>
      </c>
      <c r="N175" s="25"/>
      <c r="O175" s="24"/>
      <c r="P175" s="24"/>
      <c r="Q175" s="26" t="str">
        <f t="shared" si="23"/>
        <v/>
      </c>
      <c r="R175" s="29"/>
    </row>
    <row r="176" spans="1:18" ht="15">
      <c r="A176" s="11"/>
      <c r="B176" s="11"/>
      <c r="C176" s="11"/>
      <c r="D176" s="24"/>
      <c r="E176" s="24"/>
      <c r="F176" s="24"/>
      <c r="G176" s="25"/>
      <c r="H176" s="27"/>
      <c r="I176" s="24"/>
      <c r="J176" s="24"/>
      <c r="K176" s="14" t="str">
        <f t="shared" si="20"/>
        <v/>
      </c>
      <c r="L176" s="14" t="str">
        <f t="shared" si="21"/>
        <v/>
      </c>
      <c r="M176" s="14" t="str">
        <f t="shared" si="22"/>
        <v/>
      </c>
      <c r="N176" s="25"/>
      <c r="O176" s="24"/>
      <c r="P176" s="24"/>
      <c r="Q176" s="26" t="str">
        <f t="shared" si="23"/>
        <v/>
      </c>
      <c r="R176" s="29"/>
    </row>
    <row r="177" spans="1:18" ht="15">
      <c r="A177" s="11"/>
      <c r="B177" s="11"/>
      <c r="C177" s="11"/>
      <c r="D177" s="24"/>
      <c r="E177" s="24"/>
      <c r="F177" s="24"/>
      <c r="G177" s="25"/>
      <c r="H177" s="27"/>
      <c r="I177" s="24"/>
      <c r="J177" s="24"/>
      <c r="K177" s="14" t="str">
        <f t="shared" si="20"/>
        <v/>
      </c>
      <c r="L177" s="14" t="str">
        <f t="shared" si="21"/>
        <v/>
      </c>
      <c r="M177" s="14" t="str">
        <f t="shared" si="22"/>
        <v/>
      </c>
      <c r="N177" s="25"/>
      <c r="O177" s="24"/>
      <c r="P177" s="24"/>
      <c r="Q177" s="26" t="str">
        <f t="shared" si="23"/>
        <v/>
      </c>
      <c r="R177" s="29"/>
    </row>
    <row r="178" spans="1:18" ht="15">
      <c r="A178" s="11"/>
      <c r="B178" s="11"/>
      <c r="C178" s="11"/>
      <c r="D178" s="24"/>
      <c r="E178" s="24"/>
      <c r="F178" s="24"/>
      <c r="G178" s="25"/>
      <c r="H178" s="27"/>
      <c r="I178" s="24"/>
      <c r="J178" s="24"/>
      <c r="K178" s="14" t="str">
        <f t="shared" si="20"/>
        <v/>
      </c>
      <c r="L178" s="14" t="str">
        <f t="shared" si="21"/>
        <v/>
      </c>
      <c r="M178" s="14" t="str">
        <f t="shared" si="22"/>
        <v/>
      </c>
      <c r="N178" s="25"/>
      <c r="O178" s="24"/>
      <c r="P178" s="24"/>
      <c r="Q178" s="26" t="str">
        <f t="shared" si="23"/>
        <v/>
      </c>
      <c r="R178" s="29"/>
    </row>
    <row r="179" spans="1:18" ht="15">
      <c r="A179" s="11"/>
      <c r="B179" s="11"/>
      <c r="C179" s="11"/>
      <c r="D179" s="24"/>
      <c r="E179" s="24"/>
      <c r="F179" s="24"/>
      <c r="G179" s="25"/>
      <c r="H179" s="27"/>
      <c r="I179" s="24"/>
      <c r="J179" s="24"/>
      <c r="K179" s="14" t="str">
        <f t="shared" si="20"/>
        <v/>
      </c>
      <c r="L179" s="14" t="str">
        <f t="shared" si="21"/>
        <v/>
      </c>
      <c r="M179" s="14" t="str">
        <f t="shared" si="22"/>
        <v/>
      </c>
      <c r="N179" s="25"/>
      <c r="O179" s="24"/>
      <c r="P179" s="24"/>
      <c r="Q179" s="26" t="str">
        <f t="shared" si="23"/>
        <v/>
      </c>
      <c r="R179" s="29"/>
    </row>
    <row r="180" spans="1:18" ht="15">
      <c r="A180" s="11"/>
      <c r="B180" s="11"/>
      <c r="C180" s="11"/>
      <c r="D180" s="24"/>
      <c r="E180" s="24"/>
      <c r="F180" s="24"/>
      <c r="G180" s="25"/>
      <c r="H180" s="27"/>
      <c r="I180" s="24"/>
      <c r="J180" s="24"/>
      <c r="K180" s="14" t="str">
        <f t="shared" si="20"/>
        <v/>
      </c>
      <c r="L180" s="14" t="str">
        <f t="shared" si="21"/>
        <v/>
      </c>
      <c r="M180" s="14" t="str">
        <f t="shared" si="22"/>
        <v/>
      </c>
      <c r="N180" s="25"/>
      <c r="O180" s="24"/>
      <c r="P180" s="24"/>
      <c r="Q180" s="26" t="str">
        <f t="shared" si="23"/>
        <v/>
      </c>
      <c r="R180" s="29"/>
    </row>
    <row r="181" spans="1:18" ht="15">
      <c r="A181" s="11"/>
      <c r="B181" s="11"/>
      <c r="C181" s="11"/>
      <c r="D181" s="24"/>
      <c r="E181" s="24"/>
      <c r="F181" s="24"/>
      <c r="G181" s="25"/>
      <c r="H181" s="27"/>
      <c r="I181" s="24"/>
      <c r="J181" s="24"/>
      <c r="K181" s="14" t="str">
        <f t="shared" si="20"/>
        <v/>
      </c>
      <c r="L181" s="14" t="str">
        <f t="shared" si="21"/>
        <v/>
      </c>
      <c r="M181" s="14" t="str">
        <f t="shared" si="22"/>
        <v/>
      </c>
      <c r="N181" s="25"/>
      <c r="O181" s="24"/>
      <c r="P181" s="24"/>
      <c r="Q181" s="26" t="str">
        <f t="shared" si="23"/>
        <v/>
      </c>
      <c r="R181" s="29"/>
    </row>
    <row r="182" spans="1:18" ht="15">
      <c r="A182" s="11"/>
      <c r="B182" s="11"/>
      <c r="C182" s="11"/>
      <c r="D182" s="24"/>
      <c r="E182" s="24"/>
      <c r="F182" s="24"/>
      <c r="G182" s="25"/>
      <c r="H182" s="27"/>
      <c r="I182" s="24"/>
      <c r="J182" s="24"/>
      <c r="K182" s="14" t="str">
        <f t="shared" si="20"/>
        <v/>
      </c>
      <c r="L182" s="14" t="str">
        <f t="shared" si="21"/>
        <v/>
      </c>
      <c r="M182" s="14" t="str">
        <f t="shared" si="22"/>
        <v/>
      </c>
      <c r="N182" s="25"/>
      <c r="O182" s="24"/>
      <c r="P182" s="24"/>
      <c r="Q182" s="26" t="str">
        <f t="shared" si="23"/>
        <v/>
      </c>
      <c r="R182" s="29"/>
    </row>
    <row r="183" spans="1:18" ht="15">
      <c r="A183" s="11"/>
      <c r="B183" s="11"/>
      <c r="C183" s="11"/>
      <c r="D183" s="24"/>
      <c r="E183" s="24"/>
      <c r="F183" s="24"/>
      <c r="G183" s="25"/>
      <c r="H183" s="27"/>
      <c r="I183" s="24"/>
      <c r="J183" s="24"/>
      <c r="K183" s="14" t="str">
        <f t="shared" si="20"/>
        <v/>
      </c>
      <c r="L183" s="14" t="str">
        <f t="shared" si="21"/>
        <v/>
      </c>
      <c r="M183" s="14" t="str">
        <f t="shared" si="22"/>
        <v/>
      </c>
      <c r="N183" s="25"/>
      <c r="O183" s="24"/>
      <c r="P183" s="24"/>
      <c r="Q183" s="26" t="str">
        <f t="shared" si="23"/>
        <v/>
      </c>
      <c r="R183" s="29"/>
    </row>
    <row r="184" spans="1:18" ht="15">
      <c r="A184" s="11"/>
      <c r="B184" s="11"/>
      <c r="C184" s="11"/>
      <c r="D184" s="24"/>
      <c r="E184" s="24"/>
      <c r="F184" s="24"/>
      <c r="G184" s="25"/>
      <c r="H184" s="27"/>
      <c r="I184" s="24"/>
      <c r="J184" s="24"/>
      <c r="K184" s="14" t="str">
        <f t="shared" si="20"/>
        <v/>
      </c>
      <c r="L184" s="14" t="str">
        <f t="shared" si="21"/>
        <v/>
      </c>
      <c r="M184" s="14" t="str">
        <f t="shared" si="22"/>
        <v/>
      </c>
      <c r="N184" s="25"/>
      <c r="O184" s="24"/>
      <c r="P184" s="24"/>
      <c r="Q184" s="26" t="str">
        <f t="shared" si="23"/>
        <v/>
      </c>
      <c r="R184" s="29"/>
    </row>
    <row r="185" spans="1:18" ht="15">
      <c r="A185" s="11"/>
      <c r="B185" s="11"/>
      <c r="C185" s="11"/>
      <c r="D185" s="24"/>
      <c r="E185" s="24"/>
      <c r="F185" s="24"/>
      <c r="G185" s="25"/>
      <c r="H185" s="27"/>
      <c r="I185" s="24"/>
      <c r="J185" s="24"/>
      <c r="K185" s="14" t="str">
        <f t="shared" si="20"/>
        <v/>
      </c>
      <c r="L185" s="14" t="str">
        <f t="shared" si="21"/>
        <v/>
      </c>
      <c r="M185" s="14" t="str">
        <f t="shared" si="22"/>
        <v/>
      </c>
      <c r="N185" s="25"/>
      <c r="O185" s="24"/>
      <c r="P185" s="24"/>
      <c r="Q185" s="26" t="str">
        <f t="shared" si="23"/>
        <v/>
      </c>
      <c r="R185" s="29"/>
    </row>
    <row r="186" spans="1:18" ht="15">
      <c r="A186" s="11"/>
      <c r="B186" s="11"/>
      <c r="C186" s="11"/>
      <c r="D186" s="24"/>
      <c r="E186" s="24"/>
      <c r="F186" s="24"/>
      <c r="G186" s="25"/>
      <c r="H186" s="27"/>
      <c r="I186" s="24"/>
      <c r="J186" s="24"/>
      <c r="K186" s="14" t="str">
        <f t="shared" si="20"/>
        <v/>
      </c>
      <c r="L186" s="14" t="str">
        <f t="shared" si="21"/>
        <v/>
      </c>
      <c r="M186" s="14" t="str">
        <f t="shared" si="22"/>
        <v/>
      </c>
      <c r="N186" s="25"/>
      <c r="O186" s="24"/>
      <c r="P186" s="24"/>
      <c r="Q186" s="26" t="str">
        <f t="shared" si="23"/>
        <v/>
      </c>
      <c r="R186" s="29"/>
    </row>
    <row r="187" spans="1:18" ht="15">
      <c r="A187" s="11"/>
      <c r="B187" s="11"/>
      <c r="C187" s="11"/>
      <c r="D187" s="24"/>
      <c r="E187" s="24"/>
      <c r="F187" s="24"/>
      <c r="G187" s="25"/>
      <c r="H187" s="27"/>
      <c r="I187" s="24"/>
      <c r="J187" s="24"/>
      <c r="K187" s="14" t="str">
        <f t="shared" si="20"/>
        <v/>
      </c>
      <c r="L187" s="14" t="str">
        <f t="shared" si="21"/>
        <v/>
      </c>
      <c r="M187" s="14" t="str">
        <f t="shared" si="22"/>
        <v/>
      </c>
      <c r="N187" s="25"/>
      <c r="O187" s="24"/>
      <c r="P187" s="24"/>
      <c r="Q187" s="26" t="str">
        <f t="shared" si="23"/>
        <v/>
      </c>
      <c r="R187" s="29"/>
    </row>
    <row r="188" spans="1:18" ht="15">
      <c r="A188" s="11"/>
      <c r="B188" s="11"/>
      <c r="C188" s="11"/>
      <c r="D188" s="24"/>
      <c r="E188" s="24"/>
      <c r="F188" s="24"/>
      <c r="G188" s="25"/>
      <c r="H188" s="27"/>
      <c r="I188" s="24"/>
      <c r="J188" s="24"/>
      <c r="K188" s="14" t="str">
        <f t="shared" si="20"/>
        <v/>
      </c>
      <c r="L188" s="14" t="str">
        <f t="shared" si="21"/>
        <v/>
      </c>
      <c r="M188" s="14" t="str">
        <f t="shared" si="22"/>
        <v/>
      </c>
      <c r="N188" s="25"/>
      <c r="O188" s="24"/>
      <c r="P188" s="24"/>
      <c r="Q188" s="26" t="str">
        <f t="shared" si="23"/>
        <v/>
      </c>
      <c r="R188" s="29"/>
    </row>
    <row r="189" spans="1:18" ht="15">
      <c r="A189" s="11"/>
      <c r="B189" s="11"/>
      <c r="C189" s="11"/>
      <c r="D189" s="24"/>
      <c r="E189" s="24"/>
      <c r="F189" s="24"/>
      <c r="G189" s="25"/>
      <c r="H189" s="27"/>
      <c r="I189" s="24"/>
      <c r="J189" s="24"/>
      <c r="K189" s="14" t="str">
        <f t="shared" si="20"/>
        <v/>
      </c>
      <c r="L189" s="14" t="str">
        <f t="shared" si="21"/>
        <v/>
      </c>
      <c r="M189" s="14" t="str">
        <f t="shared" si="22"/>
        <v/>
      </c>
      <c r="N189" s="25"/>
      <c r="O189" s="24"/>
      <c r="P189" s="24"/>
      <c r="Q189" s="26" t="str">
        <f t="shared" si="23"/>
        <v/>
      </c>
      <c r="R189" s="29"/>
    </row>
    <row r="190" spans="1:18" ht="15">
      <c r="A190" s="11"/>
      <c r="B190" s="11"/>
      <c r="C190" s="11"/>
      <c r="D190" s="24"/>
      <c r="E190" s="24"/>
      <c r="F190" s="24"/>
      <c r="G190" s="25"/>
      <c r="H190" s="27"/>
      <c r="I190" s="24"/>
      <c r="J190" s="24"/>
      <c r="K190" s="14" t="str">
        <f t="shared" si="20"/>
        <v/>
      </c>
      <c r="L190" s="14" t="str">
        <f t="shared" si="21"/>
        <v/>
      </c>
      <c r="M190" s="14" t="str">
        <f t="shared" si="22"/>
        <v/>
      </c>
      <c r="N190" s="25"/>
      <c r="O190" s="24"/>
      <c r="P190" s="24"/>
      <c r="Q190" s="26" t="str">
        <f t="shared" si="23"/>
        <v/>
      </c>
      <c r="R190" s="29"/>
    </row>
    <row r="191" spans="1:18" ht="15">
      <c r="A191" s="11"/>
      <c r="B191" s="11"/>
      <c r="C191" s="11"/>
      <c r="D191" s="24"/>
      <c r="E191" s="24"/>
      <c r="F191" s="24"/>
      <c r="G191" s="25"/>
      <c r="H191" s="27"/>
      <c r="I191" s="24"/>
      <c r="J191" s="24"/>
      <c r="K191" s="14" t="str">
        <f t="shared" si="20"/>
        <v/>
      </c>
      <c r="L191" s="14" t="str">
        <f t="shared" si="21"/>
        <v/>
      </c>
      <c r="M191" s="14" t="str">
        <f t="shared" si="22"/>
        <v/>
      </c>
      <c r="N191" s="25"/>
      <c r="O191" s="24"/>
      <c r="P191" s="24"/>
      <c r="Q191" s="26" t="str">
        <f t="shared" si="23"/>
        <v/>
      </c>
      <c r="R191" s="29"/>
    </row>
    <row r="192" spans="1:18" ht="15">
      <c r="A192" s="11"/>
      <c r="B192" s="11"/>
      <c r="C192" s="11"/>
      <c r="D192" s="24"/>
      <c r="E192" s="24"/>
      <c r="F192" s="24"/>
      <c r="G192" s="25"/>
      <c r="H192" s="27"/>
      <c r="I192" s="24"/>
      <c r="J192" s="24"/>
      <c r="K192" s="14" t="str">
        <f t="shared" si="20"/>
        <v/>
      </c>
      <c r="L192" s="14" t="str">
        <f t="shared" si="21"/>
        <v/>
      </c>
      <c r="M192" s="14" t="str">
        <f t="shared" si="22"/>
        <v/>
      </c>
      <c r="N192" s="25"/>
      <c r="O192" s="24"/>
      <c r="P192" s="24"/>
      <c r="Q192" s="26" t="str">
        <f t="shared" si="23"/>
        <v/>
      </c>
      <c r="R192" s="29"/>
    </row>
    <row r="193" spans="1:18" ht="15">
      <c r="A193" s="11"/>
      <c r="B193" s="11"/>
      <c r="C193" s="11"/>
      <c r="D193" s="24"/>
      <c r="E193" s="24"/>
      <c r="F193" s="24"/>
      <c r="G193" s="25"/>
      <c r="H193" s="27"/>
      <c r="I193" s="24"/>
      <c r="J193" s="24"/>
      <c r="K193" s="14" t="str">
        <f t="shared" si="20"/>
        <v/>
      </c>
      <c r="L193" s="14" t="str">
        <f t="shared" si="21"/>
        <v/>
      </c>
      <c r="M193" s="14" t="str">
        <f t="shared" si="22"/>
        <v/>
      </c>
      <c r="N193" s="25"/>
      <c r="O193" s="24"/>
      <c r="P193" s="24"/>
      <c r="Q193" s="26" t="str">
        <f t="shared" si="23"/>
        <v/>
      </c>
      <c r="R193" s="29"/>
    </row>
    <row r="194" spans="1:18" ht="15">
      <c r="A194" s="11"/>
      <c r="B194" s="11"/>
      <c r="C194" s="11"/>
      <c r="D194" s="24"/>
      <c r="E194" s="24"/>
      <c r="F194" s="24"/>
      <c r="G194" s="25"/>
      <c r="H194" s="27"/>
      <c r="I194" s="24"/>
      <c r="J194" s="24"/>
      <c r="K194" s="14" t="str">
        <f t="shared" si="20"/>
        <v/>
      </c>
      <c r="L194" s="14" t="str">
        <f t="shared" si="21"/>
        <v/>
      </c>
      <c r="M194" s="14" t="str">
        <f t="shared" si="22"/>
        <v/>
      </c>
      <c r="N194" s="25"/>
      <c r="O194" s="24"/>
      <c r="P194" s="24"/>
      <c r="Q194" s="26" t="str">
        <f t="shared" si="23"/>
        <v/>
      </c>
      <c r="R194" s="29"/>
    </row>
    <row r="195" spans="1:18" ht="15">
      <c r="A195" s="11"/>
      <c r="B195" s="11"/>
      <c r="C195" s="11"/>
      <c r="D195" s="24"/>
      <c r="E195" s="24"/>
      <c r="F195" s="24"/>
      <c r="G195" s="25"/>
      <c r="H195" s="27"/>
      <c r="I195" s="24"/>
      <c r="J195" s="24"/>
      <c r="K195" s="14" t="str">
        <f t="shared" si="20"/>
        <v/>
      </c>
      <c r="L195" s="14" t="str">
        <f t="shared" si="21"/>
        <v/>
      </c>
      <c r="M195" s="14" t="str">
        <f t="shared" si="22"/>
        <v/>
      </c>
      <c r="N195" s="25"/>
      <c r="O195" s="24"/>
      <c r="P195" s="24"/>
      <c r="Q195" s="26" t="str">
        <f t="shared" si="23"/>
        <v/>
      </c>
      <c r="R195" s="29"/>
    </row>
    <row r="196" spans="1:18" ht="15">
      <c r="A196" s="11"/>
      <c r="B196" s="11"/>
      <c r="C196" s="11"/>
      <c r="D196" s="24"/>
      <c r="E196" s="24"/>
      <c r="F196" s="24"/>
      <c r="G196" s="25"/>
      <c r="H196" s="27"/>
      <c r="I196" s="24"/>
      <c r="J196" s="24"/>
      <c r="K196" s="14" t="str">
        <f t="shared" si="20"/>
        <v/>
      </c>
      <c r="L196" s="14" t="str">
        <f t="shared" si="21"/>
        <v/>
      </c>
      <c r="M196" s="14" t="str">
        <f t="shared" si="22"/>
        <v/>
      </c>
      <c r="N196" s="25"/>
      <c r="O196" s="24"/>
      <c r="P196" s="24"/>
      <c r="Q196" s="26" t="str">
        <f t="shared" si="23"/>
        <v/>
      </c>
      <c r="R196" s="29"/>
    </row>
    <row r="197" spans="1:18" ht="15">
      <c r="A197" s="11"/>
      <c r="B197" s="11"/>
      <c r="C197" s="11"/>
      <c r="D197" s="24"/>
      <c r="E197" s="24"/>
      <c r="F197" s="24"/>
      <c r="G197" s="25"/>
      <c r="H197" s="27"/>
      <c r="I197" s="24"/>
      <c r="J197" s="24"/>
      <c r="K197" s="14" t="str">
        <f t="shared" si="20"/>
        <v/>
      </c>
      <c r="L197" s="14" t="str">
        <f t="shared" si="21"/>
        <v/>
      </c>
      <c r="M197" s="14" t="str">
        <f t="shared" si="22"/>
        <v/>
      </c>
      <c r="N197" s="25"/>
      <c r="O197" s="24"/>
      <c r="P197" s="24"/>
      <c r="Q197" s="26" t="str">
        <f t="shared" si="23"/>
        <v/>
      </c>
      <c r="R197" s="29"/>
    </row>
    <row r="198" spans="1:18" ht="15">
      <c r="A198" s="11"/>
      <c r="B198" s="11"/>
      <c r="C198" s="11"/>
      <c r="D198" s="24"/>
      <c r="E198" s="24"/>
      <c r="F198" s="24"/>
      <c r="G198" s="25"/>
      <c r="H198" s="27"/>
      <c r="I198" s="24"/>
      <c r="J198" s="24"/>
      <c r="K198" s="14" t="str">
        <f t="shared" si="20"/>
        <v/>
      </c>
      <c r="L198" s="14" t="str">
        <f t="shared" si="21"/>
        <v/>
      </c>
      <c r="M198" s="14" t="str">
        <f t="shared" si="22"/>
        <v/>
      </c>
      <c r="N198" s="25"/>
      <c r="O198" s="24"/>
      <c r="P198" s="24"/>
      <c r="Q198" s="26" t="str">
        <f t="shared" si="23"/>
        <v/>
      </c>
      <c r="R198" s="29"/>
    </row>
    <row r="199" spans="1:18" ht="15">
      <c r="A199" s="11"/>
      <c r="B199" s="11"/>
      <c r="C199" s="11"/>
      <c r="D199" s="24"/>
      <c r="E199" s="24"/>
      <c r="F199" s="24"/>
      <c r="G199" s="25"/>
      <c r="H199" s="27"/>
      <c r="I199" s="24"/>
      <c r="J199" s="24"/>
      <c r="K199" s="14" t="str">
        <f t="shared" ref="K199:K230" si="24">IF(N199&lt;&gt;"","",IF(AND(G199&lt;&gt;"",H199&lt;&gt;"",J199&lt;&gt;""),ROUND(PPMT(H199,1,J199,-G199),0),""))</f>
        <v/>
      </c>
      <c r="L199" s="14" t="str">
        <f t="shared" ref="L199:L206" si="25">IF(N199&lt;&gt;"","",IF(AND(G199&lt;&gt;"",H199&lt;&gt;""),ROUND(G199*H199,0),""))</f>
        <v/>
      </c>
      <c r="M199" s="14" t="str">
        <f t="shared" ref="M199:M230" si="26">IF(N199&lt;&gt;"",N199,IF(AND(G199&lt;&gt;"",H199&lt;&gt;"",J199&lt;&gt;""),ROUND(PMT(H199,J199,-G199),0),""))</f>
        <v/>
      </c>
      <c r="N199" s="25"/>
      <c r="O199" s="24"/>
      <c r="P199" s="24"/>
      <c r="Q199" s="26" t="str">
        <f t="shared" ref="Q199:Q206" si="27">IF(A199="","",IF(D199="No","Excluded",IF(AND(OR(F199="N/A",E199="No Debt / N/A"),G199=""),"No Debt / N/A",IF(M199&lt;&gt;"","Ready","Partial"))))</f>
        <v/>
      </c>
      <c r="R199" s="29"/>
    </row>
    <row r="200" spans="1:18" ht="15">
      <c r="A200" s="11"/>
      <c r="B200" s="11"/>
      <c r="C200" s="11"/>
      <c r="D200" s="24"/>
      <c r="E200" s="24"/>
      <c r="F200" s="24"/>
      <c r="G200" s="25"/>
      <c r="H200" s="27"/>
      <c r="I200" s="24"/>
      <c r="J200" s="24"/>
      <c r="K200" s="14" t="str">
        <f t="shared" si="24"/>
        <v/>
      </c>
      <c r="L200" s="14" t="str">
        <f t="shared" si="25"/>
        <v/>
      </c>
      <c r="M200" s="14" t="str">
        <f t="shared" si="26"/>
        <v/>
      </c>
      <c r="N200" s="25"/>
      <c r="O200" s="24"/>
      <c r="P200" s="24"/>
      <c r="Q200" s="26" t="str">
        <f t="shared" si="27"/>
        <v/>
      </c>
      <c r="R200" s="29"/>
    </row>
    <row r="201" spans="1:18" ht="15">
      <c r="A201" s="11"/>
      <c r="B201" s="11"/>
      <c r="C201" s="11"/>
      <c r="D201" s="24"/>
      <c r="E201" s="24"/>
      <c r="F201" s="24"/>
      <c r="G201" s="25"/>
      <c r="H201" s="27"/>
      <c r="I201" s="24"/>
      <c r="J201" s="24"/>
      <c r="K201" s="14" t="str">
        <f t="shared" si="24"/>
        <v/>
      </c>
      <c r="L201" s="14" t="str">
        <f t="shared" si="25"/>
        <v/>
      </c>
      <c r="M201" s="14" t="str">
        <f t="shared" si="26"/>
        <v/>
      </c>
      <c r="N201" s="25"/>
      <c r="O201" s="24"/>
      <c r="P201" s="24"/>
      <c r="Q201" s="26" t="str">
        <f t="shared" si="27"/>
        <v/>
      </c>
      <c r="R201" s="29"/>
    </row>
    <row r="202" spans="1:18" ht="15">
      <c r="A202" s="11"/>
      <c r="B202" s="11"/>
      <c r="C202" s="11"/>
      <c r="D202" s="24"/>
      <c r="E202" s="24"/>
      <c r="F202" s="24"/>
      <c r="G202" s="25"/>
      <c r="H202" s="27"/>
      <c r="I202" s="24"/>
      <c r="J202" s="24"/>
      <c r="K202" s="14" t="str">
        <f t="shared" si="24"/>
        <v/>
      </c>
      <c r="L202" s="14" t="str">
        <f t="shared" si="25"/>
        <v/>
      </c>
      <c r="M202" s="14" t="str">
        <f t="shared" si="26"/>
        <v/>
      </c>
      <c r="N202" s="25"/>
      <c r="O202" s="24"/>
      <c r="P202" s="24"/>
      <c r="Q202" s="26" t="str">
        <f t="shared" si="27"/>
        <v/>
      </c>
      <c r="R202" s="29"/>
    </row>
    <row r="203" spans="1:18" ht="15">
      <c r="A203" s="11"/>
      <c r="B203" s="11"/>
      <c r="C203" s="11"/>
      <c r="D203" s="24"/>
      <c r="E203" s="24"/>
      <c r="F203" s="24"/>
      <c r="G203" s="25"/>
      <c r="H203" s="27"/>
      <c r="I203" s="24"/>
      <c r="J203" s="24"/>
      <c r="K203" s="14" t="str">
        <f t="shared" si="24"/>
        <v/>
      </c>
      <c r="L203" s="14" t="str">
        <f t="shared" si="25"/>
        <v/>
      </c>
      <c r="M203" s="14" t="str">
        <f t="shared" si="26"/>
        <v/>
      </c>
      <c r="N203" s="25"/>
      <c r="O203" s="24"/>
      <c r="P203" s="24"/>
      <c r="Q203" s="26" t="str">
        <f t="shared" si="27"/>
        <v/>
      </c>
      <c r="R203" s="29"/>
    </row>
    <row r="204" spans="1:18" ht="15">
      <c r="A204" s="11"/>
      <c r="B204" s="11"/>
      <c r="C204" s="11"/>
      <c r="D204" s="24"/>
      <c r="E204" s="24"/>
      <c r="F204" s="24"/>
      <c r="G204" s="25"/>
      <c r="H204" s="27"/>
      <c r="I204" s="24"/>
      <c r="J204" s="24"/>
      <c r="K204" s="14" t="str">
        <f t="shared" si="24"/>
        <v/>
      </c>
      <c r="L204" s="14" t="str">
        <f t="shared" si="25"/>
        <v/>
      </c>
      <c r="M204" s="14" t="str">
        <f t="shared" si="26"/>
        <v/>
      </c>
      <c r="N204" s="25"/>
      <c r="O204" s="24"/>
      <c r="P204" s="24"/>
      <c r="Q204" s="26" t="str">
        <f t="shared" si="27"/>
        <v/>
      </c>
      <c r="R204" s="29"/>
    </row>
    <row r="205" spans="1:18" ht="15">
      <c r="A205" s="11"/>
      <c r="B205" s="11"/>
      <c r="C205" s="11"/>
      <c r="D205" s="24"/>
      <c r="E205" s="24"/>
      <c r="F205" s="24"/>
      <c r="G205" s="25"/>
      <c r="H205" s="27"/>
      <c r="I205" s="24"/>
      <c r="J205" s="24"/>
      <c r="K205" s="14" t="str">
        <f t="shared" si="24"/>
        <v/>
      </c>
      <c r="L205" s="14" t="str">
        <f t="shared" si="25"/>
        <v/>
      </c>
      <c r="M205" s="14" t="str">
        <f t="shared" si="26"/>
        <v/>
      </c>
      <c r="N205" s="25"/>
      <c r="O205" s="24"/>
      <c r="P205" s="24"/>
      <c r="Q205" s="26" t="str">
        <f t="shared" si="27"/>
        <v/>
      </c>
      <c r="R205" s="29"/>
    </row>
    <row r="206" spans="1:18" ht="15">
      <c r="A206" s="11"/>
      <c r="B206" s="11"/>
      <c r="C206" s="11"/>
      <c r="D206" s="24"/>
      <c r="E206" s="24"/>
      <c r="F206" s="24"/>
      <c r="G206" s="25"/>
      <c r="H206" s="27"/>
      <c r="I206" s="24"/>
      <c r="J206" s="24"/>
      <c r="K206" s="14" t="str">
        <f t="shared" si="24"/>
        <v/>
      </c>
      <c r="L206" s="14" t="str">
        <f t="shared" si="25"/>
        <v/>
      </c>
      <c r="M206" s="14" t="str">
        <f t="shared" si="26"/>
        <v/>
      </c>
      <c r="N206" s="25"/>
      <c r="O206" s="24"/>
      <c r="P206" s="24"/>
      <c r="Q206" s="26" t="str">
        <f t="shared" si="27"/>
        <v/>
      </c>
      <c r="R206" s="29"/>
    </row>
    <row r="207" spans="1:18" ht="15">
      <c r="A207" s="3"/>
      <c r="B207" s="3"/>
      <c r="C207" s="3"/>
      <c r="D207" s="3"/>
      <c r="E207" s="3"/>
      <c r="F207" s="3"/>
      <c r="G207" s="3"/>
      <c r="H207" s="3"/>
      <c r="I207" s="3"/>
      <c r="J207" s="3"/>
      <c r="K207" s="3"/>
      <c r="L207" s="3"/>
      <c r="M207" s="3"/>
      <c r="N207" s="3"/>
      <c r="O207" s="3"/>
      <c r="P207" s="3"/>
      <c r="Q207" s="3"/>
    </row>
    <row r="208" spans="1:18"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Q1"/>
    <mergeCell ref="A2:Q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xr:uid="{00000000-0002-0000-0A00-000000000000}">
          <x14:formula1>
            <xm:f>_LISTS!$A$2:$A$3</xm:f>
          </x14:formula1>
          <xm:sqref>D7:D206</xm:sqref>
        </x14:dataValidation>
        <x14:dataValidation type="list" xr:uid="{00000000-0002-0000-0A00-000001000000}">
          <x14:formula1>
            <xm:f>_LISTS!$D$2:$D$7</xm:f>
          </x14:formula1>
          <xm:sqref>P7:P206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0"/>
  <sheetViews>
    <sheetView workbookViewId="0"/>
  </sheetViews>
  <sheetFormatPr defaultRowHeight="14.25"/>
  <cols>
    <col min="1" max="1" width="12" customWidth="1"/>
    <col min="2" max="3" width="14" customWidth="1"/>
    <col min="4" max="4" width="10" customWidth="1"/>
    <col min="5" max="8" width="16" customWidth="1"/>
    <col min="9" max="9" width="22" customWidth="1"/>
    <col min="10" max="10" width="24" customWidth="1"/>
    <col min="11" max="11" width="14" customWidth="1"/>
    <col min="12" max="12" width="34" customWidth="1"/>
  </cols>
  <sheetData>
    <row r="1" spans="1:17" ht="24" customHeight="1">
      <c r="A1" s="32" t="s">
        <v>811</v>
      </c>
      <c r="B1" s="33"/>
      <c r="C1" s="33"/>
      <c r="D1" s="33"/>
      <c r="E1" s="33"/>
      <c r="F1" s="33"/>
      <c r="G1" s="33"/>
      <c r="H1" s="33"/>
      <c r="I1" s="33"/>
      <c r="J1" s="33"/>
      <c r="K1" s="33"/>
      <c r="L1" s="35"/>
      <c r="M1" s="3"/>
      <c r="N1" s="3"/>
      <c r="O1" s="3"/>
      <c r="P1" s="3"/>
      <c r="Q1" s="3"/>
    </row>
    <row r="2" spans="1:17" ht="33.950000000000003" customHeight="1">
      <c r="A2" s="34" t="s">
        <v>812</v>
      </c>
      <c r="B2" s="35"/>
      <c r="C2" s="35"/>
      <c r="D2" s="35"/>
      <c r="E2" s="35"/>
      <c r="F2" s="35"/>
      <c r="G2" s="35"/>
      <c r="H2" s="35"/>
      <c r="I2" s="35"/>
      <c r="J2" s="35"/>
      <c r="K2" s="35"/>
      <c r="L2" s="35"/>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813</v>
      </c>
      <c r="B6" s="4" t="s">
        <v>814</v>
      </c>
      <c r="C6" s="4" t="s">
        <v>570</v>
      </c>
      <c r="D6" s="4" t="s">
        <v>815</v>
      </c>
      <c r="E6" s="4" t="s">
        <v>816</v>
      </c>
      <c r="F6" s="4" t="s">
        <v>817</v>
      </c>
      <c r="G6" s="4" t="s">
        <v>818</v>
      </c>
      <c r="H6" s="4" t="s">
        <v>819</v>
      </c>
      <c r="I6" s="4" t="s">
        <v>820</v>
      </c>
      <c r="J6" s="4" t="s">
        <v>821</v>
      </c>
      <c r="K6" s="4" t="s">
        <v>714</v>
      </c>
      <c r="L6" s="4" t="s">
        <v>715</v>
      </c>
      <c r="M6" s="3"/>
      <c r="N6" s="3"/>
      <c r="O6" s="3"/>
      <c r="P6" s="3"/>
      <c r="Q6" s="3"/>
    </row>
    <row r="7" spans="1:17" ht="15">
      <c r="A7" s="12" t="s">
        <v>822</v>
      </c>
      <c r="B7" s="12" t="s">
        <v>823</v>
      </c>
      <c r="C7" s="12" t="s">
        <v>753</v>
      </c>
      <c r="D7" s="12">
        <v>2026</v>
      </c>
      <c r="E7" s="15"/>
      <c r="F7" s="15"/>
      <c r="G7" s="15"/>
      <c r="H7" s="15"/>
      <c r="I7" s="12" t="s">
        <v>824</v>
      </c>
      <c r="J7" s="12" t="s">
        <v>824</v>
      </c>
      <c r="K7" s="12" t="s">
        <v>523</v>
      </c>
      <c r="L7" s="12" t="s">
        <v>825</v>
      </c>
      <c r="M7" s="3"/>
      <c r="N7" s="3"/>
      <c r="O7" s="3"/>
      <c r="P7" s="3"/>
      <c r="Q7" s="3"/>
    </row>
    <row r="8" spans="1:17" ht="15">
      <c r="A8" s="12"/>
      <c r="B8" s="12"/>
      <c r="C8" s="12"/>
      <c r="D8" s="12"/>
      <c r="E8" s="15"/>
      <c r="F8" s="15"/>
      <c r="G8" s="15"/>
      <c r="H8" s="15"/>
      <c r="I8" s="12"/>
      <c r="J8" s="12"/>
      <c r="K8" s="12"/>
      <c r="L8" s="12"/>
      <c r="M8" s="3"/>
      <c r="N8" s="3"/>
      <c r="O8" s="3"/>
      <c r="P8" s="3"/>
      <c r="Q8" s="3"/>
    </row>
    <row r="9" spans="1:17" ht="15">
      <c r="A9" s="12"/>
      <c r="B9" s="12"/>
      <c r="C9" s="12"/>
      <c r="D9" s="12"/>
      <c r="E9" s="15"/>
      <c r="F9" s="15"/>
      <c r="G9" s="15"/>
      <c r="H9" s="15"/>
      <c r="I9" s="12"/>
      <c r="J9" s="12"/>
      <c r="K9" s="12"/>
      <c r="L9" s="12"/>
      <c r="M9" s="3"/>
      <c r="N9" s="3"/>
      <c r="O9" s="3"/>
      <c r="P9" s="3"/>
      <c r="Q9" s="3"/>
    </row>
    <row r="10" spans="1:17" ht="15">
      <c r="A10" s="12"/>
      <c r="B10" s="12"/>
      <c r="C10" s="12"/>
      <c r="D10" s="12"/>
      <c r="E10" s="15"/>
      <c r="F10" s="15"/>
      <c r="G10" s="15"/>
      <c r="H10" s="15"/>
      <c r="I10" s="12"/>
      <c r="J10" s="12"/>
      <c r="K10" s="12"/>
      <c r="L10" s="12"/>
      <c r="M10" s="3"/>
      <c r="N10" s="3"/>
      <c r="O10" s="3"/>
      <c r="P10" s="3"/>
      <c r="Q10" s="3"/>
    </row>
    <row r="11" spans="1:17" ht="15">
      <c r="A11" s="12"/>
      <c r="B11" s="12"/>
      <c r="C11" s="12"/>
      <c r="D11" s="12"/>
      <c r="E11" s="15"/>
      <c r="F11" s="15"/>
      <c r="G11" s="15"/>
      <c r="H11" s="15"/>
      <c r="I11" s="12"/>
      <c r="J11" s="12"/>
      <c r="K11" s="12"/>
      <c r="L11" s="12"/>
      <c r="M11" s="3"/>
      <c r="N11" s="3"/>
      <c r="O11" s="3"/>
      <c r="P11" s="3"/>
      <c r="Q11" s="3"/>
    </row>
    <row r="12" spans="1:17" ht="15">
      <c r="A12" s="12"/>
      <c r="B12" s="12"/>
      <c r="C12" s="12"/>
      <c r="D12" s="12"/>
      <c r="E12" s="15"/>
      <c r="F12" s="15"/>
      <c r="G12" s="15"/>
      <c r="H12" s="15"/>
      <c r="I12" s="12"/>
      <c r="J12" s="12"/>
      <c r="K12" s="12"/>
      <c r="L12" s="12"/>
      <c r="M12" s="3"/>
      <c r="N12" s="3"/>
      <c r="O12" s="3"/>
      <c r="P12" s="3"/>
      <c r="Q12" s="3"/>
    </row>
    <row r="13" spans="1:17" ht="15">
      <c r="A13" s="12"/>
      <c r="B13" s="12"/>
      <c r="C13" s="12"/>
      <c r="D13" s="12"/>
      <c r="E13" s="15"/>
      <c r="F13" s="15"/>
      <c r="G13" s="15"/>
      <c r="H13" s="15"/>
      <c r="I13" s="12"/>
      <c r="J13" s="12"/>
      <c r="K13" s="12"/>
      <c r="L13" s="12"/>
      <c r="M13" s="3"/>
      <c r="N13" s="3"/>
      <c r="O13" s="3"/>
      <c r="P13" s="3"/>
      <c r="Q13" s="3"/>
    </row>
    <row r="14" spans="1:17" ht="15">
      <c r="A14" s="12"/>
      <c r="B14" s="12"/>
      <c r="C14" s="12"/>
      <c r="D14" s="12"/>
      <c r="E14" s="15"/>
      <c r="F14" s="15"/>
      <c r="G14" s="15"/>
      <c r="H14" s="15"/>
      <c r="I14" s="12"/>
      <c r="J14" s="12"/>
      <c r="K14" s="12"/>
      <c r="L14" s="12"/>
      <c r="M14" s="3"/>
      <c r="N14" s="3"/>
      <c r="O14" s="3"/>
      <c r="P14" s="3"/>
      <c r="Q14" s="3"/>
    </row>
    <row r="15" spans="1:17" ht="15">
      <c r="A15" s="12"/>
      <c r="B15" s="12"/>
      <c r="C15" s="12"/>
      <c r="D15" s="12"/>
      <c r="E15" s="15"/>
      <c r="F15" s="15"/>
      <c r="G15" s="15"/>
      <c r="H15" s="15"/>
      <c r="I15" s="12"/>
      <c r="J15" s="12"/>
      <c r="K15" s="12"/>
      <c r="L15" s="12"/>
      <c r="M15" s="3"/>
      <c r="N15" s="3"/>
      <c r="O15" s="3"/>
      <c r="P15" s="3"/>
      <c r="Q15" s="3"/>
    </row>
    <row r="16" spans="1:17" ht="15">
      <c r="A16" s="12"/>
      <c r="B16" s="12"/>
      <c r="C16" s="12"/>
      <c r="D16" s="12"/>
      <c r="E16" s="15"/>
      <c r="F16" s="15"/>
      <c r="G16" s="15"/>
      <c r="H16" s="15"/>
      <c r="I16" s="12"/>
      <c r="J16" s="12"/>
      <c r="K16" s="12"/>
      <c r="L16" s="12"/>
      <c r="M16" s="3"/>
      <c r="N16" s="3"/>
      <c r="O16" s="3"/>
      <c r="P16" s="3"/>
      <c r="Q16" s="3"/>
    </row>
    <row r="17" spans="1:17" ht="15">
      <c r="A17" s="12"/>
      <c r="B17" s="12"/>
      <c r="C17" s="12"/>
      <c r="D17" s="12"/>
      <c r="E17" s="15"/>
      <c r="F17" s="15"/>
      <c r="G17" s="15"/>
      <c r="H17" s="15"/>
      <c r="I17" s="12"/>
      <c r="J17" s="12"/>
      <c r="K17" s="12"/>
      <c r="L17" s="12"/>
      <c r="M17" s="3"/>
      <c r="N17" s="3"/>
      <c r="O17" s="3"/>
      <c r="P17" s="3"/>
      <c r="Q17" s="3"/>
    </row>
    <row r="18" spans="1:17" ht="15">
      <c r="A18" s="12"/>
      <c r="B18" s="12"/>
      <c r="C18" s="12"/>
      <c r="D18" s="12"/>
      <c r="E18" s="15"/>
      <c r="F18" s="15"/>
      <c r="G18" s="15"/>
      <c r="H18" s="15"/>
      <c r="I18" s="12"/>
      <c r="J18" s="12"/>
      <c r="K18" s="12"/>
      <c r="L18" s="12"/>
      <c r="M18" s="3"/>
      <c r="N18" s="3"/>
      <c r="O18" s="3"/>
      <c r="P18" s="3"/>
      <c r="Q18" s="3"/>
    </row>
    <row r="19" spans="1:17" ht="15">
      <c r="A19" s="12"/>
      <c r="B19" s="12"/>
      <c r="C19" s="12"/>
      <c r="D19" s="12"/>
      <c r="E19" s="15"/>
      <c r="F19" s="15"/>
      <c r="G19" s="15"/>
      <c r="H19" s="15"/>
      <c r="I19" s="12"/>
      <c r="J19" s="12"/>
      <c r="K19" s="12"/>
      <c r="L19" s="12"/>
      <c r="M19" s="3"/>
      <c r="N19" s="3"/>
      <c r="O19" s="3"/>
      <c r="P19" s="3"/>
      <c r="Q19" s="3"/>
    </row>
    <row r="20" spans="1:17" ht="15">
      <c r="A20" s="12"/>
      <c r="B20" s="12"/>
      <c r="C20" s="12"/>
      <c r="D20" s="12"/>
      <c r="E20" s="15"/>
      <c r="F20" s="15"/>
      <c r="G20" s="15"/>
      <c r="H20" s="15"/>
      <c r="I20" s="12"/>
      <c r="J20" s="12"/>
      <c r="K20" s="12"/>
      <c r="L20" s="12"/>
      <c r="M20" s="3"/>
      <c r="N20" s="3"/>
      <c r="O20" s="3"/>
      <c r="P20" s="3"/>
      <c r="Q20" s="3"/>
    </row>
    <row r="21" spans="1:17" ht="15">
      <c r="A21" s="12"/>
      <c r="B21" s="12"/>
      <c r="C21" s="12"/>
      <c r="D21" s="12"/>
      <c r="E21" s="15"/>
      <c r="F21" s="15"/>
      <c r="G21" s="15"/>
      <c r="H21" s="15"/>
      <c r="I21" s="12"/>
      <c r="J21" s="12"/>
      <c r="K21" s="12"/>
      <c r="L21" s="12"/>
      <c r="M21" s="3"/>
      <c r="N21" s="3"/>
      <c r="O21" s="3"/>
      <c r="P21" s="3"/>
      <c r="Q21" s="3"/>
    </row>
    <row r="22" spans="1:17" ht="15">
      <c r="A22" s="12"/>
      <c r="B22" s="12"/>
      <c r="C22" s="12"/>
      <c r="D22" s="12"/>
      <c r="E22" s="15"/>
      <c r="F22" s="15"/>
      <c r="G22" s="15"/>
      <c r="H22" s="15"/>
      <c r="I22" s="12"/>
      <c r="J22" s="12"/>
      <c r="K22" s="12"/>
      <c r="L22" s="12"/>
      <c r="M22" s="3"/>
      <c r="N22" s="3"/>
      <c r="O22" s="3"/>
      <c r="P22" s="3"/>
      <c r="Q22" s="3"/>
    </row>
    <row r="23" spans="1:17" ht="15">
      <c r="A23" s="12"/>
      <c r="B23" s="12"/>
      <c r="C23" s="12"/>
      <c r="D23" s="12"/>
      <c r="E23" s="15"/>
      <c r="F23" s="15"/>
      <c r="G23" s="15"/>
      <c r="H23" s="15"/>
      <c r="I23" s="12"/>
      <c r="J23" s="12"/>
      <c r="K23" s="12"/>
      <c r="L23" s="12"/>
      <c r="M23" s="3"/>
      <c r="N23" s="3"/>
      <c r="O23" s="3"/>
      <c r="P23" s="3"/>
      <c r="Q23" s="3"/>
    </row>
    <row r="24" spans="1:17" ht="15">
      <c r="A24" s="12"/>
      <c r="B24" s="12"/>
      <c r="C24" s="12"/>
      <c r="D24" s="12"/>
      <c r="E24" s="15"/>
      <c r="F24" s="15"/>
      <c r="G24" s="15"/>
      <c r="H24" s="15"/>
      <c r="I24" s="12"/>
      <c r="J24" s="12"/>
      <c r="K24" s="12"/>
      <c r="L24" s="12"/>
      <c r="M24" s="3"/>
      <c r="N24" s="3"/>
      <c r="O24" s="3"/>
      <c r="P24" s="3"/>
      <c r="Q24" s="3"/>
    </row>
    <row r="25" spans="1:17" ht="15">
      <c r="A25" s="12"/>
      <c r="B25" s="12"/>
      <c r="C25" s="12"/>
      <c r="D25" s="12"/>
      <c r="E25" s="15"/>
      <c r="F25" s="15"/>
      <c r="G25" s="15"/>
      <c r="H25" s="15"/>
      <c r="I25" s="12"/>
      <c r="J25" s="12"/>
      <c r="K25" s="12"/>
      <c r="L25" s="12"/>
      <c r="M25" s="3"/>
      <c r="N25" s="3"/>
      <c r="O25" s="3"/>
      <c r="P25" s="3"/>
      <c r="Q25" s="3"/>
    </row>
    <row r="26" spans="1:17" ht="15">
      <c r="A26" s="12"/>
      <c r="B26" s="12"/>
      <c r="C26" s="12"/>
      <c r="D26" s="12"/>
      <c r="E26" s="15"/>
      <c r="F26" s="15"/>
      <c r="G26" s="15"/>
      <c r="H26" s="15"/>
      <c r="I26" s="12"/>
      <c r="J26" s="12"/>
      <c r="K26" s="12"/>
      <c r="L26" s="12"/>
      <c r="M26" s="3"/>
      <c r="N26" s="3"/>
      <c r="O26" s="3"/>
      <c r="P26" s="3"/>
      <c r="Q26" s="3"/>
    </row>
    <row r="27" spans="1:17" ht="15">
      <c r="A27" s="12"/>
      <c r="B27" s="12"/>
      <c r="C27" s="12"/>
      <c r="D27" s="12"/>
      <c r="E27" s="15"/>
      <c r="F27" s="15"/>
      <c r="G27" s="15"/>
      <c r="H27" s="15"/>
      <c r="I27" s="12"/>
      <c r="J27" s="12"/>
      <c r="K27" s="12"/>
      <c r="L27" s="12"/>
      <c r="M27" s="3"/>
      <c r="N27" s="3"/>
      <c r="O27" s="3"/>
      <c r="P27" s="3"/>
      <c r="Q27" s="3"/>
    </row>
    <row r="28" spans="1:17" ht="15">
      <c r="A28" s="12"/>
      <c r="B28" s="12"/>
      <c r="C28" s="12"/>
      <c r="D28" s="12"/>
      <c r="E28" s="15"/>
      <c r="F28" s="15"/>
      <c r="G28" s="15"/>
      <c r="H28" s="15"/>
      <c r="I28" s="12"/>
      <c r="J28" s="12"/>
      <c r="K28" s="12"/>
      <c r="L28" s="12"/>
      <c r="M28" s="3"/>
      <c r="N28" s="3"/>
      <c r="O28" s="3"/>
      <c r="P28" s="3"/>
      <c r="Q28" s="3"/>
    </row>
    <row r="29" spans="1:17" ht="15">
      <c r="A29" s="12"/>
      <c r="B29" s="12"/>
      <c r="C29" s="12"/>
      <c r="D29" s="12"/>
      <c r="E29" s="15"/>
      <c r="F29" s="15"/>
      <c r="G29" s="15"/>
      <c r="H29" s="15"/>
      <c r="I29" s="12"/>
      <c r="J29" s="12"/>
      <c r="K29" s="12"/>
      <c r="L29" s="12"/>
      <c r="M29" s="3"/>
      <c r="N29" s="3"/>
      <c r="O29" s="3"/>
      <c r="P29" s="3"/>
      <c r="Q29" s="3"/>
    </row>
    <row r="30" spans="1:17" ht="15">
      <c r="A30" s="12"/>
      <c r="B30" s="12"/>
      <c r="C30" s="12"/>
      <c r="D30" s="12"/>
      <c r="E30" s="15"/>
      <c r="F30" s="15"/>
      <c r="G30" s="15"/>
      <c r="H30" s="15"/>
      <c r="I30" s="12"/>
      <c r="J30" s="12"/>
      <c r="K30" s="12"/>
      <c r="L30" s="12"/>
      <c r="M30" s="3"/>
      <c r="N30" s="3"/>
      <c r="O30" s="3"/>
      <c r="P30" s="3"/>
      <c r="Q30" s="3"/>
    </row>
    <row r="31" spans="1:17" ht="15">
      <c r="A31" s="12"/>
      <c r="B31" s="12"/>
      <c r="C31" s="12"/>
      <c r="D31" s="12"/>
      <c r="E31" s="15"/>
      <c r="F31" s="15"/>
      <c r="G31" s="15"/>
      <c r="H31" s="15"/>
      <c r="I31" s="12"/>
      <c r="J31" s="12"/>
      <c r="K31" s="12"/>
      <c r="L31" s="12"/>
      <c r="M31" s="3"/>
      <c r="N31" s="3"/>
      <c r="O31" s="3"/>
      <c r="P31" s="3"/>
      <c r="Q31" s="3"/>
    </row>
    <row r="32" spans="1:17" ht="15">
      <c r="A32" s="12"/>
      <c r="B32" s="12"/>
      <c r="C32" s="12"/>
      <c r="D32" s="12"/>
      <c r="E32" s="15"/>
      <c r="F32" s="15"/>
      <c r="G32" s="15"/>
      <c r="H32" s="15"/>
      <c r="I32" s="12"/>
      <c r="J32" s="12"/>
      <c r="K32" s="12"/>
      <c r="L32" s="12"/>
      <c r="M32" s="3"/>
      <c r="N32" s="3"/>
      <c r="O32" s="3"/>
      <c r="P32" s="3"/>
      <c r="Q32" s="3"/>
    </row>
    <row r="33" spans="1:17" ht="15">
      <c r="A33" s="12"/>
      <c r="B33" s="12"/>
      <c r="C33" s="12"/>
      <c r="D33" s="12"/>
      <c r="E33" s="15"/>
      <c r="F33" s="15"/>
      <c r="G33" s="15"/>
      <c r="H33" s="15"/>
      <c r="I33" s="12"/>
      <c r="J33" s="12"/>
      <c r="K33" s="12"/>
      <c r="L33" s="12"/>
      <c r="M33" s="3"/>
      <c r="N33" s="3"/>
      <c r="O33" s="3"/>
      <c r="P33" s="3"/>
      <c r="Q33" s="3"/>
    </row>
    <row r="34" spans="1:17" ht="15">
      <c r="A34" s="12"/>
      <c r="B34" s="12"/>
      <c r="C34" s="12"/>
      <c r="D34" s="12"/>
      <c r="E34" s="15"/>
      <c r="F34" s="15"/>
      <c r="G34" s="15"/>
      <c r="H34" s="15"/>
      <c r="I34" s="12"/>
      <c r="J34" s="12"/>
      <c r="K34" s="12"/>
      <c r="L34" s="12"/>
      <c r="M34" s="3"/>
      <c r="N34" s="3"/>
      <c r="O34" s="3"/>
      <c r="P34" s="3"/>
      <c r="Q34" s="3"/>
    </row>
    <row r="35" spans="1:17" ht="15">
      <c r="A35" s="12"/>
      <c r="B35" s="12"/>
      <c r="C35" s="12"/>
      <c r="D35" s="12"/>
      <c r="E35" s="15"/>
      <c r="F35" s="15"/>
      <c r="G35" s="15"/>
      <c r="H35" s="15"/>
      <c r="I35" s="12"/>
      <c r="J35" s="12"/>
      <c r="K35" s="12"/>
      <c r="L35" s="12"/>
      <c r="M35" s="3"/>
      <c r="N35" s="3"/>
      <c r="O35" s="3"/>
      <c r="P35" s="3"/>
      <c r="Q35" s="3"/>
    </row>
    <row r="36" spans="1:17" ht="15">
      <c r="A36" s="12"/>
      <c r="B36" s="12"/>
      <c r="C36" s="12"/>
      <c r="D36" s="12"/>
      <c r="E36" s="15"/>
      <c r="F36" s="15"/>
      <c r="G36" s="15"/>
      <c r="H36" s="15"/>
      <c r="I36" s="12"/>
      <c r="J36" s="12"/>
      <c r="K36" s="12"/>
      <c r="L36" s="12"/>
      <c r="M36" s="3"/>
      <c r="N36" s="3"/>
      <c r="O36" s="3"/>
      <c r="P36" s="3"/>
      <c r="Q36" s="3"/>
    </row>
    <row r="37" spans="1:17" ht="15">
      <c r="A37" s="12"/>
      <c r="B37" s="12"/>
      <c r="C37" s="12"/>
      <c r="D37" s="12"/>
      <c r="E37" s="15"/>
      <c r="F37" s="15"/>
      <c r="G37" s="15"/>
      <c r="H37" s="15"/>
      <c r="I37" s="12"/>
      <c r="J37" s="12"/>
      <c r="K37" s="12"/>
      <c r="L37" s="12"/>
      <c r="M37" s="3"/>
      <c r="N37" s="3"/>
      <c r="O37" s="3"/>
      <c r="P37" s="3"/>
      <c r="Q37" s="3"/>
    </row>
    <row r="38" spans="1:17" ht="15">
      <c r="A38" s="12"/>
      <c r="B38" s="12"/>
      <c r="C38" s="12"/>
      <c r="D38" s="12"/>
      <c r="E38" s="15"/>
      <c r="F38" s="15"/>
      <c r="G38" s="15"/>
      <c r="H38" s="15"/>
      <c r="I38" s="12"/>
      <c r="J38" s="12"/>
      <c r="K38" s="12"/>
      <c r="L38" s="12"/>
      <c r="M38" s="3"/>
      <c r="N38" s="3"/>
      <c r="O38" s="3"/>
      <c r="P38" s="3"/>
      <c r="Q38" s="3"/>
    </row>
    <row r="39" spans="1:17" ht="15">
      <c r="A39" s="12"/>
      <c r="B39" s="12"/>
      <c r="C39" s="12"/>
      <c r="D39" s="12"/>
      <c r="E39" s="15"/>
      <c r="F39" s="15"/>
      <c r="G39" s="15"/>
      <c r="H39" s="15"/>
      <c r="I39" s="12"/>
      <c r="J39" s="12"/>
      <c r="K39" s="12"/>
      <c r="L39" s="12"/>
      <c r="M39" s="3"/>
      <c r="N39" s="3"/>
      <c r="O39" s="3"/>
      <c r="P39" s="3"/>
      <c r="Q39" s="3"/>
    </row>
    <row r="40" spans="1:17" ht="15">
      <c r="A40" s="12"/>
      <c r="B40" s="12"/>
      <c r="C40" s="12"/>
      <c r="D40" s="12"/>
      <c r="E40" s="15"/>
      <c r="F40" s="15"/>
      <c r="G40" s="15"/>
      <c r="H40" s="15"/>
      <c r="I40" s="12"/>
      <c r="J40" s="12"/>
      <c r="K40" s="12"/>
      <c r="L40" s="12"/>
      <c r="M40" s="3"/>
      <c r="N40" s="3"/>
      <c r="O40" s="3"/>
      <c r="P40" s="3"/>
      <c r="Q40" s="3"/>
    </row>
    <row r="41" spans="1:17" ht="15">
      <c r="A41" s="12"/>
      <c r="B41" s="12"/>
      <c r="C41" s="12"/>
      <c r="D41" s="12"/>
      <c r="E41" s="15"/>
      <c r="F41" s="15"/>
      <c r="G41" s="15"/>
      <c r="H41" s="15"/>
      <c r="I41" s="12"/>
      <c r="J41" s="12"/>
      <c r="K41" s="12"/>
      <c r="L41" s="12"/>
      <c r="M41" s="3"/>
      <c r="N41" s="3"/>
      <c r="O41" s="3"/>
      <c r="P41" s="3"/>
      <c r="Q41" s="3"/>
    </row>
    <row r="42" spans="1:17" ht="15">
      <c r="A42" s="12"/>
      <c r="B42" s="12"/>
      <c r="C42" s="12"/>
      <c r="D42" s="12"/>
      <c r="E42" s="15"/>
      <c r="F42" s="15"/>
      <c r="G42" s="15"/>
      <c r="H42" s="15"/>
      <c r="I42" s="12"/>
      <c r="J42" s="12"/>
      <c r="K42" s="12"/>
      <c r="L42" s="12"/>
      <c r="M42" s="3"/>
      <c r="N42" s="3"/>
      <c r="O42" s="3"/>
      <c r="P42" s="3"/>
      <c r="Q42" s="3"/>
    </row>
    <row r="43" spans="1:17" ht="15">
      <c r="A43" s="12"/>
      <c r="B43" s="12"/>
      <c r="C43" s="12"/>
      <c r="D43" s="12"/>
      <c r="E43" s="15"/>
      <c r="F43" s="15"/>
      <c r="G43" s="15"/>
      <c r="H43" s="15"/>
      <c r="I43" s="12"/>
      <c r="J43" s="12"/>
      <c r="K43" s="12"/>
      <c r="L43" s="12"/>
      <c r="M43" s="3"/>
      <c r="N43" s="3"/>
      <c r="O43" s="3"/>
      <c r="P43" s="3"/>
      <c r="Q43" s="3"/>
    </row>
    <row r="44" spans="1:17" ht="15">
      <c r="A44" s="12"/>
      <c r="B44" s="12"/>
      <c r="C44" s="12"/>
      <c r="D44" s="12"/>
      <c r="E44" s="15"/>
      <c r="F44" s="15"/>
      <c r="G44" s="15"/>
      <c r="H44" s="15"/>
      <c r="I44" s="12"/>
      <c r="J44" s="12"/>
      <c r="K44" s="12"/>
      <c r="L44" s="12"/>
      <c r="M44" s="3"/>
      <c r="N44" s="3"/>
      <c r="O44" s="3"/>
      <c r="P44" s="3"/>
      <c r="Q44" s="3"/>
    </row>
    <row r="45" spans="1:17" ht="15">
      <c r="A45" s="12"/>
      <c r="B45" s="12"/>
      <c r="C45" s="12"/>
      <c r="D45" s="12"/>
      <c r="E45" s="15"/>
      <c r="F45" s="15"/>
      <c r="G45" s="15"/>
      <c r="H45" s="15"/>
      <c r="I45" s="12"/>
      <c r="J45" s="12"/>
      <c r="K45" s="12"/>
      <c r="L45" s="12"/>
      <c r="M45" s="3"/>
      <c r="N45" s="3"/>
      <c r="O45" s="3"/>
      <c r="P45" s="3"/>
      <c r="Q45" s="3"/>
    </row>
    <row r="46" spans="1:17" ht="15">
      <c r="A46" s="12"/>
      <c r="B46" s="12"/>
      <c r="C46" s="12"/>
      <c r="D46" s="12"/>
      <c r="E46" s="15"/>
      <c r="F46" s="15"/>
      <c r="G46" s="15"/>
      <c r="H46" s="15"/>
      <c r="I46" s="12"/>
      <c r="J46" s="12"/>
      <c r="K46" s="12"/>
      <c r="L46" s="12"/>
      <c r="M46" s="3"/>
      <c r="N46" s="3"/>
      <c r="O46" s="3"/>
      <c r="P46" s="3"/>
      <c r="Q46" s="3"/>
    </row>
    <row r="47" spans="1:17" ht="15">
      <c r="A47" s="12"/>
      <c r="B47" s="12"/>
      <c r="C47" s="12"/>
      <c r="D47" s="12"/>
      <c r="E47" s="15"/>
      <c r="F47" s="15"/>
      <c r="G47" s="15"/>
      <c r="H47" s="15"/>
      <c r="I47" s="12"/>
      <c r="J47" s="12"/>
      <c r="K47" s="12"/>
      <c r="L47" s="12"/>
      <c r="M47" s="3"/>
      <c r="N47" s="3"/>
      <c r="O47" s="3"/>
      <c r="P47" s="3"/>
      <c r="Q47" s="3"/>
    </row>
    <row r="48" spans="1:17" ht="15">
      <c r="A48" s="12"/>
      <c r="B48" s="12"/>
      <c r="C48" s="12"/>
      <c r="D48" s="12"/>
      <c r="E48" s="15"/>
      <c r="F48" s="15"/>
      <c r="G48" s="15"/>
      <c r="H48" s="15"/>
      <c r="I48" s="12"/>
      <c r="J48" s="12"/>
      <c r="K48" s="12"/>
      <c r="L48" s="12"/>
      <c r="M48" s="3"/>
      <c r="N48" s="3"/>
      <c r="O48" s="3"/>
      <c r="P48" s="3"/>
      <c r="Q48" s="3"/>
    </row>
    <row r="49" spans="1:17" ht="15">
      <c r="A49" s="12"/>
      <c r="B49" s="12"/>
      <c r="C49" s="12"/>
      <c r="D49" s="12"/>
      <c r="E49" s="15"/>
      <c r="F49" s="15"/>
      <c r="G49" s="15"/>
      <c r="H49" s="15"/>
      <c r="I49" s="12"/>
      <c r="J49" s="12"/>
      <c r="K49" s="12"/>
      <c r="L49" s="12"/>
      <c r="M49" s="3"/>
      <c r="N49" s="3"/>
      <c r="O49" s="3"/>
      <c r="P49" s="3"/>
      <c r="Q49" s="3"/>
    </row>
    <row r="50" spans="1:17" ht="15">
      <c r="A50" s="12"/>
      <c r="B50" s="12"/>
      <c r="C50" s="12"/>
      <c r="D50" s="12"/>
      <c r="E50" s="15"/>
      <c r="F50" s="15"/>
      <c r="G50" s="15"/>
      <c r="H50" s="15"/>
      <c r="I50" s="12"/>
      <c r="J50" s="12"/>
      <c r="K50" s="12"/>
      <c r="L50" s="12"/>
      <c r="M50" s="3"/>
      <c r="N50" s="3"/>
      <c r="O50" s="3"/>
      <c r="P50" s="3"/>
      <c r="Q50" s="3"/>
    </row>
    <row r="51" spans="1:17" ht="15">
      <c r="A51" s="12"/>
      <c r="B51" s="12"/>
      <c r="C51" s="12"/>
      <c r="D51" s="12"/>
      <c r="E51" s="15"/>
      <c r="F51" s="15"/>
      <c r="G51" s="15"/>
      <c r="H51" s="15"/>
      <c r="I51" s="12"/>
      <c r="J51" s="12"/>
      <c r="K51" s="12"/>
      <c r="L51" s="12"/>
      <c r="M51" s="3"/>
      <c r="N51" s="3"/>
      <c r="O51" s="3"/>
      <c r="P51" s="3"/>
      <c r="Q51" s="3"/>
    </row>
    <row r="52" spans="1:17" ht="15">
      <c r="A52" s="12"/>
      <c r="B52" s="12"/>
      <c r="C52" s="12"/>
      <c r="D52" s="12"/>
      <c r="E52" s="15"/>
      <c r="F52" s="15"/>
      <c r="G52" s="15"/>
      <c r="H52" s="15"/>
      <c r="I52" s="12"/>
      <c r="J52" s="12"/>
      <c r="K52" s="12"/>
      <c r="L52" s="12"/>
      <c r="M52" s="3"/>
      <c r="N52" s="3"/>
      <c r="O52" s="3"/>
      <c r="P52" s="3"/>
      <c r="Q52" s="3"/>
    </row>
    <row r="53" spans="1:17" ht="15">
      <c r="A53" s="12"/>
      <c r="B53" s="12"/>
      <c r="C53" s="12"/>
      <c r="D53" s="12"/>
      <c r="E53" s="15"/>
      <c r="F53" s="15"/>
      <c r="G53" s="15"/>
      <c r="H53" s="15"/>
      <c r="I53" s="12"/>
      <c r="J53" s="12"/>
      <c r="K53" s="12"/>
      <c r="L53" s="12"/>
      <c r="M53" s="3"/>
      <c r="N53" s="3"/>
      <c r="O53" s="3"/>
      <c r="P53" s="3"/>
      <c r="Q53" s="3"/>
    </row>
    <row r="54" spans="1:17" ht="15">
      <c r="A54" s="12"/>
      <c r="B54" s="12"/>
      <c r="C54" s="12"/>
      <c r="D54" s="12"/>
      <c r="E54" s="15"/>
      <c r="F54" s="15"/>
      <c r="G54" s="15"/>
      <c r="H54" s="15"/>
      <c r="I54" s="12"/>
      <c r="J54" s="12"/>
      <c r="K54" s="12"/>
      <c r="L54" s="12"/>
      <c r="M54" s="3"/>
      <c r="N54" s="3"/>
      <c r="O54" s="3"/>
      <c r="P54" s="3"/>
      <c r="Q54" s="3"/>
    </row>
    <row r="55" spans="1:17" ht="15">
      <c r="A55" s="12"/>
      <c r="B55" s="12"/>
      <c r="C55" s="12"/>
      <c r="D55" s="12"/>
      <c r="E55" s="15"/>
      <c r="F55" s="15"/>
      <c r="G55" s="15"/>
      <c r="H55" s="15"/>
      <c r="I55" s="12"/>
      <c r="J55" s="12"/>
      <c r="K55" s="12"/>
      <c r="L55" s="12"/>
      <c r="M55" s="3"/>
      <c r="N55" s="3"/>
      <c r="O55" s="3"/>
      <c r="P55" s="3"/>
      <c r="Q55" s="3"/>
    </row>
    <row r="56" spans="1:17" ht="15">
      <c r="A56" s="12"/>
      <c r="B56" s="12"/>
      <c r="C56" s="12"/>
      <c r="D56" s="12"/>
      <c r="E56" s="15"/>
      <c r="F56" s="15"/>
      <c r="G56" s="15"/>
      <c r="H56" s="15"/>
      <c r="I56" s="12"/>
      <c r="J56" s="12"/>
      <c r="K56" s="12"/>
      <c r="L56" s="12"/>
      <c r="M56" s="3"/>
      <c r="N56" s="3"/>
      <c r="O56" s="3"/>
      <c r="P56" s="3"/>
      <c r="Q56" s="3"/>
    </row>
    <row r="57" spans="1:17" ht="15">
      <c r="A57" s="12"/>
      <c r="B57" s="12"/>
      <c r="C57" s="12"/>
      <c r="D57" s="12"/>
      <c r="E57" s="15"/>
      <c r="F57" s="15"/>
      <c r="G57" s="15"/>
      <c r="H57" s="15"/>
      <c r="I57" s="12"/>
      <c r="J57" s="12"/>
      <c r="K57" s="12"/>
      <c r="L57" s="12"/>
      <c r="M57" s="3"/>
      <c r="N57" s="3"/>
      <c r="O57" s="3"/>
      <c r="P57" s="3"/>
      <c r="Q57" s="3"/>
    </row>
    <row r="58" spans="1:17" ht="15">
      <c r="A58" s="12"/>
      <c r="B58" s="12"/>
      <c r="C58" s="12"/>
      <c r="D58" s="12"/>
      <c r="E58" s="15"/>
      <c r="F58" s="15"/>
      <c r="G58" s="15"/>
      <c r="H58" s="15"/>
      <c r="I58" s="12"/>
      <c r="J58" s="12"/>
      <c r="K58" s="12"/>
      <c r="L58" s="12"/>
      <c r="M58" s="3"/>
      <c r="N58" s="3"/>
      <c r="O58" s="3"/>
      <c r="P58" s="3"/>
      <c r="Q58" s="3"/>
    </row>
    <row r="59" spans="1:17" ht="15">
      <c r="A59" s="12"/>
      <c r="B59" s="12"/>
      <c r="C59" s="12"/>
      <c r="D59" s="12"/>
      <c r="E59" s="15"/>
      <c r="F59" s="15"/>
      <c r="G59" s="15"/>
      <c r="H59" s="15"/>
      <c r="I59" s="12"/>
      <c r="J59" s="12"/>
      <c r="K59" s="12"/>
      <c r="L59" s="12"/>
      <c r="M59" s="3"/>
      <c r="N59" s="3"/>
      <c r="O59" s="3"/>
      <c r="P59" s="3"/>
      <c r="Q59" s="3"/>
    </row>
    <row r="60" spans="1:17" ht="15">
      <c r="A60" s="12"/>
      <c r="B60" s="12"/>
      <c r="C60" s="12"/>
      <c r="D60" s="12"/>
      <c r="E60" s="15"/>
      <c r="F60" s="15"/>
      <c r="G60" s="15"/>
      <c r="H60" s="15"/>
      <c r="I60" s="12"/>
      <c r="J60" s="12"/>
      <c r="K60" s="12"/>
      <c r="L60" s="12"/>
      <c r="M60" s="3"/>
      <c r="N60" s="3"/>
      <c r="O60" s="3"/>
      <c r="P60" s="3"/>
      <c r="Q60" s="3"/>
    </row>
    <row r="61" spans="1:17" ht="15">
      <c r="A61" s="12"/>
      <c r="B61" s="12"/>
      <c r="C61" s="12"/>
      <c r="D61" s="12"/>
      <c r="E61" s="15"/>
      <c r="F61" s="15"/>
      <c r="G61" s="15"/>
      <c r="H61" s="15"/>
      <c r="I61" s="12"/>
      <c r="J61" s="12"/>
      <c r="K61" s="12"/>
      <c r="L61" s="12"/>
      <c r="M61" s="3"/>
      <c r="N61" s="3"/>
      <c r="O61" s="3"/>
      <c r="P61" s="3"/>
      <c r="Q61" s="3"/>
    </row>
    <row r="62" spans="1:17" ht="15">
      <c r="A62" s="12"/>
      <c r="B62" s="12"/>
      <c r="C62" s="12"/>
      <c r="D62" s="12"/>
      <c r="E62" s="15"/>
      <c r="F62" s="15"/>
      <c r="G62" s="15"/>
      <c r="H62" s="15"/>
      <c r="I62" s="12"/>
      <c r="J62" s="12"/>
      <c r="K62" s="12"/>
      <c r="L62" s="12"/>
      <c r="M62" s="3"/>
      <c r="N62" s="3"/>
      <c r="O62" s="3"/>
      <c r="P62" s="3"/>
      <c r="Q62" s="3"/>
    </row>
    <row r="63" spans="1:17" ht="15">
      <c r="A63" s="12"/>
      <c r="B63" s="12"/>
      <c r="C63" s="12"/>
      <c r="D63" s="12"/>
      <c r="E63" s="15"/>
      <c r="F63" s="15"/>
      <c r="G63" s="15"/>
      <c r="H63" s="15"/>
      <c r="I63" s="12"/>
      <c r="J63" s="12"/>
      <c r="K63" s="12"/>
      <c r="L63" s="12"/>
      <c r="M63" s="3"/>
      <c r="N63" s="3"/>
      <c r="O63" s="3"/>
      <c r="P63" s="3"/>
      <c r="Q63" s="3"/>
    </row>
    <row r="64" spans="1:17" ht="15">
      <c r="A64" s="12"/>
      <c r="B64" s="12"/>
      <c r="C64" s="12"/>
      <c r="D64" s="12"/>
      <c r="E64" s="15"/>
      <c r="F64" s="15"/>
      <c r="G64" s="15"/>
      <c r="H64" s="15"/>
      <c r="I64" s="12"/>
      <c r="J64" s="12"/>
      <c r="K64" s="12"/>
      <c r="L64" s="12"/>
      <c r="M64" s="3"/>
      <c r="N64" s="3"/>
      <c r="O64" s="3"/>
      <c r="P64" s="3"/>
      <c r="Q64" s="3"/>
    </row>
    <row r="65" spans="1:17" ht="15">
      <c r="A65" s="12"/>
      <c r="B65" s="12"/>
      <c r="C65" s="12"/>
      <c r="D65" s="12"/>
      <c r="E65" s="15"/>
      <c r="F65" s="15"/>
      <c r="G65" s="15"/>
      <c r="H65" s="15"/>
      <c r="I65" s="12"/>
      <c r="J65" s="12"/>
      <c r="K65" s="12"/>
      <c r="L65" s="12"/>
      <c r="M65" s="3"/>
      <c r="N65" s="3"/>
      <c r="O65" s="3"/>
      <c r="P65" s="3"/>
      <c r="Q65" s="3"/>
    </row>
    <row r="66" spans="1:17" ht="15">
      <c r="A66" s="12"/>
      <c r="B66" s="12"/>
      <c r="C66" s="12"/>
      <c r="D66" s="12"/>
      <c r="E66" s="15"/>
      <c r="F66" s="15"/>
      <c r="G66" s="15"/>
      <c r="H66" s="15"/>
      <c r="I66" s="12"/>
      <c r="J66" s="12"/>
      <c r="K66" s="12"/>
      <c r="L66" s="12"/>
      <c r="M66" s="3"/>
      <c r="N66" s="3"/>
      <c r="O66" s="3"/>
      <c r="P66" s="3"/>
      <c r="Q66" s="3"/>
    </row>
    <row r="67" spans="1:17" ht="15">
      <c r="A67" s="12"/>
      <c r="B67" s="12"/>
      <c r="C67" s="12"/>
      <c r="D67" s="12"/>
      <c r="E67" s="15"/>
      <c r="F67" s="15"/>
      <c r="G67" s="15"/>
      <c r="H67" s="15"/>
      <c r="I67" s="12"/>
      <c r="J67" s="12"/>
      <c r="K67" s="12"/>
      <c r="L67" s="12"/>
      <c r="M67" s="3"/>
      <c r="N67" s="3"/>
      <c r="O67" s="3"/>
      <c r="P67" s="3"/>
      <c r="Q67" s="3"/>
    </row>
    <row r="68" spans="1:17" ht="15">
      <c r="A68" s="12"/>
      <c r="B68" s="12"/>
      <c r="C68" s="12"/>
      <c r="D68" s="12"/>
      <c r="E68" s="15"/>
      <c r="F68" s="15"/>
      <c r="G68" s="15"/>
      <c r="H68" s="15"/>
      <c r="I68" s="12"/>
      <c r="J68" s="12"/>
      <c r="K68" s="12"/>
      <c r="L68" s="12"/>
      <c r="M68" s="3"/>
      <c r="N68" s="3"/>
      <c r="O68" s="3"/>
      <c r="P68" s="3"/>
      <c r="Q68" s="3"/>
    </row>
    <row r="69" spans="1:17" ht="15">
      <c r="A69" s="12"/>
      <c r="B69" s="12"/>
      <c r="C69" s="12"/>
      <c r="D69" s="12"/>
      <c r="E69" s="15"/>
      <c r="F69" s="15"/>
      <c r="G69" s="15"/>
      <c r="H69" s="15"/>
      <c r="I69" s="12"/>
      <c r="J69" s="12"/>
      <c r="K69" s="12"/>
      <c r="L69" s="12"/>
      <c r="M69" s="3"/>
      <c r="N69" s="3"/>
      <c r="O69" s="3"/>
      <c r="P69" s="3"/>
      <c r="Q69" s="3"/>
    </row>
    <row r="70" spans="1:17" ht="15">
      <c r="A70" s="12"/>
      <c r="B70" s="12"/>
      <c r="C70" s="12"/>
      <c r="D70" s="12"/>
      <c r="E70" s="15"/>
      <c r="F70" s="15"/>
      <c r="G70" s="15"/>
      <c r="H70" s="15"/>
      <c r="I70" s="12"/>
      <c r="J70" s="12"/>
      <c r="K70" s="12"/>
      <c r="L70" s="12"/>
      <c r="M70" s="3"/>
      <c r="N70" s="3"/>
      <c r="O70" s="3"/>
      <c r="P70" s="3"/>
      <c r="Q70" s="3"/>
    </row>
    <row r="71" spans="1:17" ht="15">
      <c r="A71" s="12"/>
      <c r="B71" s="12"/>
      <c r="C71" s="12"/>
      <c r="D71" s="12"/>
      <c r="E71" s="15"/>
      <c r="F71" s="15"/>
      <c r="G71" s="15"/>
      <c r="H71" s="15"/>
      <c r="I71" s="12"/>
      <c r="J71" s="12"/>
      <c r="K71" s="12"/>
      <c r="L71" s="12"/>
      <c r="M71" s="3"/>
      <c r="N71" s="3"/>
      <c r="O71" s="3"/>
      <c r="P71" s="3"/>
      <c r="Q71" s="3"/>
    </row>
    <row r="72" spans="1:17" ht="15">
      <c r="A72" s="12"/>
      <c r="B72" s="12"/>
      <c r="C72" s="12"/>
      <c r="D72" s="12"/>
      <c r="E72" s="15"/>
      <c r="F72" s="15"/>
      <c r="G72" s="15"/>
      <c r="H72" s="15"/>
      <c r="I72" s="12"/>
      <c r="J72" s="12"/>
      <c r="K72" s="12"/>
      <c r="L72" s="12"/>
      <c r="M72" s="3"/>
      <c r="N72" s="3"/>
      <c r="O72" s="3"/>
      <c r="P72" s="3"/>
      <c r="Q72" s="3"/>
    </row>
    <row r="73" spans="1:17" ht="15">
      <c r="A73" s="12"/>
      <c r="B73" s="12"/>
      <c r="C73" s="12"/>
      <c r="D73" s="12"/>
      <c r="E73" s="15"/>
      <c r="F73" s="15"/>
      <c r="G73" s="15"/>
      <c r="H73" s="15"/>
      <c r="I73" s="12"/>
      <c r="J73" s="12"/>
      <c r="K73" s="12"/>
      <c r="L73" s="12"/>
      <c r="M73" s="3"/>
      <c r="N73" s="3"/>
      <c r="O73" s="3"/>
      <c r="P73" s="3"/>
      <c r="Q73" s="3"/>
    </row>
    <row r="74" spans="1:17" ht="15">
      <c r="A74" s="12"/>
      <c r="B74" s="12"/>
      <c r="C74" s="12"/>
      <c r="D74" s="12"/>
      <c r="E74" s="15"/>
      <c r="F74" s="15"/>
      <c r="G74" s="15"/>
      <c r="H74" s="15"/>
      <c r="I74" s="12"/>
      <c r="J74" s="12"/>
      <c r="K74" s="12"/>
      <c r="L74" s="12"/>
      <c r="M74" s="3"/>
      <c r="N74" s="3"/>
      <c r="O74" s="3"/>
      <c r="P74" s="3"/>
      <c r="Q74" s="3"/>
    </row>
    <row r="75" spans="1:17" ht="15">
      <c r="A75" s="12"/>
      <c r="B75" s="12"/>
      <c r="C75" s="12"/>
      <c r="D75" s="12"/>
      <c r="E75" s="15"/>
      <c r="F75" s="15"/>
      <c r="G75" s="15"/>
      <c r="H75" s="15"/>
      <c r="I75" s="12"/>
      <c r="J75" s="12"/>
      <c r="K75" s="12"/>
      <c r="L75" s="12"/>
      <c r="M75" s="3"/>
      <c r="N75" s="3"/>
      <c r="O75" s="3"/>
      <c r="P75" s="3"/>
      <c r="Q75" s="3"/>
    </row>
    <row r="76" spans="1:17" ht="15">
      <c r="A76" s="12"/>
      <c r="B76" s="12"/>
      <c r="C76" s="12"/>
      <c r="D76" s="12"/>
      <c r="E76" s="15"/>
      <c r="F76" s="15"/>
      <c r="G76" s="15"/>
      <c r="H76" s="15"/>
      <c r="I76" s="12"/>
      <c r="J76" s="12"/>
      <c r="K76" s="12"/>
      <c r="L76" s="12"/>
      <c r="M76" s="3"/>
      <c r="N76" s="3"/>
      <c r="O76" s="3"/>
      <c r="P76" s="3"/>
      <c r="Q76" s="3"/>
    </row>
    <row r="77" spans="1:17" ht="15">
      <c r="A77" s="12"/>
      <c r="B77" s="12"/>
      <c r="C77" s="12"/>
      <c r="D77" s="12"/>
      <c r="E77" s="15"/>
      <c r="F77" s="15"/>
      <c r="G77" s="15"/>
      <c r="H77" s="15"/>
      <c r="I77" s="12"/>
      <c r="J77" s="12"/>
      <c r="K77" s="12"/>
      <c r="L77" s="12"/>
      <c r="M77" s="3"/>
      <c r="N77" s="3"/>
      <c r="O77" s="3"/>
      <c r="P77" s="3"/>
      <c r="Q77" s="3"/>
    </row>
    <row r="78" spans="1:17" ht="15">
      <c r="A78" s="12"/>
      <c r="B78" s="12"/>
      <c r="C78" s="12"/>
      <c r="D78" s="12"/>
      <c r="E78" s="15"/>
      <c r="F78" s="15"/>
      <c r="G78" s="15"/>
      <c r="H78" s="15"/>
      <c r="I78" s="12"/>
      <c r="J78" s="12"/>
      <c r="K78" s="12"/>
      <c r="L78" s="12"/>
      <c r="M78" s="3"/>
      <c r="N78" s="3"/>
      <c r="O78" s="3"/>
      <c r="P78" s="3"/>
      <c r="Q78" s="3"/>
    </row>
    <row r="79" spans="1:17" ht="15">
      <c r="A79" s="12"/>
      <c r="B79" s="12"/>
      <c r="C79" s="12"/>
      <c r="D79" s="12"/>
      <c r="E79" s="15"/>
      <c r="F79" s="15"/>
      <c r="G79" s="15"/>
      <c r="H79" s="15"/>
      <c r="I79" s="12"/>
      <c r="J79" s="12"/>
      <c r="K79" s="12"/>
      <c r="L79" s="12"/>
      <c r="M79" s="3"/>
      <c r="N79" s="3"/>
      <c r="O79" s="3"/>
      <c r="P79" s="3"/>
      <c r="Q79" s="3"/>
    </row>
    <row r="80" spans="1:17" ht="15">
      <c r="A80" s="12"/>
      <c r="B80" s="12"/>
      <c r="C80" s="12"/>
      <c r="D80" s="12"/>
      <c r="E80" s="15"/>
      <c r="F80" s="15"/>
      <c r="G80" s="15"/>
      <c r="H80" s="15"/>
      <c r="I80" s="12"/>
      <c r="J80" s="12"/>
      <c r="K80" s="12"/>
      <c r="L80" s="12"/>
      <c r="M80" s="3"/>
      <c r="N80" s="3"/>
      <c r="O80" s="3"/>
      <c r="P80" s="3"/>
      <c r="Q80" s="3"/>
    </row>
    <row r="81" spans="1:17" ht="15">
      <c r="A81" s="12"/>
      <c r="B81" s="12"/>
      <c r="C81" s="12"/>
      <c r="D81" s="12"/>
      <c r="E81" s="15"/>
      <c r="F81" s="15"/>
      <c r="G81" s="15"/>
      <c r="H81" s="15"/>
      <c r="I81" s="12"/>
      <c r="J81" s="12"/>
      <c r="K81" s="12"/>
      <c r="L81" s="12"/>
      <c r="M81" s="3"/>
      <c r="N81" s="3"/>
      <c r="O81" s="3"/>
      <c r="P81" s="3"/>
      <c r="Q81" s="3"/>
    </row>
    <row r="82" spans="1:17" ht="15">
      <c r="A82" s="12"/>
      <c r="B82" s="12"/>
      <c r="C82" s="12"/>
      <c r="D82" s="12"/>
      <c r="E82" s="15"/>
      <c r="F82" s="15"/>
      <c r="G82" s="15"/>
      <c r="H82" s="15"/>
      <c r="I82" s="12"/>
      <c r="J82" s="12"/>
      <c r="K82" s="12"/>
      <c r="L82" s="12"/>
      <c r="M82" s="3"/>
      <c r="N82" s="3"/>
      <c r="O82" s="3"/>
      <c r="P82" s="3"/>
      <c r="Q82" s="3"/>
    </row>
    <row r="83" spans="1:17" ht="15">
      <c r="A83" s="12"/>
      <c r="B83" s="12"/>
      <c r="C83" s="12"/>
      <c r="D83" s="12"/>
      <c r="E83" s="15"/>
      <c r="F83" s="15"/>
      <c r="G83" s="15"/>
      <c r="H83" s="15"/>
      <c r="I83" s="12"/>
      <c r="J83" s="12"/>
      <c r="K83" s="12"/>
      <c r="L83" s="12"/>
      <c r="M83" s="3"/>
      <c r="N83" s="3"/>
      <c r="O83" s="3"/>
      <c r="P83" s="3"/>
      <c r="Q83" s="3"/>
    </row>
    <row r="84" spans="1:17" ht="15">
      <c r="A84" s="12"/>
      <c r="B84" s="12"/>
      <c r="C84" s="12"/>
      <c r="D84" s="12"/>
      <c r="E84" s="15"/>
      <c r="F84" s="15"/>
      <c r="G84" s="15"/>
      <c r="H84" s="15"/>
      <c r="I84" s="12"/>
      <c r="J84" s="12"/>
      <c r="K84" s="12"/>
      <c r="L84" s="12"/>
      <c r="M84" s="3"/>
      <c r="N84" s="3"/>
      <c r="O84" s="3"/>
      <c r="P84" s="3"/>
      <c r="Q84" s="3"/>
    </row>
    <row r="85" spans="1:17" ht="15">
      <c r="A85" s="12"/>
      <c r="B85" s="12"/>
      <c r="C85" s="12"/>
      <c r="D85" s="12"/>
      <c r="E85" s="15"/>
      <c r="F85" s="15"/>
      <c r="G85" s="15"/>
      <c r="H85" s="15"/>
      <c r="I85" s="12"/>
      <c r="J85" s="12"/>
      <c r="K85" s="12"/>
      <c r="L85" s="12"/>
      <c r="M85" s="3"/>
      <c r="N85" s="3"/>
      <c r="O85" s="3"/>
      <c r="P85" s="3"/>
      <c r="Q85" s="3"/>
    </row>
    <row r="86" spans="1:17" ht="15">
      <c r="A86" s="12"/>
      <c r="B86" s="12"/>
      <c r="C86" s="12"/>
      <c r="D86" s="12"/>
      <c r="E86" s="15"/>
      <c r="F86" s="15"/>
      <c r="G86" s="15"/>
      <c r="H86" s="15"/>
      <c r="I86" s="12"/>
      <c r="J86" s="12"/>
      <c r="K86" s="12"/>
      <c r="L86" s="12"/>
      <c r="M86" s="3"/>
      <c r="N86" s="3"/>
      <c r="O86" s="3"/>
      <c r="P86" s="3"/>
      <c r="Q86" s="3"/>
    </row>
    <row r="87" spans="1:17" ht="15">
      <c r="A87" s="12"/>
      <c r="B87" s="12"/>
      <c r="C87" s="12"/>
      <c r="D87" s="12"/>
      <c r="E87" s="15"/>
      <c r="F87" s="15"/>
      <c r="G87" s="15"/>
      <c r="H87" s="15"/>
      <c r="I87" s="12"/>
      <c r="J87" s="12"/>
      <c r="K87" s="12"/>
      <c r="L87" s="12"/>
      <c r="M87" s="3"/>
      <c r="N87" s="3"/>
      <c r="O87" s="3"/>
      <c r="P87" s="3"/>
      <c r="Q87" s="3"/>
    </row>
    <row r="88" spans="1:17" ht="15">
      <c r="A88" s="12"/>
      <c r="B88" s="12"/>
      <c r="C88" s="12"/>
      <c r="D88" s="12"/>
      <c r="E88" s="15"/>
      <c r="F88" s="15"/>
      <c r="G88" s="15"/>
      <c r="H88" s="15"/>
      <c r="I88" s="12"/>
      <c r="J88" s="12"/>
      <c r="K88" s="12"/>
      <c r="L88" s="12"/>
      <c r="M88" s="3"/>
      <c r="N88" s="3"/>
      <c r="O88" s="3"/>
      <c r="P88" s="3"/>
      <c r="Q88" s="3"/>
    </row>
    <row r="89" spans="1:17" ht="15">
      <c r="A89" s="12"/>
      <c r="B89" s="12"/>
      <c r="C89" s="12"/>
      <c r="D89" s="12"/>
      <c r="E89" s="15"/>
      <c r="F89" s="15"/>
      <c r="G89" s="15"/>
      <c r="H89" s="15"/>
      <c r="I89" s="12"/>
      <c r="J89" s="12"/>
      <c r="K89" s="12"/>
      <c r="L89" s="12"/>
      <c r="M89" s="3"/>
      <c r="N89" s="3"/>
      <c r="O89" s="3"/>
      <c r="P89" s="3"/>
      <c r="Q89" s="3"/>
    </row>
    <row r="90" spans="1:17" ht="15">
      <c r="A90" s="12"/>
      <c r="B90" s="12"/>
      <c r="C90" s="12"/>
      <c r="D90" s="12"/>
      <c r="E90" s="15"/>
      <c r="F90" s="15"/>
      <c r="G90" s="15"/>
      <c r="H90" s="15"/>
      <c r="I90" s="12"/>
      <c r="J90" s="12"/>
      <c r="K90" s="12"/>
      <c r="L90" s="12"/>
      <c r="M90" s="3"/>
      <c r="N90" s="3"/>
      <c r="O90" s="3"/>
      <c r="P90" s="3"/>
      <c r="Q90" s="3"/>
    </row>
    <row r="91" spans="1:17" ht="15">
      <c r="A91" s="12"/>
      <c r="B91" s="12"/>
      <c r="C91" s="12"/>
      <c r="D91" s="12"/>
      <c r="E91" s="15"/>
      <c r="F91" s="15"/>
      <c r="G91" s="15"/>
      <c r="H91" s="15"/>
      <c r="I91" s="12"/>
      <c r="J91" s="12"/>
      <c r="K91" s="12"/>
      <c r="L91" s="12"/>
      <c r="M91" s="3"/>
      <c r="N91" s="3"/>
      <c r="O91" s="3"/>
      <c r="P91" s="3"/>
      <c r="Q91" s="3"/>
    </row>
    <row r="92" spans="1:17" ht="15">
      <c r="A92" s="12"/>
      <c r="B92" s="12"/>
      <c r="C92" s="12"/>
      <c r="D92" s="12"/>
      <c r="E92" s="15"/>
      <c r="F92" s="15"/>
      <c r="G92" s="15"/>
      <c r="H92" s="15"/>
      <c r="I92" s="12"/>
      <c r="J92" s="12"/>
      <c r="K92" s="12"/>
      <c r="L92" s="12"/>
      <c r="M92" s="3"/>
      <c r="N92" s="3"/>
      <c r="O92" s="3"/>
      <c r="P92" s="3"/>
      <c r="Q92" s="3"/>
    </row>
    <row r="93" spans="1:17" ht="15">
      <c r="A93" s="12"/>
      <c r="B93" s="12"/>
      <c r="C93" s="12"/>
      <c r="D93" s="12"/>
      <c r="E93" s="15"/>
      <c r="F93" s="15"/>
      <c r="G93" s="15"/>
      <c r="H93" s="15"/>
      <c r="I93" s="12"/>
      <c r="J93" s="12"/>
      <c r="K93" s="12"/>
      <c r="L93" s="12"/>
      <c r="M93" s="3"/>
      <c r="N93" s="3"/>
      <c r="O93" s="3"/>
      <c r="P93" s="3"/>
      <c r="Q93" s="3"/>
    </row>
    <row r="94" spans="1:17" ht="15">
      <c r="A94" s="12"/>
      <c r="B94" s="12"/>
      <c r="C94" s="12"/>
      <c r="D94" s="12"/>
      <c r="E94" s="15"/>
      <c r="F94" s="15"/>
      <c r="G94" s="15"/>
      <c r="H94" s="15"/>
      <c r="I94" s="12"/>
      <c r="J94" s="12"/>
      <c r="K94" s="12"/>
      <c r="L94" s="12"/>
      <c r="M94" s="3"/>
      <c r="N94" s="3"/>
      <c r="O94" s="3"/>
      <c r="P94" s="3"/>
      <c r="Q94" s="3"/>
    </row>
    <row r="95" spans="1:17" ht="15">
      <c r="A95" s="12"/>
      <c r="B95" s="12"/>
      <c r="C95" s="12"/>
      <c r="D95" s="12"/>
      <c r="E95" s="15"/>
      <c r="F95" s="15"/>
      <c r="G95" s="15"/>
      <c r="H95" s="15"/>
      <c r="I95" s="12"/>
      <c r="J95" s="12"/>
      <c r="K95" s="12"/>
      <c r="L95" s="12"/>
      <c r="M95" s="3"/>
      <c r="N95" s="3"/>
      <c r="O95" s="3"/>
      <c r="P95" s="3"/>
      <c r="Q95" s="3"/>
    </row>
    <row r="96" spans="1:17" ht="15">
      <c r="A96" s="12"/>
      <c r="B96" s="12"/>
      <c r="C96" s="12"/>
      <c r="D96" s="12"/>
      <c r="E96" s="15"/>
      <c r="F96" s="15"/>
      <c r="G96" s="15"/>
      <c r="H96" s="15"/>
      <c r="I96" s="12"/>
      <c r="J96" s="12"/>
      <c r="K96" s="12"/>
      <c r="L96" s="12"/>
      <c r="M96" s="3"/>
      <c r="N96" s="3"/>
      <c r="O96" s="3"/>
      <c r="P96" s="3"/>
      <c r="Q96" s="3"/>
    </row>
    <row r="97" spans="1:17" ht="15">
      <c r="A97" s="12"/>
      <c r="B97" s="12"/>
      <c r="C97" s="12"/>
      <c r="D97" s="12"/>
      <c r="E97" s="15"/>
      <c r="F97" s="15"/>
      <c r="G97" s="15"/>
      <c r="H97" s="15"/>
      <c r="I97" s="12"/>
      <c r="J97" s="12"/>
      <c r="K97" s="12"/>
      <c r="L97" s="12"/>
      <c r="M97" s="3"/>
      <c r="N97" s="3"/>
      <c r="O97" s="3"/>
      <c r="P97" s="3"/>
      <c r="Q97" s="3"/>
    </row>
    <row r="98" spans="1:17" ht="15">
      <c r="A98" s="12"/>
      <c r="B98" s="12"/>
      <c r="C98" s="12"/>
      <c r="D98" s="12"/>
      <c r="E98" s="15"/>
      <c r="F98" s="15"/>
      <c r="G98" s="15"/>
      <c r="H98" s="15"/>
      <c r="I98" s="12"/>
      <c r="J98" s="12"/>
      <c r="K98" s="12"/>
      <c r="L98" s="12"/>
      <c r="M98" s="3"/>
      <c r="N98" s="3"/>
      <c r="O98" s="3"/>
      <c r="P98" s="3"/>
      <c r="Q98" s="3"/>
    </row>
    <row r="99" spans="1:17" ht="15">
      <c r="A99" s="12"/>
      <c r="B99" s="12"/>
      <c r="C99" s="12"/>
      <c r="D99" s="12"/>
      <c r="E99" s="15"/>
      <c r="F99" s="15"/>
      <c r="G99" s="15"/>
      <c r="H99" s="15"/>
      <c r="I99" s="12"/>
      <c r="J99" s="12"/>
      <c r="K99" s="12"/>
      <c r="L99" s="12"/>
      <c r="M99" s="3"/>
      <c r="N99" s="3"/>
      <c r="O99" s="3"/>
      <c r="P99" s="3"/>
      <c r="Q99" s="3"/>
    </row>
    <row r="100" spans="1:17" ht="15">
      <c r="A100" s="12"/>
      <c r="B100" s="12"/>
      <c r="C100" s="12"/>
      <c r="D100" s="12"/>
      <c r="E100" s="15"/>
      <c r="F100" s="15"/>
      <c r="G100" s="15"/>
      <c r="H100" s="15"/>
      <c r="I100" s="12"/>
      <c r="J100" s="12"/>
      <c r="K100" s="12"/>
      <c r="L100" s="12"/>
      <c r="M100" s="3"/>
      <c r="N100" s="3"/>
      <c r="O100" s="3"/>
      <c r="P100" s="3"/>
      <c r="Q100" s="3"/>
    </row>
    <row r="101" spans="1:17" ht="15">
      <c r="A101" s="12"/>
      <c r="B101" s="12"/>
      <c r="C101" s="12"/>
      <c r="D101" s="12"/>
      <c r="E101" s="15"/>
      <c r="F101" s="15"/>
      <c r="G101" s="15"/>
      <c r="H101" s="15"/>
      <c r="I101" s="12"/>
      <c r="J101" s="12"/>
      <c r="K101" s="12"/>
      <c r="L101" s="12"/>
      <c r="M101" s="3"/>
      <c r="N101" s="3"/>
      <c r="O101" s="3"/>
      <c r="P101" s="3"/>
      <c r="Q101" s="3"/>
    </row>
    <row r="102" spans="1:17" ht="15">
      <c r="A102" s="12"/>
      <c r="B102" s="12"/>
      <c r="C102" s="12"/>
      <c r="D102" s="12"/>
      <c r="E102" s="15"/>
      <c r="F102" s="15"/>
      <c r="G102" s="15"/>
      <c r="H102" s="15"/>
      <c r="I102" s="12"/>
      <c r="J102" s="12"/>
      <c r="K102" s="12"/>
      <c r="L102" s="12"/>
      <c r="M102" s="3"/>
      <c r="N102" s="3"/>
      <c r="O102" s="3"/>
      <c r="P102" s="3"/>
      <c r="Q102" s="3"/>
    </row>
    <row r="103" spans="1:17" ht="15">
      <c r="A103" s="12"/>
      <c r="B103" s="12"/>
      <c r="C103" s="12"/>
      <c r="D103" s="12"/>
      <c r="E103" s="15"/>
      <c r="F103" s="15"/>
      <c r="G103" s="15"/>
      <c r="H103" s="15"/>
      <c r="I103" s="12"/>
      <c r="J103" s="12"/>
      <c r="K103" s="12"/>
      <c r="L103" s="12"/>
      <c r="M103" s="3"/>
      <c r="N103" s="3"/>
      <c r="O103" s="3"/>
      <c r="P103" s="3"/>
      <c r="Q103" s="3"/>
    </row>
    <row r="104" spans="1:17" ht="15">
      <c r="A104" s="12"/>
      <c r="B104" s="12"/>
      <c r="C104" s="12"/>
      <c r="D104" s="12"/>
      <c r="E104" s="15"/>
      <c r="F104" s="15"/>
      <c r="G104" s="15"/>
      <c r="H104" s="15"/>
      <c r="I104" s="12"/>
      <c r="J104" s="12"/>
      <c r="K104" s="12"/>
      <c r="L104" s="12"/>
      <c r="M104" s="3"/>
      <c r="N104" s="3"/>
      <c r="O104" s="3"/>
      <c r="P104" s="3"/>
      <c r="Q104" s="3"/>
    </row>
    <row r="105" spans="1:17" ht="15">
      <c r="A105" s="12"/>
      <c r="B105" s="12"/>
      <c r="C105" s="12"/>
      <c r="D105" s="12"/>
      <c r="E105" s="15"/>
      <c r="F105" s="15"/>
      <c r="G105" s="15"/>
      <c r="H105" s="15"/>
      <c r="I105" s="12"/>
      <c r="J105" s="12"/>
      <c r="K105" s="12"/>
      <c r="L105" s="12"/>
      <c r="M105" s="3"/>
      <c r="N105" s="3"/>
      <c r="O105" s="3"/>
      <c r="P105" s="3"/>
      <c r="Q105" s="3"/>
    </row>
    <row r="106" spans="1:17" ht="15">
      <c r="A106" s="12"/>
      <c r="B106" s="12"/>
      <c r="C106" s="12"/>
      <c r="D106" s="12"/>
      <c r="E106" s="15"/>
      <c r="F106" s="15"/>
      <c r="G106" s="15"/>
      <c r="H106" s="15"/>
      <c r="I106" s="12"/>
      <c r="J106" s="12"/>
      <c r="K106" s="12"/>
      <c r="L106" s="12"/>
      <c r="M106" s="3"/>
      <c r="N106" s="3"/>
      <c r="O106" s="3"/>
      <c r="P106" s="3"/>
      <c r="Q106" s="3"/>
    </row>
    <row r="107" spans="1:17" ht="15">
      <c r="A107" s="12"/>
      <c r="B107" s="12"/>
      <c r="C107" s="12"/>
      <c r="D107" s="12"/>
      <c r="E107" s="15"/>
      <c r="F107" s="15"/>
      <c r="G107" s="15"/>
      <c r="H107" s="15"/>
      <c r="I107" s="12"/>
      <c r="J107" s="12"/>
      <c r="K107" s="12"/>
      <c r="L107" s="12"/>
      <c r="M107" s="3"/>
      <c r="N107" s="3"/>
      <c r="O107" s="3"/>
      <c r="P107" s="3"/>
      <c r="Q107" s="3"/>
    </row>
    <row r="108" spans="1:17" ht="15">
      <c r="A108" s="12"/>
      <c r="B108" s="12"/>
      <c r="C108" s="12"/>
      <c r="D108" s="12"/>
      <c r="E108" s="15"/>
      <c r="F108" s="15"/>
      <c r="G108" s="15"/>
      <c r="H108" s="15"/>
      <c r="I108" s="12"/>
      <c r="J108" s="12"/>
      <c r="K108" s="12"/>
      <c r="L108" s="12"/>
      <c r="M108" s="3"/>
      <c r="N108" s="3"/>
      <c r="O108" s="3"/>
      <c r="P108" s="3"/>
      <c r="Q108" s="3"/>
    </row>
    <row r="109" spans="1:17" ht="15">
      <c r="A109" s="12"/>
      <c r="B109" s="12"/>
      <c r="C109" s="12"/>
      <c r="D109" s="12"/>
      <c r="E109" s="15"/>
      <c r="F109" s="15"/>
      <c r="G109" s="15"/>
      <c r="H109" s="15"/>
      <c r="I109" s="12"/>
      <c r="J109" s="12"/>
      <c r="K109" s="12"/>
      <c r="L109" s="12"/>
      <c r="M109" s="3"/>
      <c r="N109" s="3"/>
      <c r="O109" s="3"/>
      <c r="P109" s="3"/>
      <c r="Q109" s="3"/>
    </row>
    <row r="110" spans="1:17" ht="15">
      <c r="A110" s="12"/>
      <c r="B110" s="12"/>
      <c r="C110" s="12"/>
      <c r="D110" s="12"/>
      <c r="E110" s="15"/>
      <c r="F110" s="15"/>
      <c r="G110" s="15"/>
      <c r="H110" s="15"/>
      <c r="I110" s="12"/>
      <c r="J110" s="12"/>
      <c r="K110" s="12"/>
      <c r="L110" s="12"/>
      <c r="M110" s="3"/>
      <c r="N110" s="3"/>
      <c r="O110" s="3"/>
      <c r="P110" s="3"/>
      <c r="Q110" s="3"/>
    </row>
    <row r="111" spans="1:17" ht="15">
      <c r="A111" s="12"/>
      <c r="B111" s="12"/>
      <c r="C111" s="12"/>
      <c r="D111" s="12"/>
      <c r="E111" s="15"/>
      <c r="F111" s="15"/>
      <c r="G111" s="15"/>
      <c r="H111" s="15"/>
      <c r="I111" s="12"/>
      <c r="J111" s="12"/>
      <c r="K111" s="12"/>
      <c r="L111" s="12"/>
      <c r="M111" s="3"/>
      <c r="N111" s="3"/>
      <c r="O111" s="3"/>
      <c r="P111" s="3"/>
      <c r="Q111" s="3"/>
    </row>
    <row r="112" spans="1:17" ht="15">
      <c r="A112" s="12"/>
      <c r="B112" s="12"/>
      <c r="C112" s="12"/>
      <c r="D112" s="12"/>
      <c r="E112" s="15"/>
      <c r="F112" s="15"/>
      <c r="G112" s="15"/>
      <c r="H112" s="15"/>
      <c r="I112" s="12"/>
      <c r="J112" s="12"/>
      <c r="K112" s="12"/>
      <c r="L112" s="12"/>
      <c r="M112" s="3"/>
      <c r="N112" s="3"/>
      <c r="O112" s="3"/>
      <c r="P112" s="3"/>
      <c r="Q112" s="3"/>
    </row>
    <row r="113" spans="1:17" ht="15">
      <c r="A113" s="12"/>
      <c r="B113" s="12"/>
      <c r="C113" s="12"/>
      <c r="D113" s="12"/>
      <c r="E113" s="15"/>
      <c r="F113" s="15"/>
      <c r="G113" s="15"/>
      <c r="H113" s="15"/>
      <c r="I113" s="12"/>
      <c r="J113" s="12"/>
      <c r="K113" s="12"/>
      <c r="L113" s="12"/>
      <c r="M113" s="3"/>
      <c r="N113" s="3"/>
      <c r="O113" s="3"/>
      <c r="P113" s="3"/>
      <c r="Q113" s="3"/>
    </row>
    <row r="114" spans="1:17" ht="15">
      <c r="A114" s="12"/>
      <c r="B114" s="12"/>
      <c r="C114" s="12"/>
      <c r="D114" s="12"/>
      <c r="E114" s="15"/>
      <c r="F114" s="15"/>
      <c r="G114" s="15"/>
      <c r="H114" s="15"/>
      <c r="I114" s="12"/>
      <c r="J114" s="12"/>
      <c r="K114" s="12"/>
      <c r="L114" s="12"/>
      <c r="M114" s="3"/>
      <c r="N114" s="3"/>
      <c r="O114" s="3"/>
      <c r="P114" s="3"/>
      <c r="Q114" s="3"/>
    </row>
    <row r="115" spans="1:17" ht="15">
      <c r="A115" s="12"/>
      <c r="B115" s="12"/>
      <c r="C115" s="12"/>
      <c r="D115" s="12"/>
      <c r="E115" s="15"/>
      <c r="F115" s="15"/>
      <c r="G115" s="15"/>
      <c r="H115" s="15"/>
      <c r="I115" s="12"/>
      <c r="J115" s="12"/>
      <c r="K115" s="12"/>
      <c r="L115" s="12"/>
      <c r="M115" s="3"/>
      <c r="N115" s="3"/>
      <c r="O115" s="3"/>
      <c r="P115" s="3"/>
      <c r="Q115" s="3"/>
    </row>
    <row r="116" spans="1:17" ht="15">
      <c r="A116" s="12"/>
      <c r="B116" s="12"/>
      <c r="C116" s="12"/>
      <c r="D116" s="12"/>
      <c r="E116" s="15"/>
      <c r="F116" s="15"/>
      <c r="G116" s="15"/>
      <c r="H116" s="15"/>
      <c r="I116" s="12"/>
      <c r="J116" s="12"/>
      <c r="K116" s="12"/>
      <c r="L116" s="12"/>
      <c r="M116" s="3"/>
      <c r="N116" s="3"/>
      <c r="O116" s="3"/>
      <c r="P116" s="3"/>
      <c r="Q116" s="3"/>
    </row>
    <row r="117" spans="1:17" ht="15">
      <c r="A117" s="12"/>
      <c r="B117" s="12"/>
      <c r="C117" s="12"/>
      <c r="D117" s="12"/>
      <c r="E117" s="15"/>
      <c r="F117" s="15"/>
      <c r="G117" s="15"/>
      <c r="H117" s="15"/>
      <c r="I117" s="12"/>
      <c r="J117" s="12"/>
      <c r="K117" s="12"/>
      <c r="L117" s="12"/>
      <c r="M117" s="3"/>
      <c r="N117" s="3"/>
      <c r="O117" s="3"/>
      <c r="P117" s="3"/>
      <c r="Q117" s="3"/>
    </row>
    <row r="118" spans="1:17" ht="15">
      <c r="A118" s="12"/>
      <c r="B118" s="12"/>
      <c r="C118" s="12"/>
      <c r="D118" s="12"/>
      <c r="E118" s="15"/>
      <c r="F118" s="15"/>
      <c r="G118" s="15"/>
      <c r="H118" s="15"/>
      <c r="I118" s="12"/>
      <c r="J118" s="12"/>
      <c r="K118" s="12"/>
      <c r="L118" s="12"/>
      <c r="M118" s="3"/>
      <c r="N118" s="3"/>
      <c r="O118" s="3"/>
      <c r="P118" s="3"/>
      <c r="Q118" s="3"/>
    </row>
    <row r="119" spans="1:17" ht="15">
      <c r="A119" s="12"/>
      <c r="B119" s="12"/>
      <c r="C119" s="12"/>
      <c r="D119" s="12"/>
      <c r="E119" s="15"/>
      <c r="F119" s="15"/>
      <c r="G119" s="15"/>
      <c r="H119" s="15"/>
      <c r="I119" s="12"/>
      <c r="J119" s="12"/>
      <c r="K119" s="12"/>
      <c r="L119" s="12"/>
      <c r="M119" s="3"/>
      <c r="N119" s="3"/>
      <c r="O119" s="3"/>
      <c r="P119" s="3"/>
      <c r="Q119" s="3"/>
    </row>
    <row r="120" spans="1:17" ht="15">
      <c r="A120" s="12"/>
      <c r="B120" s="12"/>
      <c r="C120" s="12"/>
      <c r="D120" s="12"/>
      <c r="E120" s="15"/>
      <c r="F120" s="15"/>
      <c r="G120" s="15"/>
      <c r="H120" s="15"/>
      <c r="I120" s="12"/>
      <c r="J120" s="12"/>
      <c r="K120" s="12"/>
      <c r="L120" s="12"/>
      <c r="M120" s="3"/>
      <c r="N120" s="3"/>
      <c r="O120" s="3"/>
      <c r="P120" s="3"/>
      <c r="Q120" s="3"/>
    </row>
    <row r="121" spans="1:17" ht="15">
      <c r="A121" s="12"/>
      <c r="B121" s="12"/>
      <c r="C121" s="12"/>
      <c r="D121" s="12"/>
      <c r="E121" s="15"/>
      <c r="F121" s="15"/>
      <c r="G121" s="15"/>
      <c r="H121" s="15"/>
      <c r="I121" s="12"/>
      <c r="J121" s="12"/>
      <c r="K121" s="12"/>
      <c r="L121" s="12"/>
      <c r="M121" s="3"/>
      <c r="N121" s="3"/>
      <c r="O121" s="3"/>
      <c r="P121" s="3"/>
      <c r="Q121" s="3"/>
    </row>
    <row r="122" spans="1:17" ht="15">
      <c r="A122" s="12"/>
      <c r="B122" s="12"/>
      <c r="C122" s="12"/>
      <c r="D122" s="12"/>
      <c r="E122" s="15"/>
      <c r="F122" s="15"/>
      <c r="G122" s="15"/>
      <c r="H122" s="15"/>
      <c r="I122" s="12"/>
      <c r="J122" s="12"/>
      <c r="K122" s="12"/>
      <c r="L122" s="12"/>
      <c r="M122" s="3"/>
      <c r="N122" s="3"/>
      <c r="O122" s="3"/>
      <c r="P122" s="3"/>
      <c r="Q122" s="3"/>
    </row>
    <row r="123" spans="1:17" ht="15">
      <c r="A123" s="12"/>
      <c r="B123" s="12"/>
      <c r="C123" s="12"/>
      <c r="D123" s="12"/>
      <c r="E123" s="15"/>
      <c r="F123" s="15"/>
      <c r="G123" s="15"/>
      <c r="H123" s="15"/>
      <c r="I123" s="12"/>
      <c r="J123" s="12"/>
      <c r="K123" s="12"/>
      <c r="L123" s="12"/>
      <c r="M123" s="3"/>
      <c r="N123" s="3"/>
      <c r="O123" s="3"/>
      <c r="P123" s="3"/>
      <c r="Q123" s="3"/>
    </row>
    <row r="124" spans="1:17" ht="15">
      <c r="A124" s="12"/>
      <c r="B124" s="12"/>
      <c r="C124" s="12"/>
      <c r="D124" s="12"/>
      <c r="E124" s="15"/>
      <c r="F124" s="15"/>
      <c r="G124" s="15"/>
      <c r="H124" s="15"/>
      <c r="I124" s="12"/>
      <c r="J124" s="12"/>
      <c r="K124" s="12"/>
      <c r="L124" s="12"/>
      <c r="M124" s="3"/>
      <c r="N124" s="3"/>
      <c r="O124" s="3"/>
      <c r="P124" s="3"/>
      <c r="Q124" s="3"/>
    </row>
    <row r="125" spans="1:17" ht="15">
      <c r="A125" s="12"/>
      <c r="B125" s="12"/>
      <c r="C125" s="12"/>
      <c r="D125" s="12"/>
      <c r="E125" s="15"/>
      <c r="F125" s="15"/>
      <c r="G125" s="15"/>
      <c r="H125" s="15"/>
      <c r="I125" s="12"/>
      <c r="J125" s="12"/>
      <c r="K125" s="12"/>
      <c r="L125" s="12"/>
      <c r="M125" s="3"/>
      <c r="N125" s="3"/>
      <c r="O125" s="3"/>
      <c r="P125" s="3"/>
      <c r="Q125" s="3"/>
    </row>
    <row r="126" spans="1:17" ht="15">
      <c r="A126" s="12"/>
      <c r="B126" s="12"/>
      <c r="C126" s="12"/>
      <c r="D126" s="12"/>
      <c r="E126" s="15"/>
      <c r="F126" s="15"/>
      <c r="G126" s="15"/>
      <c r="H126" s="15"/>
      <c r="I126" s="12"/>
      <c r="J126" s="12"/>
      <c r="K126" s="12"/>
      <c r="L126" s="12"/>
      <c r="M126" s="3"/>
      <c r="N126" s="3"/>
      <c r="O126" s="3"/>
      <c r="P126" s="3"/>
      <c r="Q126" s="3"/>
    </row>
    <row r="127" spans="1:17" ht="15">
      <c r="A127" s="12"/>
      <c r="B127" s="12"/>
      <c r="C127" s="12"/>
      <c r="D127" s="12"/>
      <c r="E127" s="15"/>
      <c r="F127" s="15"/>
      <c r="G127" s="15"/>
      <c r="H127" s="15"/>
      <c r="I127" s="12"/>
      <c r="J127" s="12"/>
      <c r="K127" s="12"/>
      <c r="L127" s="12"/>
      <c r="M127" s="3"/>
      <c r="N127" s="3"/>
      <c r="O127" s="3"/>
      <c r="P127" s="3"/>
      <c r="Q127" s="3"/>
    </row>
    <row r="128" spans="1:17" ht="15">
      <c r="A128" s="12"/>
      <c r="B128" s="12"/>
      <c r="C128" s="12"/>
      <c r="D128" s="12"/>
      <c r="E128" s="15"/>
      <c r="F128" s="15"/>
      <c r="G128" s="15"/>
      <c r="H128" s="15"/>
      <c r="I128" s="12"/>
      <c r="J128" s="12"/>
      <c r="K128" s="12"/>
      <c r="L128" s="12"/>
      <c r="M128" s="3"/>
      <c r="N128" s="3"/>
      <c r="O128" s="3"/>
      <c r="P128" s="3"/>
      <c r="Q128" s="3"/>
    </row>
    <row r="129" spans="1:17" ht="15">
      <c r="A129" s="12"/>
      <c r="B129" s="12"/>
      <c r="C129" s="12"/>
      <c r="D129" s="12"/>
      <c r="E129" s="15"/>
      <c r="F129" s="15"/>
      <c r="G129" s="15"/>
      <c r="H129" s="15"/>
      <c r="I129" s="12"/>
      <c r="J129" s="12"/>
      <c r="K129" s="12"/>
      <c r="L129" s="12"/>
      <c r="M129" s="3"/>
      <c r="N129" s="3"/>
      <c r="O129" s="3"/>
      <c r="P129" s="3"/>
      <c r="Q129" s="3"/>
    </row>
    <row r="130" spans="1:17" ht="15">
      <c r="A130" s="12"/>
      <c r="B130" s="12"/>
      <c r="C130" s="12"/>
      <c r="D130" s="12"/>
      <c r="E130" s="15"/>
      <c r="F130" s="15"/>
      <c r="G130" s="15"/>
      <c r="H130" s="15"/>
      <c r="I130" s="12"/>
      <c r="J130" s="12"/>
      <c r="K130" s="12"/>
      <c r="L130" s="12"/>
      <c r="M130" s="3"/>
      <c r="N130" s="3"/>
      <c r="O130" s="3"/>
      <c r="P130" s="3"/>
      <c r="Q130" s="3"/>
    </row>
    <row r="131" spans="1:17" ht="15">
      <c r="A131" s="12"/>
      <c r="B131" s="12"/>
      <c r="C131" s="12"/>
      <c r="D131" s="12"/>
      <c r="E131" s="15"/>
      <c r="F131" s="15"/>
      <c r="G131" s="15"/>
      <c r="H131" s="15"/>
      <c r="I131" s="12"/>
      <c r="J131" s="12"/>
      <c r="K131" s="12"/>
      <c r="L131" s="12"/>
      <c r="M131" s="3"/>
      <c r="N131" s="3"/>
      <c r="O131" s="3"/>
      <c r="P131" s="3"/>
      <c r="Q131" s="3"/>
    </row>
    <row r="132" spans="1:17" ht="15">
      <c r="A132" s="12"/>
      <c r="B132" s="12"/>
      <c r="C132" s="12"/>
      <c r="D132" s="12"/>
      <c r="E132" s="15"/>
      <c r="F132" s="15"/>
      <c r="G132" s="15"/>
      <c r="H132" s="15"/>
      <c r="I132" s="12"/>
      <c r="J132" s="12"/>
      <c r="K132" s="12"/>
      <c r="L132" s="12"/>
      <c r="M132" s="3"/>
      <c r="N132" s="3"/>
      <c r="O132" s="3"/>
      <c r="P132" s="3"/>
      <c r="Q132" s="3"/>
    </row>
    <row r="133" spans="1:17" ht="15">
      <c r="A133" s="12"/>
      <c r="B133" s="12"/>
      <c r="C133" s="12"/>
      <c r="D133" s="12"/>
      <c r="E133" s="15"/>
      <c r="F133" s="15"/>
      <c r="G133" s="15"/>
      <c r="H133" s="15"/>
      <c r="I133" s="12"/>
      <c r="J133" s="12"/>
      <c r="K133" s="12"/>
      <c r="L133" s="12"/>
      <c r="M133" s="3"/>
      <c r="N133" s="3"/>
      <c r="O133" s="3"/>
      <c r="P133" s="3"/>
      <c r="Q133" s="3"/>
    </row>
    <row r="134" spans="1:17" ht="15">
      <c r="A134" s="12"/>
      <c r="B134" s="12"/>
      <c r="C134" s="12"/>
      <c r="D134" s="12"/>
      <c r="E134" s="15"/>
      <c r="F134" s="15"/>
      <c r="G134" s="15"/>
      <c r="H134" s="15"/>
      <c r="I134" s="12"/>
      <c r="J134" s="12"/>
      <c r="K134" s="12"/>
      <c r="L134" s="12"/>
      <c r="M134" s="3"/>
      <c r="N134" s="3"/>
      <c r="O134" s="3"/>
      <c r="P134" s="3"/>
      <c r="Q134" s="3"/>
    </row>
    <row r="135" spans="1:17" ht="15">
      <c r="A135" s="12"/>
      <c r="B135" s="12"/>
      <c r="C135" s="12"/>
      <c r="D135" s="12"/>
      <c r="E135" s="15"/>
      <c r="F135" s="15"/>
      <c r="G135" s="15"/>
      <c r="H135" s="15"/>
      <c r="I135" s="12"/>
      <c r="J135" s="12"/>
      <c r="K135" s="12"/>
      <c r="L135" s="12"/>
      <c r="M135" s="3"/>
      <c r="N135" s="3"/>
      <c r="O135" s="3"/>
      <c r="P135" s="3"/>
      <c r="Q135" s="3"/>
    </row>
    <row r="136" spans="1:17" ht="15">
      <c r="A136" s="12"/>
      <c r="B136" s="12"/>
      <c r="C136" s="12"/>
      <c r="D136" s="12"/>
      <c r="E136" s="15"/>
      <c r="F136" s="15"/>
      <c r="G136" s="15"/>
      <c r="H136" s="15"/>
      <c r="I136" s="12"/>
      <c r="J136" s="12"/>
      <c r="K136" s="12"/>
      <c r="L136" s="12"/>
      <c r="M136" s="3"/>
      <c r="N136" s="3"/>
      <c r="O136" s="3"/>
      <c r="P136" s="3"/>
      <c r="Q136" s="3"/>
    </row>
    <row r="137" spans="1:17" ht="15">
      <c r="A137" s="12"/>
      <c r="B137" s="12"/>
      <c r="C137" s="12"/>
      <c r="D137" s="12"/>
      <c r="E137" s="15"/>
      <c r="F137" s="15"/>
      <c r="G137" s="15"/>
      <c r="H137" s="15"/>
      <c r="I137" s="12"/>
      <c r="J137" s="12"/>
      <c r="K137" s="12"/>
      <c r="L137" s="12"/>
      <c r="M137" s="3"/>
      <c r="N137" s="3"/>
      <c r="O137" s="3"/>
      <c r="P137" s="3"/>
      <c r="Q137" s="3"/>
    </row>
    <row r="138" spans="1:17" ht="15">
      <c r="A138" s="12"/>
      <c r="B138" s="12"/>
      <c r="C138" s="12"/>
      <c r="D138" s="12"/>
      <c r="E138" s="15"/>
      <c r="F138" s="15"/>
      <c r="G138" s="15"/>
      <c r="H138" s="15"/>
      <c r="I138" s="12"/>
      <c r="J138" s="12"/>
      <c r="K138" s="12"/>
      <c r="L138" s="12"/>
      <c r="M138" s="3"/>
      <c r="N138" s="3"/>
      <c r="O138" s="3"/>
      <c r="P138" s="3"/>
      <c r="Q138" s="3"/>
    </row>
    <row r="139" spans="1:17" ht="15">
      <c r="A139" s="12"/>
      <c r="B139" s="12"/>
      <c r="C139" s="12"/>
      <c r="D139" s="12"/>
      <c r="E139" s="15"/>
      <c r="F139" s="15"/>
      <c r="G139" s="15"/>
      <c r="H139" s="15"/>
      <c r="I139" s="12"/>
      <c r="J139" s="12"/>
      <c r="K139" s="12"/>
      <c r="L139" s="12"/>
      <c r="M139" s="3"/>
      <c r="N139" s="3"/>
      <c r="O139" s="3"/>
      <c r="P139" s="3"/>
      <c r="Q139" s="3"/>
    </row>
    <row r="140" spans="1:17" ht="15">
      <c r="A140" s="12"/>
      <c r="B140" s="12"/>
      <c r="C140" s="12"/>
      <c r="D140" s="12"/>
      <c r="E140" s="15"/>
      <c r="F140" s="15"/>
      <c r="G140" s="15"/>
      <c r="H140" s="15"/>
      <c r="I140" s="12"/>
      <c r="J140" s="12"/>
      <c r="K140" s="12"/>
      <c r="L140" s="12"/>
      <c r="M140" s="3"/>
      <c r="N140" s="3"/>
      <c r="O140" s="3"/>
      <c r="P140" s="3"/>
      <c r="Q140" s="3"/>
    </row>
    <row r="141" spans="1:17" ht="15">
      <c r="A141" s="12"/>
      <c r="B141" s="12"/>
      <c r="C141" s="12"/>
      <c r="D141" s="12"/>
      <c r="E141" s="15"/>
      <c r="F141" s="15"/>
      <c r="G141" s="15"/>
      <c r="H141" s="15"/>
      <c r="I141" s="12"/>
      <c r="J141" s="12"/>
      <c r="K141" s="12"/>
      <c r="L141" s="12"/>
      <c r="M141" s="3"/>
      <c r="N141" s="3"/>
      <c r="O141" s="3"/>
      <c r="P141" s="3"/>
      <c r="Q141" s="3"/>
    </row>
    <row r="142" spans="1:17" ht="15">
      <c r="A142" s="12"/>
      <c r="B142" s="12"/>
      <c r="C142" s="12"/>
      <c r="D142" s="12"/>
      <c r="E142" s="15"/>
      <c r="F142" s="15"/>
      <c r="G142" s="15"/>
      <c r="H142" s="15"/>
      <c r="I142" s="12"/>
      <c r="J142" s="12"/>
      <c r="K142" s="12"/>
      <c r="L142" s="12"/>
      <c r="M142" s="3"/>
      <c r="N142" s="3"/>
      <c r="O142" s="3"/>
      <c r="P142" s="3"/>
      <c r="Q142" s="3"/>
    </row>
    <row r="143" spans="1:17" ht="15">
      <c r="A143" s="12"/>
      <c r="B143" s="12"/>
      <c r="C143" s="12"/>
      <c r="D143" s="12"/>
      <c r="E143" s="15"/>
      <c r="F143" s="15"/>
      <c r="G143" s="15"/>
      <c r="H143" s="15"/>
      <c r="I143" s="12"/>
      <c r="J143" s="12"/>
      <c r="K143" s="12"/>
      <c r="L143" s="12"/>
      <c r="M143" s="3"/>
      <c r="N143" s="3"/>
      <c r="O143" s="3"/>
      <c r="P143" s="3"/>
      <c r="Q143" s="3"/>
    </row>
    <row r="144" spans="1:17" ht="15">
      <c r="A144" s="12"/>
      <c r="B144" s="12"/>
      <c r="C144" s="12"/>
      <c r="D144" s="12"/>
      <c r="E144" s="15"/>
      <c r="F144" s="15"/>
      <c r="G144" s="15"/>
      <c r="H144" s="15"/>
      <c r="I144" s="12"/>
      <c r="J144" s="12"/>
      <c r="K144" s="12"/>
      <c r="L144" s="12"/>
      <c r="M144" s="3"/>
      <c r="N144" s="3"/>
      <c r="O144" s="3"/>
      <c r="P144" s="3"/>
      <c r="Q144" s="3"/>
    </row>
    <row r="145" spans="1:17" ht="15">
      <c r="A145" s="12"/>
      <c r="B145" s="12"/>
      <c r="C145" s="12"/>
      <c r="D145" s="12"/>
      <c r="E145" s="15"/>
      <c r="F145" s="15"/>
      <c r="G145" s="15"/>
      <c r="H145" s="15"/>
      <c r="I145" s="12"/>
      <c r="J145" s="12"/>
      <c r="K145" s="12"/>
      <c r="L145" s="12"/>
      <c r="M145" s="3"/>
      <c r="N145" s="3"/>
      <c r="O145" s="3"/>
      <c r="P145" s="3"/>
      <c r="Q145" s="3"/>
    </row>
    <row r="146" spans="1:17" ht="15">
      <c r="A146" s="12"/>
      <c r="B146" s="12"/>
      <c r="C146" s="12"/>
      <c r="D146" s="12"/>
      <c r="E146" s="15"/>
      <c r="F146" s="15"/>
      <c r="G146" s="15"/>
      <c r="H146" s="15"/>
      <c r="I146" s="12"/>
      <c r="J146" s="12"/>
      <c r="K146" s="12"/>
      <c r="L146" s="12"/>
      <c r="M146" s="3"/>
      <c r="N146" s="3"/>
      <c r="O146" s="3"/>
      <c r="P146" s="3"/>
      <c r="Q146" s="3"/>
    </row>
    <row r="147" spans="1:17" ht="15">
      <c r="A147" s="12"/>
      <c r="B147" s="12"/>
      <c r="C147" s="12"/>
      <c r="D147" s="12"/>
      <c r="E147" s="15"/>
      <c r="F147" s="15"/>
      <c r="G147" s="15"/>
      <c r="H147" s="15"/>
      <c r="I147" s="12"/>
      <c r="J147" s="12"/>
      <c r="K147" s="12"/>
      <c r="L147" s="12"/>
      <c r="M147" s="3"/>
      <c r="N147" s="3"/>
      <c r="O147" s="3"/>
      <c r="P147" s="3"/>
      <c r="Q147" s="3"/>
    </row>
    <row r="148" spans="1:17" ht="15">
      <c r="A148" s="12"/>
      <c r="B148" s="12"/>
      <c r="C148" s="12"/>
      <c r="D148" s="12"/>
      <c r="E148" s="15"/>
      <c r="F148" s="15"/>
      <c r="G148" s="15"/>
      <c r="H148" s="15"/>
      <c r="I148" s="12"/>
      <c r="J148" s="12"/>
      <c r="K148" s="12"/>
      <c r="L148" s="12"/>
      <c r="M148" s="3"/>
      <c r="N148" s="3"/>
      <c r="O148" s="3"/>
      <c r="P148" s="3"/>
      <c r="Q148" s="3"/>
    </row>
    <row r="149" spans="1:17" ht="15">
      <c r="A149" s="12"/>
      <c r="B149" s="12"/>
      <c r="C149" s="12"/>
      <c r="D149" s="12"/>
      <c r="E149" s="15"/>
      <c r="F149" s="15"/>
      <c r="G149" s="15"/>
      <c r="H149" s="15"/>
      <c r="I149" s="12"/>
      <c r="J149" s="12"/>
      <c r="K149" s="12"/>
      <c r="L149" s="12"/>
      <c r="M149" s="3"/>
      <c r="N149" s="3"/>
      <c r="O149" s="3"/>
      <c r="P149" s="3"/>
      <c r="Q149" s="3"/>
    </row>
    <row r="150" spans="1:17" ht="15">
      <c r="A150" s="12"/>
      <c r="B150" s="12"/>
      <c r="C150" s="12"/>
      <c r="D150" s="12"/>
      <c r="E150" s="15"/>
      <c r="F150" s="15"/>
      <c r="G150" s="15"/>
      <c r="H150" s="15"/>
      <c r="I150" s="12"/>
      <c r="J150" s="12"/>
      <c r="K150" s="12"/>
      <c r="L150" s="12"/>
      <c r="M150" s="3"/>
      <c r="N150" s="3"/>
      <c r="O150" s="3"/>
      <c r="P150" s="3"/>
      <c r="Q150" s="3"/>
    </row>
    <row r="151" spans="1:17" ht="15">
      <c r="A151" s="12"/>
      <c r="B151" s="12"/>
      <c r="C151" s="12"/>
      <c r="D151" s="12"/>
      <c r="E151" s="15"/>
      <c r="F151" s="15"/>
      <c r="G151" s="15"/>
      <c r="H151" s="15"/>
      <c r="I151" s="12"/>
      <c r="J151" s="12"/>
      <c r="K151" s="12"/>
      <c r="L151" s="12"/>
      <c r="M151" s="3"/>
      <c r="N151" s="3"/>
      <c r="O151" s="3"/>
      <c r="P151" s="3"/>
      <c r="Q151" s="3"/>
    </row>
    <row r="152" spans="1:17" ht="15">
      <c r="A152" s="12"/>
      <c r="B152" s="12"/>
      <c r="C152" s="12"/>
      <c r="D152" s="12"/>
      <c r="E152" s="15"/>
      <c r="F152" s="15"/>
      <c r="G152" s="15"/>
      <c r="H152" s="15"/>
      <c r="I152" s="12"/>
      <c r="J152" s="12"/>
      <c r="K152" s="12"/>
      <c r="L152" s="12"/>
      <c r="M152" s="3"/>
      <c r="N152" s="3"/>
      <c r="O152" s="3"/>
      <c r="P152" s="3"/>
      <c r="Q152" s="3"/>
    </row>
    <row r="153" spans="1:17" ht="15">
      <c r="A153" s="12"/>
      <c r="B153" s="12"/>
      <c r="C153" s="12"/>
      <c r="D153" s="12"/>
      <c r="E153" s="15"/>
      <c r="F153" s="15"/>
      <c r="G153" s="15"/>
      <c r="H153" s="15"/>
      <c r="I153" s="12"/>
      <c r="J153" s="12"/>
      <c r="K153" s="12"/>
      <c r="L153" s="12"/>
      <c r="M153" s="3"/>
      <c r="N153" s="3"/>
      <c r="O153" s="3"/>
      <c r="P153" s="3"/>
      <c r="Q153" s="3"/>
    </row>
    <row r="154" spans="1:17" ht="15">
      <c r="A154" s="12"/>
      <c r="B154" s="12"/>
      <c r="C154" s="12"/>
      <c r="D154" s="12"/>
      <c r="E154" s="15"/>
      <c r="F154" s="15"/>
      <c r="G154" s="15"/>
      <c r="H154" s="15"/>
      <c r="I154" s="12"/>
      <c r="J154" s="12"/>
      <c r="K154" s="12"/>
      <c r="L154" s="12"/>
      <c r="M154" s="3"/>
      <c r="N154" s="3"/>
      <c r="O154" s="3"/>
      <c r="P154" s="3"/>
      <c r="Q154" s="3"/>
    </row>
    <row r="155" spans="1:17" ht="15">
      <c r="A155" s="12"/>
      <c r="B155" s="12"/>
      <c r="C155" s="12"/>
      <c r="D155" s="12"/>
      <c r="E155" s="15"/>
      <c r="F155" s="15"/>
      <c r="G155" s="15"/>
      <c r="H155" s="15"/>
      <c r="I155" s="12"/>
      <c r="J155" s="12"/>
      <c r="K155" s="12"/>
      <c r="L155" s="12"/>
      <c r="M155" s="3"/>
      <c r="N155" s="3"/>
      <c r="O155" s="3"/>
      <c r="P155" s="3"/>
      <c r="Q155" s="3"/>
    </row>
    <row r="156" spans="1:17" ht="15">
      <c r="A156" s="12"/>
      <c r="B156" s="12"/>
      <c r="C156" s="12"/>
      <c r="D156" s="12"/>
      <c r="E156" s="15"/>
      <c r="F156" s="15"/>
      <c r="G156" s="15"/>
      <c r="H156" s="15"/>
      <c r="I156" s="12"/>
      <c r="J156" s="12"/>
      <c r="K156" s="12"/>
      <c r="L156" s="12"/>
      <c r="M156" s="3"/>
      <c r="N156" s="3"/>
      <c r="O156" s="3"/>
      <c r="P156" s="3"/>
      <c r="Q156" s="3"/>
    </row>
    <row r="157" spans="1:17" ht="15">
      <c r="A157" s="12"/>
      <c r="B157" s="12"/>
      <c r="C157" s="12"/>
      <c r="D157" s="12"/>
      <c r="E157" s="15"/>
      <c r="F157" s="15"/>
      <c r="G157" s="15"/>
      <c r="H157" s="15"/>
      <c r="I157" s="12"/>
      <c r="J157" s="12"/>
      <c r="K157" s="12"/>
      <c r="L157" s="12"/>
      <c r="M157" s="3"/>
      <c r="N157" s="3"/>
      <c r="O157" s="3"/>
      <c r="P157" s="3"/>
      <c r="Q157" s="3"/>
    </row>
    <row r="158" spans="1:17" ht="15">
      <c r="A158" s="12"/>
      <c r="B158" s="12"/>
      <c r="C158" s="12"/>
      <c r="D158" s="12"/>
      <c r="E158" s="15"/>
      <c r="F158" s="15"/>
      <c r="G158" s="15"/>
      <c r="H158" s="15"/>
      <c r="I158" s="12"/>
      <c r="J158" s="12"/>
      <c r="K158" s="12"/>
      <c r="L158" s="12"/>
      <c r="M158" s="3"/>
      <c r="N158" s="3"/>
      <c r="O158" s="3"/>
      <c r="P158" s="3"/>
      <c r="Q158" s="3"/>
    </row>
    <row r="159" spans="1:17" ht="15">
      <c r="A159" s="12"/>
      <c r="B159" s="12"/>
      <c r="C159" s="12"/>
      <c r="D159" s="12"/>
      <c r="E159" s="15"/>
      <c r="F159" s="15"/>
      <c r="G159" s="15"/>
      <c r="H159" s="15"/>
      <c r="I159" s="12"/>
      <c r="J159" s="12"/>
      <c r="K159" s="12"/>
      <c r="L159" s="12"/>
      <c r="M159" s="3"/>
      <c r="N159" s="3"/>
      <c r="O159" s="3"/>
      <c r="P159" s="3"/>
      <c r="Q159" s="3"/>
    </row>
    <row r="160" spans="1:17" ht="15">
      <c r="A160" s="12"/>
      <c r="B160" s="12"/>
      <c r="C160" s="12"/>
      <c r="D160" s="12"/>
      <c r="E160" s="15"/>
      <c r="F160" s="15"/>
      <c r="G160" s="15"/>
      <c r="H160" s="15"/>
      <c r="I160" s="12"/>
      <c r="J160" s="12"/>
      <c r="K160" s="12"/>
      <c r="L160" s="12"/>
      <c r="M160" s="3"/>
      <c r="N160" s="3"/>
      <c r="O160" s="3"/>
      <c r="P160" s="3"/>
      <c r="Q160" s="3"/>
    </row>
    <row r="161" spans="1:17" ht="15">
      <c r="A161" s="12"/>
      <c r="B161" s="12"/>
      <c r="C161" s="12"/>
      <c r="D161" s="12"/>
      <c r="E161" s="15"/>
      <c r="F161" s="15"/>
      <c r="G161" s="15"/>
      <c r="H161" s="15"/>
      <c r="I161" s="12"/>
      <c r="J161" s="12"/>
      <c r="K161" s="12"/>
      <c r="L161" s="12"/>
      <c r="M161" s="3"/>
      <c r="N161" s="3"/>
      <c r="O161" s="3"/>
      <c r="P161" s="3"/>
      <c r="Q161" s="3"/>
    </row>
    <row r="162" spans="1:17" ht="15">
      <c r="A162" s="12"/>
      <c r="B162" s="12"/>
      <c r="C162" s="12"/>
      <c r="D162" s="12"/>
      <c r="E162" s="15"/>
      <c r="F162" s="15"/>
      <c r="G162" s="15"/>
      <c r="H162" s="15"/>
      <c r="I162" s="12"/>
      <c r="J162" s="12"/>
      <c r="K162" s="12"/>
      <c r="L162" s="12"/>
      <c r="M162" s="3"/>
      <c r="N162" s="3"/>
      <c r="O162" s="3"/>
      <c r="P162" s="3"/>
      <c r="Q162" s="3"/>
    </row>
    <row r="163" spans="1:17" ht="15">
      <c r="A163" s="12"/>
      <c r="B163" s="12"/>
      <c r="C163" s="12"/>
      <c r="D163" s="12"/>
      <c r="E163" s="15"/>
      <c r="F163" s="15"/>
      <c r="G163" s="15"/>
      <c r="H163" s="15"/>
      <c r="I163" s="12"/>
      <c r="J163" s="12"/>
      <c r="K163" s="12"/>
      <c r="L163" s="12"/>
      <c r="M163" s="3"/>
      <c r="N163" s="3"/>
      <c r="O163" s="3"/>
      <c r="P163" s="3"/>
      <c r="Q163" s="3"/>
    </row>
    <row r="164" spans="1:17" ht="15">
      <c r="A164" s="12"/>
      <c r="B164" s="12"/>
      <c r="C164" s="12"/>
      <c r="D164" s="12"/>
      <c r="E164" s="15"/>
      <c r="F164" s="15"/>
      <c r="G164" s="15"/>
      <c r="H164" s="15"/>
      <c r="I164" s="12"/>
      <c r="J164" s="12"/>
      <c r="K164" s="12"/>
      <c r="L164" s="12"/>
      <c r="M164" s="3"/>
      <c r="N164" s="3"/>
      <c r="O164" s="3"/>
      <c r="P164" s="3"/>
      <c r="Q164" s="3"/>
    </row>
    <row r="165" spans="1:17" ht="15">
      <c r="A165" s="12"/>
      <c r="B165" s="12"/>
      <c r="C165" s="12"/>
      <c r="D165" s="12"/>
      <c r="E165" s="15"/>
      <c r="F165" s="15"/>
      <c r="G165" s="15"/>
      <c r="H165" s="15"/>
      <c r="I165" s="12"/>
      <c r="J165" s="12"/>
      <c r="K165" s="12"/>
      <c r="L165" s="12"/>
      <c r="M165" s="3"/>
      <c r="N165" s="3"/>
      <c r="O165" s="3"/>
      <c r="P165" s="3"/>
      <c r="Q165" s="3"/>
    </row>
    <row r="166" spans="1:17" ht="15">
      <c r="A166" s="12"/>
      <c r="B166" s="12"/>
      <c r="C166" s="12"/>
      <c r="D166" s="12"/>
      <c r="E166" s="15"/>
      <c r="F166" s="15"/>
      <c r="G166" s="15"/>
      <c r="H166" s="15"/>
      <c r="I166" s="12"/>
      <c r="J166" s="12"/>
      <c r="K166" s="12"/>
      <c r="L166" s="12"/>
      <c r="M166" s="3"/>
      <c r="N166" s="3"/>
      <c r="O166" s="3"/>
      <c r="P166" s="3"/>
      <c r="Q166" s="3"/>
    </row>
    <row r="167" spans="1:17" ht="15">
      <c r="A167" s="12"/>
      <c r="B167" s="12"/>
      <c r="C167" s="12"/>
      <c r="D167" s="12"/>
      <c r="E167" s="15"/>
      <c r="F167" s="15"/>
      <c r="G167" s="15"/>
      <c r="H167" s="15"/>
      <c r="I167" s="12"/>
      <c r="J167" s="12"/>
      <c r="K167" s="12"/>
      <c r="L167" s="12"/>
      <c r="M167" s="3"/>
      <c r="N167" s="3"/>
      <c r="O167" s="3"/>
      <c r="P167" s="3"/>
      <c r="Q167" s="3"/>
    </row>
    <row r="168" spans="1:17" ht="15">
      <c r="A168" s="12"/>
      <c r="B168" s="12"/>
      <c r="C168" s="12"/>
      <c r="D168" s="12"/>
      <c r="E168" s="15"/>
      <c r="F168" s="15"/>
      <c r="G168" s="15"/>
      <c r="H168" s="15"/>
      <c r="I168" s="12"/>
      <c r="J168" s="12"/>
      <c r="K168" s="12"/>
      <c r="L168" s="12"/>
      <c r="M168" s="3"/>
      <c r="N168" s="3"/>
      <c r="O168" s="3"/>
      <c r="P168" s="3"/>
      <c r="Q168" s="3"/>
    </row>
    <row r="169" spans="1:17" ht="15">
      <c r="A169" s="12"/>
      <c r="B169" s="12"/>
      <c r="C169" s="12"/>
      <c r="D169" s="12"/>
      <c r="E169" s="15"/>
      <c r="F169" s="15"/>
      <c r="G169" s="15"/>
      <c r="H169" s="15"/>
      <c r="I169" s="12"/>
      <c r="J169" s="12"/>
      <c r="K169" s="12"/>
      <c r="L169" s="12"/>
      <c r="M169" s="3"/>
      <c r="N169" s="3"/>
      <c r="O169" s="3"/>
      <c r="P169" s="3"/>
      <c r="Q169" s="3"/>
    </row>
    <row r="170" spans="1:17" ht="15">
      <c r="A170" s="12"/>
      <c r="B170" s="12"/>
      <c r="C170" s="12"/>
      <c r="D170" s="12"/>
      <c r="E170" s="15"/>
      <c r="F170" s="15"/>
      <c r="G170" s="15"/>
      <c r="H170" s="15"/>
      <c r="I170" s="12"/>
      <c r="J170" s="12"/>
      <c r="K170" s="12"/>
      <c r="L170" s="12"/>
      <c r="M170" s="3"/>
      <c r="N170" s="3"/>
      <c r="O170" s="3"/>
      <c r="P170" s="3"/>
      <c r="Q170" s="3"/>
    </row>
    <row r="171" spans="1:17" ht="15">
      <c r="A171" s="12"/>
      <c r="B171" s="12"/>
      <c r="C171" s="12"/>
      <c r="D171" s="12"/>
      <c r="E171" s="15"/>
      <c r="F171" s="15"/>
      <c r="G171" s="15"/>
      <c r="H171" s="15"/>
      <c r="I171" s="12"/>
      <c r="J171" s="12"/>
      <c r="K171" s="12"/>
      <c r="L171" s="12"/>
      <c r="M171" s="3"/>
      <c r="N171" s="3"/>
      <c r="O171" s="3"/>
      <c r="P171" s="3"/>
      <c r="Q171" s="3"/>
    </row>
    <row r="172" spans="1:17" ht="15">
      <c r="A172" s="12"/>
      <c r="B172" s="12"/>
      <c r="C172" s="12"/>
      <c r="D172" s="12"/>
      <c r="E172" s="15"/>
      <c r="F172" s="15"/>
      <c r="G172" s="15"/>
      <c r="H172" s="15"/>
      <c r="I172" s="12"/>
      <c r="J172" s="12"/>
      <c r="K172" s="12"/>
      <c r="L172" s="12"/>
      <c r="M172" s="3"/>
      <c r="N172" s="3"/>
      <c r="O172" s="3"/>
      <c r="P172" s="3"/>
      <c r="Q172" s="3"/>
    </row>
    <row r="173" spans="1:17" ht="15">
      <c r="A173" s="12"/>
      <c r="B173" s="12"/>
      <c r="C173" s="12"/>
      <c r="D173" s="12"/>
      <c r="E173" s="15"/>
      <c r="F173" s="15"/>
      <c r="G173" s="15"/>
      <c r="H173" s="15"/>
      <c r="I173" s="12"/>
      <c r="J173" s="12"/>
      <c r="K173" s="12"/>
      <c r="L173" s="12"/>
      <c r="M173" s="3"/>
      <c r="N173" s="3"/>
      <c r="O173" s="3"/>
      <c r="P173" s="3"/>
      <c r="Q173" s="3"/>
    </row>
    <row r="174" spans="1:17" ht="15">
      <c r="A174" s="12"/>
      <c r="B174" s="12"/>
      <c r="C174" s="12"/>
      <c r="D174" s="12"/>
      <c r="E174" s="15"/>
      <c r="F174" s="15"/>
      <c r="G174" s="15"/>
      <c r="H174" s="15"/>
      <c r="I174" s="12"/>
      <c r="J174" s="12"/>
      <c r="K174" s="12"/>
      <c r="L174" s="12"/>
      <c r="M174" s="3"/>
      <c r="N174" s="3"/>
      <c r="O174" s="3"/>
      <c r="P174" s="3"/>
      <c r="Q174" s="3"/>
    </row>
    <row r="175" spans="1:17" ht="15">
      <c r="A175" s="12"/>
      <c r="B175" s="12"/>
      <c r="C175" s="12"/>
      <c r="D175" s="12"/>
      <c r="E175" s="15"/>
      <c r="F175" s="15"/>
      <c r="G175" s="15"/>
      <c r="H175" s="15"/>
      <c r="I175" s="12"/>
      <c r="J175" s="12"/>
      <c r="K175" s="12"/>
      <c r="L175" s="12"/>
      <c r="M175" s="3"/>
      <c r="N175" s="3"/>
      <c r="O175" s="3"/>
      <c r="P175" s="3"/>
      <c r="Q175" s="3"/>
    </row>
    <row r="176" spans="1:17" ht="15">
      <c r="A176" s="12"/>
      <c r="B176" s="12"/>
      <c r="C176" s="12"/>
      <c r="D176" s="12"/>
      <c r="E176" s="15"/>
      <c r="F176" s="15"/>
      <c r="G176" s="15"/>
      <c r="H176" s="15"/>
      <c r="I176" s="12"/>
      <c r="J176" s="12"/>
      <c r="K176" s="12"/>
      <c r="L176" s="12"/>
      <c r="M176" s="3"/>
      <c r="N176" s="3"/>
      <c r="O176" s="3"/>
      <c r="P176" s="3"/>
      <c r="Q176" s="3"/>
    </row>
    <row r="177" spans="1:17" ht="15">
      <c r="A177" s="12"/>
      <c r="B177" s="12"/>
      <c r="C177" s="12"/>
      <c r="D177" s="12"/>
      <c r="E177" s="15"/>
      <c r="F177" s="15"/>
      <c r="G177" s="15"/>
      <c r="H177" s="15"/>
      <c r="I177" s="12"/>
      <c r="J177" s="12"/>
      <c r="K177" s="12"/>
      <c r="L177" s="12"/>
      <c r="M177" s="3"/>
      <c r="N177" s="3"/>
      <c r="O177" s="3"/>
      <c r="P177" s="3"/>
      <c r="Q177" s="3"/>
    </row>
    <row r="178" spans="1:17" ht="15">
      <c r="A178" s="12"/>
      <c r="B178" s="12"/>
      <c r="C178" s="12"/>
      <c r="D178" s="12"/>
      <c r="E178" s="15"/>
      <c r="F178" s="15"/>
      <c r="G178" s="15"/>
      <c r="H178" s="15"/>
      <c r="I178" s="12"/>
      <c r="J178" s="12"/>
      <c r="K178" s="12"/>
      <c r="L178" s="12"/>
      <c r="M178" s="3"/>
      <c r="N178" s="3"/>
      <c r="O178" s="3"/>
      <c r="P178" s="3"/>
      <c r="Q178" s="3"/>
    </row>
    <row r="179" spans="1:17" ht="15">
      <c r="A179" s="12"/>
      <c r="B179" s="12"/>
      <c r="C179" s="12"/>
      <c r="D179" s="12"/>
      <c r="E179" s="15"/>
      <c r="F179" s="15"/>
      <c r="G179" s="15"/>
      <c r="H179" s="15"/>
      <c r="I179" s="12"/>
      <c r="J179" s="12"/>
      <c r="K179" s="12"/>
      <c r="L179" s="12"/>
      <c r="M179" s="3"/>
      <c r="N179" s="3"/>
      <c r="O179" s="3"/>
      <c r="P179" s="3"/>
      <c r="Q179" s="3"/>
    </row>
    <row r="180" spans="1:17" ht="15">
      <c r="A180" s="12"/>
      <c r="B180" s="12"/>
      <c r="C180" s="12"/>
      <c r="D180" s="12"/>
      <c r="E180" s="15"/>
      <c r="F180" s="15"/>
      <c r="G180" s="15"/>
      <c r="H180" s="15"/>
      <c r="I180" s="12"/>
      <c r="J180" s="12"/>
      <c r="K180" s="12"/>
      <c r="L180" s="12"/>
      <c r="M180" s="3"/>
      <c r="N180" s="3"/>
      <c r="O180" s="3"/>
      <c r="P180" s="3"/>
      <c r="Q180" s="3"/>
    </row>
    <row r="181" spans="1:17" ht="15">
      <c r="A181" s="12"/>
      <c r="B181" s="12"/>
      <c r="C181" s="12"/>
      <c r="D181" s="12"/>
      <c r="E181" s="15"/>
      <c r="F181" s="15"/>
      <c r="G181" s="15"/>
      <c r="H181" s="15"/>
      <c r="I181" s="12"/>
      <c r="J181" s="12"/>
      <c r="K181" s="12"/>
      <c r="L181" s="12"/>
      <c r="M181" s="3"/>
      <c r="N181" s="3"/>
      <c r="O181" s="3"/>
      <c r="P181" s="3"/>
      <c r="Q181" s="3"/>
    </row>
    <row r="182" spans="1:17" ht="15">
      <c r="A182" s="12"/>
      <c r="B182" s="12"/>
      <c r="C182" s="12"/>
      <c r="D182" s="12"/>
      <c r="E182" s="15"/>
      <c r="F182" s="15"/>
      <c r="G182" s="15"/>
      <c r="H182" s="15"/>
      <c r="I182" s="12"/>
      <c r="J182" s="12"/>
      <c r="K182" s="12"/>
      <c r="L182" s="12"/>
      <c r="M182" s="3"/>
      <c r="N182" s="3"/>
      <c r="O182" s="3"/>
      <c r="P182" s="3"/>
      <c r="Q182" s="3"/>
    </row>
    <row r="183" spans="1:17" ht="15">
      <c r="A183" s="12"/>
      <c r="B183" s="12"/>
      <c r="C183" s="12"/>
      <c r="D183" s="12"/>
      <c r="E183" s="15"/>
      <c r="F183" s="15"/>
      <c r="G183" s="15"/>
      <c r="H183" s="15"/>
      <c r="I183" s="12"/>
      <c r="J183" s="12"/>
      <c r="K183" s="12"/>
      <c r="L183" s="12"/>
      <c r="M183" s="3"/>
      <c r="N183" s="3"/>
      <c r="O183" s="3"/>
      <c r="P183" s="3"/>
      <c r="Q183" s="3"/>
    </row>
    <row r="184" spans="1:17" ht="15">
      <c r="A184" s="12"/>
      <c r="B184" s="12"/>
      <c r="C184" s="12"/>
      <c r="D184" s="12"/>
      <c r="E184" s="15"/>
      <c r="F184" s="15"/>
      <c r="G184" s="15"/>
      <c r="H184" s="15"/>
      <c r="I184" s="12"/>
      <c r="J184" s="12"/>
      <c r="K184" s="12"/>
      <c r="L184" s="12"/>
      <c r="M184" s="3"/>
      <c r="N184" s="3"/>
      <c r="O184" s="3"/>
      <c r="P184" s="3"/>
      <c r="Q184" s="3"/>
    </row>
    <row r="185" spans="1:17" ht="15">
      <c r="A185" s="12"/>
      <c r="B185" s="12"/>
      <c r="C185" s="12"/>
      <c r="D185" s="12"/>
      <c r="E185" s="15"/>
      <c r="F185" s="15"/>
      <c r="G185" s="15"/>
      <c r="H185" s="15"/>
      <c r="I185" s="12"/>
      <c r="J185" s="12"/>
      <c r="K185" s="12"/>
      <c r="L185" s="12"/>
      <c r="M185" s="3"/>
      <c r="N185" s="3"/>
      <c r="O185" s="3"/>
      <c r="P185" s="3"/>
      <c r="Q185" s="3"/>
    </row>
    <row r="186" spans="1:17" ht="15">
      <c r="A186" s="12"/>
      <c r="B186" s="12"/>
      <c r="C186" s="12"/>
      <c r="D186" s="12"/>
      <c r="E186" s="15"/>
      <c r="F186" s="15"/>
      <c r="G186" s="15"/>
      <c r="H186" s="15"/>
      <c r="I186" s="12"/>
      <c r="J186" s="12"/>
      <c r="K186" s="12"/>
      <c r="L186" s="12"/>
      <c r="M186" s="3"/>
      <c r="N186" s="3"/>
      <c r="O186" s="3"/>
      <c r="P186" s="3"/>
      <c r="Q186" s="3"/>
    </row>
    <row r="187" spans="1:17" ht="15">
      <c r="A187" s="12"/>
      <c r="B187" s="12"/>
      <c r="C187" s="12"/>
      <c r="D187" s="12"/>
      <c r="E187" s="15"/>
      <c r="F187" s="15"/>
      <c r="G187" s="15"/>
      <c r="H187" s="15"/>
      <c r="I187" s="12"/>
      <c r="J187" s="12"/>
      <c r="K187" s="12"/>
      <c r="L187" s="12"/>
      <c r="M187" s="3"/>
      <c r="N187" s="3"/>
      <c r="O187" s="3"/>
      <c r="P187" s="3"/>
      <c r="Q187" s="3"/>
    </row>
    <row r="188" spans="1:17" ht="15">
      <c r="A188" s="12"/>
      <c r="B188" s="12"/>
      <c r="C188" s="12"/>
      <c r="D188" s="12"/>
      <c r="E188" s="15"/>
      <c r="F188" s="15"/>
      <c r="G188" s="15"/>
      <c r="H188" s="15"/>
      <c r="I188" s="12"/>
      <c r="J188" s="12"/>
      <c r="K188" s="12"/>
      <c r="L188" s="12"/>
      <c r="M188" s="3"/>
      <c r="N188" s="3"/>
      <c r="O188" s="3"/>
      <c r="P188" s="3"/>
      <c r="Q188" s="3"/>
    </row>
    <row r="189" spans="1:17" ht="15">
      <c r="A189" s="12"/>
      <c r="B189" s="12"/>
      <c r="C189" s="12"/>
      <c r="D189" s="12"/>
      <c r="E189" s="15"/>
      <c r="F189" s="15"/>
      <c r="G189" s="15"/>
      <c r="H189" s="15"/>
      <c r="I189" s="12"/>
      <c r="J189" s="12"/>
      <c r="K189" s="12"/>
      <c r="L189" s="12"/>
      <c r="M189" s="3"/>
      <c r="N189" s="3"/>
      <c r="O189" s="3"/>
      <c r="P189" s="3"/>
      <c r="Q189" s="3"/>
    </row>
    <row r="190" spans="1:17" ht="15">
      <c r="A190" s="12"/>
      <c r="B190" s="12"/>
      <c r="C190" s="12"/>
      <c r="D190" s="12"/>
      <c r="E190" s="15"/>
      <c r="F190" s="15"/>
      <c r="G190" s="15"/>
      <c r="H190" s="15"/>
      <c r="I190" s="12"/>
      <c r="J190" s="12"/>
      <c r="K190" s="12"/>
      <c r="L190" s="12"/>
      <c r="M190" s="3"/>
      <c r="N190" s="3"/>
      <c r="O190" s="3"/>
      <c r="P190" s="3"/>
      <c r="Q190" s="3"/>
    </row>
    <row r="191" spans="1:17" ht="15">
      <c r="A191" s="12"/>
      <c r="B191" s="12"/>
      <c r="C191" s="12"/>
      <c r="D191" s="12"/>
      <c r="E191" s="15"/>
      <c r="F191" s="15"/>
      <c r="G191" s="15"/>
      <c r="H191" s="15"/>
      <c r="I191" s="12"/>
      <c r="J191" s="12"/>
      <c r="K191" s="12"/>
      <c r="L191" s="12"/>
      <c r="M191" s="3"/>
      <c r="N191" s="3"/>
      <c r="O191" s="3"/>
      <c r="P191" s="3"/>
      <c r="Q191" s="3"/>
    </row>
    <row r="192" spans="1:17" ht="15">
      <c r="A192" s="12"/>
      <c r="B192" s="12"/>
      <c r="C192" s="12"/>
      <c r="D192" s="12"/>
      <c r="E192" s="15"/>
      <c r="F192" s="15"/>
      <c r="G192" s="15"/>
      <c r="H192" s="15"/>
      <c r="I192" s="12"/>
      <c r="J192" s="12"/>
      <c r="K192" s="12"/>
      <c r="L192" s="12"/>
      <c r="M192" s="3"/>
      <c r="N192" s="3"/>
      <c r="O192" s="3"/>
      <c r="P192" s="3"/>
      <c r="Q192" s="3"/>
    </row>
    <row r="193" spans="1:17" ht="15">
      <c r="A193" s="12"/>
      <c r="B193" s="12"/>
      <c r="C193" s="12"/>
      <c r="D193" s="12"/>
      <c r="E193" s="15"/>
      <c r="F193" s="15"/>
      <c r="G193" s="15"/>
      <c r="H193" s="15"/>
      <c r="I193" s="12"/>
      <c r="J193" s="12"/>
      <c r="K193" s="12"/>
      <c r="L193" s="12"/>
      <c r="M193" s="3"/>
      <c r="N193" s="3"/>
      <c r="O193" s="3"/>
      <c r="P193" s="3"/>
      <c r="Q193" s="3"/>
    </row>
    <row r="194" spans="1:17" ht="15">
      <c r="A194" s="12"/>
      <c r="B194" s="12"/>
      <c r="C194" s="12"/>
      <c r="D194" s="12"/>
      <c r="E194" s="15"/>
      <c r="F194" s="15"/>
      <c r="G194" s="15"/>
      <c r="H194" s="15"/>
      <c r="I194" s="12"/>
      <c r="J194" s="12"/>
      <c r="K194" s="12"/>
      <c r="L194" s="12"/>
      <c r="M194" s="3"/>
      <c r="N194" s="3"/>
      <c r="O194" s="3"/>
      <c r="P194" s="3"/>
      <c r="Q194" s="3"/>
    </row>
    <row r="195" spans="1:17" ht="15">
      <c r="A195" s="12"/>
      <c r="B195" s="12"/>
      <c r="C195" s="12"/>
      <c r="D195" s="12"/>
      <c r="E195" s="15"/>
      <c r="F195" s="15"/>
      <c r="G195" s="15"/>
      <c r="H195" s="15"/>
      <c r="I195" s="12"/>
      <c r="J195" s="12"/>
      <c r="K195" s="12"/>
      <c r="L195" s="12"/>
      <c r="M195" s="3"/>
      <c r="N195" s="3"/>
      <c r="O195" s="3"/>
      <c r="P195" s="3"/>
      <c r="Q195" s="3"/>
    </row>
    <row r="196" spans="1:17" ht="15">
      <c r="A196" s="12"/>
      <c r="B196" s="12"/>
      <c r="C196" s="12"/>
      <c r="D196" s="12"/>
      <c r="E196" s="15"/>
      <c r="F196" s="15"/>
      <c r="G196" s="15"/>
      <c r="H196" s="15"/>
      <c r="I196" s="12"/>
      <c r="J196" s="12"/>
      <c r="K196" s="12"/>
      <c r="L196" s="12"/>
      <c r="M196" s="3"/>
      <c r="N196" s="3"/>
      <c r="O196" s="3"/>
      <c r="P196" s="3"/>
      <c r="Q196" s="3"/>
    </row>
    <row r="197" spans="1:17" ht="15">
      <c r="A197" s="12"/>
      <c r="B197" s="12"/>
      <c r="C197" s="12"/>
      <c r="D197" s="12"/>
      <c r="E197" s="15"/>
      <c r="F197" s="15"/>
      <c r="G197" s="15"/>
      <c r="H197" s="15"/>
      <c r="I197" s="12"/>
      <c r="J197" s="12"/>
      <c r="K197" s="12"/>
      <c r="L197" s="12"/>
      <c r="M197" s="3"/>
      <c r="N197" s="3"/>
      <c r="O197" s="3"/>
      <c r="P197" s="3"/>
      <c r="Q197" s="3"/>
    </row>
    <row r="198" spans="1:17" ht="15">
      <c r="A198" s="12"/>
      <c r="B198" s="12"/>
      <c r="C198" s="12"/>
      <c r="D198" s="12"/>
      <c r="E198" s="15"/>
      <c r="F198" s="15"/>
      <c r="G198" s="15"/>
      <c r="H198" s="15"/>
      <c r="I198" s="12"/>
      <c r="J198" s="12"/>
      <c r="K198" s="12"/>
      <c r="L198" s="12"/>
      <c r="M198" s="3"/>
      <c r="N198" s="3"/>
      <c r="O198" s="3"/>
      <c r="P198" s="3"/>
      <c r="Q198" s="3"/>
    </row>
    <row r="199" spans="1:17" ht="15">
      <c r="A199" s="12"/>
      <c r="B199" s="12"/>
      <c r="C199" s="12"/>
      <c r="D199" s="12"/>
      <c r="E199" s="15"/>
      <c r="F199" s="15"/>
      <c r="G199" s="15"/>
      <c r="H199" s="15"/>
      <c r="I199" s="12"/>
      <c r="J199" s="12"/>
      <c r="K199" s="12"/>
      <c r="L199" s="12"/>
      <c r="M199" s="3"/>
      <c r="N199" s="3"/>
      <c r="O199" s="3"/>
      <c r="P199" s="3"/>
      <c r="Q199" s="3"/>
    </row>
    <row r="200" spans="1:17" ht="15">
      <c r="A200" s="12"/>
      <c r="B200" s="12"/>
      <c r="C200" s="12"/>
      <c r="D200" s="12"/>
      <c r="E200" s="15"/>
      <c r="F200" s="15"/>
      <c r="G200" s="15"/>
      <c r="H200" s="15"/>
      <c r="I200" s="12"/>
      <c r="J200" s="12"/>
      <c r="K200" s="12"/>
      <c r="L200" s="12"/>
      <c r="M200" s="3"/>
      <c r="N200" s="3"/>
      <c r="O200" s="3"/>
      <c r="P200" s="3"/>
      <c r="Q200" s="3"/>
    </row>
    <row r="201" spans="1:17" ht="15">
      <c r="A201" s="12"/>
      <c r="B201" s="12"/>
      <c r="C201" s="12"/>
      <c r="D201" s="12"/>
      <c r="E201" s="15"/>
      <c r="F201" s="15"/>
      <c r="G201" s="15"/>
      <c r="H201" s="15"/>
      <c r="I201" s="12"/>
      <c r="J201" s="12"/>
      <c r="K201" s="12"/>
      <c r="L201" s="12"/>
      <c r="M201" s="3"/>
      <c r="N201" s="3"/>
      <c r="O201" s="3"/>
      <c r="P201" s="3"/>
      <c r="Q201" s="3"/>
    </row>
    <row r="202" spans="1:17" ht="15">
      <c r="A202" s="12"/>
      <c r="B202" s="12"/>
      <c r="C202" s="12"/>
      <c r="D202" s="12"/>
      <c r="E202" s="15"/>
      <c r="F202" s="15"/>
      <c r="G202" s="15"/>
      <c r="H202" s="15"/>
      <c r="I202" s="12"/>
      <c r="J202" s="12"/>
      <c r="K202" s="12"/>
      <c r="L202" s="12"/>
      <c r="M202" s="3"/>
      <c r="N202" s="3"/>
      <c r="O202" s="3"/>
      <c r="P202" s="3"/>
      <c r="Q202" s="3"/>
    </row>
    <row r="203" spans="1:17" ht="15">
      <c r="A203" s="12"/>
      <c r="B203" s="12"/>
      <c r="C203" s="12"/>
      <c r="D203" s="12"/>
      <c r="E203" s="15"/>
      <c r="F203" s="15"/>
      <c r="G203" s="15"/>
      <c r="H203" s="15"/>
      <c r="I203" s="12"/>
      <c r="J203" s="12"/>
      <c r="K203" s="12"/>
      <c r="L203" s="12"/>
      <c r="M203" s="3"/>
      <c r="N203" s="3"/>
      <c r="O203" s="3"/>
      <c r="P203" s="3"/>
      <c r="Q203" s="3"/>
    </row>
    <row r="204" spans="1:17" ht="15">
      <c r="A204" s="12"/>
      <c r="B204" s="12"/>
      <c r="C204" s="12"/>
      <c r="D204" s="12"/>
      <c r="E204" s="15"/>
      <c r="F204" s="15"/>
      <c r="G204" s="15"/>
      <c r="H204" s="15"/>
      <c r="I204" s="12"/>
      <c r="J204" s="12"/>
      <c r="K204" s="12"/>
      <c r="L204" s="12"/>
      <c r="M204" s="3"/>
      <c r="N204" s="3"/>
      <c r="O204" s="3"/>
      <c r="P204" s="3"/>
      <c r="Q204" s="3"/>
    </row>
    <row r="205" spans="1:17" ht="15">
      <c r="A205" s="12"/>
      <c r="B205" s="12"/>
      <c r="C205" s="12"/>
      <c r="D205" s="12"/>
      <c r="E205" s="15"/>
      <c r="F205" s="15"/>
      <c r="G205" s="15"/>
      <c r="H205" s="15"/>
      <c r="I205" s="12"/>
      <c r="J205" s="12"/>
      <c r="K205" s="12"/>
      <c r="L205" s="12"/>
      <c r="M205" s="3"/>
      <c r="N205" s="3"/>
      <c r="O205" s="3"/>
      <c r="P205" s="3"/>
      <c r="Q205" s="3"/>
    </row>
    <row r="206" spans="1:17" ht="15">
      <c r="A206" s="12"/>
      <c r="B206" s="12"/>
      <c r="C206" s="12"/>
      <c r="D206" s="12"/>
      <c r="E206" s="15"/>
      <c r="F206" s="15"/>
      <c r="G206" s="15"/>
      <c r="H206" s="15"/>
      <c r="I206" s="12"/>
      <c r="J206" s="12"/>
      <c r="K206" s="12"/>
      <c r="L206" s="12"/>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L1"/>
    <mergeCell ref="A2:L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B00-000000000000}">
          <x14:formula1>
            <xm:f>_LISTS!$H$2:$H$5</xm:f>
          </x14:formula1>
          <xm:sqref>I7:J206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250"/>
  <sheetViews>
    <sheetView workbookViewId="0"/>
  </sheetViews>
  <sheetFormatPr defaultRowHeight="14.25"/>
  <cols>
    <col min="1" max="1" width="14" customWidth="1"/>
    <col min="2" max="2" width="12" customWidth="1"/>
    <col min="3" max="3" width="28" customWidth="1"/>
    <col min="4" max="4" width="18" customWidth="1"/>
    <col min="5" max="5" width="20" customWidth="1"/>
    <col min="6" max="7" width="12" customWidth="1"/>
    <col min="8" max="8" width="32" customWidth="1"/>
    <col min="9" max="11" width="20" customWidth="1"/>
    <col min="12" max="12" width="22" customWidth="1"/>
    <col min="13" max="13" width="14" customWidth="1"/>
    <col min="14" max="14" width="24" customWidth="1"/>
  </cols>
  <sheetData>
    <row r="1" spans="1:17" ht="24" customHeight="1">
      <c r="A1" s="32" t="s">
        <v>826</v>
      </c>
      <c r="B1" s="33"/>
      <c r="C1" s="33"/>
      <c r="D1" s="33"/>
      <c r="E1" s="33"/>
      <c r="F1" s="33"/>
      <c r="G1" s="33"/>
      <c r="H1" s="33"/>
      <c r="I1" s="33"/>
      <c r="J1" s="33"/>
      <c r="K1" s="33"/>
      <c r="L1" s="35"/>
      <c r="M1" s="35"/>
      <c r="N1" s="35"/>
      <c r="O1" s="3"/>
      <c r="P1" s="3"/>
      <c r="Q1" s="3"/>
    </row>
    <row r="2" spans="1:17" ht="33.950000000000003" customHeight="1">
      <c r="A2" s="34" t="s">
        <v>827</v>
      </c>
      <c r="B2" s="35"/>
      <c r="C2" s="35"/>
      <c r="D2" s="35"/>
      <c r="E2" s="35"/>
      <c r="F2" s="35"/>
      <c r="G2" s="35"/>
      <c r="H2" s="35"/>
      <c r="I2" s="35"/>
      <c r="J2" s="35"/>
      <c r="K2" s="35"/>
      <c r="L2" s="35"/>
      <c r="M2" s="35"/>
      <c r="N2" s="35"/>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828</v>
      </c>
      <c r="B6" s="4" t="s">
        <v>570</v>
      </c>
      <c r="C6" s="4" t="s">
        <v>564</v>
      </c>
      <c r="D6" s="4" t="s">
        <v>829</v>
      </c>
      <c r="E6" s="4" t="s">
        <v>830</v>
      </c>
      <c r="F6" s="4" t="s">
        <v>831</v>
      </c>
      <c r="G6" s="4" t="s">
        <v>832</v>
      </c>
      <c r="H6" s="4" t="s">
        <v>833</v>
      </c>
      <c r="I6" s="4" t="s">
        <v>834</v>
      </c>
      <c r="J6" s="4" t="s">
        <v>835</v>
      </c>
      <c r="K6" s="4" t="s">
        <v>836</v>
      </c>
      <c r="L6" s="4" t="s">
        <v>837</v>
      </c>
      <c r="M6" s="4" t="s">
        <v>714</v>
      </c>
      <c r="N6" s="4" t="s">
        <v>715</v>
      </c>
      <c r="O6" s="3"/>
      <c r="P6" s="3"/>
      <c r="Q6" s="3"/>
    </row>
    <row r="7" spans="1:17" ht="15">
      <c r="A7" s="12"/>
      <c r="B7" s="12"/>
      <c r="C7" s="12"/>
      <c r="D7" s="12"/>
      <c r="E7" s="12"/>
      <c r="F7" s="12"/>
      <c r="G7" s="12"/>
      <c r="H7" s="12"/>
      <c r="I7" s="12"/>
      <c r="J7" s="12"/>
      <c r="K7" s="12"/>
      <c r="L7" s="12"/>
      <c r="M7" s="12"/>
      <c r="N7" s="12"/>
      <c r="O7" s="3"/>
      <c r="P7" s="3"/>
      <c r="Q7" s="3"/>
    </row>
    <row r="8" spans="1:17" ht="15">
      <c r="A8" s="12"/>
      <c r="B8" s="12"/>
      <c r="C8" s="12"/>
      <c r="D8" s="12"/>
      <c r="E8" s="12"/>
      <c r="F8" s="12"/>
      <c r="G8" s="12"/>
      <c r="H8" s="12"/>
      <c r="I8" s="12"/>
      <c r="J8" s="12"/>
      <c r="K8" s="12"/>
      <c r="L8" s="12"/>
      <c r="M8" s="12"/>
      <c r="N8" s="12"/>
      <c r="O8" s="3"/>
      <c r="P8" s="3"/>
      <c r="Q8" s="3"/>
    </row>
    <row r="9" spans="1:17" ht="15">
      <c r="A9" s="12"/>
      <c r="B9" s="12"/>
      <c r="C9" s="12"/>
      <c r="D9" s="12"/>
      <c r="E9" s="12"/>
      <c r="F9" s="12"/>
      <c r="G9" s="12"/>
      <c r="H9" s="12"/>
      <c r="I9" s="12"/>
      <c r="J9" s="12"/>
      <c r="K9" s="12"/>
      <c r="L9" s="12"/>
      <c r="M9" s="12"/>
      <c r="N9" s="12"/>
      <c r="O9" s="3"/>
      <c r="P9" s="3"/>
      <c r="Q9" s="3"/>
    </row>
    <row r="10" spans="1:17" ht="15">
      <c r="A10" s="12"/>
      <c r="B10" s="12"/>
      <c r="C10" s="12"/>
      <c r="D10" s="12"/>
      <c r="E10" s="12"/>
      <c r="F10" s="12"/>
      <c r="G10" s="12"/>
      <c r="H10" s="12"/>
      <c r="I10" s="12"/>
      <c r="J10" s="12"/>
      <c r="K10" s="12"/>
      <c r="L10" s="12"/>
      <c r="M10" s="12"/>
      <c r="N10" s="12"/>
      <c r="O10" s="3"/>
      <c r="P10" s="3"/>
      <c r="Q10" s="3"/>
    </row>
    <row r="11" spans="1:17" ht="15">
      <c r="A11" s="12"/>
      <c r="B11" s="12"/>
      <c r="C11" s="12"/>
      <c r="D11" s="12"/>
      <c r="E11" s="12"/>
      <c r="F11" s="12"/>
      <c r="G11" s="12"/>
      <c r="H11" s="12"/>
      <c r="I11" s="12"/>
      <c r="J11" s="12"/>
      <c r="K11" s="12"/>
      <c r="L11" s="12"/>
      <c r="M11" s="12"/>
      <c r="N11" s="12"/>
      <c r="O11" s="3"/>
      <c r="P11" s="3"/>
      <c r="Q11" s="3"/>
    </row>
    <row r="12" spans="1:17" ht="15">
      <c r="A12" s="12"/>
      <c r="B12" s="12"/>
      <c r="C12" s="12"/>
      <c r="D12" s="12"/>
      <c r="E12" s="12"/>
      <c r="F12" s="12"/>
      <c r="G12" s="12"/>
      <c r="H12" s="12"/>
      <c r="I12" s="12"/>
      <c r="J12" s="12"/>
      <c r="K12" s="12"/>
      <c r="L12" s="12"/>
      <c r="M12" s="12"/>
      <c r="N12" s="12"/>
      <c r="O12" s="3"/>
      <c r="P12" s="3"/>
      <c r="Q12" s="3"/>
    </row>
    <row r="13" spans="1:17" ht="15">
      <c r="A13" s="12"/>
      <c r="B13" s="12"/>
      <c r="C13" s="12"/>
      <c r="D13" s="12"/>
      <c r="E13" s="12"/>
      <c r="F13" s="12"/>
      <c r="G13" s="12"/>
      <c r="H13" s="12"/>
      <c r="I13" s="12"/>
      <c r="J13" s="12"/>
      <c r="K13" s="12"/>
      <c r="L13" s="12"/>
      <c r="M13" s="12"/>
      <c r="N13" s="12"/>
      <c r="O13" s="3"/>
      <c r="P13" s="3"/>
      <c r="Q13" s="3"/>
    </row>
    <row r="14" spans="1:17" ht="15">
      <c r="A14" s="12"/>
      <c r="B14" s="12"/>
      <c r="C14" s="12"/>
      <c r="D14" s="12"/>
      <c r="E14" s="12"/>
      <c r="F14" s="12"/>
      <c r="G14" s="12"/>
      <c r="H14" s="12"/>
      <c r="I14" s="12"/>
      <c r="J14" s="12"/>
      <c r="K14" s="12"/>
      <c r="L14" s="12"/>
      <c r="M14" s="12"/>
      <c r="N14" s="12"/>
      <c r="O14" s="3"/>
      <c r="P14" s="3"/>
      <c r="Q14" s="3"/>
    </row>
    <row r="15" spans="1:17" ht="15">
      <c r="A15" s="12"/>
      <c r="B15" s="12"/>
      <c r="C15" s="12"/>
      <c r="D15" s="12"/>
      <c r="E15" s="12"/>
      <c r="F15" s="12"/>
      <c r="G15" s="12"/>
      <c r="H15" s="12"/>
      <c r="I15" s="12"/>
      <c r="J15" s="12"/>
      <c r="K15" s="12"/>
      <c r="L15" s="12"/>
      <c r="M15" s="12"/>
      <c r="N15" s="12"/>
      <c r="O15" s="3"/>
      <c r="P15" s="3"/>
      <c r="Q15" s="3"/>
    </row>
    <row r="16" spans="1:17" ht="15">
      <c r="A16" s="12"/>
      <c r="B16" s="12"/>
      <c r="C16" s="12"/>
      <c r="D16" s="12"/>
      <c r="E16" s="12"/>
      <c r="F16" s="12"/>
      <c r="G16" s="12"/>
      <c r="H16" s="12"/>
      <c r="I16" s="12"/>
      <c r="J16" s="12"/>
      <c r="K16" s="12"/>
      <c r="L16" s="12"/>
      <c r="M16" s="12"/>
      <c r="N16" s="12"/>
      <c r="O16" s="3"/>
      <c r="P16" s="3"/>
      <c r="Q16" s="3"/>
    </row>
    <row r="17" spans="1:17" ht="15">
      <c r="A17" s="12"/>
      <c r="B17" s="12"/>
      <c r="C17" s="12"/>
      <c r="D17" s="12"/>
      <c r="E17" s="12"/>
      <c r="F17" s="12"/>
      <c r="G17" s="12"/>
      <c r="H17" s="12"/>
      <c r="I17" s="12"/>
      <c r="J17" s="12"/>
      <c r="K17" s="12"/>
      <c r="L17" s="12"/>
      <c r="M17" s="12"/>
      <c r="N17" s="12"/>
      <c r="O17" s="3"/>
      <c r="P17" s="3"/>
      <c r="Q17" s="3"/>
    </row>
    <row r="18" spans="1:17" ht="15">
      <c r="A18" s="12"/>
      <c r="B18" s="12"/>
      <c r="C18" s="12"/>
      <c r="D18" s="12"/>
      <c r="E18" s="12"/>
      <c r="F18" s="12"/>
      <c r="G18" s="12"/>
      <c r="H18" s="12"/>
      <c r="I18" s="12"/>
      <c r="J18" s="12"/>
      <c r="K18" s="12"/>
      <c r="L18" s="12"/>
      <c r="M18" s="12"/>
      <c r="N18" s="12"/>
      <c r="O18" s="3"/>
      <c r="P18" s="3"/>
      <c r="Q18" s="3"/>
    </row>
    <row r="19" spans="1:17" ht="15">
      <c r="A19" s="12"/>
      <c r="B19" s="12"/>
      <c r="C19" s="12"/>
      <c r="D19" s="12"/>
      <c r="E19" s="12"/>
      <c r="F19" s="12"/>
      <c r="G19" s="12"/>
      <c r="H19" s="12"/>
      <c r="I19" s="12"/>
      <c r="J19" s="12"/>
      <c r="K19" s="12"/>
      <c r="L19" s="12"/>
      <c r="M19" s="12"/>
      <c r="N19" s="12"/>
      <c r="O19" s="3"/>
      <c r="P19" s="3"/>
      <c r="Q19" s="3"/>
    </row>
    <row r="20" spans="1:17" ht="15">
      <c r="A20" s="12"/>
      <c r="B20" s="12"/>
      <c r="C20" s="12"/>
      <c r="D20" s="12"/>
      <c r="E20" s="12"/>
      <c r="F20" s="12"/>
      <c r="G20" s="12"/>
      <c r="H20" s="12"/>
      <c r="I20" s="12"/>
      <c r="J20" s="12"/>
      <c r="K20" s="12"/>
      <c r="L20" s="12"/>
      <c r="M20" s="12"/>
      <c r="N20" s="12"/>
      <c r="O20" s="3"/>
      <c r="P20" s="3"/>
      <c r="Q20" s="3"/>
    </row>
    <row r="21" spans="1:17" ht="15">
      <c r="A21" s="12"/>
      <c r="B21" s="12"/>
      <c r="C21" s="12"/>
      <c r="D21" s="12"/>
      <c r="E21" s="12"/>
      <c r="F21" s="12"/>
      <c r="G21" s="12"/>
      <c r="H21" s="12"/>
      <c r="I21" s="12"/>
      <c r="J21" s="12"/>
      <c r="K21" s="12"/>
      <c r="L21" s="12"/>
      <c r="M21" s="12"/>
      <c r="N21" s="12"/>
      <c r="O21" s="3"/>
      <c r="P21" s="3"/>
      <c r="Q21" s="3"/>
    </row>
    <row r="22" spans="1:17" ht="15">
      <c r="A22" s="12"/>
      <c r="B22" s="12"/>
      <c r="C22" s="12"/>
      <c r="D22" s="12"/>
      <c r="E22" s="12"/>
      <c r="F22" s="12"/>
      <c r="G22" s="12"/>
      <c r="H22" s="12"/>
      <c r="I22" s="12"/>
      <c r="J22" s="12"/>
      <c r="K22" s="12"/>
      <c r="L22" s="12"/>
      <c r="M22" s="12"/>
      <c r="N22" s="12"/>
      <c r="O22" s="3"/>
      <c r="P22" s="3"/>
      <c r="Q22" s="3"/>
    </row>
    <row r="23" spans="1:17" ht="15">
      <c r="A23" s="12"/>
      <c r="B23" s="12"/>
      <c r="C23" s="12"/>
      <c r="D23" s="12"/>
      <c r="E23" s="12"/>
      <c r="F23" s="12"/>
      <c r="G23" s="12"/>
      <c r="H23" s="12"/>
      <c r="I23" s="12"/>
      <c r="J23" s="12"/>
      <c r="K23" s="12"/>
      <c r="L23" s="12"/>
      <c r="M23" s="12"/>
      <c r="N23" s="12"/>
      <c r="O23" s="3"/>
      <c r="P23" s="3"/>
      <c r="Q23" s="3"/>
    </row>
    <row r="24" spans="1:17" ht="15">
      <c r="A24" s="12"/>
      <c r="B24" s="12"/>
      <c r="C24" s="12"/>
      <c r="D24" s="12"/>
      <c r="E24" s="12"/>
      <c r="F24" s="12"/>
      <c r="G24" s="12"/>
      <c r="H24" s="12"/>
      <c r="I24" s="12"/>
      <c r="J24" s="12"/>
      <c r="K24" s="12"/>
      <c r="L24" s="12"/>
      <c r="M24" s="12"/>
      <c r="N24" s="12"/>
      <c r="O24" s="3"/>
      <c r="P24" s="3"/>
      <c r="Q24" s="3"/>
    </row>
    <row r="25" spans="1:17" ht="15">
      <c r="A25" s="12"/>
      <c r="B25" s="12"/>
      <c r="C25" s="12"/>
      <c r="D25" s="12"/>
      <c r="E25" s="12"/>
      <c r="F25" s="12"/>
      <c r="G25" s="12"/>
      <c r="H25" s="12"/>
      <c r="I25" s="12"/>
      <c r="J25" s="12"/>
      <c r="K25" s="12"/>
      <c r="L25" s="12"/>
      <c r="M25" s="12"/>
      <c r="N25" s="12"/>
      <c r="O25" s="3"/>
      <c r="P25" s="3"/>
      <c r="Q25" s="3"/>
    </row>
    <row r="26" spans="1:17" ht="15">
      <c r="A26" s="12"/>
      <c r="B26" s="12"/>
      <c r="C26" s="12"/>
      <c r="D26" s="12"/>
      <c r="E26" s="12"/>
      <c r="F26" s="12"/>
      <c r="G26" s="12"/>
      <c r="H26" s="12"/>
      <c r="I26" s="12"/>
      <c r="J26" s="12"/>
      <c r="K26" s="12"/>
      <c r="L26" s="12"/>
      <c r="M26" s="12"/>
      <c r="N26" s="12"/>
      <c r="O26" s="3"/>
      <c r="P26" s="3"/>
      <c r="Q26" s="3"/>
    </row>
    <row r="27" spans="1:17" ht="15">
      <c r="A27" s="12"/>
      <c r="B27" s="12"/>
      <c r="C27" s="12"/>
      <c r="D27" s="12"/>
      <c r="E27" s="12"/>
      <c r="F27" s="12"/>
      <c r="G27" s="12"/>
      <c r="H27" s="12"/>
      <c r="I27" s="12"/>
      <c r="J27" s="12"/>
      <c r="K27" s="12"/>
      <c r="L27" s="12"/>
      <c r="M27" s="12"/>
      <c r="N27" s="12"/>
      <c r="O27" s="3"/>
      <c r="P27" s="3"/>
      <c r="Q27" s="3"/>
    </row>
    <row r="28" spans="1:17" ht="15">
      <c r="A28" s="12"/>
      <c r="B28" s="12"/>
      <c r="C28" s="12"/>
      <c r="D28" s="12"/>
      <c r="E28" s="12"/>
      <c r="F28" s="12"/>
      <c r="G28" s="12"/>
      <c r="H28" s="12"/>
      <c r="I28" s="12"/>
      <c r="J28" s="12"/>
      <c r="K28" s="12"/>
      <c r="L28" s="12"/>
      <c r="M28" s="12"/>
      <c r="N28" s="12"/>
      <c r="O28" s="3"/>
      <c r="P28" s="3"/>
      <c r="Q28" s="3"/>
    </row>
    <row r="29" spans="1:17" ht="15">
      <c r="A29" s="12"/>
      <c r="B29" s="12"/>
      <c r="C29" s="12"/>
      <c r="D29" s="12"/>
      <c r="E29" s="12"/>
      <c r="F29" s="12"/>
      <c r="G29" s="12"/>
      <c r="H29" s="12"/>
      <c r="I29" s="12"/>
      <c r="J29" s="12"/>
      <c r="K29" s="12"/>
      <c r="L29" s="12"/>
      <c r="M29" s="12"/>
      <c r="N29" s="12"/>
      <c r="O29" s="3"/>
      <c r="P29" s="3"/>
      <c r="Q29" s="3"/>
    </row>
    <row r="30" spans="1:17" ht="15">
      <c r="A30" s="12"/>
      <c r="B30" s="12"/>
      <c r="C30" s="12"/>
      <c r="D30" s="12"/>
      <c r="E30" s="12"/>
      <c r="F30" s="12"/>
      <c r="G30" s="12"/>
      <c r="H30" s="12"/>
      <c r="I30" s="12"/>
      <c r="J30" s="12"/>
      <c r="K30" s="12"/>
      <c r="L30" s="12"/>
      <c r="M30" s="12"/>
      <c r="N30" s="12"/>
      <c r="O30" s="3"/>
      <c r="P30" s="3"/>
      <c r="Q30" s="3"/>
    </row>
    <row r="31" spans="1:17" ht="15">
      <c r="A31" s="12"/>
      <c r="B31" s="12"/>
      <c r="C31" s="12"/>
      <c r="D31" s="12"/>
      <c r="E31" s="12"/>
      <c r="F31" s="12"/>
      <c r="G31" s="12"/>
      <c r="H31" s="12"/>
      <c r="I31" s="12"/>
      <c r="J31" s="12"/>
      <c r="K31" s="12"/>
      <c r="L31" s="12"/>
      <c r="M31" s="12"/>
      <c r="N31" s="12"/>
      <c r="O31" s="3"/>
      <c r="P31" s="3"/>
      <c r="Q31" s="3"/>
    </row>
    <row r="32" spans="1:17" ht="15">
      <c r="A32" s="12"/>
      <c r="B32" s="12"/>
      <c r="C32" s="12"/>
      <c r="D32" s="12"/>
      <c r="E32" s="12"/>
      <c r="F32" s="12"/>
      <c r="G32" s="12"/>
      <c r="H32" s="12"/>
      <c r="I32" s="12"/>
      <c r="J32" s="12"/>
      <c r="K32" s="12"/>
      <c r="L32" s="12"/>
      <c r="M32" s="12"/>
      <c r="N32" s="12"/>
      <c r="O32" s="3"/>
      <c r="P32" s="3"/>
      <c r="Q32" s="3"/>
    </row>
    <row r="33" spans="1:17" ht="15">
      <c r="A33" s="12"/>
      <c r="B33" s="12"/>
      <c r="C33" s="12"/>
      <c r="D33" s="12"/>
      <c r="E33" s="12"/>
      <c r="F33" s="12"/>
      <c r="G33" s="12"/>
      <c r="H33" s="12"/>
      <c r="I33" s="12"/>
      <c r="J33" s="12"/>
      <c r="K33" s="12"/>
      <c r="L33" s="12"/>
      <c r="M33" s="12"/>
      <c r="N33" s="12"/>
      <c r="O33" s="3"/>
      <c r="P33" s="3"/>
      <c r="Q33" s="3"/>
    </row>
    <row r="34" spans="1:17" ht="15">
      <c r="A34" s="12"/>
      <c r="B34" s="12"/>
      <c r="C34" s="12"/>
      <c r="D34" s="12"/>
      <c r="E34" s="12"/>
      <c r="F34" s="12"/>
      <c r="G34" s="12"/>
      <c r="H34" s="12"/>
      <c r="I34" s="12"/>
      <c r="J34" s="12"/>
      <c r="K34" s="12"/>
      <c r="L34" s="12"/>
      <c r="M34" s="12"/>
      <c r="N34" s="12"/>
      <c r="O34" s="3"/>
      <c r="P34" s="3"/>
      <c r="Q34" s="3"/>
    </row>
    <row r="35" spans="1:17" ht="15">
      <c r="A35" s="12"/>
      <c r="B35" s="12"/>
      <c r="C35" s="12"/>
      <c r="D35" s="12"/>
      <c r="E35" s="12"/>
      <c r="F35" s="12"/>
      <c r="G35" s="12"/>
      <c r="H35" s="12"/>
      <c r="I35" s="12"/>
      <c r="J35" s="12"/>
      <c r="K35" s="12"/>
      <c r="L35" s="12"/>
      <c r="M35" s="12"/>
      <c r="N35" s="12"/>
      <c r="O35" s="3"/>
      <c r="P35" s="3"/>
      <c r="Q35" s="3"/>
    </row>
    <row r="36" spans="1:17" ht="15">
      <c r="A36" s="12"/>
      <c r="B36" s="12"/>
      <c r="C36" s="12"/>
      <c r="D36" s="12"/>
      <c r="E36" s="12"/>
      <c r="F36" s="12"/>
      <c r="G36" s="12"/>
      <c r="H36" s="12"/>
      <c r="I36" s="12"/>
      <c r="J36" s="12"/>
      <c r="K36" s="12"/>
      <c r="L36" s="12"/>
      <c r="M36" s="12"/>
      <c r="N36" s="12"/>
      <c r="O36" s="3"/>
      <c r="P36" s="3"/>
      <c r="Q36" s="3"/>
    </row>
    <row r="37" spans="1:17" ht="15">
      <c r="A37" s="12"/>
      <c r="B37" s="12"/>
      <c r="C37" s="12"/>
      <c r="D37" s="12"/>
      <c r="E37" s="12"/>
      <c r="F37" s="12"/>
      <c r="G37" s="12"/>
      <c r="H37" s="12"/>
      <c r="I37" s="12"/>
      <c r="J37" s="12"/>
      <c r="K37" s="12"/>
      <c r="L37" s="12"/>
      <c r="M37" s="12"/>
      <c r="N37" s="12"/>
      <c r="O37" s="3"/>
      <c r="P37" s="3"/>
      <c r="Q37" s="3"/>
    </row>
    <row r="38" spans="1:17" ht="15">
      <c r="A38" s="12"/>
      <c r="B38" s="12"/>
      <c r="C38" s="12"/>
      <c r="D38" s="12"/>
      <c r="E38" s="12"/>
      <c r="F38" s="12"/>
      <c r="G38" s="12"/>
      <c r="H38" s="12"/>
      <c r="I38" s="12"/>
      <c r="J38" s="12"/>
      <c r="K38" s="12"/>
      <c r="L38" s="12"/>
      <c r="M38" s="12"/>
      <c r="N38" s="12"/>
      <c r="O38" s="3"/>
      <c r="P38" s="3"/>
      <c r="Q38" s="3"/>
    </row>
    <row r="39" spans="1:17" ht="15">
      <c r="A39" s="12"/>
      <c r="B39" s="12"/>
      <c r="C39" s="12"/>
      <c r="D39" s="12"/>
      <c r="E39" s="12"/>
      <c r="F39" s="12"/>
      <c r="G39" s="12"/>
      <c r="H39" s="12"/>
      <c r="I39" s="12"/>
      <c r="J39" s="12"/>
      <c r="K39" s="12"/>
      <c r="L39" s="12"/>
      <c r="M39" s="12"/>
      <c r="N39" s="12"/>
      <c r="O39" s="3"/>
      <c r="P39" s="3"/>
      <c r="Q39" s="3"/>
    </row>
    <row r="40" spans="1:17" ht="15">
      <c r="A40" s="12"/>
      <c r="B40" s="12"/>
      <c r="C40" s="12"/>
      <c r="D40" s="12"/>
      <c r="E40" s="12"/>
      <c r="F40" s="12"/>
      <c r="G40" s="12"/>
      <c r="H40" s="12"/>
      <c r="I40" s="12"/>
      <c r="J40" s="12"/>
      <c r="K40" s="12"/>
      <c r="L40" s="12"/>
      <c r="M40" s="12"/>
      <c r="N40" s="12"/>
      <c r="O40" s="3"/>
      <c r="P40" s="3"/>
      <c r="Q40" s="3"/>
    </row>
    <row r="41" spans="1:17" ht="15">
      <c r="A41" s="12"/>
      <c r="B41" s="12"/>
      <c r="C41" s="12"/>
      <c r="D41" s="12"/>
      <c r="E41" s="12"/>
      <c r="F41" s="12"/>
      <c r="G41" s="12"/>
      <c r="H41" s="12"/>
      <c r="I41" s="12"/>
      <c r="J41" s="12"/>
      <c r="K41" s="12"/>
      <c r="L41" s="12"/>
      <c r="M41" s="12"/>
      <c r="N41" s="12"/>
      <c r="O41" s="3"/>
      <c r="P41" s="3"/>
      <c r="Q41" s="3"/>
    </row>
    <row r="42" spans="1:17" ht="15">
      <c r="A42" s="12"/>
      <c r="B42" s="12"/>
      <c r="C42" s="12"/>
      <c r="D42" s="12"/>
      <c r="E42" s="12"/>
      <c r="F42" s="12"/>
      <c r="G42" s="12"/>
      <c r="H42" s="12"/>
      <c r="I42" s="12"/>
      <c r="J42" s="12"/>
      <c r="K42" s="12"/>
      <c r="L42" s="12"/>
      <c r="M42" s="12"/>
      <c r="N42" s="12"/>
      <c r="O42" s="3"/>
      <c r="P42" s="3"/>
      <c r="Q42" s="3"/>
    </row>
    <row r="43" spans="1:17" ht="15">
      <c r="A43" s="12"/>
      <c r="B43" s="12"/>
      <c r="C43" s="12"/>
      <c r="D43" s="12"/>
      <c r="E43" s="12"/>
      <c r="F43" s="12"/>
      <c r="G43" s="12"/>
      <c r="H43" s="12"/>
      <c r="I43" s="12"/>
      <c r="J43" s="12"/>
      <c r="K43" s="12"/>
      <c r="L43" s="12"/>
      <c r="M43" s="12"/>
      <c r="N43" s="12"/>
      <c r="O43" s="3"/>
      <c r="P43" s="3"/>
      <c r="Q43" s="3"/>
    </row>
    <row r="44" spans="1:17" ht="15">
      <c r="A44" s="12"/>
      <c r="B44" s="12"/>
      <c r="C44" s="12"/>
      <c r="D44" s="12"/>
      <c r="E44" s="12"/>
      <c r="F44" s="12"/>
      <c r="G44" s="12"/>
      <c r="H44" s="12"/>
      <c r="I44" s="12"/>
      <c r="J44" s="12"/>
      <c r="K44" s="12"/>
      <c r="L44" s="12"/>
      <c r="M44" s="12"/>
      <c r="N44" s="12"/>
      <c r="O44" s="3"/>
      <c r="P44" s="3"/>
      <c r="Q44" s="3"/>
    </row>
    <row r="45" spans="1:17" ht="15">
      <c r="A45" s="12"/>
      <c r="B45" s="12"/>
      <c r="C45" s="12"/>
      <c r="D45" s="12"/>
      <c r="E45" s="12"/>
      <c r="F45" s="12"/>
      <c r="G45" s="12"/>
      <c r="H45" s="12"/>
      <c r="I45" s="12"/>
      <c r="J45" s="12"/>
      <c r="K45" s="12"/>
      <c r="L45" s="12"/>
      <c r="M45" s="12"/>
      <c r="N45" s="12"/>
      <c r="O45" s="3"/>
      <c r="P45" s="3"/>
      <c r="Q45" s="3"/>
    </row>
    <row r="46" spans="1:17" ht="15">
      <c r="A46" s="12"/>
      <c r="B46" s="12"/>
      <c r="C46" s="12"/>
      <c r="D46" s="12"/>
      <c r="E46" s="12"/>
      <c r="F46" s="12"/>
      <c r="G46" s="12"/>
      <c r="H46" s="12"/>
      <c r="I46" s="12"/>
      <c r="J46" s="12"/>
      <c r="K46" s="12"/>
      <c r="L46" s="12"/>
      <c r="M46" s="12"/>
      <c r="N46" s="12"/>
      <c r="O46" s="3"/>
      <c r="P46" s="3"/>
      <c r="Q46" s="3"/>
    </row>
    <row r="47" spans="1:17" ht="15">
      <c r="A47" s="12"/>
      <c r="B47" s="12"/>
      <c r="C47" s="12"/>
      <c r="D47" s="12"/>
      <c r="E47" s="12"/>
      <c r="F47" s="12"/>
      <c r="G47" s="12"/>
      <c r="H47" s="12"/>
      <c r="I47" s="12"/>
      <c r="J47" s="12"/>
      <c r="K47" s="12"/>
      <c r="L47" s="12"/>
      <c r="M47" s="12"/>
      <c r="N47" s="12"/>
      <c r="O47" s="3"/>
      <c r="P47" s="3"/>
      <c r="Q47" s="3"/>
    </row>
    <row r="48" spans="1:17" ht="15">
      <c r="A48" s="12"/>
      <c r="B48" s="12"/>
      <c r="C48" s="12"/>
      <c r="D48" s="12"/>
      <c r="E48" s="12"/>
      <c r="F48" s="12"/>
      <c r="G48" s="12"/>
      <c r="H48" s="12"/>
      <c r="I48" s="12"/>
      <c r="J48" s="12"/>
      <c r="K48" s="12"/>
      <c r="L48" s="12"/>
      <c r="M48" s="12"/>
      <c r="N48" s="12"/>
      <c r="O48" s="3"/>
      <c r="P48" s="3"/>
      <c r="Q48" s="3"/>
    </row>
    <row r="49" spans="1:17" ht="15">
      <c r="A49" s="12"/>
      <c r="B49" s="12"/>
      <c r="C49" s="12"/>
      <c r="D49" s="12"/>
      <c r="E49" s="12"/>
      <c r="F49" s="12"/>
      <c r="G49" s="12"/>
      <c r="H49" s="12"/>
      <c r="I49" s="12"/>
      <c r="J49" s="12"/>
      <c r="K49" s="12"/>
      <c r="L49" s="12"/>
      <c r="M49" s="12"/>
      <c r="N49" s="12"/>
      <c r="O49" s="3"/>
      <c r="P49" s="3"/>
      <c r="Q49" s="3"/>
    </row>
    <row r="50" spans="1:17" ht="15">
      <c r="A50" s="12"/>
      <c r="B50" s="12"/>
      <c r="C50" s="12"/>
      <c r="D50" s="12"/>
      <c r="E50" s="12"/>
      <c r="F50" s="12"/>
      <c r="G50" s="12"/>
      <c r="H50" s="12"/>
      <c r="I50" s="12"/>
      <c r="J50" s="12"/>
      <c r="K50" s="12"/>
      <c r="L50" s="12"/>
      <c r="M50" s="12"/>
      <c r="N50" s="12"/>
      <c r="O50" s="3"/>
      <c r="P50" s="3"/>
      <c r="Q50" s="3"/>
    </row>
    <row r="51" spans="1:17" ht="15">
      <c r="A51" s="12"/>
      <c r="B51" s="12"/>
      <c r="C51" s="12"/>
      <c r="D51" s="12"/>
      <c r="E51" s="12"/>
      <c r="F51" s="12"/>
      <c r="G51" s="12"/>
      <c r="H51" s="12"/>
      <c r="I51" s="12"/>
      <c r="J51" s="12"/>
      <c r="K51" s="12"/>
      <c r="L51" s="12"/>
      <c r="M51" s="12"/>
      <c r="N51" s="12"/>
      <c r="O51" s="3"/>
      <c r="P51" s="3"/>
      <c r="Q51" s="3"/>
    </row>
    <row r="52" spans="1:17" ht="15">
      <c r="A52" s="12"/>
      <c r="B52" s="12"/>
      <c r="C52" s="12"/>
      <c r="D52" s="12"/>
      <c r="E52" s="12"/>
      <c r="F52" s="12"/>
      <c r="G52" s="12"/>
      <c r="H52" s="12"/>
      <c r="I52" s="12"/>
      <c r="J52" s="12"/>
      <c r="K52" s="12"/>
      <c r="L52" s="12"/>
      <c r="M52" s="12"/>
      <c r="N52" s="12"/>
      <c r="O52" s="3"/>
      <c r="P52" s="3"/>
      <c r="Q52" s="3"/>
    </row>
    <row r="53" spans="1:17" ht="15">
      <c r="A53" s="12"/>
      <c r="B53" s="12"/>
      <c r="C53" s="12"/>
      <c r="D53" s="12"/>
      <c r="E53" s="12"/>
      <c r="F53" s="12"/>
      <c r="G53" s="12"/>
      <c r="H53" s="12"/>
      <c r="I53" s="12"/>
      <c r="J53" s="12"/>
      <c r="K53" s="12"/>
      <c r="L53" s="12"/>
      <c r="M53" s="12"/>
      <c r="N53" s="12"/>
      <c r="O53" s="3"/>
      <c r="P53" s="3"/>
      <c r="Q53" s="3"/>
    </row>
    <row r="54" spans="1:17" ht="15">
      <c r="A54" s="12"/>
      <c r="B54" s="12"/>
      <c r="C54" s="12"/>
      <c r="D54" s="12"/>
      <c r="E54" s="12"/>
      <c r="F54" s="12"/>
      <c r="G54" s="12"/>
      <c r="H54" s="12"/>
      <c r="I54" s="12"/>
      <c r="J54" s="12"/>
      <c r="K54" s="12"/>
      <c r="L54" s="12"/>
      <c r="M54" s="12"/>
      <c r="N54" s="12"/>
      <c r="O54" s="3"/>
      <c r="P54" s="3"/>
      <c r="Q54" s="3"/>
    </row>
    <row r="55" spans="1:17" ht="15">
      <c r="A55" s="12"/>
      <c r="B55" s="12"/>
      <c r="C55" s="12"/>
      <c r="D55" s="12"/>
      <c r="E55" s="12"/>
      <c r="F55" s="12"/>
      <c r="G55" s="12"/>
      <c r="H55" s="12"/>
      <c r="I55" s="12"/>
      <c r="J55" s="12"/>
      <c r="K55" s="12"/>
      <c r="L55" s="12"/>
      <c r="M55" s="12"/>
      <c r="N55" s="12"/>
      <c r="O55" s="3"/>
      <c r="P55" s="3"/>
      <c r="Q55" s="3"/>
    </row>
    <row r="56" spans="1:17" ht="15">
      <c r="A56" s="12"/>
      <c r="B56" s="12"/>
      <c r="C56" s="12"/>
      <c r="D56" s="12"/>
      <c r="E56" s="12"/>
      <c r="F56" s="12"/>
      <c r="G56" s="12"/>
      <c r="H56" s="12"/>
      <c r="I56" s="12"/>
      <c r="J56" s="12"/>
      <c r="K56" s="12"/>
      <c r="L56" s="12"/>
      <c r="M56" s="12"/>
      <c r="N56" s="12"/>
      <c r="O56" s="3"/>
      <c r="P56" s="3"/>
      <c r="Q56" s="3"/>
    </row>
    <row r="57" spans="1:17" ht="15">
      <c r="A57" s="12"/>
      <c r="B57" s="12"/>
      <c r="C57" s="12"/>
      <c r="D57" s="12"/>
      <c r="E57" s="12"/>
      <c r="F57" s="12"/>
      <c r="G57" s="12"/>
      <c r="H57" s="12"/>
      <c r="I57" s="12"/>
      <c r="J57" s="12"/>
      <c r="K57" s="12"/>
      <c r="L57" s="12"/>
      <c r="M57" s="12"/>
      <c r="N57" s="12"/>
      <c r="O57" s="3"/>
      <c r="P57" s="3"/>
      <c r="Q57" s="3"/>
    </row>
    <row r="58" spans="1:17" ht="15">
      <c r="A58" s="12"/>
      <c r="B58" s="12"/>
      <c r="C58" s="12"/>
      <c r="D58" s="12"/>
      <c r="E58" s="12"/>
      <c r="F58" s="12"/>
      <c r="G58" s="12"/>
      <c r="H58" s="12"/>
      <c r="I58" s="12"/>
      <c r="J58" s="12"/>
      <c r="K58" s="12"/>
      <c r="L58" s="12"/>
      <c r="M58" s="12"/>
      <c r="N58" s="12"/>
      <c r="O58" s="3"/>
      <c r="P58" s="3"/>
      <c r="Q58" s="3"/>
    </row>
    <row r="59" spans="1:17" ht="15">
      <c r="A59" s="12"/>
      <c r="B59" s="12"/>
      <c r="C59" s="12"/>
      <c r="D59" s="12"/>
      <c r="E59" s="12"/>
      <c r="F59" s="12"/>
      <c r="G59" s="12"/>
      <c r="H59" s="12"/>
      <c r="I59" s="12"/>
      <c r="J59" s="12"/>
      <c r="K59" s="12"/>
      <c r="L59" s="12"/>
      <c r="M59" s="12"/>
      <c r="N59" s="12"/>
      <c r="O59" s="3"/>
      <c r="P59" s="3"/>
      <c r="Q59" s="3"/>
    </row>
    <row r="60" spans="1:17" ht="15">
      <c r="A60" s="12"/>
      <c r="B60" s="12"/>
      <c r="C60" s="12"/>
      <c r="D60" s="12"/>
      <c r="E60" s="12"/>
      <c r="F60" s="12"/>
      <c r="G60" s="12"/>
      <c r="H60" s="12"/>
      <c r="I60" s="12"/>
      <c r="J60" s="12"/>
      <c r="K60" s="12"/>
      <c r="L60" s="12"/>
      <c r="M60" s="12"/>
      <c r="N60" s="12"/>
      <c r="O60" s="3"/>
      <c r="P60" s="3"/>
      <c r="Q60" s="3"/>
    </row>
    <row r="61" spans="1:17" ht="15">
      <c r="A61" s="12"/>
      <c r="B61" s="12"/>
      <c r="C61" s="12"/>
      <c r="D61" s="12"/>
      <c r="E61" s="12"/>
      <c r="F61" s="12"/>
      <c r="G61" s="12"/>
      <c r="H61" s="12"/>
      <c r="I61" s="12"/>
      <c r="J61" s="12"/>
      <c r="K61" s="12"/>
      <c r="L61" s="12"/>
      <c r="M61" s="12"/>
      <c r="N61" s="12"/>
      <c r="O61" s="3"/>
      <c r="P61" s="3"/>
      <c r="Q61" s="3"/>
    </row>
    <row r="62" spans="1:17" ht="15">
      <c r="A62" s="12"/>
      <c r="B62" s="12"/>
      <c r="C62" s="12"/>
      <c r="D62" s="12"/>
      <c r="E62" s="12"/>
      <c r="F62" s="12"/>
      <c r="G62" s="12"/>
      <c r="H62" s="12"/>
      <c r="I62" s="12"/>
      <c r="J62" s="12"/>
      <c r="K62" s="12"/>
      <c r="L62" s="12"/>
      <c r="M62" s="12"/>
      <c r="N62" s="12"/>
      <c r="O62" s="3"/>
      <c r="P62" s="3"/>
      <c r="Q62" s="3"/>
    </row>
    <row r="63" spans="1:17" ht="15">
      <c r="A63" s="12"/>
      <c r="B63" s="12"/>
      <c r="C63" s="12"/>
      <c r="D63" s="12"/>
      <c r="E63" s="12"/>
      <c r="F63" s="12"/>
      <c r="G63" s="12"/>
      <c r="H63" s="12"/>
      <c r="I63" s="12"/>
      <c r="J63" s="12"/>
      <c r="K63" s="12"/>
      <c r="L63" s="12"/>
      <c r="M63" s="12"/>
      <c r="N63" s="12"/>
      <c r="O63" s="3"/>
      <c r="P63" s="3"/>
      <c r="Q63" s="3"/>
    </row>
    <row r="64" spans="1:17" ht="15">
      <c r="A64" s="12"/>
      <c r="B64" s="12"/>
      <c r="C64" s="12"/>
      <c r="D64" s="12"/>
      <c r="E64" s="12"/>
      <c r="F64" s="12"/>
      <c r="G64" s="12"/>
      <c r="H64" s="12"/>
      <c r="I64" s="12"/>
      <c r="J64" s="12"/>
      <c r="K64" s="12"/>
      <c r="L64" s="12"/>
      <c r="M64" s="12"/>
      <c r="N64" s="12"/>
      <c r="O64" s="3"/>
      <c r="P64" s="3"/>
      <c r="Q64" s="3"/>
    </row>
    <row r="65" spans="1:17" ht="15">
      <c r="A65" s="12"/>
      <c r="B65" s="12"/>
      <c r="C65" s="12"/>
      <c r="D65" s="12"/>
      <c r="E65" s="12"/>
      <c r="F65" s="12"/>
      <c r="G65" s="12"/>
      <c r="H65" s="12"/>
      <c r="I65" s="12"/>
      <c r="J65" s="12"/>
      <c r="K65" s="12"/>
      <c r="L65" s="12"/>
      <c r="M65" s="12"/>
      <c r="N65" s="12"/>
      <c r="O65" s="3"/>
      <c r="P65" s="3"/>
      <c r="Q65" s="3"/>
    </row>
    <row r="66" spans="1:17" ht="15">
      <c r="A66" s="12"/>
      <c r="B66" s="12"/>
      <c r="C66" s="12"/>
      <c r="D66" s="12"/>
      <c r="E66" s="12"/>
      <c r="F66" s="12"/>
      <c r="G66" s="12"/>
      <c r="H66" s="12"/>
      <c r="I66" s="12"/>
      <c r="J66" s="12"/>
      <c r="K66" s="12"/>
      <c r="L66" s="12"/>
      <c r="M66" s="12"/>
      <c r="N66" s="12"/>
      <c r="O66" s="3"/>
      <c r="P66" s="3"/>
      <c r="Q66" s="3"/>
    </row>
    <row r="67" spans="1:17" ht="15">
      <c r="A67" s="12"/>
      <c r="B67" s="12"/>
      <c r="C67" s="12"/>
      <c r="D67" s="12"/>
      <c r="E67" s="12"/>
      <c r="F67" s="12"/>
      <c r="G67" s="12"/>
      <c r="H67" s="12"/>
      <c r="I67" s="12"/>
      <c r="J67" s="12"/>
      <c r="K67" s="12"/>
      <c r="L67" s="12"/>
      <c r="M67" s="12"/>
      <c r="N67" s="12"/>
      <c r="O67" s="3"/>
      <c r="P67" s="3"/>
      <c r="Q67" s="3"/>
    </row>
    <row r="68" spans="1:17" ht="15">
      <c r="A68" s="12"/>
      <c r="B68" s="12"/>
      <c r="C68" s="12"/>
      <c r="D68" s="12"/>
      <c r="E68" s="12"/>
      <c r="F68" s="12"/>
      <c r="G68" s="12"/>
      <c r="H68" s="12"/>
      <c r="I68" s="12"/>
      <c r="J68" s="12"/>
      <c r="K68" s="12"/>
      <c r="L68" s="12"/>
      <c r="M68" s="12"/>
      <c r="N68" s="12"/>
      <c r="O68" s="3"/>
      <c r="P68" s="3"/>
      <c r="Q68" s="3"/>
    </row>
    <row r="69" spans="1:17" ht="15">
      <c r="A69" s="12"/>
      <c r="B69" s="12"/>
      <c r="C69" s="12"/>
      <c r="D69" s="12"/>
      <c r="E69" s="12"/>
      <c r="F69" s="12"/>
      <c r="G69" s="12"/>
      <c r="H69" s="12"/>
      <c r="I69" s="12"/>
      <c r="J69" s="12"/>
      <c r="K69" s="12"/>
      <c r="L69" s="12"/>
      <c r="M69" s="12"/>
      <c r="N69" s="12"/>
      <c r="O69" s="3"/>
      <c r="P69" s="3"/>
      <c r="Q69" s="3"/>
    </row>
    <row r="70" spans="1:17" ht="15">
      <c r="A70" s="12"/>
      <c r="B70" s="12"/>
      <c r="C70" s="12"/>
      <c r="D70" s="12"/>
      <c r="E70" s="12"/>
      <c r="F70" s="12"/>
      <c r="G70" s="12"/>
      <c r="H70" s="12"/>
      <c r="I70" s="12"/>
      <c r="J70" s="12"/>
      <c r="K70" s="12"/>
      <c r="L70" s="12"/>
      <c r="M70" s="12"/>
      <c r="N70" s="12"/>
      <c r="O70" s="3"/>
      <c r="P70" s="3"/>
      <c r="Q70" s="3"/>
    </row>
    <row r="71" spans="1:17" ht="15">
      <c r="A71" s="12"/>
      <c r="B71" s="12"/>
      <c r="C71" s="12"/>
      <c r="D71" s="12"/>
      <c r="E71" s="12"/>
      <c r="F71" s="12"/>
      <c r="G71" s="12"/>
      <c r="H71" s="12"/>
      <c r="I71" s="12"/>
      <c r="J71" s="12"/>
      <c r="K71" s="12"/>
      <c r="L71" s="12"/>
      <c r="M71" s="12"/>
      <c r="N71" s="12"/>
      <c r="O71" s="3"/>
      <c r="P71" s="3"/>
      <c r="Q71" s="3"/>
    </row>
    <row r="72" spans="1:17" ht="15">
      <c r="A72" s="12"/>
      <c r="B72" s="12"/>
      <c r="C72" s="12"/>
      <c r="D72" s="12"/>
      <c r="E72" s="12"/>
      <c r="F72" s="12"/>
      <c r="G72" s="12"/>
      <c r="H72" s="12"/>
      <c r="I72" s="12"/>
      <c r="J72" s="12"/>
      <c r="K72" s="12"/>
      <c r="L72" s="12"/>
      <c r="M72" s="12"/>
      <c r="N72" s="12"/>
      <c r="O72" s="3"/>
      <c r="P72" s="3"/>
      <c r="Q72" s="3"/>
    </row>
    <row r="73" spans="1:17" ht="15">
      <c r="A73" s="12"/>
      <c r="B73" s="12"/>
      <c r="C73" s="12"/>
      <c r="D73" s="12"/>
      <c r="E73" s="12"/>
      <c r="F73" s="12"/>
      <c r="G73" s="12"/>
      <c r="H73" s="12"/>
      <c r="I73" s="12"/>
      <c r="J73" s="12"/>
      <c r="K73" s="12"/>
      <c r="L73" s="12"/>
      <c r="M73" s="12"/>
      <c r="N73" s="12"/>
      <c r="O73" s="3"/>
      <c r="P73" s="3"/>
      <c r="Q73" s="3"/>
    </row>
    <row r="74" spans="1:17" ht="15">
      <c r="A74" s="12"/>
      <c r="B74" s="12"/>
      <c r="C74" s="12"/>
      <c r="D74" s="12"/>
      <c r="E74" s="12"/>
      <c r="F74" s="12"/>
      <c r="G74" s="12"/>
      <c r="H74" s="12"/>
      <c r="I74" s="12"/>
      <c r="J74" s="12"/>
      <c r="K74" s="12"/>
      <c r="L74" s="12"/>
      <c r="M74" s="12"/>
      <c r="N74" s="12"/>
      <c r="O74" s="3"/>
      <c r="P74" s="3"/>
      <c r="Q74" s="3"/>
    </row>
    <row r="75" spans="1:17" ht="15">
      <c r="A75" s="12"/>
      <c r="B75" s="12"/>
      <c r="C75" s="12"/>
      <c r="D75" s="12"/>
      <c r="E75" s="12"/>
      <c r="F75" s="12"/>
      <c r="G75" s="12"/>
      <c r="H75" s="12"/>
      <c r="I75" s="12"/>
      <c r="J75" s="12"/>
      <c r="K75" s="12"/>
      <c r="L75" s="12"/>
      <c r="M75" s="12"/>
      <c r="N75" s="12"/>
      <c r="O75" s="3"/>
      <c r="P75" s="3"/>
      <c r="Q75" s="3"/>
    </row>
    <row r="76" spans="1:17" ht="15">
      <c r="A76" s="12"/>
      <c r="B76" s="12"/>
      <c r="C76" s="12"/>
      <c r="D76" s="12"/>
      <c r="E76" s="12"/>
      <c r="F76" s="12"/>
      <c r="G76" s="12"/>
      <c r="H76" s="12"/>
      <c r="I76" s="12"/>
      <c r="J76" s="12"/>
      <c r="K76" s="12"/>
      <c r="L76" s="12"/>
      <c r="M76" s="12"/>
      <c r="N76" s="12"/>
      <c r="O76" s="3"/>
      <c r="P76" s="3"/>
      <c r="Q76" s="3"/>
    </row>
    <row r="77" spans="1:17" ht="15">
      <c r="A77" s="12"/>
      <c r="B77" s="12"/>
      <c r="C77" s="12"/>
      <c r="D77" s="12"/>
      <c r="E77" s="12"/>
      <c r="F77" s="12"/>
      <c r="G77" s="12"/>
      <c r="H77" s="12"/>
      <c r="I77" s="12"/>
      <c r="J77" s="12"/>
      <c r="K77" s="12"/>
      <c r="L77" s="12"/>
      <c r="M77" s="12"/>
      <c r="N77" s="12"/>
      <c r="O77" s="3"/>
      <c r="P77" s="3"/>
      <c r="Q77" s="3"/>
    </row>
    <row r="78" spans="1:17" ht="15">
      <c r="A78" s="12"/>
      <c r="B78" s="12"/>
      <c r="C78" s="12"/>
      <c r="D78" s="12"/>
      <c r="E78" s="12"/>
      <c r="F78" s="12"/>
      <c r="G78" s="12"/>
      <c r="H78" s="12"/>
      <c r="I78" s="12"/>
      <c r="J78" s="12"/>
      <c r="K78" s="12"/>
      <c r="L78" s="12"/>
      <c r="M78" s="12"/>
      <c r="N78" s="12"/>
      <c r="O78" s="3"/>
      <c r="P78" s="3"/>
      <c r="Q78" s="3"/>
    </row>
    <row r="79" spans="1:17" ht="15">
      <c r="A79" s="12"/>
      <c r="B79" s="12"/>
      <c r="C79" s="12"/>
      <c r="D79" s="12"/>
      <c r="E79" s="12"/>
      <c r="F79" s="12"/>
      <c r="G79" s="12"/>
      <c r="H79" s="12"/>
      <c r="I79" s="12"/>
      <c r="J79" s="12"/>
      <c r="K79" s="12"/>
      <c r="L79" s="12"/>
      <c r="M79" s="12"/>
      <c r="N79" s="12"/>
      <c r="O79" s="3"/>
      <c r="P79" s="3"/>
      <c r="Q79" s="3"/>
    </row>
    <row r="80" spans="1:17" ht="15">
      <c r="A80" s="12"/>
      <c r="B80" s="12"/>
      <c r="C80" s="12"/>
      <c r="D80" s="12"/>
      <c r="E80" s="12"/>
      <c r="F80" s="12"/>
      <c r="G80" s="12"/>
      <c r="H80" s="12"/>
      <c r="I80" s="12"/>
      <c r="J80" s="12"/>
      <c r="K80" s="12"/>
      <c r="L80" s="12"/>
      <c r="M80" s="12"/>
      <c r="N80" s="12"/>
      <c r="O80" s="3"/>
      <c r="P80" s="3"/>
      <c r="Q80" s="3"/>
    </row>
    <row r="81" spans="1:17" ht="15">
      <c r="A81" s="12"/>
      <c r="B81" s="12"/>
      <c r="C81" s="12"/>
      <c r="D81" s="12"/>
      <c r="E81" s="12"/>
      <c r="F81" s="12"/>
      <c r="G81" s="12"/>
      <c r="H81" s="12"/>
      <c r="I81" s="12"/>
      <c r="J81" s="12"/>
      <c r="K81" s="12"/>
      <c r="L81" s="12"/>
      <c r="M81" s="12"/>
      <c r="N81" s="12"/>
      <c r="O81" s="3"/>
      <c r="P81" s="3"/>
      <c r="Q81" s="3"/>
    </row>
    <row r="82" spans="1:17" ht="15">
      <c r="A82" s="12"/>
      <c r="B82" s="12"/>
      <c r="C82" s="12"/>
      <c r="D82" s="12"/>
      <c r="E82" s="12"/>
      <c r="F82" s="12"/>
      <c r="G82" s="12"/>
      <c r="H82" s="12"/>
      <c r="I82" s="12"/>
      <c r="J82" s="12"/>
      <c r="K82" s="12"/>
      <c r="L82" s="12"/>
      <c r="M82" s="12"/>
      <c r="N82" s="12"/>
      <c r="O82" s="3"/>
      <c r="P82" s="3"/>
      <c r="Q82" s="3"/>
    </row>
    <row r="83" spans="1:17" ht="15">
      <c r="A83" s="12"/>
      <c r="B83" s="12"/>
      <c r="C83" s="12"/>
      <c r="D83" s="12"/>
      <c r="E83" s="12"/>
      <c r="F83" s="12"/>
      <c r="G83" s="12"/>
      <c r="H83" s="12"/>
      <c r="I83" s="12"/>
      <c r="J83" s="12"/>
      <c r="K83" s="12"/>
      <c r="L83" s="12"/>
      <c r="M83" s="12"/>
      <c r="N83" s="12"/>
      <c r="O83" s="3"/>
      <c r="P83" s="3"/>
      <c r="Q83" s="3"/>
    </row>
    <row r="84" spans="1:17" ht="15">
      <c r="A84" s="12"/>
      <c r="B84" s="12"/>
      <c r="C84" s="12"/>
      <c r="D84" s="12"/>
      <c r="E84" s="12"/>
      <c r="F84" s="12"/>
      <c r="G84" s="12"/>
      <c r="H84" s="12"/>
      <c r="I84" s="12"/>
      <c r="J84" s="12"/>
      <c r="K84" s="12"/>
      <c r="L84" s="12"/>
      <c r="M84" s="12"/>
      <c r="N84" s="12"/>
      <c r="O84" s="3"/>
      <c r="P84" s="3"/>
      <c r="Q84" s="3"/>
    </row>
    <row r="85" spans="1:17" ht="15">
      <c r="A85" s="12"/>
      <c r="B85" s="12"/>
      <c r="C85" s="12"/>
      <c r="D85" s="12"/>
      <c r="E85" s="12"/>
      <c r="F85" s="12"/>
      <c r="G85" s="12"/>
      <c r="H85" s="12"/>
      <c r="I85" s="12"/>
      <c r="J85" s="12"/>
      <c r="K85" s="12"/>
      <c r="L85" s="12"/>
      <c r="M85" s="12"/>
      <c r="N85" s="12"/>
      <c r="O85" s="3"/>
      <c r="P85" s="3"/>
      <c r="Q85" s="3"/>
    </row>
    <row r="86" spans="1:17" ht="15">
      <c r="A86" s="12"/>
      <c r="B86" s="12"/>
      <c r="C86" s="12"/>
      <c r="D86" s="12"/>
      <c r="E86" s="12"/>
      <c r="F86" s="12"/>
      <c r="G86" s="12"/>
      <c r="H86" s="12"/>
      <c r="I86" s="12"/>
      <c r="J86" s="12"/>
      <c r="K86" s="12"/>
      <c r="L86" s="12"/>
      <c r="M86" s="12"/>
      <c r="N86" s="12"/>
      <c r="O86" s="3"/>
      <c r="P86" s="3"/>
      <c r="Q86" s="3"/>
    </row>
    <row r="87" spans="1:17" ht="15">
      <c r="A87" s="12"/>
      <c r="B87" s="12"/>
      <c r="C87" s="12"/>
      <c r="D87" s="12"/>
      <c r="E87" s="12"/>
      <c r="F87" s="12"/>
      <c r="G87" s="12"/>
      <c r="H87" s="12"/>
      <c r="I87" s="12"/>
      <c r="J87" s="12"/>
      <c r="K87" s="12"/>
      <c r="L87" s="12"/>
      <c r="M87" s="12"/>
      <c r="N87" s="12"/>
      <c r="O87" s="3"/>
      <c r="P87" s="3"/>
      <c r="Q87" s="3"/>
    </row>
    <row r="88" spans="1:17" ht="15">
      <c r="A88" s="12"/>
      <c r="B88" s="12"/>
      <c r="C88" s="12"/>
      <c r="D88" s="12"/>
      <c r="E88" s="12"/>
      <c r="F88" s="12"/>
      <c r="G88" s="12"/>
      <c r="H88" s="12"/>
      <c r="I88" s="12"/>
      <c r="J88" s="12"/>
      <c r="K88" s="12"/>
      <c r="L88" s="12"/>
      <c r="M88" s="12"/>
      <c r="N88" s="12"/>
      <c r="O88" s="3"/>
      <c r="P88" s="3"/>
      <c r="Q88" s="3"/>
    </row>
    <row r="89" spans="1:17" ht="15">
      <c r="A89" s="12"/>
      <c r="B89" s="12"/>
      <c r="C89" s="12"/>
      <c r="D89" s="12"/>
      <c r="E89" s="12"/>
      <c r="F89" s="12"/>
      <c r="G89" s="12"/>
      <c r="H89" s="12"/>
      <c r="I89" s="12"/>
      <c r="J89" s="12"/>
      <c r="K89" s="12"/>
      <c r="L89" s="12"/>
      <c r="M89" s="12"/>
      <c r="N89" s="12"/>
      <c r="O89" s="3"/>
      <c r="P89" s="3"/>
      <c r="Q89" s="3"/>
    </row>
    <row r="90" spans="1:17" ht="15">
      <c r="A90" s="12"/>
      <c r="B90" s="12"/>
      <c r="C90" s="12"/>
      <c r="D90" s="12"/>
      <c r="E90" s="12"/>
      <c r="F90" s="12"/>
      <c r="G90" s="12"/>
      <c r="H90" s="12"/>
      <c r="I90" s="12"/>
      <c r="J90" s="12"/>
      <c r="K90" s="12"/>
      <c r="L90" s="12"/>
      <c r="M90" s="12"/>
      <c r="N90" s="12"/>
      <c r="O90" s="3"/>
      <c r="P90" s="3"/>
      <c r="Q90" s="3"/>
    </row>
    <row r="91" spans="1:17" ht="15">
      <c r="A91" s="12"/>
      <c r="B91" s="12"/>
      <c r="C91" s="12"/>
      <c r="D91" s="12"/>
      <c r="E91" s="12"/>
      <c r="F91" s="12"/>
      <c r="G91" s="12"/>
      <c r="H91" s="12"/>
      <c r="I91" s="12"/>
      <c r="J91" s="12"/>
      <c r="K91" s="12"/>
      <c r="L91" s="12"/>
      <c r="M91" s="12"/>
      <c r="N91" s="12"/>
      <c r="O91" s="3"/>
      <c r="P91" s="3"/>
      <c r="Q91" s="3"/>
    </row>
    <row r="92" spans="1:17" ht="15">
      <c r="A92" s="12"/>
      <c r="B92" s="12"/>
      <c r="C92" s="12"/>
      <c r="D92" s="12"/>
      <c r="E92" s="12"/>
      <c r="F92" s="12"/>
      <c r="G92" s="12"/>
      <c r="H92" s="12"/>
      <c r="I92" s="12"/>
      <c r="J92" s="12"/>
      <c r="K92" s="12"/>
      <c r="L92" s="12"/>
      <c r="M92" s="12"/>
      <c r="N92" s="12"/>
      <c r="O92" s="3"/>
      <c r="P92" s="3"/>
      <c r="Q92" s="3"/>
    </row>
    <row r="93" spans="1:17" ht="15">
      <c r="A93" s="12"/>
      <c r="B93" s="12"/>
      <c r="C93" s="12"/>
      <c r="D93" s="12"/>
      <c r="E93" s="12"/>
      <c r="F93" s="12"/>
      <c r="G93" s="12"/>
      <c r="H93" s="12"/>
      <c r="I93" s="12"/>
      <c r="J93" s="12"/>
      <c r="K93" s="12"/>
      <c r="L93" s="12"/>
      <c r="M93" s="12"/>
      <c r="N93" s="12"/>
      <c r="O93" s="3"/>
      <c r="P93" s="3"/>
      <c r="Q93" s="3"/>
    </row>
    <row r="94" spans="1:17" ht="15">
      <c r="A94" s="12"/>
      <c r="B94" s="12"/>
      <c r="C94" s="12"/>
      <c r="D94" s="12"/>
      <c r="E94" s="12"/>
      <c r="F94" s="12"/>
      <c r="G94" s="12"/>
      <c r="H94" s="12"/>
      <c r="I94" s="12"/>
      <c r="J94" s="12"/>
      <c r="K94" s="12"/>
      <c r="L94" s="12"/>
      <c r="M94" s="12"/>
      <c r="N94" s="12"/>
      <c r="O94" s="3"/>
      <c r="P94" s="3"/>
      <c r="Q94" s="3"/>
    </row>
    <row r="95" spans="1:17" ht="15">
      <c r="A95" s="12"/>
      <c r="B95" s="12"/>
      <c r="C95" s="12"/>
      <c r="D95" s="12"/>
      <c r="E95" s="12"/>
      <c r="F95" s="12"/>
      <c r="G95" s="12"/>
      <c r="H95" s="12"/>
      <c r="I95" s="12"/>
      <c r="J95" s="12"/>
      <c r="K95" s="12"/>
      <c r="L95" s="12"/>
      <c r="M95" s="12"/>
      <c r="N95" s="12"/>
      <c r="O95" s="3"/>
      <c r="P95" s="3"/>
      <c r="Q95" s="3"/>
    </row>
    <row r="96" spans="1:17" ht="15">
      <c r="A96" s="12"/>
      <c r="B96" s="12"/>
      <c r="C96" s="12"/>
      <c r="D96" s="12"/>
      <c r="E96" s="12"/>
      <c r="F96" s="12"/>
      <c r="G96" s="12"/>
      <c r="H96" s="12"/>
      <c r="I96" s="12"/>
      <c r="J96" s="12"/>
      <c r="K96" s="12"/>
      <c r="L96" s="12"/>
      <c r="M96" s="12"/>
      <c r="N96" s="12"/>
      <c r="O96" s="3"/>
      <c r="P96" s="3"/>
      <c r="Q96" s="3"/>
    </row>
    <row r="97" spans="1:17" ht="15">
      <c r="A97" s="12"/>
      <c r="B97" s="12"/>
      <c r="C97" s="12"/>
      <c r="D97" s="12"/>
      <c r="E97" s="12"/>
      <c r="F97" s="12"/>
      <c r="G97" s="12"/>
      <c r="H97" s="12"/>
      <c r="I97" s="12"/>
      <c r="J97" s="12"/>
      <c r="K97" s="12"/>
      <c r="L97" s="12"/>
      <c r="M97" s="12"/>
      <c r="N97" s="12"/>
      <c r="O97" s="3"/>
      <c r="P97" s="3"/>
      <c r="Q97" s="3"/>
    </row>
    <row r="98" spans="1:17" ht="15">
      <c r="A98" s="12"/>
      <c r="B98" s="12"/>
      <c r="C98" s="12"/>
      <c r="D98" s="12"/>
      <c r="E98" s="12"/>
      <c r="F98" s="12"/>
      <c r="G98" s="12"/>
      <c r="H98" s="12"/>
      <c r="I98" s="12"/>
      <c r="J98" s="12"/>
      <c r="K98" s="12"/>
      <c r="L98" s="12"/>
      <c r="M98" s="12"/>
      <c r="N98" s="12"/>
      <c r="O98" s="3"/>
      <c r="P98" s="3"/>
      <c r="Q98" s="3"/>
    </row>
    <row r="99" spans="1:17" ht="15">
      <c r="A99" s="12"/>
      <c r="B99" s="12"/>
      <c r="C99" s="12"/>
      <c r="D99" s="12"/>
      <c r="E99" s="12"/>
      <c r="F99" s="12"/>
      <c r="G99" s="12"/>
      <c r="H99" s="12"/>
      <c r="I99" s="12"/>
      <c r="J99" s="12"/>
      <c r="K99" s="12"/>
      <c r="L99" s="12"/>
      <c r="M99" s="12"/>
      <c r="N99" s="12"/>
      <c r="O99" s="3"/>
      <c r="P99" s="3"/>
      <c r="Q99" s="3"/>
    </row>
    <row r="100" spans="1:17" ht="15">
      <c r="A100" s="12"/>
      <c r="B100" s="12"/>
      <c r="C100" s="12"/>
      <c r="D100" s="12"/>
      <c r="E100" s="12"/>
      <c r="F100" s="12"/>
      <c r="G100" s="12"/>
      <c r="H100" s="12"/>
      <c r="I100" s="12"/>
      <c r="J100" s="12"/>
      <c r="K100" s="12"/>
      <c r="L100" s="12"/>
      <c r="M100" s="12"/>
      <c r="N100" s="12"/>
      <c r="O100" s="3"/>
      <c r="P100" s="3"/>
      <c r="Q100" s="3"/>
    </row>
    <row r="101" spans="1:17" ht="15">
      <c r="A101" s="12"/>
      <c r="B101" s="12"/>
      <c r="C101" s="12"/>
      <c r="D101" s="12"/>
      <c r="E101" s="12"/>
      <c r="F101" s="12"/>
      <c r="G101" s="12"/>
      <c r="H101" s="12"/>
      <c r="I101" s="12"/>
      <c r="J101" s="12"/>
      <c r="K101" s="12"/>
      <c r="L101" s="12"/>
      <c r="M101" s="12"/>
      <c r="N101" s="12"/>
      <c r="O101" s="3"/>
      <c r="P101" s="3"/>
      <c r="Q101" s="3"/>
    </row>
    <row r="102" spans="1:17" ht="15">
      <c r="A102" s="12"/>
      <c r="B102" s="12"/>
      <c r="C102" s="12"/>
      <c r="D102" s="12"/>
      <c r="E102" s="12"/>
      <c r="F102" s="12"/>
      <c r="G102" s="12"/>
      <c r="H102" s="12"/>
      <c r="I102" s="12"/>
      <c r="J102" s="12"/>
      <c r="K102" s="12"/>
      <c r="L102" s="12"/>
      <c r="M102" s="12"/>
      <c r="N102" s="12"/>
      <c r="O102" s="3"/>
      <c r="P102" s="3"/>
      <c r="Q102" s="3"/>
    </row>
    <row r="103" spans="1:17" ht="15">
      <c r="A103" s="12"/>
      <c r="B103" s="12"/>
      <c r="C103" s="12"/>
      <c r="D103" s="12"/>
      <c r="E103" s="12"/>
      <c r="F103" s="12"/>
      <c r="G103" s="12"/>
      <c r="H103" s="12"/>
      <c r="I103" s="12"/>
      <c r="J103" s="12"/>
      <c r="K103" s="12"/>
      <c r="L103" s="12"/>
      <c r="M103" s="12"/>
      <c r="N103" s="12"/>
      <c r="O103" s="3"/>
      <c r="P103" s="3"/>
      <c r="Q103" s="3"/>
    </row>
    <row r="104" spans="1:17" ht="15">
      <c r="A104" s="12"/>
      <c r="B104" s="12"/>
      <c r="C104" s="12"/>
      <c r="D104" s="12"/>
      <c r="E104" s="12"/>
      <c r="F104" s="12"/>
      <c r="G104" s="12"/>
      <c r="H104" s="12"/>
      <c r="I104" s="12"/>
      <c r="J104" s="12"/>
      <c r="K104" s="12"/>
      <c r="L104" s="12"/>
      <c r="M104" s="12"/>
      <c r="N104" s="12"/>
      <c r="O104" s="3"/>
      <c r="P104" s="3"/>
      <c r="Q104" s="3"/>
    </row>
    <row r="105" spans="1:17" ht="15">
      <c r="A105" s="12"/>
      <c r="B105" s="12"/>
      <c r="C105" s="12"/>
      <c r="D105" s="12"/>
      <c r="E105" s="12"/>
      <c r="F105" s="12"/>
      <c r="G105" s="12"/>
      <c r="H105" s="12"/>
      <c r="I105" s="12"/>
      <c r="J105" s="12"/>
      <c r="K105" s="12"/>
      <c r="L105" s="12"/>
      <c r="M105" s="12"/>
      <c r="N105" s="12"/>
      <c r="O105" s="3"/>
      <c r="P105" s="3"/>
      <c r="Q105" s="3"/>
    </row>
    <row r="106" spans="1:17" ht="15">
      <c r="A106" s="12"/>
      <c r="B106" s="12"/>
      <c r="C106" s="12"/>
      <c r="D106" s="12"/>
      <c r="E106" s="12"/>
      <c r="F106" s="12"/>
      <c r="G106" s="12"/>
      <c r="H106" s="12"/>
      <c r="I106" s="12"/>
      <c r="J106" s="12"/>
      <c r="K106" s="12"/>
      <c r="L106" s="12"/>
      <c r="M106" s="12"/>
      <c r="N106" s="12"/>
      <c r="O106" s="3"/>
      <c r="P106" s="3"/>
      <c r="Q106" s="3"/>
    </row>
    <row r="107" spans="1:17" ht="15">
      <c r="A107" s="12"/>
      <c r="B107" s="12"/>
      <c r="C107" s="12"/>
      <c r="D107" s="12"/>
      <c r="E107" s="12"/>
      <c r="F107" s="12"/>
      <c r="G107" s="12"/>
      <c r="H107" s="12"/>
      <c r="I107" s="12"/>
      <c r="J107" s="12"/>
      <c r="K107" s="12"/>
      <c r="L107" s="12"/>
      <c r="M107" s="12"/>
      <c r="N107" s="12"/>
      <c r="O107" s="3"/>
      <c r="P107" s="3"/>
      <c r="Q107" s="3"/>
    </row>
    <row r="108" spans="1:17" ht="15">
      <c r="A108" s="12"/>
      <c r="B108" s="12"/>
      <c r="C108" s="12"/>
      <c r="D108" s="12"/>
      <c r="E108" s="12"/>
      <c r="F108" s="12"/>
      <c r="G108" s="12"/>
      <c r="H108" s="12"/>
      <c r="I108" s="12"/>
      <c r="J108" s="12"/>
      <c r="K108" s="12"/>
      <c r="L108" s="12"/>
      <c r="M108" s="12"/>
      <c r="N108" s="12"/>
      <c r="O108" s="3"/>
      <c r="P108" s="3"/>
      <c r="Q108" s="3"/>
    </row>
    <row r="109" spans="1:17" ht="15">
      <c r="A109" s="12"/>
      <c r="B109" s="12"/>
      <c r="C109" s="12"/>
      <c r="D109" s="12"/>
      <c r="E109" s="12"/>
      <c r="F109" s="12"/>
      <c r="G109" s="12"/>
      <c r="H109" s="12"/>
      <c r="I109" s="12"/>
      <c r="J109" s="12"/>
      <c r="K109" s="12"/>
      <c r="L109" s="12"/>
      <c r="M109" s="12"/>
      <c r="N109" s="12"/>
      <c r="O109" s="3"/>
      <c r="P109" s="3"/>
      <c r="Q109" s="3"/>
    </row>
    <row r="110" spans="1:17" ht="15">
      <c r="A110" s="12"/>
      <c r="B110" s="12"/>
      <c r="C110" s="12"/>
      <c r="D110" s="12"/>
      <c r="E110" s="12"/>
      <c r="F110" s="12"/>
      <c r="G110" s="12"/>
      <c r="H110" s="12"/>
      <c r="I110" s="12"/>
      <c r="J110" s="12"/>
      <c r="K110" s="12"/>
      <c r="L110" s="12"/>
      <c r="M110" s="12"/>
      <c r="N110" s="12"/>
      <c r="O110" s="3"/>
      <c r="P110" s="3"/>
      <c r="Q110" s="3"/>
    </row>
    <row r="111" spans="1:17" ht="15">
      <c r="A111" s="12"/>
      <c r="B111" s="12"/>
      <c r="C111" s="12"/>
      <c r="D111" s="12"/>
      <c r="E111" s="12"/>
      <c r="F111" s="12"/>
      <c r="G111" s="12"/>
      <c r="H111" s="12"/>
      <c r="I111" s="12"/>
      <c r="J111" s="12"/>
      <c r="K111" s="12"/>
      <c r="L111" s="12"/>
      <c r="M111" s="12"/>
      <c r="N111" s="12"/>
      <c r="O111" s="3"/>
      <c r="P111" s="3"/>
      <c r="Q111" s="3"/>
    </row>
    <row r="112" spans="1:17" ht="15">
      <c r="A112" s="12"/>
      <c r="B112" s="12"/>
      <c r="C112" s="12"/>
      <c r="D112" s="12"/>
      <c r="E112" s="12"/>
      <c r="F112" s="12"/>
      <c r="G112" s="12"/>
      <c r="H112" s="12"/>
      <c r="I112" s="12"/>
      <c r="J112" s="12"/>
      <c r="K112" s="12"/>
      <c r="L112" s="12"/>
      <c r="M112" s="12"/>
      <c r="N112" s="12"/>
      <c r="O112" s="3"/>
      <c r="P112" s="3"/>
      <c r="Q112" s="3"/>
    </row>
    <row r="113" spans="1:17" ht="15">
      <c r="A113" s="12"/>
      <c r="B113" s="12"/>
      <c r="C113" s="12"/>
      <c r="D113" s="12"/>
      <c r="E113" s="12"/>
      <c r="F113" s="12"/>
      <c r="G113" s="12"/>
      <c r="H113" s="12"/>
      <c r="I113" s="12"/>
      <c r="J113" s="12"/>
      <c r="K113" s="12"/>
      <c r="L113" s="12"/>
      <c r="M113" s="12"/>
      <c r="N113" s="12"/>
      <c r="O113" s="3"/>
      <c r="P113" s="3"/>
      <c r="Q113" s="3"/>
    </row>
    <row r="114" spans="1:17" ht="15">
      <c r="A114" s="12"/>
      <c r="B114" s="12"/>
      <c r="C114" s="12"/>
      <c r="D114" s="12"/>
      <c r="E114" s="12"/>
      <c r="F114" s="12"/>
      <c r="G114" s="12"/>
      <c r="H114" s="12"/>
      <c r="I114" s="12"/>
      <c r="J114" s="12"/>
      <c r="K114" s="12"/>
      <c r="L114" s="12"/>
      <c r="M114" s="12"/>
      <c r="N114" s="12"/>
      <c r="O114" s="3"/>
      <c r="P114" s="3"/>
      <c r="Q114" s="3"/>
    </row>
    <row r="115" spans="1:17" ht="15">
      <c r="A115" s="12"/>
      <c r="B115" s="12"/>
      <c r="C115" s="12"/>
      <c r="D115" s="12"/>
      <c r="E115" s="12"/>
      <c r="F115" s="12"/>
      <c r="G115" s="12"/>
      <c r="H115" s="12"/>
      <c r="I115" s="12"/>
      <c r="J115" s="12"/>
      <c r="K115" s="12"/>
      <c r="L115" s="12"/>
      <c r="M115" s="12"/>
      <c r="N115" s="12"/>
      <c r="O115" s="3"/>
      <c r="P115" s="3"/>
      <c r="Q115" s="3"/>
    </row>
    <row r="116" spans="1:17" ht="15">
      <c r="A116" s="12"/>
      <c r="B116" s="12"/>
      <c r="C116" s="12"/>
      <c r="D116" s="12"/>
      <c r="E116" s="12"/>
      <c r="F116" s="12"/>
      <c r="G116" s="12"/>
      <c r="H116" s="12"/>
      <c r="I116" s="12"/>
      <c r="J116" s="12"/>
      <c r="K116" s="12"/>
      <c r="L116" s="12"/>
      <c r="M116" s="12"/>
      <c r="N116" s="12"/>
      <c r="O116" s="3"/>
      <c r="P116" s="3"/>
      <c r="Q116" s="3"/>
    </row>
    <row r="117" spans="1:17" ht="15">
      <c r="A117" s="12"/>
      <c r="B117" s="12"/>
      <c r="C117" s="12"/>
      <c r="D117" s="12"/>
      <c r="E117" s="12"/>
      <c r="F117" s="12"/>
      <c r="G117" s="12"/>
      <c r="H117" s="12"/>
      <c r="I117" s="12"/>
      <c r="J117" s="12"/>
      <c r="K117" s="12"/>
      <c r="L117" s="12"/>
      <c r="M117" s="12"/>
      <c r="N117" s="12"/>
      <c r="O117" s="3"/>
      <c r="P117" s="3"/>
      <c r="Q117" s="3"/>
    </row>
    <row r="118" spans="1:17" ht="15">
      <c r="A118" s="12"/>
      <c r="B118" s="12"/>
      <c r="C118" s="12"/>
      <c r="D118" s="12"/>
      <c r="E118" s="12"/>
      <c r="F118" s="12"/>
      <c r="G118" s="12"/>
      <c r="H118" s="12"/>
      <c r="I118" s="12"/>
      <c r="J118" s="12"/>
      <c r="K118" s="12"/>
      <c r="L118" s="12"/>
      <c r="M118" s="12"/>
      <c r="N118" s="12"/>
      <c r="O118" s="3"/>
      <c r="P118" s="3"/>
      <c r="Q118" s="3"/>
    </row>
    <row r="119" spans="1:17" ht="15">
      <c r="A119" s="12"/>
      <c r="B119" s="12"/>
      <c r="C119" s="12"/>
      <c r="D119" s="12"/>
      <c r="E119" s="12"/>
      <c r="F119" s="12"/>
      <c r="G119" s="12"/>
      <c r="H119" s="12"/>
      <c r="I119" s="12"/>
      <c r="J119" s="12"/>
      <c r="K119" s="12"/>
      <c r="L119" s="12"/>
      <c r="M119" s="12"/>
      <c r="N119" s="12"/>
      <c r="O119" s="3"/>
      <c r="P119" s="3"/>
      <c r="Q119" s="3"/>
    </row>
    <row r="120" spans="1:17" ht="15">
      <c r="A120" s="12"/>
      <c r="B120" s="12"/>
      <c r="C120" s="12"/>
      <c r="D120" s="12"/>
      <c r="E120" s="12"/>
      <c r="F120" s="12"/>
      <c r="G120" s="12"/>
      <c r="H120" s="12"/>
      <c r="I120" s="12"/>
      <c r="J120" s="12"/>
      <c r="K120" s="12"/>
      <c r="L120" s="12"/>
      <c r="M120" s="12"/>
      <c r="N120" s="12"/>
      <c r="O120" s="3"/>
      <c r="P120" s="3"/>
      <c r="Q120" s="3"/>
    </row>
    <row r="121" spans="1:17" ht="15">
      <c r="A121" s="12"/>
      <c r="B121" s="12"/>
      <c r="C121" s="12"/>
      <c r="D121" s="12"/>
      <c r="E121" s="12"/>
      <c r="F121" s="12"/>
      <c r="G121" s="12"/>
      <c r="H121" s="12"/>
      <c r="I121" s="12"/>
      <c r="J121" s="12"/>
      <c r="K121" s="12"/>
      <c r="L121" s="12"/>
      <c r="M121" s="12"/>
      <c r="N121" s="12"/>
      <c r="O121" s="3"/>
      <c r="P121" s="3"/>
      <c r="Q121" s="3"/>
    </row>
    <row r="122" spans="1:17" ht="15">
      <c r="A122" s="12"/>
      <c r="B122" s="12"/>
      <c r="C122" s="12"/>
      <c r="D122" s="12"/>
      <c r="E122" s="12"/>
      <c r="F122" s="12"/>
      <c r="G122" s="12"/>
      <c r="H122" s="12"/>
      <c r="I122" s="12"/>
      <c r="J122" s="12"/>
      <c r="K122" s="12"/>
      <c r="L122" s="12"/>
      <c r="M122" s="12"/>
      <c r="N122" s="12"/>
      <c r="O122" s="3"/>
      <c r="P122" s="3"/>
      <c r="Q122" s="3"/>
    </row>
    <row r="123" spans="1:17" ht="15">
      <c r="A123" s="12"/>
      <c r="B123" s="12"/>
      <c r="C123" s="12"/>
      <c r="D123" s="12"/>
      <c r="E123" s="12"/>
      <c r="F123" s="12"/>
      <c r="G123" s="12"/>
      <c r="H123" s="12"/>
      <c r="I123" s="12"/>
      <c r="J123" s="12"/>
      <c r="K123" s="12"/>
      <c r="L123" s="12"/>
      <c r="M123" s="12"/>
      <c r="N123" s="12"/>
      <c r="O123" s="3"/>
      <c r="P123" s="3"/>
      <c r="Q123" s="3"/>
    </row>
    <row r="124" spans="1:17" ht="15">
      <c r="A124" s="12"/>
      <c r="B124" s="12"/>
      <c r="C124" s="12"/>
      <c r="D124" s="12"/>
      <c r="E124" s="12"/>
      <c r="F124" s="12"/>
      <c r="G124" s="12"/>
      <c r="H124" s="12"/>
      <c r="I124" s="12"/>
      <c r="J124" s="12"/>
      <c r="K124" s="12"/>
      <c r="L124" s="12"/>
      <c r="M124" s="12"/>
      <c r="N124" s="12"/>
      <c r="O124" s="3"/>
      <c r="P124" s="3"/>
      <c r="Q124" s="3"/>
    </row>
    <row r="125" spans="1:17" ht="15">
      <c r="A125" s="12"/>
      <c r="B125" s="12"/>
      <c r="C125" s="12"/>
      <c r="D125" s="12"/>
      <c r="E125" s="12"/>
      <c r="F125" s="12"/>
      <c r="G125" s="12"/>
      <c r="H125" s="12"/>
      <c r="I125" s="12"/>
      <c r="J125" s="12"/>
      <c r="K125" s="12"/>
      <c r="L125" s="12"/>
      <c r="M125" s="12"/>
      <c r="N125" s="12"/>
      <c r="O125" s="3"/>
      <c r="P125" s="3"/>
      <c r="Q125" s="3"/>
    </row>
    <row r="126" spans="1:17" ht="15">
      <c r="A126" s="12"/>
      <c r="B126" s="12"/>
      <c r="C126" s="12"/>
      <c r="D126" s="12"/>
      <c r="E126" s="12"/>
      <c r="F126" s="12"/>
      <c r="G126" s="12"/>
      <c r="H126" s="12"/>
      <c r="I126" s="12"/>
      <c r="J126" s="12"/>
      <c r="K126" s="12"/>
      <c r="L126" s="12"/>
      <c r="M126" s="12"/>
      <c r="N126" s="12"/>
      <c r="O126" s="3"/>
      <c r="P126" s="3"/>
      <c r="Q126" s="3"/>
    </row>
    <row r="127" spans="1:17" ht="15">
      <c r="A127" s="12"/>
      <c r="B127" s="12"/>
      <c r="C127" s="12"/>
      <c r="D127" s="12"/>
      <c r="E127" s="12"/>
      <c r="F127" s="12"/>
      <c r="G127" s="12"/>
      <c r="H127" s="12"/>
      <c r="I127" s="12"/>
      <c r="J127" s="12"/>
      <c r="K127" s="12"/>
      <c r="L127" s="12"/>
      <c r="M127" s="12"/>
      <c r="N127" s="12"/>
      <c r="O127" s="3"/>
      <c r="P127" s="3"/>
      <c r="Q127" s="3"/>
    </row>
    <row r="128" spans="1:17" ht="15">
      <c r="A128" s="12"/>
      <c r="B128" s="12"/>
      <c r="C128" s="12"/>
      <c r="D128" s="12"/>
      <c r="E128" s="12"/>
      <c r="F128" s="12"/>
      <c r="G128" s="12"/>
      <c r="H128" s="12"/>
      <c r="I128" s="12"/>
      <c r="J128" s="12"/>
      <c r="K128" s="12"/>
      <c r="L128" s="12"/>
      <c r="M128" s="12"/>
      <c r="N128" s="12"/>
      <c r="O128" s="3"/>
      <c r="P128" s="3"/>
      <c r="Q128" s="3"/>
    </row>
    <row r="129" spans="1:17" ht="15">
      <c r="A129" s="12"/>
      <c r="B129" s="12"/>
      <c r="C129" s="12"/>
      <c r="D129" s="12"/>
      <c r="E129" s="12"/>
      <c r="F129" s="12"/>
      <c r="G129" s="12"/>
      <c r="H129" s="12"/>
      <c r="I129" s="12"/>
      <c r="J129" s="12"/>
      <c r="K129" s="12"/>
      <c r="L129" s="12"/>
      <c r="M129" s="12"/>
      <c r="N129" s="12"/>
      <c r="O129" s="3"/>
      <c r="P129" s="3"/>
      <c r="Q129" s="3"/>
    </row>
    <row r="130" spans="1:17" ht="15">
      <c r="A130" s="12"/>
      <c r="B130" s="12"/>
      <c r="C130" s="12"/>
      <c r="D130" s="12"/>
      <c r="E130" s="12"/>
      <c r="F130" s="12"/>
      <c r="G130" s="12"/>
      <c r="H130" s="12"/>
      <c r="I130" s="12"/>
      <c r="J130" s="12"/>
      <c r="K130" s="12"/>
      <c r="L130" s="12"/>
      <c r="M130" s="12"/>
      <c r="N130" s="12"/>
      <c r="O130" s="3"/>
      <c r="P130" s="3"/>
      <c r="Q130" s="3"/>
    </row>
    <row r="131" spans="1:17" ht="15">
      <c r="A131" s="12"/>
      <c r="B131" s="12"/>
      <c r="C131" s="12"/>
      <c r="D131" s="12"/>
      <c r="E131" s="12"/>
      <c r="F131" s="12"/>
      <c r="G131" s="12"/>
      <c r="H131" s="12"/>
      <c r="I131" s="12"/>
      <c r="J131" s="12"/>
      <c r="K131" s="12"/>
      <c r="L131" s="12"/>
      <c r="M131" s="12"/>
      <c r="N131" s="12"/>
      <c r="O131" s="3"/>
      <c r="P131" s="3"/>
      <c r="Q131" s="3"/>
    </row>
    <row r="132" spans="1:17" ht="15">
      <c r="A132" s="12"/>
      <c r="B132" s="12"/>
      <c r="C132" s="12"/>
      <c r="D132" s="12"/>
      <c r="E132" s="12"/>
      <c r="F132" s="12"/>
      <c r="G132" s="12"/>
      <c r="H132" s="12"/>
      <c r="I132" s="12"/>
      <c r="J132" s="12"/>
      <c r="K132" s="12"/>
      <c r="L132" s="12"/>
      <c r="M132" s="12"/>
      <c r="N132" s="12"/>
      <c r="O132" s="3"/>
      <c r="P132" s="3"/>
      <c r="Q132" s="3"/>
    </row>
    <row r="133" spans="1:17" ht="15">
      <c r="A133" s="12"/>
      <c r="B133" s="12"/>
      <c r="C133" s="12"/>
      <c r="D133" s="12"/>
      <c r="E133" s="12"/>
      <c r="F133" s="12"/>
      <c r="G133" s="12"/>
      <c r="H133" s="12"/>
      <c r="I133" s="12"/>
      <c r="J133" s="12"/>
      <c r="K133" s="12"/>
      <c r="L133" s="12"/>
      <c r="M133" s="12"/>
      <c r="N133" s="12"/>
      <c r="O133" s="3"/>
      <c r="P133" s="3"/>
      <c r="Q133" s="3"/>
    </row>
    <row r="134" spans="1:17" ht="15">
      <c r="A134" s="12"/>
      <c r="B134" s="12"/>
      <c r="C134" s="12"/>
      <c r="D134" s="12"/>
      <c r="E134" s="12"/>
      <c r="F134" s="12"/>
      <c r="G134" s="12"/>
      <c r="H134" s="12"/>
      <c r="I134" s="12"/>
      <c r="J134" s="12"/>
      <c r="K134" s="12"/>
      <c r="L134" s="12"/>
      <c r="M134" s="12"/>
      <c r="N134" s="12"/>
      <c r="O134" s="3"/>
      <c r="P134" s="3"/>
      <c r="Q134" s="3"/>
    </row>
    <row r="135" spans="1:17" ht="15">
      <c r="A135" s="12"/>
      <c r="B135" s="12"/>
      <c r="C135" s="12"/>
      <c r="D135" s="12"/>
      <c r="E135" s="12"/>
      <c r="F135" s="12"/>
      <c r="G135" s="12"/>
      <c r="H135" s="12"/>
      <c r="I135" s="12"/>
      <c r="J135" s="12"/>
      <c r="K135" s="12"/>
      <c r="L135" s="12"/>
      <c r="M135" s="12"/>
      <c r="N135" s="12"/>
      <c r="O135" s="3"/>
      <c r="P135" s="3"/>
      <c r="Q135" s="3"/>
    </row>
    <row r="136" spans="1:17" ht="15">
      <c r="A136" s="12"/>
      <c r="B136" s="12"/>
      <c r="C136" s="12"/>
      <c r="D136" s="12"/>
      <c r="E136" s="12"/>
      <c r="F136" s="12"/>
      <c r="G136" s="12"/>
      <c r="H136" s="12"/>
      <c r="I136" s="12"/>
      <c r="J136" s="12"/>
      <c r="K136" s="12"/>
      <c r="L136" s="12"/>
      <c r="M136" s="12"/>
      <c r="N136" s="12"/>
      <c r="O136" s="3"/>
      <c r="P136" s="3"/>
      <c r="Q136" s="3"/>
    </row>
    <row r="137" spans="1:17" ht="15">
      <c r="A137" s="12"/>
      <c r="B137" s="12"/>
      <c r="C137" s="12"/>
      <c r="D137" s="12"/>
      <c r="E137" s="12"/>
      <c r="F137" s="12"/>
      <c r="G137" s="12"/>
      <c r="H137" s="12"/>
      <c r="I137" s="12"/>
      <c r="J137" s="12"/>
      <c r="K137" s="12"/>
      <c r="L137" s="12"/>
      <c r="M137" s="12"/>
      <c r="N137" s="12"/>
      <c r="O137" s="3"/>
      <c r="P137" s="3"/>
      <c r="Q137" s="3"/>
    </row>
    <row r="138" spans="1:17" ht="15">
      <c r="A138" s="12"/>
      <c r="B138" s="12"/>
      <c r="C138" s="12"/>
      <c r="D138" s="12"/>
      <c r="E138" s="12"/>
      <c r="F138" s="12"/>
      <c r="G138" s="12"/>
      <c r="H138" s="12"/>
      <c r="I138" s="12"/>
      <c r="J138" s="12"/>
      <c r="K138" s="12"/>
      <c r="L138" s="12"/>
      <c r="M138" s="12"/>
      <c r="N138" s="12"/>
      <c r="O138" s="3"/>
      <c r="P138" s="3"/>
      <c r="Q138" s="3"/>
    </row>
    <row r="139" spans="1:17" ht="15">
      <c r="A139" s="12"/>
      <c r="B139" s="12"/>
      <c r="C139" s="12"/>
      <c r="D139" s="12"/>
      <c r="E139" s="12"/>
      <c r="F139" s="12"/>
      <c r="G139" s="12"/>
      <c r="H139" s="12"/>
      <c r="I139" s="12"/>
      <c r="J139" s="12"/>
      <c r="K139" s="12"/>
      <c r="L139" s="12"/>
      <c r="M139" s="12"/>
      <c r="N139" s="12"/>
      <c r="O139" s="3"/>
      <c r="P139" s="3"/>
      <c r="Q139" s="3"/>
    </row>
    <row r="140" spans="1:17" ht="15">
      <c r="A140" s="12"/>
      <c r="B140" s="12"/>
      <c r="C140" s="12"/>
      <c r="D140" s="12"/>
      <c r="E140" s="12"/>
      <c r="F140" s="12"/>
      <c r="G140" s="12"/>
      <c r="H140" s="12"/>
      <c r="I140" s="12"/>
      <c r="J140" s="12"/>
      <c r="K140" s="12"/>
      <c r="L140" s="12"/>
      <c r="M140" s="12"/>
      <c r="N140" s="12"/>
      <c r="O140" s="3"/>
      <c r="P140" s="3"/>
      <c r="Q140" s="3"/>
    </row>
    <row r="141" spans="1:17" ht="15">
      <c r="A141" s="12"/>
      <c r="B141" s="12"/>
      <c r="C141" s="12"/>
      <c r="D141" s="12"/>
      <c r="E141" s="12"/>
      <c r="F141" s="12"/>
      <c r="G141" s="12"/>
      <c r="H141" s="12"/>
      <c r="I141" s="12"/>
      <c r="J141" s="12"/>
      <c r="K141" s="12"/>
      <c r="L141" s="12"/>
      <c r="M141" s="12"/>
      <c r="N141" s="12"/>
      <c r="O141" s="3"/>
      <c r="P141" s="3"/>
      <c r="Q141" s="3"/>
    </row>
    <row r="142" spans="1:17" ht="15">
      <c r="A142" s="12"/>
      <c r="B142" s="12"/>
      <c r="C142" s="12"/>
      <c r="D142" s="12"/>
      <c r="E142" s="12"/>
      <c r="F142" s="12"/>
      <c r="G142" s="12"/>
      <c r="H142" s="12"/>
      <c r="I142" s="12"/>
      <c r="J142" s="12"/>
      <c r="K142" s="12"/>
      <c r="L142" s="12"/>
      <c r="M142" s="12"/>
      <c r="N142" s="12"/>
      <c r="O142" s="3"/>
      <c r="P142" s="3"/>
      <c r="Q142" s="3"/>
    </row>
    <row r="143" spans="1:17" ht="15">
      <c r="A143" s="12"/>
      <c r="B143" s="12"/>
      <c r="C143" s="12"/>
      <c r="D143" s="12"/>
      <c r="E143" s="12"/>
      <c r="F143" s="12"/>
      <c r="G143" s="12"/>
      <c r="H143" s="12"/>
      <c r="I143" s="12"/>
      <c r="J143" s="12"/>
      <c r="K143" s="12"/>
      <c r="L143" s="12"/>
      <c r="M143" s="12"/>
      <c r="N143" s="12"/>
      <c r="O143" s="3"/>
      <c r="P143" s="3"/>
      <c r="Q143" s="3"/>
    </row>
    <row r="144" spans="1:17" ht="15">
      <c r="A144" s="12"/>
      <c r="B144" s="12"/>
      <c r="C144" s="12"/>
      <c r="D144" s="12"/>
      <c r="E144" s="12"/>
      <c r="F144" s="12"/>
      <c r="G144" s="12"/>
      <c r="H144" s="12"/>
      <c r="I144" s="12"/>
      <c r="J144" s="12"/>
      <c r="K144" s="12"/>
      <c r="L144" s="12"/>
      <c r="M144" s="12"/>
      <c r="N144" s="12"/>
      <c r="O144" s="3"/>
      <c r="P144" s="3"/>
      <c r="Q144" s="3"/>
    </row>
    <row r="145" spans="1:17" ht="15">
      <c r="A145" s="12"/>
      <c r="B145" s="12"/>
      <c r="C145" s="12"/>
      <c r="D145" s="12"/>
      <c r="E145" s="12"/>
      <c r="F145" s="12"/>
      <c r="G145" s="12"/>
      <c r="H145" s="12"/>
      <c r="I145" s="12"/>
      <c r="J145" s="12"/>
      <c r="K145" s="12"/>
      <c r="L145" s="12"/>
      <c r="M145" s="12"/>
      <c r="N145" s="12"/>
      <c r="O145" s="3"/>
      <c r="P145" s="3"/>
      <c r="Q145" s="3"/>
    </row>
    <row r="146" spans="1:17" ht="15">
      <c r="A146" s="12"/>
      <c r="B146" s="12"/>
      <c r="C146" s="12"/>
      <c r="D146" s="12"/>
      <c r="E146" s="12"/>
      <c r="F146" s="12"/>
      <c r="G146" s="12"/>
      <c r="H146" s="12"/>
      <c r="I146" s="12"/>
      <c r="J146" s="12"/>
      <c r="K146" s="12"/>
      <c r="L146" s="12"/>
      <c r="M146" s="12"/>
      <c r="N146" s="12"/>
      <c r="O146" s="3"/>
      <c r="P146" s="3"/>
      <c r="Q146" s="3"/>
    </row>
    <row r="147" spans="1:17" ht="15">
      <c r="A147" s="12"/>
      <c r="B147" s="12"/>
      <c r="C147" s="12"/>
      <c r="D147" s="12"/>
      <c r="E147" s="12"/>
      <c r="F147" s="12"/>
      <c r="G147" s="12"/>
      <c r="H147" s="12"/>
      <c r="I147" s="12"/>
      <c r="J147" s="12"/>
      <c r="K147" s="12"/>
      <c r="L147" s="12"/>
      <c r="M147" s="12"/>
      <c r="N147" s="12"/>
      <c r="O147" s="3"/>
      <c r="P147" s="3"/>
      <c r="Q147" s="3"/>
    </row>
    <row r="148" spans="1:17" ht="15">
      <c r="A148" s="12"/>
      <c r="B148" s="12"/>
      <c r="C148" s="12"/>
      <c r="D148" s="12"/>
      <c r="E148" s="12"/>
      <c r="F148" s="12"/>
      <c r="G148" s="12"/>
      <c r="H148" s="12"/>
      <c r="I148" s="12"/>
      <c r="J148" s="12"/>
      <c r="K148" s="12"/>
      <c r="L148" s="12"/>
      <c r="M148" s="12"/>
      <c r="N148" s="12"/>
      <c r="O148" s="3"/>
      <c r="P148" s="3"/>
      <c r="Q148" s="3"/>
    </row>
    <row r="149" spans="1:17" ht="15">
      <c r="A149" s="12"/>
      <c r="B149" s="12"/>
      <c r="C149" s="12"/>
      <c r="D149" s="12"/>
      <c r="E149" s="12"/>
      <c r="F149" s="12"/>
      <c r="G149" s="12"/>
      <c r="H149" s="12"/>
      <c r="I149" s="12"/>
      <c r="J149" s="12"/>
      <c r="K149" s="12"/>
      <c r="L149" s="12"/>
      <c r="M149" s="12"/>
      <c r="N149" s="12"/>
      <c r="O149" s="3"/>
      <c r="P149" s="3"/>
      <c r="Q149" s="3"/>
    </row>
    <row r="150" spans="1:17" ht="15">
      <c r="A150" s="12"/>
      <c r="B150" s="12"/>
      <c r="C150" s="12"/>
      <c r="D150" s="12"/>
      <c r="E150" s="12"/>
      <c r="F150" s="12"/>
      <c r="G150" s="12"/>
      <c r="H150" s="12"/>
      <c r="I150" s="12"/>
      <c r="J150" s="12"/>
      <c r="K150" s="12"/>
      <c r="L150" s="12"/>
      <c r="M150" s="12"/>
      <c r="N150" s="12"/>
      <c r="O150" s="3"/>
      <c r="P150" s="3"/>
      <c r="Q150" s="3"/>
    </row>
    <row r="151" spans="1:17" ht="15">
      <c r="A151" s="12"/>
      <c r="B151" s="12"/>
      <c r="C151" s="12"/>
      <c r="D151" s="12"/>
      <c r="E151" s="12"/>
      <c r="F151" s="12"/>
      <c r="G151" s="12"/>
      <c r="H151" s="12"/>
      <c r="I151" s="12"/>
      <c r="J151" s="12"/>
      <c r="K151" s="12"/>
      <c r="L151" s="12"/>
      <c r="M151" s="12"/>
      <c r="N151" s="12"/>
      <c r="O151" s="3"/>
      <c r="P151" s="3"/>
      <c r="Q151" s="3"/>
    </row>
    <row r="152" spans="1:17" ht="15">
      <c r="A152" s="12"/>
      <c r="B152" s="12"/>
      <c r="C152" s="12"/>
      <c r="D152" s="12"/>
      <c r="E152" s="12"/>
      <c r="F152" s="12"/>
      <c r="G152" s="12"/>
      <c r="H152" s="12"/>
      <c r="I152" s="12"/>
      <c r="J152" s="12"/>
      <c r="K152" s="12"/>
      <c r="L152" s="12"/>
      <c r="M152" s="12"/>
      <c r="N152" s="12"/>
      <c r="O152" s="3"/>
      <c r="P152" s="3"/>
      <c r="Q152" s="3"/>
    </row>
    <row r="153" spans="1:17" ht="15">
      <c r="A153" s="12"/>
      <c r="B153" s="12"/>
      <c r="C153" s="12"/>
      <c r="D153" s="12"/>
      <c r="E153" s="12"/>
      <c r="F153" s="12"/>
      <c r="G153" s="12"/>
      <c r="H153" s="12"/>
      <c r="I153" s="12"/>
      <c r="J153" s="12"/>
      <c r="K153" s="12"/>
      <c r="L153" s="12"/>
      <c r="M153" s="12"/>
      <c r="N153" s="12"/>
      <c r="O153" s="3"/>
      <c r="P153" s="3"/>
      <c r="Q153" s="3"/>
    </row>
    <row r="154" spans="1:17" ht="15">
      <c r="A154" s="12"/>
      <c r="B154" s="12"/>
      <c r="C154" s="12"/>
      <c r="D154" s="12"/>
      <c r="E154" s="12"/>
      <c r="F154" s="12"/>
      <c r="G154" s="12"/>
      <c r="H154" s="12"/>
      <c r="I154" s="12"/>
      <c r="J154" s="12"/>
      <c r="K154" s="12"/>
      <c r="L154" s="12"/>
      <c r="M154" s="12"/>
      <c r="N154" s="12"/>
      <c r="O154" s="3"/>
      <c r="P154" s="3"/>
      <c r="Q154" s="3"/>
    </row>
    <row r="155" spans="1:17" ht="15">
      <c r="A155" s="12"/>
      <c r="B155" s="12"/>
      <c r="C155" s="12"/>
      <c r="D155" s="12"/>
      <c r="E155" s="12"/>
      <c r="F155" s="12"/>
      <c r="G155" s="12"/>
      <c r="H155" s="12"/>
      <c r="I155" s="12"/>
      <c r="J155" s="12"/>
      <c r="K155" s="12"/>
      <c r="L155" s="12"/>
      <c r="M155" s="12"/>
      <c r="N155" s="12"/>
      <c r="O155" s="3"/>
      <c r="P155" s="3"/>
      <c r="Q155" s="3"/>
    </row>
    <row r="156" spans="1:17" ht="15">
      <c r="A156" s="12"/>
      <c r="B156" s="12"/>
      <c r="C156" s="12"/>
      <c r="D156" s="12"/>
      <c r="E156" s="12"/>
      <c r="F156" s="12"/>
      <c r="G156" s="12"/>
      <c r="H156" s="12"/>
      <c r="I156" s="12"/>
      <c r="J156" s="12"/>
      <c r="K156" s="12"/>
      <c r="L156" s="12"/>
      <c r="M156" s="12"/>
      <c r="N156" s="12"/>
      <c r="O156" s="3"/>
      <c r="P156" s="3"/>
      <c r="Q156" s="3"/>
    </row>
    <row r="157" spans="1:17" ht="15">
      <c r="A157" s="12"/>
      <c r="B157" s="12"/>
      <c r="C157" s="12"/>
      <c r="D157" s="12"/>
      <c r="E157" s="12"/>
      <c r="F157" s="12"/>
      <c r="G157" s="12"/>
      <c r="H157" s="12"/>
      <c r="I157" s="12"/>
      <c r="J157" s="12"/>
      <c r="K157" s="12"/>
      <c r="L157" s="12"/>
      <c r="M157" s="12"/>
      <c r="N157" s="12"/>
      <c r="O157" s="3"/>
      <c r="P157" s="3"/>
      <c r="Q157" s="3"/>
    </row>
    <row r="158" spans="1:17" ht="15">
      <c r="A158" s="12"/>
      <c r="B158" s="12"/>
      <c r="C158" s="12"/>
      <c r="D158" s="12"/>
      <c r="E158" s="12"/>
      <c r="F158" s="12"/>
      <c r="G158" s="12"/>
      <c r="H158" s="12"/>
      <c r="I158" s="12"/>
      <c r="J158" s="12"/>
      <c r="K158" s="12"/>
      <c r="L158" s="12"/>
      <c r="M158" s="12"/>
      <c r="N158" s="12"/>
      <c r="O158" s="3"/>
      <c r="P158" s="3"/>
      <c r="Q158" s="3"/>
    </row>
    <row r="159" spans="1:17" ht="15">
      <c r="A159" s="12"/>
      <c r="B159" s="12"/>
      <c r="C159" s="12"/>
      <c r="D159" s="12"/>
      <c r="E159" s="12"/>
      <c r="F159" s="12"/>
      <c r="G159" s="12"/>
      <c r="H159" s="12"/>
      <c r="I159" s="12"/>
      <c r="J159" s="12"/>
      <c r="K159" s="12"/>
      <c r="L159" s="12"/>
      <c r="M159" s="12"/>
      <c r="N159" s="12"/>
      <c r="O159" s="3"/>
      <c r="P159" s="3"/>
      <c r="Q159" s="3"/>
    </row>
    <row r="160" spans="1:17" ht="15">
      <c r="A160" s="12"/>
      <c r="B160" s="12"/>
      <c r="C160" s="12"/>
      <c r="D160" s="12"/>
      <c r="E160" s="12"/>
      <c r="F160" s="12"/>
      <c r="G160" s="12"/>
      <c r="H160" s="12"/>
      <c r="I160" s="12"/>
      <c r="J160" s="12"/>
      <c r="K160" s="12"/>
      <c r="L160" s="12"/>
      <c r="M160" s="12"/>
      <c r="N160" s="12"/>
      <c r="O160" s="3"/>
      <c r="P160" s="3"/>
      <c r="Q160" s="3"/>
    </row>
    <row r="161" spans="1:17" ht="15">
      <c r="A161" s="12"/>
      <c r="B161" s="12"/>
      <c r="C161" s="12"/>
      <c r="D161" s="12"/>
      <c r="E161" s="12"/>
      <c r="F161" s="12"/>
      <c r="G161" s="12"/>
      <c r="H161" s="12"/>
      <c r="I161" s="12"/>
      <c r="J161" s="12"/>
      <c r="K161" s="12"/>
      <c r="L161" s="12"/>
      <c r="M161" s="12"/>
      <c r="N161" s="12"/>
      <c r="O161" s="3"/>
      <c r="P161" s="3"/>
      <c r="Q161" s="3"/>
    </row>
    <row r="162" spans="1:17" ht="15">
      <c r="A162" s="12"/>
      <c r="B162" s="12"/>
      <c r="C162" s="12"/>
      <c r="D162" s="12"/>
      <c r="E162" s="12"/>
      <c r="F162" s="12"/>
      <c r="G162" s="12"/>
      <c r="H162" s="12"/>
      <c r="I162" s="12"/>
      <c r="J162" s="12"/>
      <c r="K162" s="12"/>
      <c r="L162" s="12"/>
      <c r="M162" s="12"/>
      <c r="N162" s="12"/>
      <c r="O162" s="3"/>
      <c r="P162" s="3"/>
      <c r="Q162" s="3"/>
    </row>
    <row r="163" spans="1:17" ht="15">
      <c r="A163" s="12"/>
      <c r="B163" s="12"/>
      <c r="C163" s="12"/>
      <c r="D163" s="12"/>
      <c r="E163" s="12"/>
      <c r="F163" s="12"/>
      <c r="G163" s="12"/>
      <c r="H163" s="12"/>
      <c r="I163" s="12"/>
      <c r="J163" s="12"/>
      <c r="K163" s="12"/>
      <c r="L163" s="12"/>
      <c r="M163" s="12"/>
      <c r="N163" s="12"/>
      <c r="O163" s="3"/>
      <c r="P163" s="3"/>
      <c r="Q163" s="3"/>
    </row>
    <row r="164" spans="1:17" ht="15">
      <c r="A164" s="12"/>
      <c r="B164" s="12"/>
      <c r="C164" s="12"/>
      <c r="D164" s="12"/>
      <c r="E164" s="12"/>
      <c r="F164" s="12"/>
      <c r="G164" s="12"/>
      <c r="H164" s="12"/>
      <c r="I164" s="12"/>
      <c r="J164" s="12"/>
      <c r="K164" s="12"/>
      <c r="L164" s="12"/>
      <c r="M164" s="12"/>
      <c r="N164" s="12"/>
      <c r="O164" s="3"/>
      <c r="P164" s="3"/>
      <c r="Q164" s="3"/>
    </row>
    <row r="165" spans="1:17" ht="15">
      <c r="A165" s="12"/>
      <c r="B165" s="12"/>
      <c r="C165" s="12"/>
      <c r="D165" s="12"/>
      <c r="E165" s="12"/>
      <c r="F165" s="12"/>
      <c r="G165" s="12"/>
      <c r="H165" s="12"/>
      <c r="I165" s="12"/>
      <c r="J165" s="12"/>
      <c r="K165" s="12"/>
      <c r="L165" s="12"/>
      <c r="M165" s="12"/>
      <c r="N165" s="12"/>
      <c r="O165" s="3"/>
      <c r="P165" s="3"/>
      <c r="Q165" s="3"/>
    </row>
    <row r="166" spans="1:17" ht="15">
      <c r="A166" s="12"/>
      <c r="B166" s="12"/>
      <c r="C166" s="12"/>
      <c r="D166" s="12"/>
      <c r="E166" s="12"/>
      <c r="F166" s="12"/>
      <c r="G166" s="12"/>
      <c r="H166" s="12"/>
      <c r="I166" s="12"/>
      <c r="J166" s="12"/>
      <c r="K166" s="12"/>
      <c r="L166" s="12"/>
      <c r="M166" s="12"/>
      <c r="N166" s="12"/>
      <c r="O166" s="3"/>
      <c r="P166" s="3"/>
      <c r="Q166" s="3"/>
    </row>
    <row r="167" spans="1:17" ht="15">
      <c r="A167" s="12"/>
      <c r="B167" s="12"/>
      <c r="C167" s="12"/>
      <c r="D167" s="12"/>
      <c r="E167" s="12"/>
      <c r="F167" s="12"/>
      <c r="G167" s="12"/>
      <c r="H167" s="12"/>
      <c r="I167" s="12"/>
      <c r="J167" s="12"/>
      <c r="K167" s="12"/>
      <c r="L167" s="12"/>
      <c r="M167" s="12"/>
      <c r="N167" s="12"/>
      <c r="O167" s="3"/>
      <c r="P167" s="3"/>
      <c r="Q167" s="3"/>
    </row>
    <row r="168" spans="1:17" ht="15">
      <c r="A168" s="12"/>
      <c r="B168" s="12"/>
      <c r="C168" s="12"/>
      <c r="D168" s="12"/>
      <c r="E168" s="12"/>
      <c r="F168" s="12"/>
      <c r="G168" s="12"/>
      <c r="H168" s="12"/>
      <c r="I168" s="12"/>
      <c r="J168" s="12"/>
      <c r="K168" s="12"/>
      <c r="L168" s="12"/>
      <c r="M168" s="12"/>
      <c r="N168" s="12"/>
      <c r="O168" s="3"/>
      <c r="P168" s="3"/>
      <c r="Q168" s="3"/>
    </row>
    <row r="169" spans="1:17" ht="15">
      <c r="A169" s="12"/>
      <c r="B169" s="12"/>
      <c r="C169" s="12"/>
      <c r="D169" s="12"/>
      <c r="E169" s="12"/>
      <c r="F169" s="12"/>
      <c r="G169" s="12"/>
      <c r="H169" s="12"/>
      <c r="I169" s="12"/>
      <c r="J169" s="12"/>
      <c r="K169" s="12"/>
      <c r="L169" s="12"/>
      <c r="M169" s="12"/>
      <c r="N169" s="12"/>
      <c r="O169" s="3"/>
      <c r="P169" s="3"/>
      <c r="Q169" s="3"/>
    </row>
    <row r="170" spans="1:17" ht="15">
      <c r="A170" s="12"/>
      <c r="B170" s="12"/>
      <c r="C170" s="12"/>
      <c r="D170" s="12"/>
      <c r="E170" s="12"/>
      <c r="F170" s="12"/>
      <c r="G170" s="12"/>
      <c r="H170" s="12"/>
      <c r="I170" s="12"/>
      <c r="J170" s="12"/>
      <c r="K170" s="12"/>
      <c r="L170" s="12"/>
      <c r="M170" s="12"/>
      <c r="N170" s="12"/>
      <c r="O170" s="3"/>
      <c r="P170" s="3"/>
      <c r="Q170" s="3"/>
    </row>
    <row r="171" spans="1:17" ht="15">
      <c r="A171" s="12"/>
      <c r="B171" s="12"/>
      <c r="C171" s="12"/>
      <c r="D171" s="12"/>
      <c r="E171" s="12"/>
      <c r="F171" s="12"/>
      <c r="G171" s="12"/>
      <c r="H171" s="12"/>
      <c r="I171" s="12"/>
      <c r="J171" s="12"/>
      <c r="K171" s="12"/>
      <c r="L171" s="12"/>
      <c r="M171" s="12"/>
      <c r="N171" s="12"/>
      <c r="O171" s="3"/>
      <c r="P171" s="3"/>
      <c r="Q171" s="3"/>
    </row>
    <row r="172" spans="1:17" ht="15">
      <c r="A172" s="12"/>
      <c r="B172" s="12"/>
      <c r="C172" s="12"/>
      <c r="D172" s="12"/>
      <c r="E172" s="12"/>
      <c r="F172" s="12"/>
      <c r="G172" s="12"/>
      <c r="H172" s="12"/>
      <c r="I172" s="12"/>
      <c r="J172" s="12"/>
      <c r="K172" s="12"/>
      <c r="L172" s="12"/>
      <c r="M172" s="12"/>
      <c r="N172" s="12"/>
      <c r="O172" s="3"/>
      <c r="P172" s="3"/>
      <c r="Q172" s="3"/>
    </row>
    <row r="173" spans="1:17" ht="15">
      <c r="A173" s="12"/>
      <c r="B173" s="12"/>
      <c r="C173" s="12"/>
      <c r="D173" s="12"/>
      <c r="E173" s="12"/>
      <c r="F173" s="12"/>
      <c r="G173" s="12"/>
      <c r="H173" s="12"/>
      <c r="I173" s="12"/>
      <c r="J173" s="12"/>
      <c r="K173" s="12"/>
      <c r="L173" s="12"/>
      <c r="M173" s="12"/>
      <c r="N173" s="12"/>
      <c r="O173" s="3"/>
      <c r="P173" s="3"/>
      <c r="Q173" s="3"/>
    </row>
    <row r="174" spans="1:17" ht="15">
      <c r="A174" s="12"/>
      <c r="B174" s="12"/>
      <c r="C174" s="12"/>
      <c r="D174" s="12"/>
      <c r="E174" s="12"/>
      <c r="F174" s="12"/>
      <c r="G174" s="12"/>
      <c r="H174" s="12"/>
      <c r="I174" s="12"/>
      <c r="J174" s="12"/>
      <c r="K174" s="12"/>
      <c r="L174" s="12"/>
      <c r="M174" s="12"/>
      <c r="N174" s="12"/>
      <c r="O174" s="3"/>
      <c r="P174" s="3"/>
      <c r="Q174" s="3"/>
    </row>
    <row r="175" spans="1:17" ht="15">
      <c r="A175" s="12"/>
      <c r="B175" s="12"/>
      <c r="C175" s="12"/>
      <c r="D175" s="12"/>
      <c r="E175" s="12"/>
      <c r="F175" s="12"/>
      <c r="G175" s="12"/>
      <c r="H175" s="12"/>
      <c r="I175" s="12"/>
      <c r="J175" s="12"/>
      <c r="K175" s="12"/>
      <c r="L175" s="12"/>
      <c r="M175" s="12"/>
      <c r="N175" s="12"/>
      <c r="O175" s="3"/>
      <c r="P175" s="3"/>
      <c r="Q175" s="3"/>
    </row>
    <row r="176" spans="1:17" ht="15">
      <c r="A176" s="12"/>
      <c r="B176" s="12"/>
      <c r="C176" s="12"/>
      <c r="D176" s="12"/>
      <c r="E176" s="12"/>
      <c r="F176" s="12"/>
      <c r="G176" s="12"/>
      <c r="H176" s="12"/>
      <c r="I176" s="12"/>
      <c r="J176" s="12"/>
      <c r="K176" s="12"/>
      <c r="L176" s="12"/>
      <c r="M176" s="12"/>
      <c r="N176" s="12"/>
      <c r="O176" s="3"/>
      <c r="P176" s="3"/>
      <c r="Q176" s="3"/>
    </row>
    <row r="177" spans="1:17" ht="15">
      <c r="A177" s="12"/>
      <c r="B177" s="12"/>
      <c r="C177" s="12"/>
      <c r="D177" s="12"/>
      <c r="E177" s="12"/>
      <c r="F177" s="12"/>
      <c r="G177" s="12"/>
      <c r="H177" s="12"/>
      <c r="I177" s="12"/>
      <c r="J177" s="12"/>
      <c r="K177" s="12"/>
      <c r="L177" s="12"/>
      <c r="M177" s="12"/>
      <c r="N177" s="12"/>
      <c r="O177" s="3"/>
      <c r="P177" s="3"/>
      <c r="Q177" s="3"/>
    </row>
    <row r="178" spans="1:17" ht="15">
      <c r="A178" s="12"/>
      <c r="B178" s="12"/>
      <c r="C178" s="12"/>
      <c r="D178" s="12"/>
      <c r="E178" s="12"/>
      <c r="F178" s="12"/>
      <c r="G178" s="12"/>
      <c r="H178" s="12"/>
      <c r="I178" s="12"/>
      <c r="J178" s="12"/>
      <c r="K178" s="12"/>
      <c r="L178" s="12"/>
      <c r="M178" s="12"/>
      <c r="N178" s="12"/>
      <c r="O178" s="3"/>
      <c r="P178" s="3"/>
      <c r="Q178" s="3"/>
    </row>
    <row r="179" spans="1:17" ht="15">
      <c r="A179" s="12"/>
      <c r="B179" s="12"/>
      <c r="C179" s="12"/>
      <c r="D179" s="12"/>
      <c r="E179" s="12"/>
      <c r="F179" s="12"/>
      <c r="G179" s="12"/>
      <c r="H179" s="12"/>
      <c r="I179" s="12"/>
      <c r="J179" s="12"/>
      <c r="K179" s="12"/>
      <c r="L179" s="12"/>
      <c r="M179" s="12"/>
      <c r="N179" s="12"/>
      <c r="O179" s="3"/>
      <c r="P179" s="3"/>
      <c r="Q179" s="3"/>
    </row>
    <row r="180" spans="1:17" ht="15">
      <c r="A180" s="12"/>
      <c r="B180" s="12"/>
      <c r="C180" s="12"/>
      <c r="D180" s="12"/>
      <c r="E180" s="12"/>
      <c r="F180" s="12"/>
      <c r="G180" s="12"/>
      <c r="H180" s="12"/>
      <c r="I180" s="12"/>
      <c r="J180" s="12"/>
      <c r="K180" s="12"/>
      <c r="L180" s="12"/>
      <c r="M180" s="12"/>
      <c r="N180" s="12"/>
      <c r="O180" s="3"/>
      <c r="P180" s="3"/>
      <c r="Q180" s="3"/>
    </row>
    <row r="181" spans="1:17" ht="15">
      <c r="A181" s="12"/>
      <c r="B181" s="12"/>
      <c r="C181" s="12"/>
      <c r="D181" s="12"/>
      <c r="E181" s="12"/>
      <c r="F181" s="12"/>
      <c r="G181" s="12"/>
      <c r="H181" s="12"/>
      <c r="I181" s="12"/>
      <c r="J181" s="12"/>
      <c r="K181" s="12"/>
      <c r="L181" s="12"/>
      <c r="M181" s="12"/>
      <c r="N181" s="12"/>
      <c r="O181" s="3"/>
      <c r="P181" s="3"/>
      <c r="Q181" s="3"/>
    </row>
    <row r="182" spans="1:17" ht="15">
      <c r="A182" s="12"/>
      <c r="B182" s="12"/>
      <c r="C182" s="12"/>
      <c r="D182" s="12"/>
      <c r="E182" s="12"/>
      <c r="F182" s="12"/>
      <c r="G182" s="12"/>
      <c r="H182" s="12"/>
      <c r="I182" s="12"/>
      <c r="J182" s="12"/>
      <c r="K182" s="12"/>
      <c r="L182" s="12"/>
      <c r="M182" s="12"/>
      <c r="N182" s="12"/>
      <c r="O182" s="3"/>
      <c r="P182" s="3"/>
      <c r="Q182" s="3"/>
    </row>
    <row r="183" spans="1:17" ht="15">
      <c r="A183" s="12"/>
      <c r="B183" s="12"/>
      <c r="C183" s="12"/>
      <c r="D183" s="12"/>
      <c r="E183" s="12"/>
      <c r="F183" s="12"/>
      <c r="G183" s="12"/>
      <c r="H183" s="12"/>
      <c r="I183" s="12"/>
      <c r="J183" s="12"/>
      <c r="K183" s="12"/>
      <c r="L183" s="12"/>
      <c r="M183" s="12"/>
      <c r="N183" s="12"/>
      <c r="O183" s="3"/>
      <c r="P183" s="3"/>
      <c r="Q183" s="3"/>
    </row>
    <row r="184" spans="1:17" ht="15">
      <c r="A184" s="12"/>
      <c r="B184" s="12"/>
      <c r="C184" s="12"/>
      <c r="D184" s="12"/>
      <c r="E184" s="12"/>
      <c r="F184" s="12"/>
      <c r="G184" s="12"/>
      <c r="H184" s="12"/>
      <c r="I184" s="12"/>
      <c r="J184" s="12"/>
      <c r="K184" s="12"/>
      <c r="L184" s="12"/>
      <c r="M184" s="12"/>
      <c r="N184" s="12"/>
      <c r="O184" s="3"/>
      <c r="P184" s="3"/>
      <c r="Q184" s="3"/>
    </row>
    <row r="185" spans="1:17" ht="15">
      <c r="A185" s="12"/>
      <c r="B185" s="12"/>
      <c r="C185" s="12"/>
      <c r="D185" s="12"/>
      <c r="E185" s="12"/>
      <c r="F185" s="12"/>
      <c r="G185" s="12"/>
      <c r="H185" s="12"/>
      <c r="I185" s="12"/>
      <c r="J185" s="12"/>
      <c r="K185" s="12"/>
      <c r="L185" s="12"/>
      <c r="M185" s="12"/>
      <c r="N185" s="12"/>
      <c r="O185" s="3"/>
      <c r="P185" s="3"/>
      <c r="Q185" s="3"/>
    </row>
    <row r="186" spans="1:17" ht="15">
      <c r="A186" s="12"/>
      <c r="B186" s="12"/>
      <c r="C186" s="12"/>
      <c r="D186" s="12"/>
      <c r="E186" s="12"/>
      <c r="F186" s="12"/>
      <c r="G186" s="12"/>
      <c r="H186" s="12"/>
      <c r="I186" s="12"/>
      <c r="J186" s="12"/>
      <c r="K186" s="12"/>
      <c r="L186" s="12"/>
      <c r="M186" s="12"/>
      <c r="N186" s="12"/>
      <c r="O186" s="3"/>
      <c r="P186" s="3"/>
      <c r="Q186" s="3"/>
    </row>
    <row r="187" spans="1:17" ht="15">
      <c r="A187" s="12"/>
      <c r="B187" s="12"/>
      <c r="C187" s="12"/>
      <c r="D187" s="12"/>
      <c r="E187" s="12"/>
      <c r="F187" s="12"/>
      <c r="G187" s="12"/>
      <c r="H187" s="12"/>
      <c r="I187" s="12"/>
      <c r="J187" s="12"/>
      <c r="K187" s="12"/>
      <c r="L187" s="12"/>
      <c r="M187" s="12"/>
      <c r="N187" s="12"/>
      <c r="O187" s="3"/>
      <c r="P187" s="3"/>
      <c r="Q187" s="3"/>
    </row>
    <row r="188" spans="1:17" ht="15">
      <c r="A188" s="12"/>
      <c r="B188" s="12"/>
      <c r="C188" s="12"/>
      <c r="D188" s="12"/>
      <c r="E188" s="12"/>
      <c r="F188" s="12"/>
      <c r="G188" s="12"/>
      <c r="H188" s="12"/>
      <c r="I188" s="12"/>
      <c r="J188" s="12"/>
      <c r="K188" s="12"/>
      <c r="L188" s="12"/>
      <c r="M188" s="12"/>
      <c r="N188" s="12"/>
      <c r="O188" s="3"/>
      <c r="P188" s="3"/>
      <c r="Q188" s="3"/>
    </row>
    <row r="189" spans="1:17" ht="15">
      <c r="A189" s="12"/>
      <c r="B189" s="12"/>
      <c r="C189" s="12"/>
      <c r="D189" s="12"/>
      <c r="E189" s="12"/>
      <c r="F189" s="12"/>
      <c r="G189" s="12"/>
      <c r="H189" s="12"/>
      <c r="I189" s="12"/>
      <c r="J189" s="12"/>
      <c r="K189" s="12"/>
      <c r="L189" s="12"/>
      <c r="M189" s="12"/>
      <c r="N189" s="12"/>
      <c r="O189" s="3"/>
      <c r="P189" s="3"/>
      <c r="Q189" s="3"/>
    </row>
    <row r="190" spans="1:17" ht="15">
      <c r="A190" s="12"/>
      <c r="B190" s="12"/>
      <c r="C190" s="12"/>
      <c r="D190" s="12"/>
      <c r="E190" s="12"/>
      <c r="F190" s="12"/>
      <c r="G190" s="12"/>
      <c r="H190" s="12"/>
      <c r="I190" s="12"/>
      <c r="J190" s="12"/>
      <c r="K190" s="12"/>
      <c r="L190" s="12"/>
      <c r="M190" s="12"/>
      <c r="N190" s="12"/>
      <c r="O190" s="3"/>
      <c r="P190" s="3"/>
      <c r="Q190" s="3"/>
    </row>
    <row r="191" spans="1:17" ht="15">
      <c r="A191" s="12"/>
      <c r="B191" s="12"/>
      <c r="C191" s="12"/>
      <c r="D191" s="12"/>
      <c r="E191" s="12"/>
      <c r="F191" s="12"/>
      <c r="G191" s="12"/>
      <c r="H191" s="12"/>
      <c r="I191" s="12"/>
      <c r="J191" s="12"/>
      <c r="K191" s="12"/>
      <c r="L191" s="12"/>
      <c r="M191" s="12"/>
      <c r="N191" s="12"/>
      <c r="O191" s="3"/>
      <c r="P191" s="3"/>
      <c r="Q191" s="3"/>
    </row>
    <row r="192" spans="1:17" ht="15">
      <c r="A192" s="12"/>
      <c r="B192" s="12"/>
      <c r="C192" s="12"/>
      <c r="D192" s="12"/>
      <c r="E192" s="12"/>
      <c r="F192" s="12"/>
      <c r="G192" s="12"/>
      <c r="H192" s="12"/>
      <c r="I192" s="12"/>
      <c r="J192" s="12"/>
      <c r="K192" s="12"/>
      <c r="L192" s="12"/>
      <c r="M192" s="12"/>
      <c r="N192" s="12"/>
      <c r="O192" s="3"/>
      <c r="P192" s="3"/>
      <c r="Q192" s="3"/>
    </row>
    <row r="193" spans="1:17" ht="15">
      <c r="A193" s="12"/>
      <c r="B193" s="12"/>
      <c r="C193" s="12"/>
      <c r="D193" s="12"/>
      <c r="E193" s="12"/>
      <c r="F193" s="12"/>
      <c r="G193" s="12"/>
      <c r="H193" s="12"/>
      <c r="I193" s="12"/>
      <c r="J193" s="12"/>
      <c r="K193" s="12"/>
      <c r="L193" s="12"/>
      <c r="M193" s="12"/>
      <c r="N193" s="12"/>
      <c r="O193" s="3"/>
      <c r="P193" s="3"/>
      <c r="Q193" s="3"/>
    </row>
    <row r="194" spans="1:17" ht="15">
      <c r="A194" s="12"/>
      <c r="B194" s="12"/>
      <c r="C194" s="12"/>
      <c r="D194" s="12"/>
      <c r="E194" s="12"/>
      <c r="F194" s="12"/>
      <c r="G194" s="12"/>
      <c r="H194" s="12"/>
      <c r="I194" s="12"/>
      <c r="J194" s="12"/>
      <c r="K194" s="12"/>
      <c r="L194" s="12"/>
      <c r="M194" s="12"/>
      <c r="N194" s="12"/>
      <c r="O194" s="3"/>
      <c r="P194" s="3"/>
      <c r="Q194" s="3"/>
    </row>
    <row r="195" spans="1:17" ht="15">
      <c r="A195" s="12"/>
      <c r="B195" s="12"/>
      <c r="C195" s="12"/>
      <c r="D195" s="12"/>
      <c r="E195" s="12"/>
      <c r="F195" s="12"/>
      <c r="G195" s="12"/>
      <c r="H195" s="12"/>
      <c r="I195" s="12"/>
      <c r="J195" s="12"/>
      <c r="K195" s="12"/>
      <c r="L195" s="12"/>
      <c r="M195" s="12"/>
      <c r="N195" s="12"/>
      <c r="O195" s="3"/>
      <c r="P195" s="3"/>
      <c r="Q195" s="3"/>
    </row>
    <row r="196" spans="1:17" ht="15">
      <c r="A196" s="12"/>
      <c r="B196" s="12"/>
      <c r="C196" s="12"/>
      <c r="D196" s="12"/>
      <c r="E196" s="12"/>
      <c r="F196" s="12"/>
      <c r="G196" s="12"/>
      <c r="H196" s="12"/>
      <c r="I196" s="12"/>
      <c r="J196" s="12"/>
      <c r="K196" s="12"/>
      <c r="L196" s="12"/>
      <c r="M196" s="12"/>
      <c r="N196" s="12"/>
      <c r="O196" s="3"/>
      <c r="P196" s="3"/>
      <c r="Q196" s="3"/>
    </row>
    <row r="197" spans="1:17" ht="15">
      <c r="A197" s="12"/>
      <c r="B197" s="12"/>
      <c r="C197" s="12"/>
      <c r="D197" s="12"/>
      <c r="E197" s="12"/>
      <c r="F197" s="12"/>
      <c r="G197" s="12"/>
      <c r="H197" s="12"/>
      <c r="I197" s="12"/>
      <c r="J197" s="12"/>
      <c r="K197" s="12"/>
      <c r="L197" s="12"/>
      <c r="M197" s="12"/>
      <c r="N197" s="12"/>
      <c r="O197" s="3"/>
      <c r="P197" s="3"/>
      <c r="Q197" s="3"/>
    </row>
    <row r="198" spans="1:17" ht="15">
      <c r="A198" s="12"/>
      <c r="B198" s="12"/>
      <c r="C198" s="12"/>
      <c r="D198" s="12"/>
      <c r="E198" s="12"/>
      <c r="F198" s="12"/>
      <c r="G198" s="12"/>
      <c r="H198" s="12"/>
      <c r="I198" s="12"/>
      <c r="J198" s="12"/>
      <c r="K198" s="12"/>
      <c r="L198" s="12"/>
      <c r="M198" s="12"/>
      <c r="N198" s="12"/>
      <c r="O198" s="3"/>
      <c r="P198" s="3"/>
      <c r="Q198" s="3"/>
    </row>
    <row r="199" spans="1:17" ht="15">
      <c r="A199" s="12"/>
      <c r="B199" s="12"/>
      <c r="C199" s="12"/>
      <c r="D199" s="12"/>
      <c r="E199" s="12"/>
      <c r="F199" s="12"/>
      <c r="G199" s="12"/>
      <c r="H199" s="12"/>
      <c r="I199" s="12"/>
      <c r="J199" s="12"/>
      <c r="K199" s="12"/>
      <c r="L199" s="12"/>
      <c r="M199" s="12"/>
      <c r="N199" s="12"/>
      <c r="O199" s="3"/>
      <c r="P199" s="3"/>
      <c r="Q199" s="3"/>
    </row>
    <row r="200" spans="1:17" ht="15">
      <c r="A200" s="12"/>
      <c r="B200" s="12"/>
      <c r="C200" s="12"/>
      <c r="D200" s="12"/>
      <c r="E200" s="12"/>
      <c r="F200" s="12"/>
      <c r="G200" s="12"/>
      <c r="H200" s="12"/>
      <c r="I200" s="12"/>
      <c r="J200" s="12"/>
      <c r="K200" s="12"/>
      <c r="L200" s="12"/>
      <c r="M200" s="12"/>
      <c r="N200" s="12"/>
      <c r="O200" s="3"/>
      <c r="P200" s="3"/>
      <c r="Q200" s="3"/>
    </row>
    <row r="201" spans="1:17" ht="15">
      <c r="A201" s="12"/>
      <c r="B201" s="12"/>
      <c r="C201" s="12"/>
      <c r="D201" s="12"/>
      <c r="E201" s="12"/>
      <c r="F201" s="12"/>
      <c r="G201" s="12"/>
      <c r="H201" s="12"/>
      <c r="I201" s="12"/>
      <c r="J201" s="12"/>
      <c r="K201" s="12"/>
      <c r="L201" s="12"/>
      <c r="M201" s="12"/>
      <c r="N201" s="12"/>
      <c r="O201" s="3"/>
      <c r="P201" s="3"/>
      <c r="Q201" s="3"/>
    </row>
    <row r="202" spans="1:17" ht="15">
      <c r="A202" s="12"/>
      <c r="B202" s="12"/>
      <c r="C202" s="12"/>
      <c r="D202" s="12"/>
      <c r="E202" s="12"/>
      <c r="F202" s="12"/>
      <c r="G202" s="12"/>
      <c r="H202" s="12"/>
      <c r="I202" s="12"/>
      <c r="J202" s="12"/>
      <c r="K202" s="12"/>
      <c r="L202" s="12"/>
      <c r="M202" s="12"/>
      <c r="N202" s="12"/>
      <c r="O202" s="3"/>
      <c r="P202" s="3"/>
      <c r="Q202" s="3"/>
    </row>
    <row r="203" spans="1:17" ht="15">
      <c r="A203" s="12"/>
      <c r="B203" s="12"/>
      <c r="C203" s="12"/>
      <c r="D203" s="12"/>
      <c r="E203" s="12"/>
      <c r="F203" s="12"/>
      <c r="G203" s="12"/>
      <c r="H203" s="12"/>
      <c r="I203" s="12"/>
      <c r="J203" s="12"/>
      <c r="K203" s="12"/>
      <c r="L203" s="12"/>
      <c r="M203" s="12"/>
      <c r="N203" s="12"/>
      <c r="O203" s="3"/>
      <c r="P203" s="3"/>
      <c r="Q203" s="3"/>
    </row>
    <row r="204" spans="1:17" ht="15">
      <c r="A204" s="12"/>
      <c r="B204" s="12"/>
      <c r="C204" s="12"/>
      <c r="D204" s="12"/>
      <c r="E204" s="12"/>
      <c r="F204" s="12"/>
      <c r="G204" s="12"/>
      <c r="H204" s="12"/>
      <c r="I204" s="12"/>
      <c r="J204" s="12"/>
      <c r="K204" s="12"/>
      <c r="L204" s="12"/>
      <c r="M204" s="12"/>
      <c r="N204" s="12"/>
      <c r="O204" s="3"/>
      <c r="P204" s="3"/>
      <c r="Q204" s="3"/>
    </row>
    <row r="205" spans="1:17" ht="15">
      <c r="A205" s="12"/>
      <c r="B205" s="12"/>
      <c r="C205" s="12"/>
      <c r="D205" s="12"/>
      <c r="E205" s="12"/>
      <c r="F205" s="12"/>
      <c r="G205" s="12"/>
      <c r="H205" s="12"/>
      <c r="I205" s="12"/>
      <c r="J205" s="12"/>
      <c r="K205" s="12"/>
      <c r="L205" s="12"/>
      <c r="M205" s="12"/>
      <c r="N205" s="12"/>
      <c r="O205" s="3"/>
      <c r="P205" s="3"/>
      <c r="Q205" s="3"/>
    </row>
    <row r="206" spans="1:17" ht="15">
      <c r="A206" s="12"/>
      <c r="B206" s="12"/>
      <c r="C206" s="12"/>
      <c r="D206" s="12"/>
      <c r="E206" s="12"/>
      <c r="F206" s="12"/>
      <c r="G206" s="12"/>
      <c r="H206" s="12"/>
      <c r="I206" s="12"/>
      <c r="J206" s="12"/>
      <c r="K206" s="12"/>
      <c r="L206" s="12"/>
      <c r="M206" s="12"/>
      <c r="N206" s="12"/>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N1"/>
    <mergeCell ref="A2:N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250"/>
  <sheetViews>
    <sheetView workbookViewId="0"/>
  </sheetViews>
  <sheetFormatPr defaultRowHeight="14.25"/>
  <cols>
    <col min="1" max="1" width="14" customWidth="1"/>
    <col min="2" max="2" width="12" customWidth="1"/>
    <col min="3" max="3" width="28" customWidth="1"/>
    <col min="4" max="4" width="34" customWidth="1"/>
    <col min="5" max="5" width="18" customWidth="1"/>
    <col min="6" max="6" width="24" customWidth="1"/>
    <col min="7" max="7" width="12" customWidth="1"/>
    <col min="8" max="9" width="16" customWidth="1"/>
    <col min="10" max="11" width="18" customWidth="1"/>
    <col min="12" max="12" width="24" customWidth="1"/>
    <col min="13" max="13" width="14" customWidth="1"/>
    <col min="14" max="14" width="18" customWidth="1"/>
  </cols>
  <sheetData>
    <row r="1" spans="1:17" ht="24" customHeight="1">
      <c r="A1" s="32" t="s">
        <v>838</v>
      </c>
      <c r="B1" s="33"/>
      <c r="C1" s="33"/>
      <c r="D1" s="33"/>
      <c r="E1" s="33"/>
      <c r="F1" s="33"/>
      <c r="G1" s="33"/>
      <c r="H1" s="33"/>
      <c r="I1" s="33"/>
      <c r="J1" s="33"/>
      <c r="K1" s="33"/>
      <c r="L1" s="35"/>
      <c r="M1" s="35"/>
      <c r="N1" s="35"/>
      <c r="O1" s="3"/>
      <c r="P1" s="3"/>
      <c r="Q1" s="3"/>
    </row>
    <row r="2" spans="1:17" ht="33.950000000000003" customHeight="1">
      <c r="A2" s="34" t="s">
        <v>839</v>
      </c>
      <c r="B2" s="35"/>
      <c r="C2" s="35"/>
      <c r="D2" s="35"/>
      <c r="E2" s="35"/>
      <c r="F2" s="35"/>
      <c r="G2" s="35"/>
      <c r="H2" s="35"/>
      <c r="I2" s="35"/>
      <c r="J2" s="35"/>
      <c r="K2" s="35"/>
      <c r="L2" s="35"/>
      <c r="M2" s="35"/>
      <c r="N2" s="35"/>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840</v>
      </c>
      <c r="B6" s="4" t="s">
        <v>570</v>
      </c>
      <c r="C6" s="4" t="s">
        <v>564</v>
      </c>
      <c r="D6" s="4" t="s">
        <v>841</v>
      </c>
      <c r="E6" s="4" t="s">
        <v>842</v>
      </c>
      <c r="F6" s="4" t="s">
        <v>843</v>
      </c>
      <c r="G6" s="4" t="s">
        <v>844</v>
      </c>
      <c r="H6" s="4" t="s">
        <v>845</v>
      </c>
      <c r="I6" s="4" t="s">
        <v>846</v>
      </c>
      <c r="J6" s="4" t="s">
        <v>847</v>
      </c>
      <c r="K6" s="4" t="s">
        <v>848</v>
      </c>
      <c r="L6" s="4" t="s">
        <v>849</v>
      </c>
      <c r="M6" s="4" t="s">
        <v>714</v>
      </c>
      <c r="N6" s="4" t="s">
        <v>715</v>
      </c>
      <c r="O6" s="3"/>
      <c r="P6" s="3"/>
      <c r="Q6" s="3"/>
    </row>
    <row r="7" spans="1:17" ht="15">
      <c r="A7" s="12" t="s">
        <v>850</v>
      </c>
      <c r="B7" s="12" t="s">
        <v>753</v>
      </c>
      <c r="C7" s="12" t="s">
        <v>754</v>
      </c>
      <c r="D7" s="12" t="s">
        <v>851</v>
      </c>
      <c r="E7" s="12" t="s">
        <v>732</v>
      </c>
      <c r="F7" s="12" t="s">
        <v>362</v>
      </c>
      <c r="G7" s="12"/>
      <c r="H7" s="15"/>
      <c r="I7" s="15"/>
      <c r="J7" s="16" t="str">
        <f t="shared" ref="J7:J38" si="0">IF(H7="","",MAX(H7-I7,0))</f>
        <v/>
      </c>
      <c r="K7" s="12" t="s">
        <v>732</v>
      </c>
      <c r="L7" s="12" t="s">
        <v>824</v>
      </c>
      <c r="M7" s="12" t="s">
        <v>523</v>
      </c>
      <c r="N7" s="12" t="s">
        <v>318</v>
      </c>
      <c r="O7" s="3"/>
      <c r="P7" s="3"/>
      <c r="Q7" s="3"/>
    </row>
    <row r="8" spans="1:17" ht="15">
      <c r="A8" s="12"/>
      <c r="B8" s="12"/>
      <c r="C8" s="12"/>
      <c r="D8" s="12"/>
      <c r="E8" s="12"/>
      <c r="F8" s="12"/>
      <c r="G8" s="12"/>
      <c r="H8" s="15"/>
      <c r="I8" s="15"/>
      <c r="J8" s="16" t="str">
        <f t="shared" si="0"/>
        <v/>
      </c>
      <c r="K8" s="12"/>
      <c r="L8" s="12"/>
      <c r="M8" s="12"/>
      <c r="N8" s="12"/>
      <c r="O8" s="3"/>
      <c r="P8" s="3"/>
      <c r="Q8" s="3"/>
    </row>
    <row r="9" spans="1:17" ht="15">
      <c r="A9" s="12"/>
      <c r="B9" s="12"/>
      <c r="C9" s="12"/>
      <c r="D9" s="12"/>
      <c r="E9" s="12"/>
      <c r="F9" s="12"/>
      <c r="G9" s="12"/>
      <c r="H9" s="15"/>
      <c r="I9" s="15"/>
      <c r="J9" s="16" t="str">
        <f t="shared" si="0"/>
        <v/>
      </c>
      <c r="K9" s="12"/>
      <c r="L9" s="12"/>
      <c r="M9" s="12"/>
      <c r="N9" s="12"/>
      <c r="O9" s="3"/>
      <c r="P9" s="3"/>
      <c r="Q9" s="3"/>
    </row>
    <row r="10" spans="1:17" ht="15">
      <c r="A10" s="12"/>
      <c r="B10" s="12"/>
      <c r="C10" s="12"/>
      <c r="D10" s="12"/>
      <c r="E10" s="12"/>
      <c r="F10" s="12"/>
      <c r="G10" s="12"/>
      <c r="H10" s="15"/>
      <c r="I10" s="15"/>
      <c r="J10" s="16" t="str">
        <f t="shared" si="0"/>
        <v/>
      </c>
      <c r="K10" s="12"/>
      <c r="L10" s="12"/>
      <c r="M10" s="12"/>
      <c r="N10" s="12"/>
      <c r="O10" s="3"/>
      <c r="P10" s="3"/>
      <c r="Q10" s="3"/>
    </row>
    <row r="11" spans="1:17" ht="15">
      <c r="A11" s="12"/>
      <c r="B11" s="12"/>
      <c r="C11" s="12"/>
      <c r="D11" s="12"/>
      <c r="E11" s="12"/>
      <c r="F11" s="12"/>
      <c r="G11" s="12"/>
      <c r="H11" s="15"/>
      <c r="I11" s="15"/>
      <c r="J11" s="16" t="str">
        <f t="shared" si="0"/>
        <v/>
      </c>
      <c r="K11" s="12"/>
      <c r="L11" s="12"/>
      <c r="M11" s="12"/>
      <c r="N11" s="12"/>
      <c r="O11" s="3"/>
      <c r="P11" s="3"/>
      <c r="Q11" s="3"/>
    </row>
    <row r="12" spans="1:17" ht="15">
      <c r="A12" s="12"/>
      <c r="B12" s="12"/>
      <c r="C12" s="12"/>
      <c r="D12" s="12"/>
      <c r="E12" s="12"/>
      <c r="F12" s="12"/>
      <c r="G12" s="12"/>
      <c r="H12" s="15"/>
      <c r="I12" s="15"/>
      <c r="J12" s="16" t="str">
        <f t="shared" si="0"/>
        <v/>
      </c>
      <c r="K12" s="12"/>
      <c r="L12" s="12"/>
      <c r="M12" s="12"/>
      <c r="N12" s="12"/>
      <c r="O12" s="3"/>
      <c r="P12" s="3"/>
      <c r="Q12" s="3"/>
    </row>
    <row r="13" spans="1:17" ht="15">
      <c r="A13" s="12"/>
      <c r="B13" s="12"/>
      <c r="C13" s="12"/>
      <c r="D13" s="12"/>
      <c r="E13" s="12"/>
      <c r="F13" s="12"/>
      <c r="G13" s="12"/>
      <c r="H13" s="15"/>
      <c r="I13" s="15"/>
      <c r="J13" s="16" t="str">
        <f t="shared" si="0"/>
        <v/>
      </c>
      <c r="K13" s="12"/>
      <c r="L13" s="12"/>
      <c r="M13" s="12"/>
      <c r="N13" s="12"/>
      <c r="O13" s="3"/>
      <c r="P13" s="3"/>
      <c r="Q13" s="3"/>
    </row>
    <row r="14" spans="1:17" ht="15">
      <c r="A14" s="12"/>
      <c r="B14" s="12"/>
      <c r="C14" s="12"/>
      <c r="D14" s="12"/>
      <c r="E14" s="12"/>
      <c r="F14" s="12"/>
      <c r="G14" s="12"/>
      <c r="H14" s="15"/>
      <c r="I14" s="15"/>
      <c r="J14" s="16" t="str">
        <f t="shared" si="0"/>
        <v/>
      </c>
      <c r="K14" s="12"/>
      <c r="L14" s="12"/>
      <c r="M14" s="12"/>
      <c r="N14" s="12"/>
      <c r="O14" s="3"/>
      <c r="P14" s="3"/>
      <c r="Q14" s="3"/>
    </row>
    <row r="15" spans="1:17" ht="15">
      <c r="A15" s="12"/>
      <c r="B15" s="12"/>
      <c r="C15" s="12"/>
      <c r="D15" s="12"/>
      <c r="E15" s="12"/>
      <c r="F15" s="12"/>
      <c r="G15" s="12"/>
      <c r="H15" s="15"/>
      <c r="I15" s="15"/>
      <c r="J15" s="16" t="str">
        <f t="shared" si="0"/>
        <v/>
      </c>
      <c r="K15" s="12"/>
      <c r="L15" s="12"/>
      <c r="M15" s="12"/>
      <c r="N15" s="12"/>
      <c r="O15" s="3"/>
      <c r="P15" s="3"/>
      <c r="Q15" s="3"/>
    </row>
    <row r="16" spans="1:17" ht="15">
      <c r="A16" s="12"/>
      <c r="B16" s="12"/>
      <c r="C16" s="12"/>
      <c r="D16" s="12"/>
      <c r="E16" s="12"/>
      <c r="F16" s="12"/>
      <c r="G16" s="12"/>
      <c r="H16" s="15"/>
      <c r="I16" s="15"/>
      <c r="J16" s="16" t="str">
        <f t="shared" si="0"/>
        <v/>
      </c>
      <c r="K16" s="12"/>
      <c r="L16" s="12"/>
      <c r="M16" s="12"/>
      <c r="N16" s="12"/>
      <c r="O16" s="3"/>
      <c r="P16" s="3"/>
      <c r="Q16" s="3"/>
    </row>
    <row r="17" spans="1:17" ht="15">
      <c r="A17" s="12"/>
      <c r="B17" s="12"/>
      <c r="C17" s="12"/>
      <c r="D17" s="12"/>
      <c r="E17" s="12"/>
      <c r="F17" s="12"/>
      <c r="G17" s="12"/>
      <c r="H17" s="15"/>
      <c r="I17" s="15"/>
      <c r="J17" s="16" t="str">
        <f t="shared" si="0"/>
        <v/>
      </c>
      <c r="K17" s="12"/>
      <c r="L17" s="12"/>
      <c r="M17" s="12"/>
      <c r="N17" s="12"/>
      <c r="O17" s="3"/>
      <c r="P17" s="3"/>
      <c r="Q17" s="3"/>
    </row>
    <row r="18" spans="1:17" ht="15">
      <c r="A18" s="12"/>
      <c r="B18" s="12"/>
      <c r="C18" s="12"/>
      <c r="D18" s="12"/>
      <c r="E18" s="12"/>
      <c r="F18" s="12"/>
      <c r="G18" s="12"/>
      <c r="H18" s="15"/>
      <c r="I18" s="15"/>
      <c r="J18" s="16" t="str">
        <f t="shared" si="0"/>
        <v/>
      </c>
      <c r="K18" s="12"/>
      <c r="L18" s="12"/>
      <c r="M18" s="12"/>
      <c r="N18" s="12"/>
      <c r="O18" s="3"/>
      <c r="P18" s="3"/>
      <c r="Q18" s="3"/>
    </row>
    <row r="19" spans="1:17" ht="15">
      <c r="A19" s="12"/>
      <c r="B19" s="12"/>
      <c r="C19" s="12"/>
      <c r="D19" s="12"/>
      <c r="E19" s="12"/>
      <c r="F19" s="12"/>
      <c r="G19" s="12"/>
      <c r="H19" s="15"/>
      <c r="I19" s="15"/>
      <c r="J19" s="16" t="str">
        <f t="shared" si="0"/>
        <v/>
      </c>
      <c r="K19" s="12"/>
      <c r="L19" s="12"/>
      <c r="M19" s="12"/>
      <c r="N19" s="12"/>
      <c r="O19" s="3"/>
      <c r="P19" s="3"/>
      <c r="Q19" s="3"/>
    </row>
    <row r="20" spans="1:17" ht="15">
      <c r="A20" s="12"/>
      <c r="B20" s="12"/>
      <c r="C20" s="12"/>
      <c r="D20" s="12"/>
      <c r="E20" s="12"/>
      <c r="F20" s="12"/>
      <c r="G20" s="12"/>
      <c r="H20" s="15"/>
      <c r="I20" s="15"/>
      <c r="J20" s="16" t="str">
        <f t="shared" si="0"/>
        <v/>
      </c>
      <c r="K20" s="12"/>
      <c r="L20" s="12"/>
      <c r="M20" s="12"/>
      <c r="N20" s="12"/>
      <c r="O20" s="3"/>
      <c r="P20" s="3"/>
      <c r="Q20" s="3"/>
    </row>
    <row r="21" spans="1:17" ht="15">
      <c r="A21" s="12"/>
      <c r="B21" s="12"/>
      <c r="C21" s="12"/>
      <c r="D21" s="12"/>
      <c r="E21" s="12"/>
      <c r="F21" s="12"/>
      <c r="G21" s="12"/>
      <c r="H21" s="15"/>
      <c r="I21" s="15"/>
      <c r="J21" s="16" t="str">
        <f t="shared" si="0"/>
        <v/>
      </c>
      <c r="K21" s="12"/>
      <c r="L21" s="12"/>
      <c r="M21" s="12"/>
      <c r="N21" s="12"/>
      <c r="O21" s="3"/>
      <c r="P21" s="3"/>
      <c r="Q21" s="3"/>
    </row>
    <row r="22" spans="1:17" ht="15">
      <c r="A22" s="12"/>
      <c r="B22" s="12"/>
      <c r="C22" s="12"/>
      <c r="D22" s="12"/>
      <c r="E22" s="12"/>
      <c r="F22" s="12"/>
      <c r="G22" s="12"/>
      <c r="H22" s="15"/>
      <c r="I22" s="15"/>
      <c r="J22" s="16" t="str">
        <f t="shared" si="0"/>
        <v/>
      </c>
      <c r="K22" s="12"/>
      <c r="L22" s="12"/>
      <c r="M22" s="12"/>
      <c r="N22" s="12"/>
      <c r="O22" s="3"/>
      <c r="P22" s="3"/>
      <c r="Q22" s="3"/>
    </row>
    <row r="23" spans="1:17" ht="15">
      <c r="A23" s="12"/>
      <c r="B23" s="12"/>
      <c r="C23" s="12"/>
      <c r="D23" s="12"/>
      <c r="E23" s="12"/>
      <c r="F23" s="12"/>
      <c r="G23" s="12"/>
      <c r="H23" s="15"/>
      <c r="I23" s="15"/>
      <c r="J23" s="16" t="str">
        <f t="shared" si="0"/>
        <v/>
      </c>
      <c r="K23" s="12"/>
      <c r="L23" s="12"/>
      <c r="M23" s="12"/>
      <c r="N23" s="12"/>
      <c r="O23" s="3"/>
      <c r="P23" s="3"/>
      <c r="Q23" s="3"/>
    </row>
    <row r="24" spans="1:17" ht="15">
      <c r="A24" s="12"/>
      <c r="B24" s="12"/>
      <c r="C24" s="12"/>
      <c r="D24" s="12"/>
      <c r="E24" s="12"/>
      <c r="F24" s="12"/>
      <c r="G24" s="12"/>
      <c r="H24" s="15"/>
      <c r="I24" s="15"/>
      <c r="J24" s="16" t="str">
        <f t="shared" si="0"/>
        <v/>
      </c>
      <c r="K24" s="12"/>
      <c r="L24" s="12"/>
      <c r="M24" s="12"/>
      <c r="N24" s="12"/>
      <c r="O24" s="3"/>
      <c r="P24" s="3"/>
      <c r="Q24" s="3"/>
    </row>
    <row r="25" spans="1:17" ht="15">
      <c r="A25" s="12"/>
      <c r="B25" s="12"/>
      <c r="C25" s="12"/>
      <c r="D25" s="12"/>
      <c r="E25" s="12"/>
      <c r="F25" s="12"/>
      <c r="G25" s="12"/>
      <c r="H25" s="15"/>
      <c r="I25" s="15"/>
      <c r="J25" s="16" t="str">
        <f t="shared" si="0"/>
        <v/>
      </c>
      <c r="K25" s="12"/>
      <c r="L25" s="12"/>
      <c r="M25" s="12"/>
      <c r="N25" s="12"/>
      <c r="O25" s="3"/>
      <c r="P25" s="3"/>
      <c r="Q25" s="3"/>
    </row>
    <row r="26" spans="1:17" ht="15">
      <c r="A26" s="12"/>
      <c r="B26" s="12"/>
      <c r="C26" s="12"/>
      <c r="D26" s="12"/>
      <c r="E26" s="12"/>
      <c r="F26" s="12"/>
      <c r="G26" s="12"/>
      <c r="H26" s="15"/>
      <c r="I26" s="15"/>
      <c r="J26" s="16" t="str">
        <f t="shared" si="0"/>
        <v/>
      </c>
      <c r="K26" s="12"/>
      <c r="L26" s="12"/>
      <c r="M26" s="12"/>
      <c r="N26" s="12"/>
      <c r="O26" s="3"/>
      <c r="P26" s="3"/>
      <c r="Q26" s="3"/>
    </row>
    <row r="27" spans="1:17" ht="15">
      <c r="A27" s="12"/>
      <c r="B27" s="12"/>
      <c r="C27" s="12"/>
      <c r="D27" s="12"/>
      <c r="E27" s="12"/>
      <c r="F27" s="12"/>
      <c r="G27" s="12"/>
      <c r="H27" s="15"/>
      <c r="I27" s="15"/>
      <c r="J27" s="16" t="str">
        <f t="shared" si="0"/>
        <v/>
      </c>
      <c r="K27" s="12"/>
      <c r="L27" s="12"/>
      <c r="M27" s="12"/>
      <c r="N27" s="12"/>
      <c r="O27" s="3"/>
      <c r="P27" s="3"/>
      <c r="Q27" s="3"/>
    </row>
    <row r="28" spans="1:17" ht="15">
      <c r="A28" s="12"/>
      <c r="B28" s="12"/>
      <c r="C28" s="12"/>
      <c r="D28" s="12"/>
      <c r="E28" s="12"/>
      <c r="F28" s="12"/>
      <c r="G28" s="12"/>
      <c r="H28" s="15"/>
      <c r="I28" s="15"/>
      <c r="J28" s="16" t="str">
        <f t="shared" si="0"/>
        <v/>
      </c>
      <c r="K28" s="12"/>
      <c r="L28" s="12"/>
      <c r="M28" s="12"/>
      <c r="N28" s="12"/>
      <c r="O28" s="3"/>
      <c r="P28" s="3"/>
      <c r="Q28" s="3"/>
    </row>
    <row r="29" spans="1:17" ht="15">
      <c r="A29" s="12"/>
      <c r="B29" s="12"/>
      <c r="C29" s="12"/>
      <c r="D29" s="12"/>
      <c r="E29" s="12"/>
      <c r="F29" s="12"/>
      <c r="G29" s="12"/>
      <c r="H29" s="15"/>
      <c r="I29" s="15"/>
      <c r="J29" s="16" t="str">
        <f t="shared" si="0"/>
        <v/>
      </c>
      <c r="K29" s="12"/>
      <c r="L29" s="12"/>
      <c r="M29" s="12"/>
      <c r="N29" s="12"/>
      <c r="O29" s="3"/>
      <c r="P29" s="3"/>
      <c r="Q29" s="3"/>
    </row>
    <row r="30" spans="1:17" ht="15">
      <c r="A30" s="12"/>
      <c r="B30" s="12"/>
      <c r="C30" s="12"/>
      <c r="D30" s="12"/>
      <c r="E30" s="12"/>
      <c r="F30" s="12"/>
      <c r="G30" s="12"/>
      <c r="H30" s="15"/>
      <c r="I30" s="15"/>
      <c r="J30" s="16" t="str">
        <f t="shared" si="0"/>
        <v/>
      </c>
      <c r="K30" s="12"/>
      <c r="L30" s="12"/>
      <c r="M30" s="12"/>
      <c r="N30" s="12"/>
      <c r="O30" s="3"/>
      <c r="P30" s="3"/>
      <c r="Q30" s="3"/>
    </row>
    <row r="31" spans="1:17" ht="15">
      <c r="A31" s="12"/>
      <c r="B31" s="12"/>
      <c r="C31" s="12"/>
      <c r="D31" s="12"/>
      <c r="E31" s="12"/>
      <c r="F31" s="12"/>
      <c r="G31" s="12"/>
      <c r="H31" s="15"/>
      <c r="I31" s="15"/>
      <c r="J31" s="16" t="str">
        <f t="shared" si="0"/>
        <v/>
      </c>
      <c r="K31" s="12"/>
      <c r="L31" s="12"/>
      <c r="M31" s="12"/>
      <c r="N31" s="12"/>
      <c r="O31" s="3"/>
      <c r="P31" s="3"/>
      <c r="Q31" s="3"/>
    </row>
    <row r="32" spans="1:17" ht="15">
      <c r="A32" s="12"/>
      <c r="B32" s="12"/>
      <c r="C32" s="12"/>
      <c r="D32" s="12"/>
      <c r="E32" s="12"/>
      <c r="F32" s="12"/>
      <c r="G32" s="12"/>
      <c r="H32" s="15"/>
      <c r="I32" s="15"/>
      <c r="J32" s="16" t="str">
        <f t="shared" si="0"/>
        <v/>
      </c>
      <c r="K32" s="12"/>
      <c r="L32" s="12"/>
      <c r="M32" s="12"/>
      <c r="N32" s="12"/>
      <c r="O32" s="3"/>
      <c r="P32" s="3"/>
      <c r="Q32" s="3"/>
    </row>
    <row r="33" spans="1:17" ht="15">
      <c r="A33" s="12"/>
      <c r="B33" s="12"/>
      <c r="C33" s="12"/>
      <c r="D33" s="12"/>
      <c r="E33" s="12"/>
      <c r="F33" s="12"/>
      <c r="G33" s="12"/>
      <c r="H33" s="15"/>
      <c r="I33" s="15"/>
      <c r="J33" s="16" t="str">
        <f t="shared" si="0"/>
        <v/>
      </c>
      <c r="K33" s="12"/>
      <c r="L33" s="12"/>
      <c r="M33" s="12"/>
      <c r="N33" s="12"/>
      <c r="O33" s="3"/>
      <c r="P33" s="3"/>
      <c r="Q33" s="3"/>
    </row>
    <row r="34" spans="1:17" ht="15">
      <c r="A34" s="12"/>
      <c r="B34" s="12"/>
      <c r="C34" s="12"/>
      <c r="D34" s="12"/>
      <c r="E34" s="12"/>
      <c r="F34" s="12"/>
      <c r="G34" s="12"/>
      <c r="H34" s="15"/>
      <c r="I34" s="15"/>
      <c r="J34" s="16" t="str">
        <f t="shared" si="0"/>
        <v/>
      </c>
      <c r="K34" s="12"/>
      <c r="L34" s="12"/>
      <c r="M34" s="12"/>
      <c r="N34" s="12"/>
      <c r="O34" s="3"/>
      <c r="P34" s="3"/>
      <c r="Q34" s="3"/>
    </row>
    <row r="35" spans="1:17" ht="15">
      <c r="A35" s="12"/>
      <c r="B35" s="12"/>
      <c r="C35" s="12"/>
      <c r="D35" s="12"/>
      <c r="E35" s="12"/>
      <c r="F35" s="12"/>
      <c r="G35" s="12"/>
      <c r="H35" s="15"/>
      <c r="I35" s="15"/>
      <c r="J35" s="16" t="str">
        <f t="shared" si="0"/>
        <v/>
      </c>
      <c r="K35" s="12"/>
      <c r="L35" s="12"/>
      <c r="M35" s="12"/>
      <c r="N35" s="12"/>
      <c r="O35" s="3"/>
      <c r="P35" s="3"/>
      <c r="Q35" s="3"/>
    </row>
    <row r="36" spans="1:17" ht="15">
      <c r="A36" s="12"/>
      <c r="B36" s="12"/>
      <c r="C36" s="12"/>
      <c r="D36" s="12"/>
      <c r="E36" s="12"/>
      <c r="F36" s="12"/>
      <c r="G36" s="12"/>
      <c r="H36" s="15"/>
      <c r="I36" s="15"/>
      <c r="J36" s="16" t="str">
        <f t="shared" si="0"/>
        <v/>
      </c>
      <c r="K36" s="12"/>
      <c r="L36" s="12"/>
      <c r="M36" s="12"/>
      <c r="N36" s="12"/>
      <c r="O36" s="3"/>
      <c r="P36" s="3"/>
      <c r="Q36" s="3"/>
    </row>
    <row r="37" spans="1:17" ht="15">
      <c r="A37" s="12"/>
      <c r="B37" s="12"/>
      <c r="C37" s="12"/>
      <c r="D37" s="12"/>
      <c r="E37" s="12"/>
      <c r="F37" s="12"/>
      <c r="G37" s="12"/>
      <c r="H37" s="15"/>
      <c r="I37" s="15"/>
      <c r="J37" s="16" t="str">
        <f t="shared" si="0"/>
        <v/>
      </c>
      <c r="K37" s="12"/>
      <c r="L37" s="12"/>
      <c r="M37" s="12"/>
      <c r="N37" s="12"/>
      <c r="O37" s="3"/>
      <c r="P37" s="3"/>
      <c r="Q37" s="3"/>
    </row>
    <row r="38" spans="1:17" ht="15">
      <c r="A38" s="12"/>
      <c r="B38" s="12"/>
      <c r="C38" s="12"/>
      <c r="D38" s="12"/>
      <c r="E38" s="12"/>
      <c r="F38" s="12"/>
      <c r="G38" s="12"/>
      <c r="H38" s="15"/>
      <c r="I38" s="15"/>
      <c r="J38" s="16" t="str">
        <f t="shared" si="0"/>
        <v/>
      </c>
      <c r="K38" s="12"/>
      <c r="L38" s="12"/>
      <c r="M38" s="12"/>
      <c r="N38" s="12"/>
      <c r="O38" s="3"/>
      <c r="P38" s="3"/>
      <c r="Q38" s="3"/>
    </row>
    <row r="39" spans="1:17" ht="15">
      <c r="A39" s="12"/>
      <c r="B39" s="12"/>
      <c r="C39" s="12"/>
      <c r="D39" s="12"/>
      <c r="E39" s="12"/>
      <c r="F39" s="12"/>
      <c r="G39" s="12"/>
      <c r="H39" s="15"/>
      <c r="I39" s="15"/>
      <c r="J39" s="16" t="str">
        <f t="shared" ref="J39:J70" si="1">IF(H39="","",MAX(H39-I39,0))</f>
        <v/>
      </c>
      <c r="K39" s="12"/>
      <c r="L39" s="12"/>
      <c r="M39" s="12"/>
      <c r="N39" s="12"/>
      <c r="O39" s="3"/>
      <c r="P39" s="3"/>
      <c r="Q39" s="3"/>
    </row>
    <row r="40" spans="1:17" ht="15">
      <c r="A40" s="12"/>
      <c r="B40" s="12"/>
      <c r="C40" s="12"/>
      <c r="D40" s="12"/>
      <c r="E40" s="12"/>
      <c r="F40" s="12"/>
      <c r="G40" s="12"/>
      <c r="H40" s="15"/>
      <c r="I40" s="15"/>
      <c r="J40" s="16" t="str">
        <f t="shared" si="1"/>
        <v/>
      </c>
      <c r="K40" s="12"/>
      <c r="L40" s="12"/>
      <c r="M40" s="12"/>
      <c r="N40" s="12"/>
      <c r="O40" s="3"/>
      <c r="P40" s="3"/>
      <c r="Q40" s="3"/>
    </row>
    <row r="41" spans="1:17" ht="15">
      <c r="A41" s="12"/>
      <c r="B41" s="12"/>
      <c r="C41" s="12"/>
      <c r="D41" s="12"/>
      <c r="E41" s="12"/>
      <c r="F41" s="12"/>
      <c r="G41" s="12"/>
      <c r="H41" s="15"/>
      <c r="I41" s="15"/>
      <c r="J41" s="16" t="str">
        <f t="shared" si="1"/>
        <v/>
      </c>
      <c r="K41" s="12"/>
      <c r="L41" s="12"/>
      <c r="M41" s="12"/>
      <c r="N41" s="12"/>
      <c r="O41" s="3"/>
      <c r="P41" s="3"/>
      <c r="Q41" s="3"/>
    </row>
    <row r="42" spans="1:17" ht="15">
      <c r="A42" s="12"/>
      <c r="B42" s="12"/>
      <c r="C42" s="12"/>
      <c r="D42" s="12"/>
      <c r="E42" s="12"/>
      <c r="F42" s="12"/>
      <c r="G42" s="12"/>
      <c r="H42" s="15"/>
      <c r="I42" s="15"/>
      <c r="J42" s="16" t="str">
        <f t="shared" si="1"/>
        <v/>
      </c>
      <c r="K42" s="12"/>
      <c r="L42" s="12"/>
      <c r="M42" s="12"/>
      <c r="N42" s="12"/>
      <c r="O42" s="3"/>
      <c r="P42" s="3"/>
      <c r="Q42" s="3"/>
    </row>
    <row r="43" spans="1:17" ht="15">
      <c r="A43" s="12"/>
      <c r="B43" s="12"/>
      <c r="C43" s="12"/>
      <c r="D43" s="12"/>
      <c r="E43" s="12"/>
      <c r="F43" s="12"/>
      <c r="G43" s="12"/>
      <c r="H43" s="15"/>
      <c r="I43" s="15"/>
      <c r="J43" s="16" t="str">
        <f t="shared" si="1"/>
        <v/>
      </c>
      <c r="K43" s="12"/>
      <c r="L43" s="12"/>
      <c r="M43" s="12"/>
      <c r="N43" s="12"/>
      <c r="O43" s="3"/>
      <c r="P43" s="3"/>
      <c r="Q43" s="3"/>
    </row>
    <row r="44" spans="1:17" ht="15">
      <c r="A44" s="12"/>
      <c r="B44" s="12"/>
      <c r="C44" s="12"/>
      <c r="D44" s="12"/>
      <c r="E44" s="12"/>
      <c r="F44" s="12"/>
      <c r="G44" s="12"/>
      <c r="H44" s="15"/>
      <c r="I44" s="15"/>
      <c r="J44" s="16" t="str">
        <f t="shared" si="1"/>
        <v/>
      </c>
      <c r="K44" s="12"/>
      <c r="L44" s="12"/>
      <c r="M44" s="12"/>
      <c r="N44" s="12"/>
      <c r="O44" s="3"/>
      <c r="P44" s="3"/>
      <c r="Q44" s="3"/>
    </row>
    <row r="45" spans="1:17" ht="15">
      <c r="A45" s="12"/>
      <c r="B45" s="12"/>
      <c r="C45" s="12"/>
      <c r="D45" s="12"/>
      <c r="E45" s="12"/>
      <c r="F45" s="12"/>
      <c r="G45" s="12"/>
      <c r="H45" s="15"/>
      <c r="I45" s="15"/>
      <c r="J45" s="16" t="str">
        <f t="shared" si="1"/>
        <v/>
      </c>
      <c r="K45" s="12"/>
      <c r="L45" s="12"/>
      <c r="M45" s="12"/>
      <c r="N45" s="12"/>
      <c r="O45" s="3"/>
      <c r="P45" s="3"/>
      <c r="Q45" s="3"/>
    </row>
    <row r="46" spans="1:17" ht="15">
      <c r="A46" s="12"/>
      <c r="B46" s="12"/>
      <c r="C46" s="12"/>
      <c r="D46" s="12"/>
      <c r="E46" s="12"/>
      <c r="F46" s="12"/>
      <c r="G46" s="12"/>
      <c r="H46" s="15"/>
      <c r="I46" s="15"/>
      <c r="J46" s="16" t="str">
        <f t="shared" si="1"/>
        <v/>
      </c>
      <c r="K46" s="12"/>
      <c r="L46" s="12"/>
      <c r="M46" s="12"/>
      <c r="N46" s="12"/>
      <c r="O46" s="3"/>
      <c r="P46" s="3"/>
      <c r="Q46" s="3"/>
    </row>
    <row r="47" spans="1:17" ht="15">
      <c r="A47" s="12"/>
      <c r="B47" s="12"/>
      <c r="C47" s="12"/>
      <c r="D47" s="12"/>
      <c r="E47" s="12"/>
      <c r="F47" s="12"/>
      <c r="G47" s="12"/>
      <c r="H47" s="15"/>
      <c r="I47" s="15"/>
      <c r="J47" s="16" t="str">
        <f t="shared" si="1"/>
        <v/>
      </c>
      <c r="K47" s="12"/>
      <c r="L47" s="12"/>
      <c r="M47" s="12"/>
      <c r="N47" s="12"/>
      <c r="O47" s="3"/>
      <c r="P47" s="3"/>
      <c r="Q47" s="3"/>
    </row>
    <row r="48" spans="1:17" ht="15">
      <c r="A48" s="12"/>
      <c r="B48" s="12"/>
      <c r="C48" s="12"/>
      <c r="D48" s="12"/>
      <c r="E48" s="12"/>
      <c r="F48" s="12"/>
      <c r="G48" s="12"/>
      <c r="H48" s="15"/>
      <c r="I48" s="15"/>
      <c r="J48" s="16" t="str">
        <f t="shared" si="1"/>
        <v/>
      </c>
      <c r="K48" s="12"/>
      <c r="L48" s="12"/>
      <c r="M48" s="12"/>
      <c r="N48" s="12"/>
      <c r="O48" s="3"/>
      <c r="P48" s="3"/>
      <c r="Q48" s="3"/>
    </row>
    <row r="49" spans="1:17" ht="15">
      <c r="A49" s="12"/>
      <c r="B49" s="12"/>
      <c r="C49" s="12"/>
      <c r="D49" s="12"/>
      <c r="E49" s="12"/>
      <c r="F49" s="12"/>
      <c r="G49" s="12"/>
      <c r="H49" s="15"/>
      <c r="I49" s="15"/>
      <c r="J49" s="16" t="str">
        <f t="shared" si="1"/>
        <v/>
      </c>
      <c r="K49" s="12"/>
      <c r="L49" s="12"/>
      <c r="M49" s="12"/>
      <c r="N49" s="12"/>
      <c r="O49" s="3"/>
      <c r="P49" s="3"/>
      <c r="Q49" s="3"/>
    </row>
    <row r="50" spans="1:17" ht="15">
      <c r="A50" s="12"/>
      <c r="B50" s="12"/>
      <c r="C50" s="12"/>
      <c r="D50" s="12"/>
      <c r="E50" s="12"/>
      <c r="F50" s="12"/>
      <c r="G50" s="12"/>
      <c r="H50" s="15"/>
      <c r="I50" s="15"/>
      <c r="J50" s="16" t="str">
        <f t="shared" si="1"/>
        <v/>
      </c>
      <c r="K50" s="12"/>
      <c r="L50" s="12"/>
      <c r="M50" s="12"/>
      <c r="N50" s="12"/>
      <c r="O50" s="3"/>
      <c r="P50" s="3"/>
      <c r="Q50" s="3"/>
    </row>
    <row r="51" spans="1:17" ht="15">
      <c r="A51" s="12"/>
      <c r="B51" s="12"/>
      <c r="C51" s="12"/>
      <c r="D51" s="12"/>
      <c r="E51" s="12"/>
      <c r="F51" s="12"/>
      <c r="G51" s="12"/>
      <c r="H51" s="15"/>
      <c r="I51" s="15"/>
      <c r="J51" s="16" t="str">
        <f t="shared" si="1"/>
        <v/>
      </c>
      <c r="K51" s="12"/>
      <c r="L51" s="12"/>
      <c r="M51" s="12"/>
      <c r="N51" s="12"/>
      <c r="O51" s="3"/>
      <c r="P51" s="3"/>
      <c r="Q51" s="3"/>
    </row>
    <row r="52" spans="1:17" ht="15">
      <c r="A52" s="12"/>
      <c r="B52" s="12"/>
      <c r="C52" s="12"/>
      <c r="D52" s="12"/>
      <c r="E52" s="12"/>
      <c r="F52" s="12"/>
      <c r="G52" s="12"/>
      <c r="H52" s="15"/>
      <c r="I52" s="15"/>
      <c r="J52" s="16" t="str">
        <f t="shared" si="1"/>
        <v/>
      </c>
      <c r="K52" s="12"/>
      <c r="L52" s="12"/>
      <c r="M52" s="12"/>
      <c r="N52" s="12"/>
      <c r="O52" s="3"/>
      <c r="P52" s="3"/>
      <c r="Q52" s="3"/>
    </row>
    <row r="53" spans="1:17" ht="15">
      <c r="A53" s="12"/>
      <c r="B53" s="12"/>
      <c r="C53" s="12"/>
      <c r="D53" s="12"/>
      <c r="E53" s="12"/>
      <c r="F53" s="12"/>
      <c r="G53" s="12"/>
      <c r="H53" s="15"/>
      <c r="I53" s="15"/>
      <c r="J53" s="16" t="str">
        <f t="shared" si="1"/>
        <v/>
      </c>
      <c r="K53" s="12"/>
      <c r="L53" s="12"/>
      <c r="M53" s="12"/>
      <c r="N53" s="12"/>
      <c r="O53" s="3"/>
      <c r="P53" s="3"/>
      <c r="Q53" s="3"/>
    </row>
    <row r="54" spans="1:17" ht="15">
      <c r="A54" s="12"/>
      <c r="B54" s="12"/>
      <c r="C54" s="12"/>
      <c r="D54" s="12"/>
      <c r="E54" s="12"/>
      <c r="F54" s="12"/>
      <c r="G54" s="12"/>
      <c r="H54" s="15"/>
      <c r="I54" s="15"/>
      <c r="J54" s="16" t="str">
        <f t="shared" si="1"/>
        <v/>
      </c>
      <c r="K54" s="12"/>
      <c r="L54" s="12"/>
      <c r="M54" s="12"/>
      <c r="N54" s="12"/>
      <c r="O54" s="3"/>
      <c r="P54" s="3"/>
      <c r="Q54" s="3"/>
    </row>
    <row r="55" spans="1:17" ht="15">
      <c r="A55" s="12"/>
      <c r="B55" s="12"/>
      <c r="C55" s="12"/>
      <c r="D55" s="12"/>
      <c r="E55" s="12"/>
      <c r="F55" s="12"/>
      <c r="G55" s="12"/>
      <c r="H55" s="15"/>
      <c r="I55" s="15"/>
      <c r="J55" s="16" t="str">
        <f t="shared" si="1"/>
        <v/>
      </c>
      <c r="K55" s="12"/>
      <c r="L55" s="12"/>
      <c r="M55" s="12"/>
      <c r="N55" s="12"/>
      <c r="O55" s="3"/>
      <c r="P55" s="3"/>
      <c r="Q55" s="3"/>
    </row>
    <row r="56" spans="1:17" ht="15">
      <c r="A56" s="12"/>
      <c r="B56" s="12"/>
      <c r="C56" s="12"/>
      <c r="D56" s="12"/>
      <c r="E56" s="12"/>
      <c r="F56" s="12"/>
      <c r="G56" s="12"/>
      <c r="H56" s="15"/>
      <c r="I56" s="15"/>
      <c r="J56" s="16" t="str">
        <f t="shared" si="1"/>
        <v/>
      </c>
      <c r="K56" s="12"/>
      <c r="L56" s="12"/>
      <c r="M56" s="12"/>
      <c r="N56" s="12"/>
      <c r="O56" s="3"/>
      <c r="P56" s="3"/>
      <c r="Q56" s="3"/>
    </row>
    <row r="57" spans="1:17" ht="15">
      <c r="A57" s="12"/>
      <c r="B57" s="12"/>
      <c r="C57" s="12"/>
      <c r="D57" s="12"/>
      <c r="E57" s="12"/>
      <c r="F57" s="12"/>
      <c r="G57" s="12"/>
      <c r="H57" s="15"/>
      <c r="I57" s="15"/>
      <c r="J57" s="16" t="str">
        <f t="shared" si="1"/>
        <v/>
      </c>
      <c r="K57" s="12"/>
      <c r="L57" s="12"/>
      <c r="M57" s="12"/>
      <c r="N57" s="12"/>
      <c r="O57" s="3"/>
      <c r="P57" s="3"/>
      <c r="Q57" s="3"/>
    </row>
    <row r="58" spans="1:17" ht="15">
      <c r="A58" s="12"/>
      <c r="B58" s="12"/>
      <c r="C58" s="12"/>
      <c r="D58" s="12"/>
      <c r="E58" s="12"/>
      <c r="F58" s="12"/>
      <c r="G58" s="12"/>
      <c r="H58" s="15"/>
      <c r="I58" s="15"/>
      <c r="J58" s="16" t="str">
        <f t="shared" si="1"/>
        <v/>
      </c>
      <c r="K58" s="12"/>
      <c r="L58" s="12"/>
      <c r="M58" s="12"/>
      <c r="N58" s="12"/>
      <c r="O58" s="3"/>
      <c r="P58" s="3"/>
      <c r="Q58" s="3"/>
    </row>
    <row r="59" spans="1:17" ht="15">
      <c r="A59" s="12"/>
      <c r="B59" s="12"/>
      <c r="C59" s="12"/>
      <c r="D59" s="12"/>
      <c r="E59" s="12"/>
      <c r="F59" s="12"/>
      <c r="G59" s="12"/>
      <c r="H59" s="15"/>
      <c r="I59" s="15"/>
      <c r="J59" s="16" t="str">
        <f t="shared" si="1"/>
        <v/>
      </c>
      <c r="K59" s="12"/>
      <c r="L59" s="12"/>
      <c r="M59" s="12"/>
      <c r="N59" s="12"/>
      <c r="O59" s="3"/>
      <c r="P59" s="3"/>
      <c r="Q59" s="3"/>
    </row>
    <row r="60" spans="1:17" ht="15">
      <c r="A60" s="12"/>
      <c r="B60" s="12"/>
      <c r="C60" s="12"/>
      <c r="D60" s="12"/>
      <c r="E60" s="12"/>
      <c r="F60" s="12"/>
      <c r="G60" s="12"/>
      <c r="H60" s="15"/>
      <c r="I60" s="15"/>
      <c r="J60" s="16" t="str">
        <f t="shared" si="1"/>
        <v/>
      </c>
      <c r="K60" s="12"/>
      <c r="L60" s="12"/>
      <c r="M60" s="12"/>
      <c r="N60" s="12"/>
      <c r="O60" s="3"/>
      <c r="P60" s="3"/>
      <c r="Q60" s="3"/>
    </row>
    <row r="61" spans="1:17" ht="15">
      <c r="A61" s="12"/>
      <c r="B61" s="12"/>
      <c r="C61" s="12"/>
      <c r="D61" s="12"/>
      <c r="E61" s="12"/>
      <c r="F61" s="12"/>
      <c r="G61" s="12"/>
      <c r="H61" s="15"/>
      <c r="I61" s="15"/>
      <c r="J61" s="16" t="str">
        <f t="shared" si="1"/>
        <v/>
      </c>
      <c r="K61" s="12"/>
      <c r="L61" s="12"/>
      <c r="M61" s="12"/>
      <c r="N61" s="12"/>
      <c r="O61" s="3"/>
      <c r="P61" s="3"/>
      <c r="Q61" s="3"/>
    </row>
    <row r="62" spans="1:17" ht="15">
      <c r="A62" s="12"/>
      <c r="B62" s="12"/>
      <c r="C62" s="12"/>
      <c r="D62" s="12"/>
      <c r="E62" s="12"/>
      <c r="F62" s="12"/>
      <c r="G62" s="12"/>
      <c r="H62" s="15"/>
      <c r="I62" s="15"/>
      <c r="J62" s="16" t="str">
        <f t="shared" si="1"/>
        <v/>
      </c>
      <c r="K62" s="12"/>
      <c r="L62" s="12"/>
      <c r="M62" s="12"/>
      <c r="N62" s="12"/>
      <c r="O62" s="3"/>
      <c r="P62" s="3"/>
      <c r="Q62" s="3"/>
    </row>
    <row r="63" spans="1:17" ht="15">
      <c r="A63" s="12"/>
      <c r="B63" s="12"/>
      <c r="C63" s="12"/>
      <c r="D63" s="12"/>
      <c r="E63" s="12"/>
      <c r="F63" s="12"/>
      <c r="G63" s="12"/>
      <c r="H63" s="15"/>
      <c r="I63" s="15"/>
      <c r="J63" s="16" t="str">
        <f t="shared" si="1"/>
        <v/>
      </c>
      <c r="K63" s="12"/>
      <c r="L63" s="12"/>
      <c r="M63" s="12"/>
      <c r="N63" s="12"/>
      <c r="O63" s="3"/>
      <c r="P63" s="3"/>
      <c r="Q63" s="3"/>
    </row>
    <row r="64" spans="1:17" ht="15">
      <c r="A64" s="12"/>
      <c r="B64" s="12"/>
      <c r="C64" s="12"/>
      <c r="D64" s="12"/>
      <c r="E64" s="12"/>
      <c r="F64" s="12"/>
      <c r="G64" s="12"/>
      <c r="H64" s="15"/>
      <c r="I64" s="15"/>
      <c r="J64" s="16" t="str">
        <f t="shared" si="1"/>
        <v/>
      </c>
      <c r="K64" s="12"/>
      <c r="L64" s="12"/>
      <c r="M64" s="12"/>
      <c r="N64" s="12"/>
      <c r="O64" s="3"/>
      <c r="P64" s="3"/>
      <c r="Q64" s="3"/>
    </row>
    <row r="65" spans="1:17" ht="15">
      <c r="A65" s="12"/>
      <c r="B65" s="12"/>
      <c r="C65" s="12"/>
      <c r="D65" s="12"/>
      <c r="E65" s="12"/>
      <c r="F65" s="12"/>
      <c r="G65" s="12"/>
      <c r="H65" s="15"/>
      <c r="I65" s="15"/>
      <c r="J65" s="16" t="str">
        <f t="shared" si="1"/>
        <v/>
      </c>
      <c r="K65" s="12"/>
      <c r="L65" s="12"/>
      <c r="M65" s="12"/>
      <c r="N65" s="12"/>
      <c r="O65" s="3"/>
      <c r="P65" s="3"/>
      <c r="Q65" s="3"/>
    </row>
    <row r="66" spans="1:17" ht="15">
      <c r="A66" s="12"/>
      <c r="B66" s="12"/>
      <c r="C66" s="12"/>
      <c r="D66" s="12"/>
      <c r="E66" s="12"/>
      <c r="F66" s="12"/>
      <c r="G66" s="12"/>
      <c r="H66" s="15"/>
      <c r="I66" s="15"/>
      <c r="J66" s="16" t="str">
        <f t="shared" si="1"/>
        <v/>
      </c>
      <c r="K66" s="12"/>
      <c r="L66" s="12"/>
      <c r="M66" s="12"/>
      <c r="N66" s="12"/>
      <c r="O66" s="3"/>
      <c r="P66" s="3"/>
      <c r="Q66" s="3"/>
    </row>
    <row r="67" spans="1:17" ht="15">
      <c r="A67" s="12"/>
      <c r="B67" s="12"/>
      <c r="C67" s="12"/>
      <c r="D67" s="12"/>
      <c r="E67" s="12"/>
      <c r="F67" s="12"/>
      <c r="G67" s="12"/>
      <c r="H67" s="15"/>
      <c r="I67" s="15"/>
      <c r="J67" s="16" t="str">
        <f t="shared" si="1"/>
        <v/>
      </c>
      <c r="K67" s="12"/>
      <c r="L67" s="12"/>
      <c r="M67" s="12"/>
      <c r="N67" s="12"/>
      <c r="O67" s="3"/>
      <c r="P67" s="3"/>
      <c r="Q67" s="3"/>
    </row>
    <row r="68" spans="1:17" ht="15">
      <c r="A68" s="12"/>
      <c r="B68" s="12"/>
      <c r="C68" s="12"/>
      <c r="D68" s="12"/>
      <c r="E68" s="12"/>
      <c r="F68" s="12"/>
      <c r="G68" s="12"/>
      <c r="H68" s="15"/>
      <c r="I68" s="15"/>
      <c r="J68" s="16" t="str">
        <f t="shared" si="1"/>
        <v/>
      </c>
      <c r="K68" s="12"/>
      <c r="L68" s="12"/>
      <c r="M68" s="12"/>
      <c r="N68" s="12"/>
      <c r="O68" s="3"/>
      <c r="P68" s="3"/>
      <c r="Q68" s="3"/>
    </row>
    <row r="69" spans="1:17" ht="15">
      <c r="A69" s="12"/>
      <c r="B69" s="12"/>
      <c r="C69" s="12"/>
      <c r="D69" s="12"/>
      <c r="E69" s="12"/>
      <c r="F69" s="12"/>
      <c r="G69" s="12"/>
      <c r="H69" s="15"/>
      <c r="I69" s="15"/>
      <c r="J69" s="16" t="str">
        <f t="shared" si="1"/>
        <v/>
      </c>
      <c r="K69" s="12"/>
      <c r="L69" s="12"/>
      <c r="M69" s="12"/>
      <c r="N69" s="12"/>
      <c r="O69" s="3"/>
      <c r="P69" s="3"/>
      <c r="Q69" s="3"/>
    </row>
    <row r="70" spans="1:17" ht="15">
      <c r="A70" s="12"/>
      <c r="B70" s="12"/>
      <c r="C70" s="12"/>
      <c r="D70" s="12"/>
      <c r="E70" s="12"/>
      <c r="F70" s="12"/>
      <c r="G70" s="12"/>
      <c r="H70" s="15"/>
      <c r="I70" s="15"/>
      <c r="J70" s="16" t="str">
        <f t="shared" si="1"/>
        <v/>
      </c>
      <c r="K70" s="12"/>
      <c r="L70" s="12"/>
      <c r="M70" s="12"/>
      <c r="N70" s="12"/>
      <c r="O70" s="3"/>
      <c r="P70" s="3"/>
      <c r="Q70" s="3"/>
    </row>
    <row r="71" spans="1:17" ht="15">
      <c r="A71" s="12"/>
      <c r="B71" s="12"/>
      <c r="C71" s="12"/>
      <c r="D71" s="12"/>
      <c r="E71" s="12"/>
      <c r="F71" s="12"/>
      <c r="G71" s="12"/>
      <c r="H71" s="15"/>
      <c r="I71" s="15"/>
      <c r="J71" s="16" t="str">
        <f t="shared" ref="J71:J102" si="2">IF(H71="","",MAX(H71-I71,0))</f>
        <v/>
      </c>
      <c r="K71" s="12"/>
      <c r="L71" s="12"/>
      <c r="M71" s="12"/>
      <c r="N71" s="12"/>
      <c r="O71" s="3"/>
      <c r="P71" s="3"/>
      <c r="Q71" s="3"/>
    </row>
    <row r="72" spans="1:17" ht="15">
      <c r="A72" s="12"/>
      <c r="B72" s="12"/>
      <c r="C72" s="12"/>
      <c r="D72" s="12"/>
      <c r="E72" s="12"/>
      <c r="F72" s="12"/>
      <c r="G72" s="12"/>
      <c r="H72" s="15"/>
      <c r="I72" s="15"/>
      <c r="J72" s="16" t="str">
        <f t="shared" si="2"/>
        <v/>
      </c>
      <c r="K72" s="12"/>
      <c r="L72" s="12"/>
      <c r="M72" s="12"/>
      <c r="N72" s="12"/>
      <c r="O72" s="3"/>
      <c r="P72" s="3"/>
      <c r="Q72" s="3"/>
    </row>
    <row r="73" spans="1:17" ht="15">
      <c r="A73" s="12"/>
      <c r="B73" s="12"/>
      <c r="C73" s="12"/>
      <c r="D73" s="12"/>
      <c r="E73" s="12"/>
      <c r="F73" s="12"/>
      <c r="G73" s="12"/>
      <c r="H73" s="15"/>
      <c r="I73" s="15"/>
      <c r="J73" s="16" t="str">
        <f t="shared" si="2"/>
        <v/>
      </c>
      <c r="K73" s="12"/>
      <c r="L73" s="12"/>
      <c r="M73" s="12"/>
      <c r="N73" s="12"/>
      <c r="O73" s="3"/>
      <c r="P73" s="3"/>
      <c r="Q73" s="3"/>
    </row>
    <row r="74" spans="1:17" ht="15">
      <c r="A74" s="12"/>
      <c r="B74" s="12"/>
      <c r="C74" s="12"/>
      <c r="D74" s="12"/>
      <c r="E74" s="12"/>
      <c r="F74" s="12"/>
      <c r="G74" s="12"/>
      <c r="H74" s="15"/>
      <c r="I74" s="15"/>
      <c r="J74" s="16" t="str">
        <f t="shared" si="2"/>
        <v/>
      </c>
      <c r="K74" s="12"/>
      <c r="L74" s="12"/>
      <c r="M74" s="12"/>
      <c r="N74" s="12"/>
      <c r="O74" s="3"/>
      <c r="P74" s="3"/>
      <c r="Q74" s="3"/>
    </row>
    <row r="75" spans="1:17" ht="15">
      <c r="A75" s="12"/>
      <c r="B75" s="12"/>
      <c r="C75" s="12"/>
      <c r="D75" s="12"/>
      <c r="E75" s="12"/>
      <c r="F75" s="12"/>
      <c r="G75" s="12"/>
      <c r="H75" s="15"/>
      <c r="I75" s="15"/>
      <c r="J75" s="16" t="str">
        <f t="shared" si="2"/>
        <v/>
      </c>
      <c r="K75" s="12"/>
      <c r="L75" s="12"/>
      <c r="M75" s="12"/>
      <c r="N75" s="12"/>
      <c r="O75" s="3"/>
      <c r="P75" s="3"/>
      <c r="Q75" s="3"/>
    </row>
    <row r="76" spans="1:17" ht="15">
      <c r="A76" s="12"/>
      <c r="B76" s="12"/>
      <c r="C76" s="12"/>
      <c r="D76" s="12"/>
      <c r="E76" s="12"/>
      <c r="F76" s="12"/>
      <c r="G76" s="12"/>
      <c r="H76" s="15"/>
      <c r="I76" s="15"/>
      <c r="J76" s="16" t="str">
        <f t="shared" si="2"/>
        <v/>
      </c>
      <c r="K76" s="12"/>
      <c r="L76" s="12"/>
      <c r="M76" s="12"/>
      <c r="N76" s="12"/>
      <c r="O76" s="3"/>
      <c r="P76" s="3"/>
      <c r="Q76" s="3"/>
    </row>
    <row r="77" spans="1:17" ht="15">
      <c r="A77" s="12"/>
      <c r="B77" s="12"/>
      <c r="C77" s="12"/>
      <c r="D77" s="12"/>
      <c r="E77" s="12"/>
      <c r="F77" s="12"/>
      <c r="G77" s="12"/>
      <c r="H77" s="15"/>
      <c r="I77" s="15"/>
      <c r="J77" s="16" t="str">
        <f t="shared" si="2"/>
        <v/>
      </c>
      <c r="K77" s="12"/>
      <c r="L77" s="12"/>
      <c r="M77" s="12"/>
      <c r="N77" s="12"/>
      <c r="O77" s="3"/>
      <c r="P77" s="3"/>
      <c r="Q77" s="3"/>
    </row>
    <row r="78" spans="1:17" ht="15">
      <c r="A78" s="12"/>
      <c r="B78" s="12"/>
      <c r="C78" s="12"/>
      <c r="D78" s="12"/>
      <c r="E78" s="12"/>
      <c r="F78" s="12"/>
      <c r="G78" s="12"/>
      <c r="H78" s="15"/>
      <c r="I78" s="15"/>
      <c r="J78" s="16" t="str">
        <f t="shared" si="2"/>
        <v/>
      </c>
      <c r="K78" s="12"/>
      <c r="L78" s="12"/>
      <c r="M78" s="12"/>
      <c r="N78" s="12"/>
      <c r="O78" s="3"/>
      <c r="P78" s="3"/>
      <c r="Q78" s="3"/>
    </row>
    <row r="79" spans="1:17" ht="15">
      <c r="A79" s="12"/>
      <c r="B79" s="12"/>
      <c r="C79" s="12"/>
      <c r="D79" s="12"/>
      <c r="E79" s="12"/>
      <c r="F79" s="12"/>
      <c r="G79" s="12"/>
      <c r="H79" s="15"/>
      <c r="I79" s="15"/>
      <c r="J79" s="16" t="str">
        <f t="shared" si="2"/>
        <v/>
      </c>
      <c r="K79" s="12"/>
      <c r="L79" s="12"/>
      <c r="M79" s="12"/>
      <c r="N79" s="12"/>
      <c r="O79" s="3"/>
      <c r="P79" s="3"/>
      <c r="Q79" s="3"/>
    </row>
    <row r="80" spans="1:17" ht="15">
      <c r="A80" s="12"/>
      <c r="B80" s="12"/>
      <c r="C80" s="12"/>
      <c r="D80" s="12"/>
      <c r="E80" s="12"/>
      <c r="F80" s="12"/>
      <c r="G80" s="12"/>
      <c r="H80" s="15"/>
      <c r="I80" s="15"/>
      <c r="J80" s="16" t="str">
        <f t="shared" si="2"/>
        <v/>
      </c>
      <c r="K80" s="12"/>
      <c r="L80" s="12"/>
      <c r="M80" s="12"/>
      <c r="N80" s="12"/>
      <c r="O80" s="3"/>
      <c r="P80" s="3"/>
      <c r="Q80" s="3"/>
    </row>
    <row r="81" spans="1:17" ht="15">
      <c r="A81" s="12"/>
      <c r="B81" s="12"/>
      <c r="C81" s="12"/>
      <c r="D81" s="12"/>
      <c r="E81" s="12"/>
      <c r="F81" s="12"/>
      <c r="G81" s="12"/>
      <c r="H81" s="15"/>
      <c r="I81" s="15"/>
      <c r="J81" s="16" t="str">
        <f t="shared" si="2"/>
        <v/>
      </c>
      <c r="K81" s="12"/>
      <c r="L81" s="12"/>
      <c r="M81" s="12"/>
      <c r="N81" s="12"/>
      <c r="O81" s="3"/>
      <c r="P81" s="3"/>
      <c r="Q81" s="3"/>
    </row>
    <row r="82" spans="1:17" ht="15">
      <c r="A82" s="12"/>
      <c r="B82" s="12"/>
      <c r="C82" s="12"/>
      <c r="D82" s="12"/>
      <c r="E82" s="12"/>
      <c r="F82" s="12"/>
      <c r="G82" s="12"/>
      <c r="H82" s="15"/>
      <c r="I82" s="15"/>
      <c r="J82" s="16" t="str">
        <f t="shared" si="2"/>
        <v/>
      </c>
      <c r="K82" s="12"/>
      <c r="L82" s="12"/>
      <c r="M82" s="12"/>
      <c r="N82" s="12"/>
      <c r="O82" s="3"/>
      <c r="P82" s="3"/>
      <c r="Q82" s="3"/>
    </row>
    <row r="83" spans="1:17" ht="15">
      <c r="A83" s="12"/>
      <c r="B83" s="12"/>
      <c r="C83" s="12"/>
      <c r="D83" s="12"/>
      <c r="E83" s="12"/>
      <c r="F83" s="12"/>
      <c r="G83" s="12"/>
      <c r="H83" s="15"/>
      <c r="I83" s="15"/>
      <c r="J83" s="16" t="str">
        <f t="shared" si="2"/>
        <v/>
      </c>
      <c r="K83" s="12"/>
      <c r="L83" s="12"/>
      <c r="M83" s="12"/>
      <c r="N83" s="12"/>
      <c r="O83" s="3"/>
      <c r="P83" s="3"/>
      <c r="Q83" s="3"/>
    </row>
    <row r="84" spans="1:17" ht="15">
      <c r="A84" s="12"/>
      <c r="B84" s="12"/>
      <c r="C84" s="12"/>
      <c r="D84" s="12"/>
      <c r="E84" s="12"/>
      <c r="F84" s="12"/>
      <c r="G84" s="12"/>
      <c r="H84" s="15"/>
      <c r="I84" s="15"/>
      <c r="J84" s="16" t="str">
        <f t="shared" si="2"/>
        <v/>
      </c>
      <c r="K84" s="12"/>
      <c r="L84" s="12"/>
      <c r="M84" s="12"/>
      <c r="N84" s="12"/>
      <c r="O84" s="3"/>
      <c r="P84" s="3"/>
      <c r="Q84" s="3"/>
    </row>
    <row r="85" spans="1:17" ht="15">
      <c r="A85" s="12"/>
      <c r="B85" s="12"/>
      <c r="C85" s="12"/>
      <c r="D85" s="12"/>
      <c r="E85" s="12"/>
      <c r="F85" s="12"/>
      <c r="G85" s="12"/>
      <c r="H85" s="15"/>
      <c r="I85" s="15"/>
      <c r="J85" s="16" t="str">
        <f t="shared" si="2"/>
        <v/>
      </c>
      <c r="K85" s="12"/>
      <c r="L85" s="12"/>
      <c r="M85" s="12"/>
      <c r="N85" s="12"/>
      <c r="O85" s="3"/>
      <c r="P85" s="3"/>
      <c r="Q85" s="3"/>
    </row>
    <row r="86" spans="1:17" ht="15">
      <c r="A86" s="12"/>
      <c r="B86" s="12"/>
      <c r="C86" s="12"/>
      <c r="D86" s="12"/>
      <c r="E86" s="12"/>
      <c r="F86" s="12"/>
      <c r="G86" s="12"/>
      <c r="H86" s="15"/>
      <c r="I86" s="15"/>
      <c r="J86" s="16" t="str">
        <f t="shared" si="2"/>
        <v/>
      </c>
      <c r="K86" s="12"/>
      <c r="L86" s="12"/>
      <c r="M86" s="12"/>
      <c r="N86" s="12"/>
      <c r="O86" s="3"/>
      <c r="P86" s="3"/>
      <c r="Q86" s="3"/>
    </row>
    <row r="87" spans="1:17" ht="15">
      <c r="A87" s="12"/>
      <c r="B87" s="12"/>
      <c r="C87" s="12"/>
      <c r="D87" s="12"/>
      <c r="E87" s="12"/>
      <c r="F87" s="12"/>
      <c r="G87" s="12"/>
      <c r="H87" s="15"/>
      <c r="I87" s="15"/>
      <c r="J87" s="16" t="str">
        <f t="shared" si="2"/>
        <v/>
      </c>
      <c r="K87" s="12"/>
      <c r="L87" s="12"/>
      <c r="M87" s="12"/>
      <c r="N87" s="12"/>
      <c r="O87" s="3"/>
      <c r="P87" s="3"/>
      <c r="Q87" s="3"/>
    </row>
    <row r="88" spans="1:17" ht="15">
      <c r="A88" s="12"/>
      <c r="B88" s="12"/>
      <c r="C88" s="12"/>
      <c r="D88" s="12"/>
      <c r="E88" s="12"/>
      <c r="F88" s="12"/>
      <c r="G88" s="12"/>
      <c r="H88" s="15"/>
      <c r="I88" s="15"/>
      <c r="J88" s="16" t="str">
        <f t="shared" si="2"/>
        <v/>
      </c>
      <c r="K88" s="12"/>
      <c r="L88" s="12"/>
      <c r="M88" s="12"/>
      <c r="N88" s="12"/>
      <c r="O88" s="3"/>
      <c r="P88" s="3"/>
      <c r="Q88" s="3"/>
    </row>
    <row r="89" spans="1:17" ht="15">
      <c r="A89" s="12"/>
      <c r="B89" s="12"/>
      <c r="C89" s="12"/>
      <c r="D89" s="12"/>
      <c r="E89" s="12"/>
      <c r="F89" s="12"/>
      <c r="G89" s="12"/>
      <c r="H89" s="15"/>
      <c r="I89" s="15"/>
      <c r="J89" s="16" t="str">
        <f t="shared" si="2"/>
        <v/>
      </c>
      <c r="K89" s="12"/>
      <c r="L89" s="12"/>
      <c r="M89" s="12"/>
      <c r="N89" s="12"/>
      <c r="O89" s="3"/>
      <c r="P89" s="3"/>
      <c r="Q89" s="3"/>
    </row>
    <row r="90" spans="1:17" ht="15">
      <c r="A90" s="12"/>
      <c r="B90" s="12"/>
      <c r="C90" s="12"/>
      <c r="D90" s="12"/>
      <c r="E90" s="12"/>
      <c r="F90" s="12"/>
      <c r="G90" s="12"/>
      <c r="H90" s="15"/>
      <c r="I90" s="15"/>
      <c r="J90" s="16" t="str">
        <f t="shared" si="2"/>
        <v/>
      </c>
      <c r="K90" s="12"/>
      <c r="L90" s="12"/>
      <c r="M90" s="12"/>
      <c r="N90" s="12"/>
      <c r="O90" s="3"/>
      <c r="P90" s="3"/>
      <c r="Q90" s="3"/>
    </row>
    <row r="91" spans="1:17" ht="15">
      <c r="A91" s="12"/>
      <c r="B91" s="12"/>
      <c r="C91" s="12"/>
      <c r="D91" s="12"/>
      <c r="E91" s="12"/>
      <c r="F91" s="12"/>
      <c r="G91" s="12"/>
      <c r="H91" s="15"/>
      <c r="I91" s="15"/>
      <c r="J91" s="16" t="str">
        <f t="shared" si="2"/>
        <v/>
      </c>
      <c r="K91" s="12"/>
      <c r="L91" s="12"/>
      <c r="M91" s="12"/>
      <c r="N91" s="12"/>
      <c r="O91" s="3"/>
      <c r="P91" s="3"/>
      <c r="Q91" s="3"/>
    </row>
    <row r="92" spans="1:17" ht="15">
      <c r="A92" s="12"/>
      <c r="B92" s="12"/>
      <c r="C92" s="12"/>
      <c r="D92" s="12"/>
      <c r="E92" s="12"/>
      <c r="F92" s="12"/>
      <c r="G92" s="12"/>
      <c r="H92" s="15"/>
      <c r="I92" s="15"/>
      <c r="J92" s="16" t="str">
        <f t="shared" si="2"/>
        <v/>
      </c>
      <c r="K92" s="12"/>
      <c r="L92" s="12"/>
      <c r="M92" s="12"/>
      <c r="N92" s="12"/>
      <c r="O92" s="3"/>
      <c r="P92" s="3"/>
      <c r="Q92" s="3"/>
    </row>
    <row r="93" spans="1:17" ht="15">
      <c r="A93" s="12"/>
      <c r="B93" s="12"/>
      <c r="C93" s="12"/>
      <c r="D93" s="12"/>
      <c r="E93" s="12"/>
      <c r="F93" s="12"/>
      <c r="G93" s="12"/>
      <c r="H93" s="15"/>
      <c r="I93" s="15"/>
      <c r="J93" s="16" t="str">
        <f t="shared" si="2"/>
        <v/>
      </c>
      <c r="K93" s="12"/>
      <c r="L93" s="12"/>
      <c r="M93" s="12"/>
      <c r="N93" s="12"/>
      <c r="O93" s="3"/>
      <c r="P93" s="3"/>
      <c r="Q93" s="3"/>
    </row>
    <row r="94" spans="1:17" ht="15">
      <c r="A94" s="12"/>
      <c r="B94" s="12"/>
      <c r="C94" s="12"/>
      <c r="D94" s="12"/>
      <c r="E94" s="12"/>
      <c r="F94" s="12"/>
      <c r="G94" s="12"/>
      <c r="H94" s="15"/>
      <c r="I94" s="15"/>
      <c r="J94" s="16" t="str">
        <f t="shared" si="2"/>
        <v/>
      </c>
      <c r="K94" s="12"/>
      <c r="L94" s="12"/>
      <c r="M94" s="12"/>
      <c r="N94" s="12"/>
      <c r="O94" s="3"/>
      <c r="P94" s="3"/>
      <c r="Q94" s="3"/>
    </row>
    <row r="95" spans="1:17" ht="15">
      <c r="A95" s="12"/>
      <c r="B95" s="12"/>
      <c r="C95" s="12"/>
      <c r="D95" s="12"/>
      <c r="E95" s="12"/>
      <c r="F95" s="12"/>
      <c r="G95" s="12"/>
      <c r="H95" s="15"/>
      <c r="I95" s="15"/>
      <c r="J95" s="16" t="str">
        <f t="shared" si="2"/>
        <v/>
      </c>
      <c r="K95" s="12"/>
      <c r="L95" s="12"/>
      <c r="M95" s="12"/>
      <c r="N95" s="12"/>
      <c r="O95" s="3"/>
      <c r="P95" s="3"/>
      <c r="Q95" s="3"/>
    </row>
    <row r="96" spans="1:17" ht="15">
      <c r="A96" s="12"/>
      <c r="B96" s="12"/>
      <c r="C96" s="12"/>
      <c r="D96" s="12"/>
      <c r="E96" s="12"/>
      <c r="F96" s="12"/>
      <c r="G96" s="12"/>
      <c r="H96" s="15"/>
      <c r="I96" s="15"/>
      <c r="J96" s="16" t="str">
        <f t="shared" si="2"/>
        <v/>
      </c>
      <c r="K96" s="12"/>
      <c r="L96" s="12"/>
      <c r="M96" s="12"/>
      <c r="N96" s="12"/>
      <c r="O96" s="3"/>
      <c r="P96" s="3"/>
      <c r="Q96" s="3"/>
    </row>
    <row r="97" spans="1:17" ht="15">
      <c r="A97" s="12"/>
      <c r="B97" s="12"/>
      <c r="C97" s="12"/>
      <c r="D97" s="12"/>
      <c r="E97" s="12"/>
      <c r="F97" s="12"/>
      <c r="G97" s="12"/>
      <c r="H97" s="15"/>
      <c r="I97" s="15"/>
      <c r="J97" s="16" t="str">
        <f t="shared" si="2"/>
        <v/>
      </c>
      <c r="K97" s="12"/>
      <c r="L97" s="12"/>
      <c r="M97" s="12"/>
      <c r="N97" s="12"/>
      <c r="O97" s="3"/>
      <c r="P97" s="3"/>
      <c r="Q97" s="3"/>
    </row>
    <row r="98" spans="1:17" ht="15">
      <c r="A98" s="12"/>
      <c r="B98" s="12"/>
      <c r="C98" s="12"/>
      <c r="D98" s="12"/>
      <c r="E98" s="12"/>
      <c r="F98" s="12"/>
      <c r="G98" s="12"/>
      <c r="H98" s="15"/>
      <c r="I98" s="15"/>
      <c r="J98" s="16" t="str">
        <f t="shared" si="2"/>
        <v/>
      </c>
      <c r="K98" s="12"/>
      <c r="L98" s="12"/>
      <c r="M98" s="12"/>
      <c r="N98" s="12"/>
      <c r="O98" s="3"/>
      <c r="P98" s="3"/>
      <c r="Q98" s="3"/>
    </row>
    <row r="99" spans="1:17" ht="15">
      <c r="A99" s="12"/>
      <c r="B99" s="12"/>
      <c r="C99" s="12"/>
      <c r="D99" s="12"/>
      <c r="E99" s="12"/>
      <c r="F99" s="12"/>
      <c r="G99" s="12"/>
      <c r="H99" s="15"/>
      <c r="I99" s="15"/>
      <c r="J99" s="16" t="str">
        <f t="shared" si="2"/>
        <v/>
      </c>
      <c r="K99" s="12"/>
      <c r="L99" s="12"/>
      <c r="M99" s="12"/>
      <c r="N99" s="12"/>
      <c r="O99" s="3"/>
      <c r="P99" s="3"/>
      <c r="Q99" s="3"/>
    </row>
    <row r="100" spans="1:17" ht="15">
      <c r="A100" s="12"/>
      <c r="B100" s="12"/>
      <c r="C100" s="12"/>
      <c r="D100" s="12"/>
      <c r="E100" s="12"/>
      <c r="F100" s="12"/>
      <c r="G100" s="12"/>
      <c r="H100" s="15"/>
      <c r="I100" s="15"/>
      <c r="J100" s="16" t="str">
        <f t="shared" si="2"/>
        <v/>
      </c>
      <c r="K100" s="12"/>
      <c r="L100" s="12"/>
      <c r="M100" s="12"/>
      <c r="N100" s="12"/>
      <c r="O100" s="3"/>
      <c r="P100" s="3"/>
      <c r="Q100" s="3"/>
    </row>
    <row r="101" spans="1:17" ht="15">
      <c r="A101" s="12"/>
      <c r="B101" s="12"/>
      <c r="C101" s="12"/>
      <c r="D101" s="12"/>
      <c r="E101" s="12"/>
      <c r="F101" s="12"/>
      <c r="G101" s="12"/>
      <c r="H101" s="15"/>
      <c r="I101" s="15"/>
      <c r="J101" s="16" t="str">
        <f t="shared" si="2"/>
        <v/>
      </c>
      <c r="K101" s="12"/>
      <c r="L101" s="12"/>
      <c r="M101" s="12"/>
      <c r="N101" s="12"/>
      <c r="O101" s="3"/>
      <c r="P101" s="3"/>
      <c r="Q101" s="3"/>
    </row>
    <row r="102" spans="1:17" ht="15">
      <c r="A102" s="12"/>
      <c r="B102" s="12"/>
      <c r="C102" s="12"/>
      <c r="D102" s="12"/>
      <c r="E102" s="12"/>
      <c r="F102" s="12"/>
      <c r="G102" s="12"/>
      <c r="H102" s="15"/>
      <c r="I102" s="15"/>
      <c r="J102" s="16" t="str">
        <f t="shared" si="2"/>
        <v/>
      </c>
      <c r="K102" s="12"/>
      <c r="L102" s="12"/>
      <c r="M102" s="12"/>
      <c r="N102" s="12"/>
      <c r="O102" s="3"/>
      <c r="P102" s="3"/>
      <c r="Q102" s="3"/>
    </row>
    <row r="103" spans="1:17" ht="15">
      <c r="A103" s="12"/>
      <c r="B103" s="12"/>
      <c r="C103" s="12"/>
      <c r="D103" s="12"/>
      <c r="E103" s="12"/>
      <c r="F103" s="12"/>
      <c r="G103" s="12"/>
      <c r="H103" s="15"/>
      <c r="I103" s="15"/>
      <c r="J103" s="16" t="str">
        <f t="shared" ref="J103:J134" si="3">IF(H103="","",MAX(H103-I103,0))</f>
        <v/>
      </c>
      <c r="K103" s="12"/>
      <c r="L103" s="12"/>
      <c r="M103" s="12"/>
      <c r="N103" s="12"/>
      <c r="O103" s="3"/>
      <c r="P103" s="3"/>
      <c r="Q103" s="3"/>
    </row>
    <row r="104" spans="1:17" ht="15">
      <c r="A104" s="12"/>
      <c r="B104" s="12"/>
      <c r="C104" s="12"/>
      <c r="D104" s="12"/>
      <c r="E104" s="12"/>
      <c r="F104" s="12"/>
      <c r="G104" s="12"/>
      <c r="H104" s="15"/>
      <c r="I104" s="15"/>
      <c r="J104" s="16" t="str">
        <f t="shared" si="3"/>
        <v/>
      </c>
      <c r="K104" s="12"/>
      <c r="L104" s="12"/>
      <c r="M104" s="12"/>
      <c r="N104" s="12"/>
      <c r="O104" s="3"/>
      <c r="P104" s="3"/>
      <c r="Q104" s="3"/>
    </row>
    <row r="105" spans="1:17" ht="15">
      <c r="A105" s="12"/>
      <c r="B105" s="12"/>
      <c r="C105" s="12"/>
      <c r="D105" s="12"/>
      <c r="E105" s="12"/>
      <c r="F105" s="12"/>
      <c r="G105" s="12"/>
      <c r="H105" s="15"/>
      <c r="I105" s="15"/>
      <c r="J105" s="16" t="str">
        <f t="shared" si="3"/>
        <v/>
      </c>
      <c r="K105" s="12"/>
      <c r="L105" s="12"/>
      <c r="M105" s="12"/>
      <c r="N105" s="12"/>
      <c r="O105" s="3"/>
      <c r="P105" s="3"/>
      <c r="Q105" s="3"/>
    </row>
    <row r="106" spans="1:17" ht="15">
      <c r="A106" s="12"/>
      <c r="B106" s="12"/>
      <c r="C106" s="12"/>
      <c r="D106" s="12"/>
      <c r="E106" s="12"/>
      <c r="F106" s="12"/>
      <c r="G106" s="12"/>
      <c r="H106" s="15"/>
      <c r="I106" s="15"/>
      <c r="J106" s="16" t="str">
        <f t="shared" si="3"/>
        <v/>
      </c>
      <c r="K106" s="12"/>
      <c r="L106" s="12"/>
      <c r="M106" s="12"/>
      <c r="N106" s="12"/>
      <c r="O106" s="3"/>
      <c r="P106" s="3"/>
      <c r="Q106" s="3"/>
    </row>
    <row r="107" spans="1:17" ht="15">
      <c r="A107" s="12"/>
      <c r="B107" s="12"/>
      <c r="C107" s="12"/>
      <c r="D107" s="12"/>
      <c r="E107" s="12"/>
      <c r="F107" s="12"/>
      <c r="G107" s="12"/>
      <c r="H107" s="15"/>
      <c r="I107" s="15"/>
      <c r="J107" s="16" t="str">
        <f t="shared" si="3"/>
        <v/>
      </c>
      <c r="K107" s="12"/>
      <c r="L107" s="12"/>
      <c r="M107" s="12"/>
      <c r="N107" s="12"/>
      <c r="O107" s="3"/>
      <c r="P107" s="3"/>
      <c r="Q107" s="3"/>
    </row>
    <row r="108" spans="1:17" ht="15">
      <c r="A108" s="12"/>
      <c r="B108" s="12"/>
      <c r="C108" s="12"/>
      <c r="D108" s="12"/>
      <c r="E108" s="12"/>
      <c r="F108" s="12"/>
      <c r="G108" s="12"/>
      <c r="H108" s="15"/>
      <c r="I108" s="15"/>
      <c r="J108" s="16" t="str">
        <f t="shared" si="3"/>
        <v/>
      </c>
      <c r="K108" s="12"/>
      <c r="L108" s="12"/>
      <c r="M108" s="12"/>
      <c r="N108" s="12"/>
      <c r="O108" s="3"/>
      <c r="P108" s="3"/>
      <c r="Q108" s="3"/>
    </row>
    <row r="109" spans="1:17" ht="15">
      <c r="A109" s="12"/>
      <c r="B109" s="12"/>
      <c r="C109" s="12"/>
      <c r="D109" s="12"/>
      <c r="E109" s="12"/>
      <c r="F109" s="12"/>
      <c r="G109" s="12"/>
      <c r="H109" s="15"/>
      <c r="I109" s="15"/>
      <c r="J109" s="16" t="str">
        <f t="shared" si="3"/>
        <v/>
      </c>
      <c r="K109" s="12"/>
      <c r="L109" s="12"/>
      <c r="M109" s="12"/>
      <c r="N109" s="12"/>
      <c r="O109" s="3"/>
      <c r="P109" s="3"/>
      <c r="Q109" s="3"/>
    </row>
    <row r="110" spans="1:17" ht="15">
      <c r="A110" s="12"/>
      <c r="B110" s="12"/>
      <c r="C110" s="12"/>
      <c r="D110" s="12"/>
      <c r="E110" s="12"/>
      <c r="F110" s="12"/>
      <c r="G110" s="12"/>
      <c r="H110" s="15"/>
      <c r="I110" s="15"/>
      <c r="J110" s="16" t="str">
        <f t="shared" si="3"/>
        <v/>
      </c>
      <c r="K110" s="12"/>
      <c r="L110" s="12"/>
      <c r="M110" s="12"/>
      <c r="N110" s="12"/>
      <c r="O110" s="3"/>
      <c r="P110" s="3"/>
      <c r="Q110" s="3"/>
    </row>
    <row r="111" spans="1:17" ht="15">
      <c r="A111" s="12"/>
      <c r="B111" s="12"/>
      <c r="C111" s="12"/>
      <c r="D111" s="12"/>
      <c r="E111" s="12"/>
      <c r="F111" s="12"/>
      <c r="G111" s="12"/>
      <c r="H111" s="15"/>
      <c r="I111" s="15"/>
      <c r="J111" s="16" t="str">
        <f t="shared" si="3"/>
        <v/>
      </c>
      <c r="K111" s="12"/>
      <c r="L111" s="12"/>
      <c r="M111" s="12"/>
      <c r="N111" s="12"/>
      <c r="O111" s="3"/>
      <c r="P111" s="3"/>
      <c r="Q111" s="3"/>
    </row>
    <row r="112" spans="1:17" ht="15">
      <c r="A112" s="12"/>
      <c r="B112" s="12"/>
      <c r="C112" s="12"/>
      <c r="D112" s="12"/>
      <c r="E112" s="12"/>
      <c r="F112" s="12"/>
      <c r="G112" s="12"/>
      <c r="H112" s="15"/>
      <c r="I112" s="15"/>
      <c r="J112" s="16" t="str">
        <f t="shared" si="3"/>
        <v/>
      </c>
      <c r="K112" s="12"/>
      <c r="L112" s="12"/>
      <c r="M112" s="12"/>
      <c r="N112" s="12"/>
      <c r="O112" s="3"/>
      <c r="P112" s="3"/>
      <c r="Q112" s="3"/>
    </row>
    <row r="113" spans="1:17" ht="15">
      <c r="A113" s="12"/>
      <c r="B113" s="12"/>
      <c r="C113" s="12"/>
      <c r="D113" s="12"/>
      <c r="E113" s="12"/>
      <c r="F113" s="12"/>
      <c r="G113" s="12"/>
      <c r="H113" s="15"/>
      <c r="I113" s="15"/>
      <c r="J113" s="16" t="str">
        <f t="shared" si="3"/>
        <v/>
      </c>
      <c r="K113" s="12"/>
      <c r="L113" s="12"/>
      <c r="M113" s="12"/>
      <c r="N113" s="12"/>
      <c r="O113" s="3"/>
      <c r="P113" s="3"/>
      <c r="Q113" s="3"/>
    </row>
    <row r="114" spans="1:17" ht="15">
      <c r="A114" s="12"/>
      <c r="B114" s="12"/>
      <c r="C114" s="12"/>
      <c r="D114" s="12"/>
      <c r="E114" s="12"/>
      <c r="F114" s="12"/>
      <c r="G114" s="12"/>
      <c r="H114" s="15"/>
      <c r="I114" s="15"/>
      <c r="J114" s="16" t="str">
        <f t="shared" si="3"/>
        <v/>
      </c>
      <c r="K114" s="12"/>
      <c r="L114" s="12"/>
      <c r="M114" s="12"/>
      <c r="N114" s="12"/>
      <c r="O114" s="3"/>
      <c r="P114" s="3"/>
      <c r="Q114" s="3"/>
    </row>
    <row r="115" spans="1:17" ht="15">
      <c r="A115" s="12"/>
      <c r="B115" s="12"/>
      <c r="C115" s="12"/>
      <c r="D115" s="12"/>
      <c r="E115" s="12"/>
      <c r="F115" s="12"/>
      <c r="G115" s="12"/>
      <c r="H115" s="15"/>
      <c r="I115" s="15"/>
      <c r="J115" s="16" t="str">
        <f t="shared" si="3"/>
        <v/>
      </c>
      <c r="K115" s="12"/>
      <c r="L115" s="12"/>
      <c r="M115" s="12"/>
      <c r="N115" s="12"/>
      <c r="O115" s="3"/>
      <c r="P115" s="3"/>
      <c r="Q115" s="3"/>
    </row>
    <row r="116" spans="1:17" ht="15">
      <c r="A116" s="12"/>
      <c r="B116" s="12"/>
      <c r="C116" s="12"/>
      <c r="D116" s="12"/>
      <c r="E116" s="12"/>
      <c r="F116" s="12"/>
      <c r="G116" s="12"/>
      <c r="H116" s="15"/>
      <c r="I116" s="15"/>
      <c r="J116" s="16" t="str">
        <f t="shared" si="3"/>
        <v/>
      </c>
      <c r="K116" s="12"/>
      <c r="L116" s="12"/>
      <c r="M116" s="12"/>
      <c r="N116" s="12"/>
      <c r="O116" s="3"/>
      <c r="P116" s="3"/>
      <c r="Q116" s="3"/>
    </row>
    <row r="117" spans="1:17" ht="15">
      <c r="A117" s="12"/>
      <c r="B117" s="12"/>
      <c r="C117" s="12"/>
      <c r="D117" s="12"/>
      <c r="E117" s="12"/>
      <c r="F117" s="12"/>
      <c r="G117" s="12"/>
      <c r="H117" s="15"/>
      <c r="I117" s="15"/>
      <c r="J117" s="16" t="str">
        <f t="shared" si="3"/>
        <v/>
      </c>
      <c r="K117" s="12"/>
      <c r="L117" s="12"/>
      <c r="M117" s="12"/>
      <c r="N117" s="12"/>
      <c r="O117" s="3"/>
      <c r="P117" s="3"/>
      <c r="Q117" s="3"/>
    </row>
    <row r="118" spans="1:17" ht="15">
      <c r="A118" s="12"/>
      <c r="B118" s="12"/>
      <c r="C118" s="12"/>
      <c r="D118" s="12"/>
      <c r="E118" s="12"/>
      <c r="F118" s="12"/>
      <c r="G118" s="12"/>
      <c r="H118" s="15"/>
      <c r="I118" s="15"/>
      <c r="J118" s="16" t="str">
        <f t="shared" si="3"/>
        <v/>
      </c>
      <c r="K118" s="12"/>
      <c r="L118" s="12"/>
      <c r="M118" s="12"/>
      <c r="N118" s="12"/>
      <c r="O118" s="3"/>
      <c r="P118" s="3"/>
      <c r="Q118" s="3"/>
    </row>
    <row r="119" spans="1:17" ht="15">
      <c r="A119" s="12"/>
      <c r="B119" s="12"/>
      <c r="C119" s="12"/>
      <c r="D119" s="12"/>
      <c r="E119" s="12"/>
      <c r="F119" s="12"/>
      <c r="G119" s="12"/>
      <c r="H119" s="15"/>
      <c r="I119" s="15"/>
      <c r="J119" s="16" t="str">
        <f t="shared" si="3"/>
        <v/>
      </c>
      <c r="K119" s="12"/>
      <c r="L119" s="12"/>
      <c r="M119" s="12"/>
      <c r="N119" s="12"/>
      <c r="O119" s="3"/>
      <c r="P119" s="3"/>
      <c r="Q119" s="3"/>
    </row>
    <row r="120" spans="1:17" ht="15">
      <c r="A120" s="12"/>
      <c r="B120" s="12"/>
      <c r="C120" s="12"/>
      <c r="D120" s="12"/>
      <c r="E120" s="12"/>
      <c r="F120" s="12"/>
      <c r="G120" s="12"/>
      <c r="H120" s="15"/>
      <c r="I120" s="15"/>
      <c r="J120" s="16" t="str">
        <f t="shared" si="3"/>
        <v/>
      </c>
      <c r="K120" s="12"/>
      <c r="L120" s="12"/>
      <c r="M120" s="12"/>
      <c r="N120" s="12"/>
      <c r="O120" s="3"/>
      <c r="P120" s="3"/>
      <c r="Q120" s="3"/>
    </row>
    <row r="121" spans="1:17" ht="15">
      <c r="A121" s="12"/>
      <c r="B121" s="12"/>
      <c r="C121" s="12"/>
      <c r="D121" s="12"/>
      <c r="E121" s="12"/>
      <c r="F121" s="12"/>
      <c r="G121" s="12"/>
      <c r="H121" s="15"/>
      <c r="I121" s="15"/>
      <c r="J121" s="16" t="str">
        <f t="shared" si="3"/>
        <v/>
      </c>
      <c r="K121" s="12"/>
      <c r="L121" s="12"/>
      <c r="M121" s="12"/>
      <c r="N121" s="12"/>
      <c r="O121" s="3"/>
      <c r="P121" s="3"/>
      <c r="Q121" s="3"/>
    </row>
    <row r="122" spans="1:17" ht="15">
      <c r="A122" s="12"/>
      <c r="B122" s="12"/>
      <c r="C122" s="12"/>
      <c r="D122" s="12"/>
      <c r="E122" s="12"/>
      <c r="F122" s="12"/>
      <c r="G122" s="12"/>
      <c r="H122" s="15"/>
      <c r="I122" s="15"/>
      <c r="J122" s="16" t="str">
        <f t="shared" si="3"/>
        <v/>
      </c>
      <c r="K122" s="12"/>
      <c r="L122" s="12"/>
      <c r="M122" s="12"/>
      <c r="N122" s="12"/>
      <c r="O122" s="3"/>
      <c r="P122" s="3"/>
      <c r="Q122" s="3"/>
    </row>
    <row r="123" spans="1:17" ht="15">
      <c r="A123" s="12"/>
      <c r="B123" s="12"/>
      <c r="C123" s="12"/>
      <c r="D123" s="12"/>
      <c r="E123" s="12"/>
      <c r="F123" s="12"/>
      <c r="G123" s="12"/>
      <c r="H123" s="15"/>
      <c r="I123" s="15"/>
      <c r="J123" s="16" t="str">
        <f t="shared" si="3"/>
        <v/>
      </c>
      <c r="K123" s="12"/>
      <c r="L123" s="12"/>
      <c r="M123" s="12"/>
      <c r="N123" s="12"/>
      <c r="O123" s="3"/>
      <c r="P123" s="3"/>
      <c r="Q123" s="3"/>
    </row>
    <row r="124" spans="1:17" ht="15">
      <c r="A124" s="12"/>
      <c r="B124" s="12"/>
      <c r="C124" s="12"/>
      <c r="D124" s="12"/>
      <c r="E124" s="12"/>
      <c r="F124" s="12"/>
      <c r="G124" s="12"/>
      <c r="H124" s="15"/>
      <c r="I124" s="15"/>
      <c r="J124" s="16" t="str">
        <f t="shared" si="3"/>
        <v/>
      </c>
      <c r="K124" s="12"/>
      <c r="L124" s="12"/>
      <c r="M124" s="12"/>
      <c r="N124" s="12"/>
      <c r="O124" s="3"/>
      <c r="P124" s="3"/>
      <c r="Q124" s="3"/>
    </row>
    <row r="125" spans="1:17" ht="15">
      <c r="A125" s="12"/>
      <c r="B125" s="12"/>
      <c r="C125" s="12"/>
      <c r="D125" s="12"/>
      <c r="E125" s="12"/>
      <c r="F125" s="12"/>
      <c r="G125" s="12"/>
      <c r="H125" s="15"/>
      <c r="I125" s="15"/>
      <c r="J125" s="16" t="str">
        <f t="shared" si="3"/>
        <v/>
      </c>
      <c r="K125" s="12"/>
      <c r="L125" s="12"/>
      <c r="M125" s="12"/>
      <c r="N125" s="12"/>
      <c r="O125" s="3"/>
      <c r="P125" s="3"/>
      <c r="Q125" s="3"/>
    </row>
    <row r="126" spans="1:17" ht="15">
      <c r="A126" s="12"/>
      <c r="B126" s="12"/>
      <c r="C126" s="12"/>
      <c r="D126" s="12"/>
      <c r="E126" s="12"/>
      <c r="F126" s="12"/>
      <c r="G126" s="12"/>
      <c r="H126" s="15"/>
      <c r="I126" s="15"/>
      <c r="J126" s="16" t="str">
        <f t="shared" si="3"/>
        <v/>
      </c>
      <c r="K126" s="12"/>
      <c r="L126" s="12"/>
      <c r="M126" s="12"/>
      <c r="N126" s="12"/>
      <c r="O126" s="3"/>
      <c r="P126" s="3"/>
      <c r="Q126" s="3"/>
    </row>
    <row r="127" spans="1:17" ht="15">
      <c r="A127" s="12"/>
      <c r="B127" s="12"/>
      <c r="C127" s="12"/>
      <c r="D127" s="12"/>
      <c r="E127" s="12"/>
      <c r="F127" s="12"/>
      <c r="G127" s="12"/>
      <c r="H127" s="15"/>
      <c r="I127" s="15"/>
      <c r="J127" s="16" t="str">
        <f t="shared" si="3"/>
        <v/>
      </c>
      <c r="K127" s="12"/>
      <c r="L127" s="12"/>
      <c r="M127" s="12"/>
      <c r="N127" s="12"/>
      <c r="O127" s="3"/>
      <c r="P127" s="3"/>
      <c r="Q127" s="3"/>
    </row>
    <row r="128" spans="1:17" ht="15">
      <c r="A128" s="12"/>
      <c r="B128" s="12"/>
      <c r="C128" s="12"/>
      <c r="D128" s="12"/>
      <c r="E128" s="12"/>
      <c r="F128" s="12"/>
      <c r="G128" s="12"/>
      <c r="H128" s="15"/>
      <c r="I128" s="15"/>
      <c r="J128" s="16" t="str">
        <f t="shared" si="3"/>
        <v/>
      </c>
      <c r="K128" s="12"/>
      <c r="L128" s="12"/>
      <c r="M128" s="12"/>
      <c r="N128" s="12"/>
      <c r="O128" s="3"/>
      <c r="P128" s="3"/>
      <c r="Q128" s="3"/>
    </row>
    <row r="129" spans="1:17" ht="15">
      <c r="A129" s="12"/>
      <c r="B129" s="12"/>
      <c r="C129" s="12"/>
      <c r="D129" s="12"/>
      <c r="E129" s="12"/>
      <c r="F129" s="12"/>
      <c r="G129" s="12"/>
      <c r="H129" s="15"/>
      <c r="I129" s="15"/>
      <c r="J129" s="16" t="str">
        <f t="shared" si="3"/>
        <v/>
      </c>
      <c r="K129" s="12"/>
      <c r="L129" s="12"/>
      <c r="M129" s="12"/>
      <c r="N129" s="12"/>
      <c r="O129" s="3"/>
      <c r="P129" s="3"/>
      <c r="Q129" s="3"/>
    </row>
    <row r="130" spans="1:17" ht="15">
      <c r="A130" s="12"/>
      <c r="B130" s="12"/>
      <c r="C130" s="12"/>
      <c r="D130" s="12"/>
      <c r="E130" s="12"/>
      <c r="F130" s="12"/>
      <c r="G130" s="12"/>
      <c r="H130" s="15"/>
      <c r="I130" s="15"/>
      <c r="J130" s="16" t="str">
        <f t="shared" si="3"/>
        <v/>
      </c>
      <c r="K130" s="12"/>
      <c r="L130" s="12"/>
      <c r="M130" s="12"/>
      <c r="N130" s="12"/>
      <c r="O130" s="3"/>
      <c r="P130" s="3"/>
      <c r="Q130" s="3"/>
    </row>
    <row r="131" spans="1:17" ht="15">
      <c r="A131" s="12"/>
      <c r="B131" s="12"/>
      <c r="C131" s="12"/>
      <c r="D131" s="12"/>
      <c r="E131" s="12"/>
      <c r="F131" s="12"/>
      <c r="G131" s="12"/>
      <c r="H131" s="15"/>
      <c r="I131" s="15"/>
      <c r="J131" s="16" t="str">
        <f t="shared" si="3"/>
        <v/>
      </c>
      <c r="K131" s="12"/>
      <c r="L131" s="12"/>
      <c r="M131" s="12"/>
      <c r="N131" s="12"/>
      <c r="O131" s="3"/>
      <c r="P131" s="3"/>
      <c r="Q131" s="3"/>
    </row>
    <row r="132" spans="1:17" ht="15">
      <c r="A132" s="12"/>
      <c r="B132" s="12"/>
      <c r="C132" s="12"/>
      <c r="D132" s="12"/>
      <c r="E132" s="12"/>
      <c r="F132" s="12"/>
      <c r="G132" s="12"/>
      <c r="H132" s="15"/>
      <c r="I132" s="15"/>
      <c r="J132" s="16" t="str">
        <f t="shared" si="3"/>
        <v/>
      </c>
      <c r="K132" s="12"/>
      <c r="L132" s="12"/>
      <c r="M132" s="12"/>
      <c r="N132" s="12"/>
      <c r="O132" s="3"/>
      <c r="P132" s="3"/>
      <c r="Q132" s="3"/>
    </row>
    <row r="133" spans="1:17" ht="15">
      <c r="A133" s="12"/>
      <c r="B133" s="12"/>
      <c r="C133" s="12"/>
      <c r="D133" s="12"/>
      <c r="E133" s="12"/>
      <c r="F133" s="12"/>
      <c r="G133" s="12"/>
      <c r="H133" s="15"/>
      <c r="I133" s="15"/>
      <c r="J133" s="16" t="str">
        <f t="shared" si="3"/>
        <v/>
      </c>
      <c r="K133" s="12"/>
      <c r="L133" s="12"/>
      <c r="M133" s="12"/>
      <c r="N133" s="12"/>
      <c r="O133" s="3"/>
      <c r="P133" s="3"/>
      <c r="Q133" s="3"/>
    </row>
    <row r="134" spans="1:17" ht="15">
      <c r="A134" s="12"/>
      <c r="B134" s="12"/>
      <c r="C134" s="12"/>
      <c r="D134" s="12"/>
      <c r="E134" s="12"/>
      <c r="F134" s="12"/>
      <c r="G134" s="12"/>
      <c r="H134" s="15"/>
      <c r="I134" s="15"/>
      <c r="J134" s="16" t="str">
        <f t="shared" si="3"/>
        <v/>
      </c>
      <c r="K134" s="12"/>
      <c r="L134" s="12"/>
      <c r="M134" s="12"/>
      <c r="N134" s="12"/>
      <c r="O134" s="3"/>
      <c r="P134" s="3"/>
      <c r="Q134" s="3"/>
    </row>
    <row r="135" spans="1:17" ht="15">
      <c r="A135" s="12"/>
      <c r="B135" s="12"/>
      <c r="C135" s="12"/>
      <c r="D135" s="12"/>
      <c r="E135" s="12"/>
      <c r="F135" s="12"/>
      <c r="G135" s="12"/>
      <c r="H135" s="15"/>
      <c r="I135" s="15"/>
      <c r="J135" s="16" t="str">
        <f t="shared" ref="J135:J166" si="4">IF(H135="","",MAX(H135-I135,0))</f>
        <v/>
      </c>
      <c r="K135" s="12"/>
      <c r="L135" s="12"/>
      <c r="M135" s="12"/>
      <c r="N135" s="12"/>
      <c r="O135" s="3"/>
      <c r="P135" s="3"/>
      <c r="Q135" s="3"/>
    </row>
    <row r="136" spans="1:17" ht="15">
      <c r="A136" s="12"/>
      <c r="B136" s="12"/>
      <c r="C136" s="12"/>
      <c r="D136" s="12"/>
      <c r="E136" s="12"/>
      <c r="F136" s="12"/>
      <c r="G136" s="12"/>
      <c r="H136" s="15"/>
      <c r="I136" s="15"/>
      <c r="J136" s="16" t="str">
        <f t="shared" si="4"/>
        <v/>
      </c>
      <c r="K136" s="12"/>
      <c r="L136" s="12"/>
      <c r="M136" s="12"/>
      <c r="N136" s="12"/>
      <c r="O136" s="3"/>
      <c r="P136" s="3"/>
      <c r="Q136" s="3"/>
    </row>
    <row r="137" spans="1:17" ht="15">
      <c r="A137" s="12"/>
      <c r="B137" s="12"/>
      <c r="C137" s="12"/>
      <c r="D137" s="12"/>
      <c r="E137" s="12"/>
      <c r="F137" s="12"/>
      <c r="G137" s="12"/>
      <c r="H137" s="15"/>
      <c r="I137" s="15"/>
      <c r="J137" s="16" t="str">
        <f t="shared" si="4"/>
        <v/>
      </c>
      <c r="K137" s="12"/>
      <c r="L137" s="12"/>
      <c r="M137" s="12"/>
      <c r="N137" s="12"/>
      <c r="O137" s="3"/>
      <c r="P137" s="3"/>
      <c r="Q137" s="3"/>
    </row>
    <row r="138" spans="1:17" ht="15">
      <c r="A138" s="12"/>
      <c r="B138" s="12"/>
      <c r="C138" s="12"/>
      <c r="D138" s="12"/>
      <c r="E138" s="12"/>
      <c r="F138" s="12"/>
      <c r="G138" s="12"/>
      <c r="H138" s="15"/>
      <c r="I138" s="15"/>
      <c r="J138" s="16" t="str">
        <f t="shared" si="4"/>
        <v/>
      </c>
      <c r="K138" s="12"/>
      <c r="L138" s="12"/>
      <c r="M138" s="12"/>
      <c r="N138" s="12"/>
      <c r="O138" s="3"/>
      <c r="P138" s="3"/>
      <c r="Q138" s="3"/>
    </row>
    <row r="139" spans="1:17" ht="15">
      <c r="A139" s="12"/>
      <c r="B139" s="12"/>
      <c r="C139" s="12"/>
      <c r="D139" s="12"/>
      <c r="E139" s="12"/>
      <c r="F139" s="12"/>
      <c r="G139" s="12"/>
      <c r="H139" s="15"/>
      <c r="I139" s="15"/>
      <c r="J139" s="16" t="str">
        <f t="shared" si="4"/>
        <v/>
      </c>
      <c r="K139" s="12"/>
      <c r="L139" s="12"/>
      <c r="M139" s="12"/>
      <c r="N139" s="12"/>
      <c r="O139" s="3"/>
      <c r="P139" s="3"/>
      <c r="Q139" s="3"/>
    </row>
    <row r="140" spans="1:17" ht="15">
      <c r="A140" s="12"/>
      <c r="B140" s="12"/>
      <c r="C140" s="12"/>
      <c r="D140" s="12"/>
      <c r="E140" s="12"/>
      <c r="F140" s="12"/>
      <c r="G140" s="12"/>
      <c r="H140" s="15"/>
      <c r="I140" s="15"/>
      <c r="J140" s="16" t="str">
        <f t="shared" si="4"/>
        <v/>
      </c>
      <c r="K140" s="12"/>
      <c r="L140" s="12"/>
      <c r="M140" s="12"/>
      <c r="N140" s="12"/>
      <c r="O140" s="3"/>
      <c r="P140" s="3"/>
      <c r="Q140" s="3"/>
    </row>
    <row r="141" spans="1:17" ht="15">
      <c r="A141" s="12"/>
      <c r="B141" s="12"/>
      <c r="C141" s="12"/>
      <c r="D141" s="12"/>
      <c r="E141" s="12"/>
      <c r="F141" s="12"/>
      <c r="G141" s="12"/>
      <c r="H141" s="15"/>
      <c r="I141" s="15"/>
      <c r="J141" s="16" t="str">
        <f t="shared" si="4"/>
        <v/>
      </c>
      <c r="K141" s="12"/>
      <c r="L141" s="12"/>
      <c r="M141" s="12"/>
      <c r="N141" s="12"/>
      <c r="O141" s="3"/>
      <c r="P141" s="3"/>
      <c r="Q141" s="3"/>
    </row>
    <row r="142" spans="1:17" ht="15">
      <c r="A142" s="12"/>
      <c r="B142" s="12"/>
      <c r="C142" s="12"/>
      <c r="D142" s="12"/>
      <c r="E142" s="12"/>
      <c r="F142" s="12"/>
      <c r="G142" s="12"/>
      <c r="H142" s="15"/>
      <c r="I142" s="15"/>
      <c r="J142" s="16" t="str">
        <f t="shared" si="4"/>
        <v/>
      </c>
      <c r="K142" s="12"/>
      <c r="L142" s="12"/>
      <c r="M142" s="12"/>
      <c r="N142" s="12"/>
      <c r="O142" s="3"/>
      <c r="P142" s="3"/>
      <c r="Q142" s="3"/>
    </row>
    <row r="143" spans="1:17" ht="15">
      <c r="A143" s="12"/>
      <c r="B143" s="12"/>
      <c r="C143" s="12"/>
      <c r="D143" s="12"/>
      <c r="E143" s="12"/>
      <c r="F143" s="12"/>
      <c r="G143" s="12"/>
      <c r="H143" s="15"/>
      <c r="I143" s="15"/>
      <c r="J143" s="16" t="str">
        <f t="shared" si="4"/>
        <v/>
      </c>
      <c r="K143" s="12"/>
      <c r="L143" s="12"/>
      <c r="M143" s="12"/>
      <c r="N143" s="12"/>
      <c r="O143" s="3"/>
      <c r="P143" s="3"/>
      <c r="Q143" s="3"/>
    </row>
    <row r="144" spans="1:17" ht="15">
      <c r="A144" s="12"/>
      <c r="B144" s="12"/>
      <c r="C144" s="12"/>
      <c r="D144" s="12"/>
      <c r="E144" s="12"/>
      <c r="F144" s="12"/>
      <c r="G144" s="12"/>
      <c r="H144" s="15"/>
      <c r="I144" s="15"/>
      <c r="J144" s="16" t="str">
        <f t="shared" si="4"/>
        <v/>
      </c>
      <c r="K144" s="12"/>
      <c r="L144" s="12"/>
      <c r="M144" s="12"/>
      <c r="N144" s="12"/>
      <c r="O144" s="3"/>
      <c r="P144" s="3"/>
      <c r="Q144" s="3"/>
    </row>
    <row r="145" spans="1:17" ht="15">
      <c r="A145" s="12"/>
      <c r="B145" s="12"/>
      <c r="C145" s="12"/>
      <c r="D145" s="12"/>
      <c r="E145" s="12"/>
      <c r="F145" s="12"/>
      <c r="G145" s="12"/>
      <c r="H145" s="15"/>
      <c r="I145" s="15"/>
      <c r="J145" s="16" t="str">
        <f t="shared" si="4"/>
        <v/>
      </c>
      <c r="K145" s="12"/>
      <c r="L145" s="12"/>
      <c r="M145" s="12"/>
      <c r="N145" s="12"/>
      <c r="O145" s="3"/>
      <c r="P145" s="3"/>
      <c r="Q145" s="3"/>
    </row>
    <row r="146" spans="1:17" ht="15">
      <c r="A146" s="12"/>
      <c r="B146" s="12"/>
      <c r="C146" s="12"/>
      <c r="D146" s="12"/>
      <c r="E146" s="12"/>
      <c r="F146" s="12"/>
      <c r="G146" s="12"/>
      <c r="H146" s="15"/>
      <c r="I146" s="15"/>
      <c r="J146" s="16" t="str">
        <f t="shared" si="4"/>
        <v/>
      </c>
      <c r="K146" s="12"/>
      <c r="L146" s="12"/>
      <c r="M146" s="12"/>
      <c r="N146" s="12"/>
      <c r="O146" s="3"/>
      <c r="P146" s="3"/>
      <c r="Q146" s="3"/>
    </row>
    <row r="147" spans="1:17" ht="15">
      <c r="A147" s="12"/>
      <c r="B147" s="12"/>
      <c r="C147" s="12"/>
      <c r="D147" s="12"/>
      <c r="E147" s="12"/>
      <c r="F147" s="12"/>
      <c r="G147" s="12"/>
      <c r="H147" s="15"/>
      <c r="I147" s="15"/>
      <c r="J147" s="16" t="str">
        <f t="shared" si="4"/>
        <v/>
      </c>
      <c r="K147" s="12"/>
      <c r="L147" s="12"/>
      <c r="M147" s="12"/>
      <c r="N147" s="12"/>
      <c r="O147" s="3"/>
      <c r="P147" s="3"/>
      <c r="Q147" s="3"/>
    </row>
    <row r="148" spans="1:17" ht="15">
      <c r="A148" s="12"/>
      <c r="B148" s="12"/>
      <c r="C148" s="12"/>
      <c r="D148" s="12"/>
      <c r="E148" s="12"/>
      <c r="F148" s="12"/>
      <c r="G148" s="12"/>
      <c r="H148" s="15"/>
      <c r="I148" s="15"/>
      <c r="J148" s="16" t="str">
        <f t="shared" si="4"/>
        <v/>
      </c>
      <c r="K148" s="12"/>
      <c r="L148" s="12"/>
      <c r="M148" s="12"/>
      <c r="N148" s="12"/>
      <c r="O148" s="3"/>
      <c r="P148" s="3"/>
      <c r="Q148" s="3"/>
    </row>
    <row r="149" spans="1:17" ht="15">
      <c r="A149" s="12"/>
      <c r="B149" s="12"/>
      <c r="C149" s="12"/>
      <c r="D149" s="12"/>
      <c r="E149" s="12"/>
      <c r="F149" s="12"/>
      <c r="G149" s="12"/>
      <c r="H149" s="15"/>
      <c r="I149" s="15"/>
      <c r="J149" s="16" t="str">
        <f t="shared" si="4"/>
        <v/>
      </c>
      <c r="K149" s="12"/>
      <c r="L149" s="12"/>
      <c r="M149" s="12"/>
      <c r="N149" s="12"/>
      <c r="O149" s="3"/>
      <c r="P149" s="3"/>
      <c r="Q149" s="3"/>
    </row>
    <row r="150" spans="1:17" ht="15">
      <c r="A150" s="12"/>
      <c r="B150" s="12"/>
      <c r="C150" s="12"/>
      <c r="D150" s="12"/>
      <c r="E150" s="12"/>
      <c r="F150" s="12"/>
      <c r="G150" s="12"/>
      <c r="H150" s="15"/>
      <c r="I150" s="15"/>
      <c r="J150" s="16" t="str">
        <f t="shared" si="4"/>
        <v/>
      </c>
      <c r="K150" s="12"/>
      <c r="L150" s="12"/>
      <c r="M150" s="12"/>
      <c r="N150" s="12"/>
      <c r="O150" s="3"/>
      <c r="P150" s="3"/>
      <c r="Q150" s="3"/>
    </row>
    <row r="151" spans="1:17" ht="15">
      <c r="A151" s="12"/>
      <c r="B151" s="12"/>
      <c r="C151" s="12"/>
      <c r="D151" s="12"/>
      <c r="E151" s="12"/>
      <c r="F151" s="12"/>
      <c r="G151" s="12"/>
      <c r="H151" s="15"/>
      <c r="I151" s="15"/>
      <c r="J151" s="16" t="str">
        <f t="shared" si="4"/>
        <v/>
      </c>
      <c r="K151" s="12"/>
      <c r="L151" s="12"/>
      <c r="M151" s="12"/>
      <c r="N151" s="12"/>
      <c r="O151" s="3"/>
      <c r="P151" s="3"/>
      <c r="Q151" s="3"/>
    </row>
    <row r="152" spans="1:17" ht="15">
      <c r="A152" s="12"/>
      <c r="B152" s="12"/>
      <c r="C152" s="12"/>
      <c r="D152" s="12"/>
      <c r="E152" s="12"/>
      <c r="F152" s="12"/>
      <c r="G152" s="12"/>
      <c r="H152" s="15"/>
      <c r="I152" s="15"/>
      <c r="J152" s="16" t="str">
        <f t="shared" si="4"/>
        <v/>
      </c>
      <c r="K152" s="12"/>
      <c r="L152" s="12"/>
      <c r="M152" s="12"/>
      <c r="N152" s="12"/>
      <c r="O152" s="3"/>
      <c r="P152" s="3"/>
      <c r="Q152" s="3"/>
    </row>
    <row r="153" spans="1:17" ht="15">
      <c r="A153" s="12"/>
      <c r="B153" s="12"/>
      <c r="C153" s="12"/>
      <c r="D153" s="12"/>
      <c r="E153" s="12"/>
      <c r="F153" s="12"/>
      <c r="G153" s="12"/>
      <c r="H153" s="15"/>
      <c r="I153" s="15"/>
      <c r="J153" s="16" t="str">
        <f t="shared" si="4"/>
        <v/>
      </c>
      <c r="K153" s="12"/>
      <c r="L153" s="12"/>
      <c r="M153" s="12"/>
      <c r="N153" s="12"/>
      <c r="O153" s="3"/>
      <c r="P153" s="3"/>
      <c r="Q153" s="3"/>
    </row>
    <row r="154" spans="1:17" ht="15">
      <c r="A154" s="12"/>
      <c r="B154" s="12"/>
      <c r="C154" s="12"/>
      <c r="D154" s="12"/>
      <c r="E154" s="12"/>
      <c r="F154" s="12"/>
      <c r="G154" s="12"/>
      <c r="H154" s="15"/>
      <c r="I154" s="15"/>
      <c r="J154" s="16" t="str">
        <f t="shared" si="4"/>
        <v/>
      </c>
      <c r="K154" s="12"/>
      <c r="L154" s="12"/>
      <c r="M154" s="12"/>
      <c r="N154" s="12"/>
      <c r="O154" s="3"/>
      <c r="P154" s="3"/>
      <c r="Q154" s="3"/>
    </row>
    <row r="155" spans="1:17" ht="15">
      <c r="A155" s="12"/>
      <c r="B155" s="12"/>
      <c r="C155" s="12"/>
      <c r="D155" s="12"/>
      <c r="E155" s="12"/>
      <c r="F155" s="12"/>
      <c r="G155" s="12"/>
      <c r="H155" s="15"/>
      <c r="I155" s="15"/>
      <c r="J155" s="16" t="str">
        <f t="shared" si="4"/>
        <v/>
      </c>
      <c r="K155" s="12"/>
      <c r="L155" s="12"/>
      <c r="M155" s="12"/>
      <c r="N155" s="12"/>
      <c r="O155" s="3"/>
      <c r="P155" s="3"/>
      <c r="Q155" s="3"/>
    </row>
    <row r="156" spans="1:17" ht="15">
      <c r="A156" s="12"/>
      <c r="B156" s="12"/>
      <c r="C156" s="12"/>
      <c r="D156" s="12"/>
      <c r="E156" s="12"/>
      <c r="F156" s="12"/>
      <c r="G156" s="12"/>
      <c r="H156" s="15"/>
      <c r="I156" s="15"/>
      <c r="J156" s="16" t="str">
        <f t="shared" si="4"/>
        <v/>
      </c>
      <c r="K156" s="12"/>
      <c r="L156" s="12"/>
      <c r="M156" s="12"/>
      <c r="N156" s="12"/>
      <c r="O156" s="3"/>
      <c r="P156" s="3"/>
      <c r="Q156" s="3"/>
    </row>
    <row r="157" spans="1:17" ht="15">
      <c r="A157" s="12"/>
      <c r="B157" s="12"/>
      <c r="C157" s="12"/>
      <c r="D157" s="12"/>
      <c r="E157" s="12"/>
      <c r="F157" s="12"/>
      <c r="G157" s="12"/>
      <c r="H157" s="15"/>
      <c r="I157" s="15"/>
      <c r="J157" s="16" t="str">
        <f t="shared" si="4"/>
        <v/>
      </c>
      <c r="K157" s="12"/>
      <c r="L157" s="12"/>
      <c r="M157" s="12"/>
      <c r="N157" s="12"/>
      <c r="O157" s="3"/>
      <c r="P157" s="3"/>
      <c r="Q157" s="3"/>
    </row>
    <row r="158" spans="1:17" ht="15">
      <c r="A158" s="12"/>
      <c r="B158" s="12"/>
      <c r="C158" s="12"/>
      <c r="D158" s="12"/>
      <c r="E158" s="12"/>
      <c r="F158" s="12"/>
      <c r="G158" s="12"/>
      <c r="H158" s="15"/>
      <c r="I158" s="15"/>
      <c r="J158" s="16" t="str">
        <f t="shared" si="4"/>
        <v/>
      </c>
      <c r="K158" s="12"/>
      <c r="L158" s="12"/>
      <c r="M158" s="12"/>
      <c r="N158" s="12"/>
      <c r="O158" s="3"/>
      <c r="P158" s="3"/>
      <c r="Q158" s="3"/>
    </row>
    <row r="159" spans="1:17" ht="15">
      <c r="A159" s="12"/>
      <c r="B159" s="12"/>
      <c r="C159" s="12"/>
      <c r="D159" s="12"/>
      <c r="E159" s="12"/>
      <c r="F159" s="12"/>
      <c r="G159" s="12"/>
      <c r="H159" s="15"/>
      <c r="I159" s="15"/>
      <c r="J159" s="16" t="str">
        <f t="shared" si="4"/>
        <v/>
      </c>
      <c r="K159" s="12"/>
      <c r="L159" s="12"/>
      <c r="M159" s="12"/>
      <c r="N159" s="12"/>
      <c r="O159" s="3"/>
      <c r="P159" s="3"/>
      <c r="Q159" s="3"/>
    </row>
    <row r="160" spans="1:17" ht="15">
      <c r="A160" s="12"/>
      <c r="B160" s="12"/>
      <c r="C160" s="12"/>
      <c r="D160" s="12"/>
      <c r="E160" s="12"/>
      <c r="F160" s="12"/>
      <c r="G160" s="12"/>
      <c r="H160" s="15"/>
      <c r="I160" s="15"/>
      <c r="J160" s="16" t="str">
        <f t="shared" si="4"/>
        <v/>
      </c>
      <c r="K160" s="12"/>
      <c r="L160" s="12"/>
      <c r="M160" s="12"/>
      <c r="N160" s="12"/>
      <c r="O160" s="3"/>
      <c r="P160" s="3"/>
      <c r="Q160" s="3"/>
    </row>
    <row r="161" spans="1:17" ht="15">
      <c r="A161" s="12"/>
      <c r="B161" s="12"/>
      <c r="C161" s="12"/>
      <c r="D161" s="12"/>
      <c r="E161" s="12"/>
      <c r="F161" s="12"/>
      <c r="G161" s="12"/>
      <c r="H161" s="15"/>
      <c r="I161" s="15"/>
      <c r="J161" s="16" t="str">
        <f t="shared" si="4"/>
        <v/>
      </c>
      <c r="K161" s="12"/>
      <c r="L161" s="12"/>
      <c r="M161" s="12"/>
      <c r="N161" s="12"/>
      <c r="O161" s="3"/>
      <c r="P161" s="3"/>
      <c r="Q161" s="3"/>
    </row>
    <row r="162" spans="1:17" ht="15">
      <c r="A162" s="12"/>
      <c r="B162" s="12"/>
      <c r="C162" s="12"/>
      <c r="D162" s="12"/>
      <c r="E162" s="12"/>
      <c r="F162" s="12"/>
      <c r="G162" s="12"/>
      <c r="H162" s="15"/>
      <c r="I162" s="15"/>
      <c r="J162" s="16" t="str">
        <f t="shared" si="4"/>
        <v/>
      </c>
      <c r="K162" s="12"/>
      <c r="L162" s="12"/>
      <c r="M162" s="12"/>
      <c r="N162" s="12"/>
      <c r="O162" s="3"/>
      <c r="P162" s="3"/>
      <c r="Q162" s="3"/>
    </row>
    <row r="163" spans="1:17" ht="15">
      <c r="A163" s="12"/>
      <c r="B163" s="12"/>
      <c r="C163" s="12"/>
      <c r="D163" s="12"/>
      <c r="E163" s="12"/>
      <c r="F163" s="12"/>
      <c r="G163" s="12"/>
      <c r="H163" s="15"/>
      <c r="I163" s="15"/>
      <c r="J163" s="16" t="str">
        <f t="shared" si="4"/>
        <v/>
      </c>
      <c r="K163" s="12"/>
      <c r="L163" s="12"/>
      <c r="M163" s="12"/>
      <c r="N163" s="12"/>
      <c r="O163" s="3"/>
      <c r="P163" s="3"/>
      <c r="Q163" s="3"/>
    </row>
    <row r="164" spans="1:17" ht="15">
      <c r="A164" s="12"/>
      <c r="B164" s="12"/>
      <c r="C164" s="12"/>
      <c r="D164" s="12"/>
      <c r="E164" s="12"/>
      <c r="F164" s="12"/>
      <c r="G164" s="12"/>
      <c r="H164" s="15"/>
      <c r="I164" s="15"/>
      <c r="J164" s="16" t="str">
        <f t="shared" si="4"/>
        <v/>
      </c>
      <c r="K164" s="12"/>
      <c r="L164" s="12"/>
      <c r="M164" s="12"/>
      <c r="N164" s="12"/>
      <c r="O164" s="3"/>
      <c r="P164" s="3"/>
      <c r="Q164" s="3"/>
    </row>
    <row r="165" spans="1:17" ht="15">
      <c r="A165" s="12"/>
      <c r="B165" s="12"/>
      <c r="C165" s="12"/>
      <c r="D165" s="12"/>
      <c r="E165" s="12"/>
      <c r="F165" s="12"/>
      <c r="G165" s="12"/>
      <c r="H165" s="15"/>
      <c r="I165" s="15"/>
      <c r="J165" s="16" t="str">
        <f t="shared" si="4"/>
        <v/>
      </c>
      <c r="K165" s="12"/>
      <c r="L165" s="12"/>
      <c r="M165" s="12"/>
      <c r="N165" s="12"/>
      <c r="O165" s="3"/>
      <c r="P165" s="3"/>
      <c r="Q165" s="3"/>
    </row>
    <row r="166" spans="1:17" ht="15">
      <c r="A166" s="12"/>
      <c r="B166" s="12"/>
      <c r="C166" s="12"/>
      <c r="D166" s="12"/>
      <c r="E166" s="12"/>
      <c r="F166" s="12"/>
      <c r="G166" s="12"/>
      <c r="H166" s="15"/>
      <c r="I166" s="15"/>
      <c r="J166" s="16" t="str">
        <f t="shared" si="4"/>
        <v/>
      </c>
      <c r="K166" s="12"/>
      <c r="L166" s="12"/>
      <c r="M166" s="12"/>
      <c r="N166" s="12"/>
      <c r="O166" s="3"/>
      <c r="P166" s="3"/>
      <c r="Q166" s="3"/>
    </row>
    <row r="167" spans="1:17" ht="15">
      <c r="A167" s="12"/>
      <c r="B167" s="12"/>
      <c r="C167" s="12"/>
      <c r="D167" s="12"/>
      <c r="E167" s="12"/>
      <c r="F167" s="12"/>
      <c r="G167" s="12"/>
      <c r="H167" s="15"/>
      <c r="I167" s="15"/>
      <c r="J167" s="16" t="str">
        <f t="shared" ref="J167:J198" si="5">IF(H167="","",MAX(H167-I167,0))</f>
        <v/>
      </c>
      <c r="K167" s="12"/>
      <c r="L167" s="12"/>
      <c r="M167" s="12"/>
      <c r="N167" s="12"/>
      <c r="O167" s="3"/>
      <c r="P167" s="3"/>
      <c r="Q167" s="3"/>
    </row>
    <row r="168" spans="1:17" ht="15">
      <c r="A168" s="12"/>
      <c r="B168" s="12"/>
      <c r="C168" s="12"/>
      <c r="D168" s="12"/>
      <c r="E168" s="12"/>
      <c r="F168" s="12"/>
      <c r="G168" s="12"/>
      <c r="H168" s="15"/>
      <c r="I168" s="15"/>
      <c r="J168" s="16" t="str">
        <f t="shared" si="5"/>
        <v/>
      </c>
      <c r="K168" s="12"/>
      <c r="L168" s="12"/>
      <c r="M168" s="12"/>
      <c r="N168" s="12"/>
      <c r="O168" s="3"/>
      <c r="P168" s="3"/>
      <c r="Q168" s="3"/>
    </row>
    <row r="169" spans="1:17" ht="15">
      <c r="A169" s="12"/>
      <c r="B169" s="12"/>
      <c r="C169" s="12"/>
      <c r="D169" s="12"/>
      <c r="E169" s="12"/>
      <c r="F169" s="12"/>
      <c r="G169" s="12"/>
      <c r="H169" s="15"/>
      <c r="I169" s="15"/>
      <c r="J169" s="16" t="str">
        <f t="shared" si="5"/>
        <v/>
      </c>
      <c r="K169" s="12"/>
      <c r="L169" s="12"/>
      <c r="M169" s="12"/>
      <c r="N169" s="12"/>
      <c r="O169" s="3"/>
      <c r="P169" s="3"/>
      <c r="Q169" s="3"/>
    </row>
    <row r="170" spans="1:17" ht="15">
      <c r="A170" s="12"/>
      <c r="B170" s="12"/>
      <c r="C170" s="12"/>
      <c r="D170" s="12"/>
      <c r="E170" s="12"/>
      <c r="F170" s="12"/>
      <c r="G170" s="12"/>
      <c r="H170" s="15"/>
      <c r="I170" s="15"/>
      <c r="J170" s="16" t="str">
        <f t="shared" si="5"/>
        <v/>
      </c>
      <c r="K170" s="12"/>
      <c r="L170" s="12"/>
      <c r="M170" s="12"/>
      <c r="N170" s="12"/>
      <c r="O170" s="3"/>
      <c r="P170" s="3"/>
      <c r="Q170" s="3"/>
    </row>
    <row r="171" spans="1:17" ht="15">
      <c r="A171" s="12"/>
      <c r="B171" s="12"/>
      <c r="C171" s="12"/>
      <c r="D171" s="12"/>
      <c r="E171" s="12"/>
      <c r="F171" s="12"/>
      <c r="G171" s="12"/>
      <c r="H171" s="15"/>
      <c r="I171" s="15"/>
      <c r="J171" s="16" t="str">
        <f t="shared" si="5"/>
        <v/>
      </c>
      <c r="K171" s="12"/>
      <c r="L171" s="12"/>
      <c r="M171" s="12"/>
      <c r="N171" s="12"/>
      <c r="O171" s="3"/>
      <c r="P171" s="3"/>
      <c r="Q171" s="3"/>
    </row>
    <row r="172" spans="1:17" ht="15">
      <c r="A172" s="12"/>
      <c r="B172" s="12"/>
      <c r="C172" s="12"/>
      <c r="D172" s="12"/>
      <c r="E172" s="12"/>
      <c r="F172" s="12"/>
      <c r="G172" s="12"/>
      <c r="H172" s="15"/>
      <c r="I172" s="15"/>
      <c r="J172" s="16" t="str">
        <f t="shared" si="5"/>
        <v/>
      </c>
      <c r="K172" s="12"/>
      <c r="L172" s="12"/>
      <c r="M172" s="12"/>
      <c r="N172" s="12"/>
      <c r="O172" s="3"/>
      <c r="P172" s="3"/>
      <c r="Q172" s="3"/>
    </row>
    <row r="173" spans="1:17" ht="15">
      <c r="A173" s="12"/>
      <c r="B173" s="12"/>
      <c r="C173" s="12"/>
      <c r="D173" s="12"/>
      <c r="E173" s="12"/>
      <c r="F173" s="12"/>
      <c r="G173" s="12"/>
      <c r="H173" s="15"/>
      <c r="I173" s="15"/>
      <c r="J173" s="16" t="str">
        <f t="shared" si="5"/>
        <v/>
      </c>
      <c r="K173" s="12"/>
      <c r="L173" s="12"/>
      <c r="M173" s="12"/>
      <c r="N173" s="12"/>
      <c r="O173" s="3"/>
      <c r="P173" s="3"/>
      <c r="Q173" s="3"/>
    </row>
    <row r="174" spans="1:17" ht="15">
      <c r="A174" s="12"/>
      <c r="B174" s="12"/>
      <c r="C174" s="12"/>
      <c r="D174" s="12"/>
      <c r="E174" s="12"/>
      <c r="F174" s="12"/>
      <c r="G174" s="12"/>
      <c r="H174" s="15"/>
      <c r="I174" s="15"/>
      <c r="J174" s="16" t="str">
        <f t="shared" si="5"/>
        <v/>
      </c>
      <c r="K174" s="12"/>
      <c r="L174" s="12"/>
      <c r="M174" s="12"/>
      <c r="N174" s="12"/>
      <c r="O174" s="3"/>
      <c r="P174" s="3"/>
      <c r="Q174" s="3"/>
    </row>
    <row r="175" spans="1:17" ht="15">
      <c r="A175" s="12"/>
      <c r="B175" s="12"/>
      <c r="C175" s="12"/>
      <c r="D175" s="12"/>
      <c r="E175" s="12"/>
      <c r="F175" s="12"/>
      <c r="G175" s="12"/>
      <c r="H175" s="15"/>
      <c r="I175" s="15"/>
      <c r="J175" s="16" t="str">
        <f t="shared" si="5"/>
        <v/>
      </c>
      <c r="K175" s="12"/>
      <c r="L175" s="12"/>
      <c r="M175" s="12"/>
      <c r="N175" s="12"/>
      <c r="O175" s="3"/>
      <c r="P175" s="3"/>
      <c r="Q175" s="3"/>
    </row>
    <row r="176" spans="1:17" ht="15">
      <c r="A176" s="12"/>
      <c r="B176" s="12"/>
      <c r="C176" s="12"/>
      <c r="D176" s="12"/>
      <c r="E176" s="12"/>
      <c r="F176" s="12"/>
      <c r="G176" s="12"/>
      <c r="H176" s="15"/>
      <c r="I176" s="15"/>
      <c r="J176" s="16" t="str">
        <f t="shared" si="5"/>
        <v/>
      </c>
      <c r="K176" s="12"/>
      <c r="L176" s="12"/>
      <c r="M176" s="12"/>
      <c r="N176" s="12"/>
      <c r="O176" s="3"/>
      <c r="P176" s="3"/>
      <c r="Q176" s="3"/>
    </row>
    <row r="177" spans="1:17" ht="15">
      <c r="A177" s="12"/>
      <c r="B177" s="12"/>
      <c r="C177" s="12"/>
      <c r="D177" s="12"/>
      <c r="E177" s="12"/>
      <c r="F177" s="12"/>
      <c r="G177" s="12"/>
      <c r="H177" s="15"/>
      <c r="I177" s="15"/>
      <c r="J177" s="16" t="str">
        <f t="shared" si="5"/>
        <v/>
      </c>
      <c r="K177" s="12"/>
      <c r="L177" s="12"/>
      <c r="M177" s="12"/>
      <c r="N177" s="12"/>
      <c r="O177" s="3"/>
      <c r="P177" s="3"/>
      <c r="Q177" s="3"/>
    </row>
    <row r="178" spans="1:17" ht="15">
      <c r="A178" s="12"/>
      <c r="B178" s="12"/>
      <c r="C178" s="12"/>
      <c r="D178" s="12"/>
      <c r="E178" s="12"/>
      <c r="F178" s="12"/>
      <c r="G178" s="12"/>
      <c r="H178" s="15"/>
      <c r="I178" s="15"/>
      <c r="J178" s="16" t="str">
        <f t="shared" si="5"/>
        <v/>
      </c>
      <c r="K178" s="12"/>
      <c r="L178" s="12"/>
      <c r="M178" s="12"/>
      <c r="N178" s="12"/>
      <c r="O178" s="3"/>
      <c r="P178" s="3"/>
      <c r="Q178" s="3"/>
    </row>
    <row r="179" spans="1:17" ht="15">
      <c r="A179" s="12"/>
      <c r="B179" s="12"/>
      <c r="C179" s="12"/>
      <c r="D179" s="12"/>
      <c r="E179" s="12"/>
      <c r="F179" s="12"/>
      <c r="G179" s="12"/>
      <c r="H179" s="15"/>
      <c r="I179" s="15"/>
      <c r="J179" s="16" t="str">
        <f t="shared" si="5"/>
        <v/>
      </c>
      <c r="K179" s="12"/>
      <c r="L179" s="12"/>
      <c r="M179" s="12"/>
      <c r="N179" s="12"/>
      <c r="O179" s="3"/>
      <c r="P179" s="3"/>
      <c r="Q179" s="3"/>
    </row>
    <row r="180" spans="1:17" ht="15">
      <c r="A180" s="12"/>
      <c r="B180" s="12"/>
      <c r="C180" s="12"/>
      <c r="D180" s="12"/>
      <c r="E180" s="12"/>
      <c r="F180" s="12"/>
      <c r="G180" s="12"/>
      <c r="H180" s="15"/>
      <c r="I180" s="15"/>
      <c r="J180" s="16" t="str">
        <f t="shared" si="5"/>
        <v/>
      </c>
      <c r="K180" s="12"/>
      <c r="L180" s="12"/>
      <c r="M180" s="12"/>
      <c r="N180" s="12"/>
      <c r="O180" s="3"/>
      <c r="P180" s="3"/>
      <c r="Q180" s="3"/>
    </row>
    <row r="181" spans="1:17" ht="15">
      <c r="A181" s="12"/>
      <c r="B181" s="12"/>
      <c r="C181" s="12"/>
      <c r="D181" s="12"/>
      <c r="E181" s="12"/>
      <c r="F181" s="12"/>
      <c r="G181" s="12"/>
      <c r="H181" s="15"/>
      <c r="I181" s="15"/>
      <c r="J181" s="16" t="str">
        <f t="shared" si="5"/>
        <v/>
      </c>
      <c r="K181" s="12"/>
      <c r="L181" s="12"/>
      <c r="M181" s="12"/>
      <c r="N181" s="12"/>
      <c r="O181" s="3"/>
      <c r="P181" s="3"/>
      <c r="Q181" s="3"/>
    </row>
    <row r="182" spans="1:17" ht="15">
      <c r="A182" s="12"/>
      <c r="B182" s="12"/>
      <c r="C182" s="12"/>
      <c r="D182" s="12"/>
      <c r="E182" s="12"/>
      <c r="F182" s="12"/>
      <c r="G182" s="12"/>
      <c r="H182" s="15"/>
      <c r="I182" s="15"/>
      <c r="J182" s="16" t="str">
        <f t="shared" si="5"/>
        <v/>
      </c>
      <c r="K182" s="12"/>
      <c r="L182" s="12"/>
      <c r="M182" s="12"/>
      <c r="N182" s="12"/>
      <c r="O182" s="3"/>
      <c r="P182" s="3"/>
      <c r="Q182" s="3"/>
    </row>
    <row r="183" spans="1:17" ht="15">
      <c r="A183" s="12"/>
      <c r="B183" s="12"/>
      <c r="C183" s="12"/>
      <c r="D183" s="12"/>
      <c r="E183" s="12"/>
      <c r="F183" s="12"/>
      <c r="G183" s="12"/>
      <c r="H183" s="15"/>
      <c r="I183" s="15"/>
      <c r="J183" s="16" t="str">
        <f t="shared" si="5"/>
        <v/>
      </c>
      <c r="K183" s="12"/>
      <c r="L183" s="12"/>
      <c r="M183" s="12"/>
      <c r="N183" s="12"/>
      <c r="O183" s="3"/>
      <c r="P183" s="3"/>
      <c r="Q183" s="3"/>
    </row>
    <row r="184" spans="1:17" ht="15">
      <c r="A184" s="12"/>
      <c r="B184" s="12"/>
      <c r="C184" s="12"/>
      <c r="D184" s="12"/>
      <c r="E184" s="12"/>
      <c r="F184" s="12"/>
      <c r="G184" s="12"/>
      <c r="H184" s="15"/>
      <c r="I184" s="15"/>
      <c r="J184" s="16" t="str">
        <f t="shared" si="5"/>
        <v/>
      </c>
      <c r="K184" s="12"/>
      <c r="L184" s="12"/>
      <c r="M184" s="12"/>
      <c r="N184" s="12"/>
      <c r="O184" s="3"/>
      <c r="P184" s="3"/>
      <c r="Q184" s="3"/>
    </row>
    <row r="185" spans="1:17" ht="15">
      <c r="A185" s="12"/>
      <c r="B185" s="12"/>
      <c r="C185" s="12"/>
      <c r="D185" s="12"/>
      <c r="E185" s="12"/>
      <c r="F185" s="12"/>
      <c r="G185" s="12"/>
      <c r="H185" s="15"/>
      <c r="I185" s="15"/>
      <c r="J185" s="16" t="str">
        <f t="shared" si="5"/>
        <v/>
      </c>
      <c r="K185" s="12"/>
      <c r="L185" s="12"/>
      <c r="M185" s="12"/>
      <c r="N185" s="12"/>
      <c r="O185" s="3"/>
      <c r="P185" s="3"/>
      <c r="Q185" s="3"/>
    </row>
    <row r="186" spans="1:17" ht="15">
      <c r="A186" s="12"/>
      <c r="B186" s="12"/>
      <c r="C186" s="12"/>
      <c r="D186" s="12"/>
      <c r="E186" s="12"/>
      <c r="F186" s="12"/>
      <c r="G186" s="12"/>
      <c r="H186" s="15"/>
      <c r="I186" s="15"/>
      <c r="J186" s="16" t="str">
        <f t="shared" si="5"/>
        <v/>
      </c>
      <c r="K186" s="12"/>
      <c r="L186" s="12"/>
      <c r="M186" s="12"/>
      <c r="N186" s="12"/>
      <c r="O186" s="3"/>
      <c r="P186" s="3"/>
      <c r="Q186" s="3"/>
    </row>
    <row r="187" spans="1:17" ht="15">
      <c r="A187" s="12"/>
      <c r="B187" s="12"/>
      <c r="C187" s="12"/>
      <c r="D187" s="12"/>
      <c r="E187" s="12"/>
      <c r="F187" s="12"/>
      <c r="G187" s="12"/>
      <c r="H187" s="15"/>
      <c r="I187" s="15"/>
      <c r="J187" s="16" t="str">
        <f t="shared" si="5"/>
        <v/>
      </c>
      <c r="K187" s="12"/>
      <c r="L187" s="12"/>
      <c r="M187" s="12"/>
      <c r="N187" s="12"/>
      <c r="O187" s="3"/>
      <c r="P187" s="3"/>
      <c r="Q187" s="3"/>
    </row>
    <row r="188" spans="1:17" ht="15">
      <c r="A188" s="12"/>
      <c r="B188" s="12"/>
      <c r="C188" s="12"/>
      <c r="D188" s="12"/>
      <c r="E188" s="12"/>
      <c r="F188" s="12"/>
      <c r="G188" s="12"/>
      <c r="H188" s="15"/>
      <c r="I188" s="15"/>
      <c r="J188" s="16" t="str">
        <f t="shared" si="5"/>
        <v/>
      </c>
      <c r="K188" s="12"/>
      <c r="L188" s="12"/>
      <c r="M188" s="12"/>
      <c r="N188" s="12"/>
      <c r="O188" s="3"/>
      <c r="P188" s="3"/>
      <c r="Q188" s="3"/>
    </row>
    <row r="189" spans="1:17" ht="15">
      <c r="A189" s="12"/>
      <c r="B189" s="12"/>
      <c r="C189" s="12"/>
      <c r="D189" s="12"/>
      <c r="E189" s="12"/>
      <c r="F189" s="12"/>
      <c r="G189" s="12"/>
      <c r="H189" s="15"/>
      <c r="I189" s="15"/>
      <c r="J189" s="16" t="str">
        <f t="shared" si="5"/>
        <v/>
      </c>
      <c r="K189" s="12"/>
      <c r="L189" s="12"/>
      <c r="M189" s="12"/>
      <c r="N189" s="12"/>
      <c r="O189" s="3"/>
      <c r="P189" s="3"/>
      <c r="Q189" s="3"/>
    </row>
    <row r="190" spans="1:17" ht="15">
      <c r="A190" s="12"/>
      <c r="B190" s="12"/>
      <c r="C190" s="12"/>
      <c r="D190" s="12"/>
      <c r="E190" s="12"/>
      <c r="F190" s="12"/>
      <c r="G190" s="12"/>
      <c r="H190" s="15"/>
      <c r="I190" s="15"/>
      <c r="J190" s="16" t="str">
        <f t="shared" si="5"/>
        <v/>
      </c>
      <c r="K190" s="12"/>
      <c r="L190" s="12"/>
      <c r="M190" s="12"/>
      <c r="N190" s="12"/>
      <c r="O190" s="3"/>
      <c r="P190" s="3"/>
      <c r="Q190" s="3"/>
    </row>
    <row r="191" spans="1:17" ht="15">
      <c r="A191" s="12"/>
      <c r="B191" s="12"/>
      <c r="C191" s="12"/>
      <c r="D191" s="12"/>
      <c r="E191" s="12"/>
      <c r="F191" s="12"/>
      <c r="G191" s="12"/>
      <c r="H191" s="15"/>
      <c r="I191" s="15"/>
      <c r="J191" s="16" t="str">
        <f t="shared" si="5"/>
        <v/>
      </c>
      <c r="K191" s="12"/>
      <c r="L191" s="12"/>
      <c r="M191" s="12"/>
      <c r="N191" s="12"/>
      <c r="O191" s="3"/>
      <c r="P191" s="3"/>
      <c r="Q191" s="3"/>
    </row>
    <row r="192" spans="1:17" ht="15">
      <c r="A192" s="12"/>
      <c r="B192" s="12"/>
      <c r="C192" s="12"/>
      <c r="D192" s="12"/>
      <c r="E192" s="12"/>
      <c r="F192" s="12"/>
      <c r="G192" s="12"/>
      <c r="H192" s="15"/>
      <c r="I192" s="15"/>
      <c r="J192" s="16" t="str">
        <f t="shared" si="5"/>
        <v/>
      </c>
      <c r="K192" s="12"/>
      <c r="L192" s="12"/>
      <c r="M192" s="12"/>
      <c r="N192" s="12"/>
      <c r="O192" s="3"/>
      <c r="P192" s="3"/>
      <c r="Q192" s="3"/>
    </row>
    <row r="193" spans="1:17" ht="15">
      <c r="A193" s="12"/>
      <c r="B193" s="12"/>
      <c r="C193" s="12"/>
      <c r="D193" s="12"/>
      <c r="E193" s="12"/>
      <c r="F193" s="12"/>
      <c r="G193" s="12"/>
      <c r="H193" s="15"/>
      <c r="I193" s="15"/>
      <c r="J193" s="16" t="str">
        <f t="shared" si="5"/>
        <v/>
      </c>
      <c r="K193" s="12"/>
      <c r="L193" s="12"/>
      <c r="M193" s="12"/>
      <c r="N193" s="12"/>
      <c r="O193" s="3"/>
      <c r="P193" s="3"/>
      <c r="Q193" s="3"/>
    </row>
    <row r="194" spans="1:17" ht="15">
      <c r="A194" s="12"/>
      <c r="B194" s="12"/>
      <c r="C194" s="12"/>
      <c r="D194" s="12"/>
      <c r="E194" s="12"/>
      <c r="F194" s="12"/>
      <c r="G194" s="12"/>
      <c r="H194" s="15"/>
      <c r="I194" s="15"/>
      <c r="J194" s="16" t="str">
        <f t="shared" si="5"/>
        <v/>
      </c>
      <c r="K194" s="12"/>
      <c r="L194" s="12"/>
      <c r="M194" s="12"/>
      <c r="N194" s="12"/>
      <c r="O194" s="3"/>
      <c r="P194" s="3"/>
      <c r="Q194" s="3"/>
    </row>
    <row r="195" spans="1:17" ht="15">
      <c r="A195" s="12"/>
      <c r="B195" s="12"/>
      <c r="C195" s="12"/>
      <c r="D195" s="12"/>
      <c r="E195" s="12"/>
      <c r="F195" s="12"/>
      <c r="G195" s="12"/>
      <c r="H195" s="15"/>
      <c r="I195" s="15"/>
      <c r="J195" s="16" t="str">
        <f t="shared" si="5"/>
        <v/>
      </c>
      <c r="K195" s="12"/>
      <c r="L195" s="12"/>
      <c r="M195" s="12"/>
      <c r="N195" s="12"/>
      <c r="O195" s="3"/>
      <c r="P195" s="3"/>
      <c r="Q195" s="3"/>
    </row>
    <row r="196" spans="1:17" ht="15">
      <c r="A196" s="12"/>
      <c r="B196" s="12"/>
      <c r="C196" s="12"/>
      <c r="D196" s="12"/>
      <c r="E196" s="12"/>
      <c r="F196" s="12"/>
      <c r="G196" s="12"/>
      <c r="H196" s="15"/>
      <c r="I196" s="15"/>
      <c r="J196" s="16" t="str">
        <f t="shared" si="5"/>
        <v/>
      </c>
      <c r="K196" s="12"/>
      <c r="L196" s="12"/>
      <c r="M196" s="12"/>
      <c r="N196" s="12"/>
      <c r="O196" s="3"/>
      <c r="P196" s="3"/>
      <c r="Q196" s="3"/>
    </row>
    <row r="197" spans="1:17" ht="15">
      <c r="A197" s="12"/>
      <c r="B197" s="12"/>
      <c r="C197" s="12"/>
      <c r="D197" s="12"/>
      <c r="E197" s="12"/>
      <c r="F197" s="12"/>
      <c r="G197" s="12"/>
      <c r="H197" s="15"/>
      <c r="I197" s="15"/>
      <c r="J197" s="16" t="str">
        <f t="shared" si="5"/>
        <v/>
      </c>
      <c r="K197" s="12"/>
      <c r="L197" s="12"/>
      <c r="M197" s="12"/>
      <c r="N197" s="12"/>
      <c r="O197" s="3"/>
      <c r="P197" s="3"/>
      <c r="Q197" s="3"/>
    </row>
    <row r="198" spans="1:17" ht="15">
      <c r="A198" s="12"/>
      <c r="B198" s="12"/>
      <c r="C198" s="12"/>
      <c r="D198" s="12"/>
      <c r="E198" s="12"/>
      <c r="F198" s="12"/>
      <c r="G198" s="12"/>
      <c r="H198" s="15"/>
      <c r="I198" s="15"/>
      <c r="J198" s="16" t="str">
        <f t="shared" si="5"/>
        <v/>
      </c>
      <c r="K198" s="12"/>
      <c r="L198" s="12"/>
      <c r="M198" s="12"/>
      <c r="N198" s="12"/>
      <c r="O198" s="3"/>
      <c r="P198" s="3"/>
      <c r="Q198" s="3"/>
    </row>
    <row r="199" spans="1:17" ht="15">
      <c r="A199" s="12"/>
      <c r="B199" s="12"/>
      <c r="C199" s="12"/>
      <c r="D199" s="12"/>
      <c r="E199" s="12"/>
      <c r="F199" s="12"/>
      <c r="G199" s="12"/>
      <c r="H199" s="15"/>
      <c r="I199" s="15"/>
      <c r="J199" s="16" t="str">
        <f t="shared" ref="J199:J230" si="6">IF(H199="","",MAX(H199-I199,0))</f>
        <v/>
      </c>
      <c r="K199" s="12"/>
      <c r="L199" s="12"/>
      <c r="M199" s="12"/>
      <c r="N199" s="12"/>
      <c r="O199" s="3"/>
      <c r="P199" s="3"/>
      <c r="Q199" s="3"/>
    </row>
    <row r="200" spans="1:17" ht="15">
      <c r="A200" s="12"/>
      <c r="B200" s="12"/>
      <c r="C200" s="12"/>
      <c r="D200" s="12"/>
      <c r="E200" s="12"/>
      <c r="F200" s="12"/>
      <c r="G200" s="12"/>
      <c r="H200" s="15"/>
      <c r="I200" s="15"/>
      <c r="J200" s="16" t="str">
        <f t="shared" si="6"/>
        <v/>
      </c>
      <c r="K200" s="12"/>
      <c r="L200" s="12"/>
      <c r="M200" s="12"/>
      <c r="N200" s="12"/>
      <c r="O200" s="3"/>
      <c r="P200" s="3"/>
      <c r="Q200" s="3"/>
    </row>
    <row r="201" spans="1:17" ht="15">
      <c r="A201" s="12"/>
      <c r="B201" s="12"/>
      <c r="C201" s="12"/>
      <c r="D201" s="12"/>
      <c r="E201" s="12"/>
      <c r="F201" s="12"/>
      <c r="G201" s="12"/>
      <c r="H201" s="15"/>
      <c r="I201" s="15"/>
      <c r="J201" s="16" t="str">
        <f t="shared" si="6"/>
        <v/>
      </c>
      <c r="K201" s="12"/>
      <c r="L201" s="12"/>
      <c r="M201" s="12"/>
      <c r="N201" s="12"/>
      <c r="O201" s="3"/>
      <c r="P201" s="3"/>
      <c r="Q201" s="3"/>
    </row>
    <row r="202" spans="1:17" ht="15">
      <c r="A202" s="12"/>
      <c r="B202" s="12"/>
      <c r="C202" s="12"/>
      <c r="D202" s="12"/>
      <c r="E202" s="12"/>
      <c r="F202" s="12"/>
      <c r="G202" s="12"/>
      <c r="H202" s="15"/>
      <c r="I202" s="15"/>
      <c r="J202" s="16" t="str">
        <f t="shared" si="6"/>
        <v/>
      </c>
      <c r="K202" s="12"/>
      <c r="L202" s="12"/>
      <c r="M202" s="12"/>
      <c r="N202" s="12"/>
      <c r="O202" s="3"/>
      <c r="P202" s="3"/>
      <c r="Q202" s="3"/>
    </row>
    <row r="203" spans="1:17" ht="15">
      <c r="A203" s="12"/>
      <c r="B203" s="12"/>
      <c r="C203" s="12"/>
      <c r="D203" s="12"/>
      <c r="E203" s="12"/>
      <c r="F203" s="12"/>
      <c r="G203" s="12"/>
      <c r="H203" s="15"/>
      <c r="I203" s="15"/>
      <c r="J203" s="16" t="str">
        <f t="shared" si="6"/>
        <v/>
      </c>
      <c r="K203" s="12"/>
      <c r="L203" s="12"/>
      <c r="M203" s="12"/>
      <c r="N203" s="12"/>
      <c r="O203" s="3"/>
      <c r="P203" s="3"/>
      <c r="Q203" s="3"/>
    </row>
    <row r="204" spans="1:17" ht="15">
      <c r="A204" s="12"/>
      <c r="B204" s="12"/>
      <c r="C204" s="12"/>
      <c r="D204" s="12"/>
      <c r="E204" s="12"/>
      <c r="F204" s="12"/>
      <c r="G204" s="12"/>
      <c r="H204" s="15"/>
      <c r="I204" s="15"/>
      <c r="J204" s="16" t="str">
        <f t="shared" si="6"/>
        <v/>
      </c>
      <c r="K204" s="12"/>
      <c r="L204" s="12"/>
      <c r="M204" s="12"/>
      <c r="N204" s="12"/>
      <c r="O204" s="3"/>
      <c r="P204" s="3"/>
      <c r="Q204" s="3"/>
    </row>
    <row r="205" spans="1:17" ht="15">
      <c r="A205" s="12"/>
      <c r="B205" s="12"/>
      <c r="C205" s="12"/>
      <c r="D205" s="12"/>
      <c r="E205" s="12"/>
      <c r="F205" s="12"/>
      <c r="G205" s="12"/>
      <c r="H205" s="15"/>
      <c r="I205" s="15"/>
      <c r="J205" s="16" t="str">
        <f t="shared" si="6"/>
        <v/>
      </c>
      <c r="K205" s="12"/>
      <c r="L205" s="12"/>
      <c r="M205" s="12"/>
      <c r="N205" s="12"/>
      <c r="O205" s="3"/>
      <c r="P205" s="3"/>
      <c r="Q205" s="3"/>
    </row>
    <row r="206" spans="1:17" ht="15">
      <c r="A206" s="12"/>
      <c r="B206" s="12"/>
      <c r="C206" s="12"/>
      <c r="D206" s="12"/>
      <c r="E206" s="12"/>
      <c r="F206" s="12"/>
      <c r="G206" s="12"/>
      <c r="H206" s="15"/>
      <c r="I206" s="15"/>
      <c r="J206" s="16" t="str">
        <f t="shared" si="6"/>
        <v/>
      </c>
      <c r="K206" s="12"/>
      <c r="L206" s="12"/>
      <c r="M206" s="12"/>
      <c r="N206" s="12"/>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N1"/>
    <mergeCell ref="A2:N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50"/>
  <sheetViews>
    <sheetView workbookViewId="0"/>
  </sheetViews>
  <sheetFormatPr defaultRowHeight="14.25"/>
  <cols>
    <col min="1" max="1" width="12" customWidth="1"/>
    <col min="2" max="2" width="18" customWidth="1"/>
    <col min="3" max="3" width="12" customWidth="1"/>
    <col min="4" max="4" width="48" customWidth="1"/>
    <col min="5" max="5" width="44" customWidth="1"/>
    <col min="6" max="6" width="12" customWidth="1"/>
    <col min="7" max="7" width="20" customWidth="1"/>
    <col min="8" max="8" width="18" customWidth="1"/>
    <col min="9" max="9" width="12" customWidth="1"/>
    <col min="10" max="10" width="44" customWidth="1"/>
  </cols>
  <sheetData>
    <row r="1" spans="1:17" ht="24" customHeight="1">
      <c r="A1" s="32" t="s">
        <v>852</v>
      </c>
      <c r="B1" s="33"/>
      <c r="C1" s="33"/>
      <c r="D1" s="33"/>
      <c r="E1" s="33"/>
      <c r="F1" s="33"/>
      <c r="G1" s="33"/>
      <c r="H1" s="33"/>
      <c r="I1" s="33"/>
      <c r="J1" s="33"/>
      <c r="K1" s="21"/>
      <c r="L1" s="3"/>
      <c r="M1" s="3"/>
      <c r="N1" s="3"/>
      <c r="O1" s="3"/>
      <c r="P1" s="3"/>
      <c r="Q1" s="3"/>
    </row>
    <row r="2" spans="1:17" ht="33.950000000000003" customHeight="1">
      <c r="A2" s="34" t="s">
        <v>853</v>
      </c>
      <c r="B2" s="35"/>
      <c r="C2" s="35"/>
      <c r="D2" s="35"/>
      <c r="E2" s="35"/>
      <c r="F2" s="35"/>
      <c r="G2" s="35"/>
      <c r="H2" s="35"/>
      <c r="I2" s="35"/>
      <c r="J2" s="35"/>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854</v>
      </c>
      <c r="B6" s="4" t="s">
        <v>855</v>
      </c>
      <c r="C6" s="4" t="s">
        <v>570</v>
      </c>
      <c r="D6" s="4" t="s">
        <v>856</v>
      </c>
      <c r="E6" s="4" t="s">
        <v>857</v>
      </c>
      <c r="F6" s="4" t="s">
        <v>858</v>
      </c>
      <c r="G6" s="4" t="s">
        <v>859</v>
      </c>
      <c r="H6" s="4" t="s">
        <v>512</v>
      </c>
      <c r="I6" s="4" t="s">
        <v>136</v>
      </c>
      <c r="J6" s="4" t="s">
        <v>860</v>
      </c>
      <c r="K6" s="3"/>
      <c r="L6" s="3"/>
      <c r="M6" s="3"/>
      <c r="N6" s="3"/>
      <c r="O6" s="3"/>
      <c r="P6" s="3"/>
      <c r="Q6" s="3"/>
    </row>
    <row r="7" spans="1:17" ht="27">
      <c r="A7" s="8" t="s">
        <v>861</v>
      </c>
      <c r="B7" s="8" t="s">
        <v>579</v>
      </c>
      <c r="C7" s="8" t="s">
        <v>692</v>
      </c>
      <c r="D7" s="8" t="s">
        <v>862</v>
      </c>
      <c r="E7" s="8" t="s">
        <v>863</v>
      </c>
      <c r="F7" s="8" t="s">
        <v>325</v>
      </c>
      <c r="G7" s="8" t="s">
        <v>443</v>
      </c>
      <c r="H7" s="8" t="s">
        <v>864</v>
      </c>
      <c r="I7" s="8" t="s">
        <v>318</v>
      </c>
      <c r="J7" s="8" t="s">
        <v>865</v>
      </c>
      <c r="K7" s="3"/>
      <c r="L7" s="3"/>
      <c r="M7" s="3"/>
      <c r="N7" s="3"/>
      <c r="O7" s="3"/>
      <c r="P7" s="3"/>
      <c r="Q7" s="3"/>
    </row>
    <row r="8" spans="1:17" ht="27">
      <c r="A8" s="8" t="s">
        <v>866</v>
      </c>
      <c r="B8" s="8" t="s">
        <v>867</v>
      </c>
      <c r="C8" s="8" t="s">
        <v>753</v>
      </c>
      <c r="D8" s="8" t="s">
        <v>868</v>
      </c>
      <c r="E8" s="8" t="s">
        <v>869</v>
      </c>
      <c r="F8" s="8" t="s">
        <v>334</v>
      </c>
      <c r="G8" s="8" t="s">
        <v>443</v>
      </c>
      <c r="H8" s="8" t="s">
        <v>864</v>
      </c>
      <c r="I8" s="8" t="s">
        <v>318</v>
      </c>
      <c r="J8" s="8" t="s">
        <v>870</v>
      </c>
      <c r="K8" s="3"/>
      <c r="L8" s="3"/>
      <c r="M8" s="3"/>
      <c r="N8" s="3"/>
      <c r="O8" s="3"/>
      <c r="P8" s="3"/>
      <c r="Q8" s="3"/>
    </row>
    <row r="9" spans="1:17" ht="27">
      <c r="A9" s="8" t="s">
        <v>871</v>
      </c>
      <c r="B9" s="8" t="s">
        <v>872</v>
      </c>
      <c r="C9" s="8" t="s">
        <v>753</v>
      </c>
      <c r="D9" s="8" t="s">
        <v>851</v>
      </c>
      <c r="E9" s="8" t="s">
        <v>873</v>
      </c>
      <c r="F9" s="8" t="s">
        <v>334</v>
      </c>
      <c r="G9" s="8" t="s">
        <v>443</v>
      </c>
      <c r="H9" s="8" t="s">
        <v>864</v>
      </c>
      <c r="I9" s="8" t="s">
        <v>318</v>
      </c>
      <c r="J9" s="8" t="s">
        <v>874</v>
      </c>
      <c r="K9" s="3"/>
      <c r="L9" s="3"/>
      <c r="M9" s="3"/>
      <c r="N9" s="3"/>
      <c r="O9" s="3"/>
      <c r="P9" s="3"/>
      <c r="Q9" s="3"/>
    </row>
    <row r="10" spans="1:17" ht="27">
      <c r="A10" s="8" t="s">
        <v>875</v>
      </c>
      <c r="B10" s="8" t="s">
        <v>876</v>
      </c>
      <c r="C10" s="8" t="s">
        <v>753</v>
      </c>
      <c r="D10" s="8" t="s">
        <v>877</v>
      </c>
      <c r="E10" s="8" t="s">
        <v>878</v>
      </c>
      <c r="F10" s="8" t="s">
        <v>334</v>
      </c>
      <c r="G10" s="8" t="s">
        <v>443</v>
      </c>
      <c r="H10" s="8" t="s">
        <v>864</v>
      </c>
      <c r="I10" s="8" t="s">
        <v>318</v>
      </c>
      <c r="J10" s="8" t="s">
        <v>879</v>
      </c>
      <c r="K10" s="3"/>
      <c r="L10" s="3"/>
      <c r="M10" s="3"/>
      <c r="N10" s="3"/>
      <c r="O10" s="3"/>
      <c r="P10" s="3"/>
      <c r="Q10" s="3"/>
    </row>
    <row r="11" spans="1:17" ht="27">
      <c r="A11" s="8" t="s">
        <v>880</v>
      </c>
      <c r="B11" s="8" t="s">
        <v>53</v>
      </c>
      <c r="C11" s="8" t="s">
        <v>753</v>
      </c>
      <c r="D11" s="8" t="s">
        <v>881</v>
      </c>
      <c r="E11" s="8" t="s">
        <v>882</v>
      </c>
      <c r="F11" s="8" t="s">
        <v>334</v>
      </c>
      <c r="G11" s="8" t="s">
        <v>143</v>
      </c>
      <c r="H11" s="8" t="s">
        <v>520</v>
      </c>
      <c r="I11" s="8" t="s">
        <v>643</v>
      </c>
      <c r="J11" s="8" t="s">
        <v>883</v>
      </c>
      <c r="K11" s="3"/>
      <c r="L11" s="3"/>
      <c r="M11" s="3"/>
      <c r="N11" s="3"/>
      <c r="O11" s="3"/>
      <c r="P11" s="3"/>
      <c r="Q11" s="3"/>
    </row>
    <row r="12" spans="1:17" ht="27">
      <c r="A12" s="8" t="s">
        <v>884</v>
      </c>
      <c r="B12" s="8" t="s">
        <v>885</v>
      </c>
      <c r="C12" s="8" t="s">
        <v>698</v>
      </c>
      <c r="D12" s="8" t="s">
        <v>886</v>
      </c>
      <c r="E12" s="8" t="s">
        <v>887</v>
      </c>
      <c r="F12" s="8" t="s">
        <v>334</v>
      </c>
      <c r="G12" s="8" t="s">
        <v>443</v>
      </c>
      <c r="H12" s="8" t="s">
        <v>864</v>
      </c>
      <c r="I12" s="8" t="s">
        <v>582</v>
      </c>
      <c r="J12" s="8" t="s">
        <v>888</v>
      </c>
      <c r="K12" s="3"/>
      <c r="L12" s="3"/>
      <c r="M12" s="3"/>
      <c r="N12" s="3"/>
      <c r="O12" s="3"/>
      <c r="P12" s="3"/>
      <c r="Q12" s="3"/>
    </row>
    <row r="13" spans="1:17" ht="15">
      <c r="A13" s="8"/>
      <c r="B13" s="8"/>
      <c r="C13" s="8"/>
      <c r="D13" s="8"/>
      <c r="E13" s="8"/>
      <c r="F13" s="8"/>
      <c r="G13" s="8"/>
      <c r="H13" s="8"/>
      <c r="I13" s="8"/>
      <c r="J13" s="8"/>
      <c r="K13" s="3"/>
      <c r="L13" s="3"/>
      <c r="M13" s="3"/>
      <c r="N13" s="3"/>
      <c r="O13" s="3"/>
      <c r="P13" s="3"/>
      <c r="Q13" s="3"/>
    </row>
    <row r="14" spans="1:17" ht="15">
      <c r="A14" s="8"/>
      <c r="B14" s="8"/>
      <c r="C14" s="8"/>
      <c r="D14" s="8"/>
      <c r="E14" s="8"/>
      <c r="F14" s="8"/>
      <c r="G14" s="8"/>
      <c r="H14" s="8"/>
      <c r="I14" s="8"/>
      <c r="J14" s="8"/>
      <c r="K14" s="3"/>
      <c r="L14" s="3"/>
      <c r="M14" s="3"/>
      <c r="N14" s="3"/>
      <c r="O14" s="3"/>
      <c r="P14" s="3"/>
      <c r="Q14" s="3"/>
    </row>
    <row r="15" spans="1:17" ht="15">
      <c r="A15" s="8"/>
      <c r="B15" s="8"/>
      <c r="C15" s="8"/>
      <c r="D15" s="8"/>
      <c r="E15" s="8"/>
      <c r="F15" s="8"/>
      <c r="G15" s="8"/>
      <c r="H15" s="8"/>
      <c r="I15" s="8"/>
      <c r="J15" s="8"/>
      <c r="K15" s="3"/>
      <c r="L15" s="3"/>
      <c r="M15" s="3"/>
      <c r="N15" s="3"/>
      <c r="O15" s="3"/>
      <c r="P15" s="3"/>
      <c r="Q15" s="3"/>
    </row>
    <row r="16" spans="1:17" ht="15">
      <c r="A16" s="8"/>
      <c r="B16" s="8"/>
      <c r="C16" s="8"/>
      <c r="D16" s="8"/>
      <c r="E16" s="8"/>
      <c r="F16" s="8"/>
      <c r="G16" s="8"/>
      <c r="H16" s="8"/>
      <c r="I16" s="8"/>
      <c r="J16" s="8"/>
      <c r="K16" s="3"/>
      <c r="L16" s="3"/>
      <c r="M16" s="3"/>
      <c r="N16" s="3"/>
      <c r="O16" s="3"/>
      <c r="P16" s="3"/>
      <c r="Q16" s="3"/>
    </row>
    <row r="17" spans="1:17" ht="15">
      <c r="A17" s="8"/>
      <c r="B17" s="8"/>
      <c r="C17" s="8"/>
      <c r="D17" s="8"/>
      <c r="E17" s="8"/>
      <c r="F17" s="8"/>
      <c r="G17" s="8"/>
      <c r="H17" s="8"/>
      <c r="I17" s="8"/>
      <c r="J17" s="8"/>
      <c r="K17" s="3"/>
      <c r="L17" s="3"/>
      <c r="M17" s="3"/>
      <c r="N17" s="3"/>
      <c r="O17" s="3"/>
      <c r="P17" s="3"/>
      <c r="Q17" s="3"/>
    </row>
    <row r="18" spans="1:17" ht="15">
      <c r="A18" s="8"/>
      <c r="B18" s="8"/>
      <c r="C18" s="8"/>
      <c r="D18" s="8"/>
      <c r="E18" s="8"/>
      <c r="F18" s="8"/>
      <c r="G18" s="8"/>
      <c r="H18" s="8"/>
      <c r="I18" s="8"/>
      <c r="J18" s="8"/>
      <c r="K18" s="3"/>
      <c r="L18" s="3"/>
      <c r="M18" s="3"/>
      <c r="N18" s="3"/>
      <c r="O18" s="3"/>
      <c r="P18" s="3"/>
      <c r="Q18" s="3"/>
    </row>
    <row r="19" spans="1:17" ht="15">
      <c r="A19" s="8"/>
      <c r="B19" s="8"/>
      <c r="C19" s="8"/>
      <c r="D19" s="8"/>
      <c r="E19" s="8"/>
      <c r="F19" s="8"/>
      <c r="G19" s="8"/>
      <c r="H19" s="8"/>
      <c r="I19" s="8"/>
      <c r="J19" s="8"/>
      <c r="K19" s="3"/>
      <c r="L19" s="3"/>
      <c r="M19" s="3"/>
      <c r="N19" s="3"/>
      <c r="O19" s="3"/>
      <c r="P19" s="3"/>
      <c r="Q19" s="3"/>
    </row>
    <row r="20" spans="1:17" ht="15">
      <c r="A20" s="8"/>
      <c r="B20" s="8"/>
      <c r="C20" s="8"/>
      <c r="D20" s="8"/>
      <c r="E20" s="8"/>
      <c r="F20" s="8"/>
      <c r="G20" s="8"/>
      <c r="H20" s="8"/>
      <c r="I20" s="8"/>
      <c r="J20" s="8"/>
      <c r="K20" s="3"/>
      <c r="L20" s="3"/>
      <c r="M20" s="3"/>
      <c r="N20" s="3"/>
      <c r="O20" s="3"/>
      <c r="P20" s="3"/>
      <c r="Q20" s="3"/>
    </row>
    <row r="21" spans="1:17" ht="15">
      <c r="A21" s="8"/>
      <c r="B21" s="8"/>
      <c r="C21" s="8"/>
      <c r="D21" s="8"/>
      <c r="E21" s="8"/>
      <c r="F21" s="8"/>
      <c r="G21" s="8"/>
      <c r="H21" s="8"/>
      <c r="I21" s="8"/>
      <c r="J21" s="8"/>
      <c r="K21" s="3"/>
      <c r="L21" s="3"/>
      <c r="M21" s="3"/>
      <c r="N21" s="3"/>
      <c r="O21" s="3"/>
      <c r="P21" s="3"/>
      <c r="Q21" s="3"/>
    </row>
    <row r="22" spans="1:17" ht="15">
      <c r="A22" s="8"/>
      <c r="B22" s="8"/>
      <c r="C22" s="8"/>
      <c r="D22" s="8"/>
      <c r="E22" s="8"/>
      <c r="F22" s="8"/>
      <c r="G22" s="8"/>
      <c r="H22" s="8"/>
      <c r="I22" s="8"/>
      <c r="J22" s="8"/>
      <c r="K22" s="3"/>
      <c r="L22" s="3"/>
      <c r="M22" s="3"/>
      <c r="N22" s="3"/>
      <c r="O22" s="3"/>
      <c r="P22" s="3"/>
      <c r="Q22" s="3"/>
    </row>
    <row r="23" spans="1:17" ht="15">
      <c r="A23" s="8"/>
      <c r="B23" s="8"/>
      <c r="C23" s="8"/>
      <c r="D23" s="8"/>
      <c r="E23" s="8"/>
      <c r="F23" s="8"/>
      <c r="G23" s="8"/>
      <c r="H23" s="8"/>
      <c r="I23" s="8"/>
      <c r="J23" s="8"/>
      <c r="K23" s="3"/>
      <c r="L23" s="3"/>
      <c r="M23" s="3"/>
      <c r="N23" s="3"/>
      <c r="O23" s="3"/>
      <c r="P23" s="3"/>
      <c r="Q23" s="3"/>
    </row>
    <row r="24" spans="1:17" ht="15">
      <c r="A24" s="8"/>
      <c r="B24" s="8"/>
      <c r="C24" s="8"/>
      <c r="D24" s="8"/>
      <c r="E24" s="8"/>
      <c r="F24" s="8"/>
      <c r="G24" s="8"/>
      <c r="H24" s="8"/>
      <c r="I24" s="8"/>
      <c r="J24" s="8"/>
      <c r="K24" s="3"/>
      <c r="L24" s="3"/>
      <c r="M24" s="3"/>
      <c r="N24" s="3"/>
      <c r="O24" s="3"/>
      <c r="P24" s="3"/>
      <c r="Q24" s="3"/>
    </row>
    <row r="25" spans="1:17" ht="15">
      <c r="A25" s="8"/>
      <c r="B25" s="8"/>
      <c r="C25" s="8"/>
      <c r="D25" s="8"/>
      <c r="E25" s="8"/>
      <c r="F25" s="8"/>
      <c r="G25" s="8"/>
      <c r="H25" s="8"/>
      <c r="I25" s="8"/>
      <c r="J25" s="8"/>
      <c r="K25" s="3"/>
      <c r="L25" s="3"/>
      <c r="M25" s="3"/>
      <c r="N25" s="3"/>
      <c r="O25" s="3"/>
      <c r="P25" s="3"/>
      <c r="Q25" s="3"/>
    </row>
    <row r="26" spans="1:17" ht="15">
      <c r="A26" s="8"/>
      <c r="B26" s="8"/>
      <c r="C26" s="8"/>
      <c r="D26" s="8"/>
      <c r="E26" s="8"/>
      <c r="F26" s="8"/>
      <c r="G26" s="8"/>
      <c r="H26" s="8"/>
      <c r="I26" s="8"/>
      <c r="J26" s="8"/>
      <c r="K26" s="3"/>
      <c r="L26" s="3"/>
      <c r="M26" s="3"/>
      <c r="N26" s="3"/>
      <c r="O26" s="3"/>
      <c r="P26" s="3"/>
      <c r="Q26" s="3"/>
    </row>
    <row r="27" spans="1:17" ht="15">
      <c r="A27" s="8"/>
      <c r="B27" s="8"/>
      <c r="C27" s="8"/>
      <c r="D27" s="8"/>
      <c r="E27" s="8"/>
      <c r="F27" s="8"/>
      <c r="G27" s="8"/>
      <c r="H27" s="8"/>
      <c r="I27" s="8"/>
      <c r="J27" s="8"/>
      <c r="K27" s="3"/>
      <c r="L27" s="3"/>
      <c r="M27" s="3"/>
      <c r="N27" s="3"/>
      <c r="O27" s="3"/>
      <c r="P27" s="3"/>
      <c r="Q27" s="3"/>
    </row>
    <row r="28" spans="1:17" ht="15">
      <c r="A28" s="8"/>
      <c r="B28" s="8"/>
      <c r="C28" s="8"/>
      <c r="D28" s="8"/>
      <c r="E28" s="8"/>
      <c r="F28" s="8"/>
      <c r="G28" s="8"/>
      <c r="H28" s="8"/>
      <c r="I28" s="8"/>
      <c r="J28" s="8"/>
      <c r="K28" s="3"/>
      <c r="L28" s="3"/>
      <c r="M28" s="3"/>
      <c r="N28" s="3"/>
      <c r="O28" s="3"/>
      <c r="P28" s="3"/>
      <c r="Q28" s="3"/>
    </row>
    <row r="29" spans="1:17" ht="15">
      <c r="A29" s="8"/>
      <c r="B29" s="8"/>
      <c r="C29" s="8"/>
      <c r="D29" s="8"/>
      <c r="E29" s="8"/>
      <c r="F29" s="8"/>
      <c r="G29" s="8"/>
      <c r="H29" s="8"/>
      <c r="I29" s="8"/>
      <c r="J29" s="8"/>
      <c r="K29" s="3"/>
      <c r="L29" s="3"/>
      <c r="M29" s="3"/>
      <c r="N29" s="3"/>
      <c r="O29" s="3"/>
      <c r="P29" s="3"/>
      <c r="Q29" s="3"/>
    </row>
    <row r="30" spans="1:17" ht="15">
      <c r="A30" s="8"/>
      <c r="B30" s="8"/>
      <c r="C30" s="8"/>
      <c r="D30" s="8"/>
      <c r="E30" s="8"/>
      <c r="F30" s="8"/>
      <c r="G30" s="8"/>
      <c r="H30" s="8"/>
      <c r="I30" s="8"/>
      <c r="J30" s="8"/>
      <c r="K30" s="3"/>
      <c r="L30" s="3"/>
      <c r="M30" s="3"/>
      <c r="N30" s="3"/>
      <c r="O30" s="3"/>
      <c r="P30" s="3"/>
      <c r="Q30" s="3"/>
    </row>
    <row r="31" spans="1:17" ht="15">
      <c r="A31" s="8"/>
      <c r="B31" s="8"/>
      <c r="C31" s="8"/>
      <c r="D31" s="8"/>
      <c r="E31" s="8"/>
      <c r="F31" s="8"/>
      <c r="G31" s="8"/>
      <c r="H31" s="8"/>
      <c r="I31" s="8"/>
      <c r="J31" s="8"/>
      <c r="K31" s="3"/>
      <c r="L31" s="3"/>
      <c r="M31" s="3"/>
      <c r="N31" s="3"/>
      <c r="O31" s="3"/>
      <c r="P31" s="3"/>
      <c r="Q31" s="3"/>
    </row>
    <row r="32" spans="1:17" ht="15">
      <c r="A32" s="8"/>
      <c r="B32" s="8"/>
      <c r="C32" s="8"/>
      <c r="D32" s="8"/>
      <c r="E32" s="8"/>
      <c r="F32" s="8"/>
      <c r="G32" s="8"/>
      <c r="H32" s="8"/>
      <c r="I32" s="8"/>
      <c r="J32" s="8"/>
      <c r="K32" s="3"/>
      <c r="L32" s="3"/>
      <c r="M32" s="3"/>
      <c r="N32" s="3"/>
      <c r="O32" s="3"/>
      <c r="P32" s="3"/>
      <c r="Q32" s="3"/>
    </row>
    <row r="33" spans="1:17" ht="15">
      <c r="A33" s="8"/>
      <c r="B33" s="8"/>
      <c r="C33" s="8"/>
      <c r="D33" s="8"/>
      <c r="E33" s="8"/>
      <c r="F33" s="8"/>
      <c r="G33" s="8"/>
      <c r="H33" s="8"/>
      <c r="I33" s="8"/>
      <c r="J33" s="8"/>
      <c r="K33" s="3"/>
      <c r="L33" s="3"/>
      <c r="M33" s="3"/>
      <c r="N33" s="3"/>
      <c r="O33" s="3"/>
      <c r="P33" s="3"/>
      <c r="Q33" s="3"/>
    </row>
    <row r="34" spans="1:17" ht="15">
      <c r="A34" s="8"/>
      <c r="B34" s="8"/>
      <c r="C34" s="8"/>
      <c r="D34" s="8"/>
      <c r="E34" s="8"/>
      <c r="F34" s="8"/>
      <c r="G34" s="8"/>
      <c r="H34" s="8"/>
      <c r="I34" s="8"/>
      <c r="J34" s="8"/>
      <c r="K34" s="3"/>
      <c r="L34" s="3"/>
      <c r="M34" s="3"/>
      <c r="N34" s="3"/>
      <c r="O34" s="3"/>
      <c r="P34" s="3"/>
      <c r="Q34" s="3"/>
    </row>
    <row r="35" spans="1:17" ht="15">
      <c r="A35" s="8"/>
      <c r="B35" s="8"/>
      <c r="C35" s="8"/>
      <c r="D35" s="8"/>
      <c r="E35" s="8"/>
      <c r="F35" s="8"/>
      <c r="G35" s="8"/>
      <c r="H35" s="8"/>
      <c r="I35" s="8"/>
      <c r="J35" s="8"/>
      <c r="K35" s="3"/>
      <c r="L35" s="3"/>
      <c r="M35" s="3"/>
      <c r="N35" s="3"/>
      <c r="O35" s="3"/>
      <c r="P35" s="3"/>
      <c r="Q35" s="3"/>
    </row>
    <row r="36" spans="1:17" ht="15">
      <c r="A36" s="8"/>
      <c r="B36" s="8"/>
      <c r="C36" s="8"/>
      <c r="D36" s="8"/>
      <c r="E36" s="8"/>
      <c r="F36" s="8"/>
      <c r="G36" s="8"/>
      <c r="H36" s="8"/>
      <c r="I36" s="8"/>
      <c r="J36" s="8"/>
      <c r="K36" s="3"/>
      <c r="L36" s="3"/>
      <c r="M36" s="3"/>
      <c r="N36" s="3"/>
      <c r="O36" s="3"/>
      <c r="P36" s="3"/>
      <c r="Q36" s="3"/>
    </row>
    <row r="37" spans="1:17" ht="15">
      <c r="A37" s="8"/>
      <c r="B37" s="8"/>
      <c r="C37" s="8"/>
      <c r="D37" s="8"/>
      <c r="E37" s="8"/>
      <c r="F37" s="8"/>
      <c r="G37" s="8"/>
      <c r="H37" s="8"/>
      <c r="I37" s="8"/>
      <c r="J37" s="8"/>
      <c r="K37" s="3"/>
      <c r="L37" s="3"/>
      <c r="M37" s="3"/>
      <c r="N37" s="3"/>
      <c r="O37" s="3"/>
      <c r="P37" s="3"/>
      <c r="Q37" s="3"/>
    </row>
    <row r="38" spans="1:17" ht="15">
      <c r="A38" s="8"/>
      <c r="B38" s="8"/>
      <c r="C38" s="8"/>
      <c r="D38" s="8"/>
      <c r="E38" s="8"/>
      <c r="F38" s="8"/>
      <c r="G38" s="8"/>
      <c r="H38" s="8"/>
      <c r="I38" s="8"/>
      <c r="J38" s="8"/>
      <c r="K38" s="3"/>
      <c r="L38" s="3"/>
      <c r="M38" s="3"/>
      <c r="N38" s="3"/>
      <c r="O38" s="3"/>
      <c r="P38" s="3"/>
      <c r="Q38" s="3"/>
    </row>
    <row r="39" spans="1:17" ht="15">
      <c r="A39" s="8"/>
      <c r="B39" s="8"/>
      <c r="C39" s="8"/>
      <c r="D39" s="8"/>
      <c r="E39" s="8"/>
      <c r="F39" s="8"/>
      <c r="G39" s="8"/>
      <c r="H39" s="8"/>
      <c r="I39" s="8"/>
      <c r="J39" s="8"/>
      <c r="K39" s="3"/>
      <c r="L39" s="3"/>
      <c r="M39" s="3"/>
      <c r="N39" s="3"/>
      <c r="O39" s="3"/>
      <c r="P39" s="3"/>
      <c r="Q39" s="3"/>
    </row>
    <row r="40" spans="1:17" ht="15">
      <c r="A40" s="8"/>
      <c r="B40" s="8"/>
      <c r="C40" s="8"/>
      <c r="D40" s="8"/>
      <c r="E40" s="8"/>
      <c r="F40" s="8"/>
      <c r="G40" s="8"/>
      <c r="H40" s="8"/>
      <c r="I40" s="8"/>
      <c r="J40" s="8"/>
      <c r="K40" s="3"/>
      <c r="L40" s="3"/>
      <c r="M40" s="3"/>
      <c r="N40" s="3"/>
      <c r="O40" s="3"/>
      <c r="P40" s="3"/>
      <c r="Q40" s="3"/>
    </row>
    <row r="41" spans="1:17" ht="15">
      <c r="A41" s="8"/>
      <c r="B41" s="8"/>
      <c r="C41" s="8"/>
      <c r="D41" s="8"/>
      <c r="E41" s="8"/>
      <c r="F41" s="8"/>
      <c r="G41" s="8"/>
      <c r="H41" s="8"/>
      <c r="I41" s="8"/>
      <c r="J41" s="8"/>
      <c r="K41" s="3"/>
      <c r="L41" s="3"/>
      <c r="M41" s="3"/>
      <c r="N41" s="3"/>
      <c r="O41" s="3"/>
      <c r="P41" s="3"/>
      <c r="Q41" s="3"/>
    </row>
    <row r="42" spans="1:17" ht="15">
      <c r="A42" s="8"/>
      <c r="B42" s="8"/>
      <c r="C42" s="8"/>
      <c r="D42" s="8"/>
      <c r="E42" s="8"/>
      <c r="F42" s="8"/>
      <c r="G42" s="8"/>
      <c r="H42" s="8"/>
      <c r="I42" s="8"/>
      <c r="J42" s="8"/>
      <c r="K42" s="3"/>
      <c r="L42" s="3"/>
      <c r="M42" s="3"/>
      <c r="N42" s="3"/>
      <c r="O42" s="3"/>
      <c r="P42" s="3"/>
      <c r="Q42" s="3"/>
    </row>
    <row r="43" spans="1:17" ht="15">
      <c r="A43" s="8"/>
      <c r="B43" s="8"/>
      <c r="C43" s="8"/>
      <c r="D43" s="8"/>
      <c r="E43" s="8"/>
      <c r="F43" s="8"/>
      <c r="G43" s="8"/>
      <c r="H43" s="8"/>
      <c r="I43" s="8"/>
      <c r="J43" s="8"/>
      <c r="K43" s="3"/>
      <c r="L43" s="3"/>
      <c r="M43" s="3"/>
      <c r="N43" s="3"/>
      <c r="O43" s="3"/>
      <c r="P43" s="3"/>
      <c r="Q43" s="3"/>
    </row>
    <row r="44" spans="1:17" ht="15">
      <c r="A44" s="8"/>
      <c r="B44" s="8"/>
      <c r="C44" s="8"/>
      <c r="D44" s="8"/>
      <c r="E44" s="8"/>
      <c r="F44" s="8"/>
      <c r="G44" s="8"/>
      <c r="H44" s="8"/>
      <c r="I44" s="8"/>
      <c r="J44" s="8"/>
      <c r="K44" s="3"/>
      <c r="L44" s="3"/>
      <c r="M44" s="3"/>
      <c r="N44" s="3"/>
      <c r="O44" s="3"/>
      <c r="P44" s="3"/>
      <c r="Q44" s="3"/>
    </row>
    <row r="45" spans="1:17" ht="15">
      <c r="A45" s="8"/>
      <c r="B45" s="8"/>
      <c r="C45" s="8"/>
      <c r="D45" s="8"/>
      <c r="E45" s="8"/>
      <c r="F45" s="8"/>
      <c r="G45" s="8"/>
      <c r="H45" s="8"/>
      <c r="I45" s="8"/>
      <c r="J45" s="8"/>
      <c r="K45" s="3"/>
      <c r="L45" s="3"/>
      <c r="M45" s="3"/>
      <c r="N45" s="3"/>
      <c r="O45" s="3"/>
      <c r="P45" s="3"/>
      <c r="Q45" s="3"/>
    </row>
    <row r="46" spans="1:17" ht="15">
      <c r="A46" s="8"/>
      <c r="B46" s="8"/>
      <c r="C46" s="8"/>
      <c r="D46" s="8"/>
      <c r="E46" s="8"/>
      <c r="F46" s="8"/>
      <c r="G46" s="8"/>
      <c r="H46" s="8"/>
      <c r="I46" s="8"/>
      <c r="J46" s="8"/>
      <c r="K46" s="3"/>
      <c r="L46" s="3"/>
      <c r="M46" s="3"/>
      <c r="N46" s="3"/>
      <c r="O46" s="3"/>
      <c r="P46" s="3"/>
      <c r="Q46" s="3"/>
    </row>
    <row r="47" spans="1:17" ht="15">
      <c r="A47" s="8"/>
      <c r="B47" s="8"/>
      <c r="C47" s="8"/>
      <c r="D47" s="8"/>
      <c r="E47" s="8"/>
      <c r="F47" s="8"/>
      <c r="G47" s="8"/>
      <c r="H47" s="8"/>
      <c r="I47" s="8"/>
      <c r="J47" s="8"/>
      <c r="K47" s="3"/>
      <c r="L47" s="3"/>
      <c r="M47" s="3"/>
      <c r="N47" s="3"/>
      <c r="O47" s="3"/>
      <c r="P47" s="3"/>
      <c r="Q47" s="3"/>
    </row>
    <row r="48" spans="1:17" ht="15">
      <c r="A48" s="8"/>
      <c r="B48" s="8"/>
      <c r="C48" s="8"/>
      <c r="D48" s="8"/>
      <c r="E48" s="8"/>
      <c r="F48" s="8"/>
      <c r="G48" s="8"/>
      <c r="H48" s="8"/>
      <c r="I48" s="8"/>
      <c r="J48" s="8"/>
      <c r="K48" s="3"/>
      <c r="L48" s="3"/>
      <c r="M48" s="3"/>
      <c r="N48" s="3"/>
      <c r="O48" s="3"/>
      <c r="P48" s="3"/>
      <c r="Q48" s="3"/>
    </row>
    <row r="49" spans="1:17" ht="15">
      <c r="A49" s="8"/>
      <c r="B49" s="8"/>
      <c r="C49" s="8"/>
      <c r="D49" s="8"/>
      <c r="E49" s="8"/>
      <c r="F49" s="8"/>
      <c r="G49" s="8"/>
      <c r="H49" s="8"/>
      <c r="I49" s="8"/>
      <c r="J49" s="8"/>
      <c r="K49" s="3"/>
      <c r="L49" s="3"/>
      <c r="M49" s="3"/>
      <c r="N49" s="3"/>
      <c r="O49" s="3"/>
      <c r="P49" s="3"/>
      <c r="Q49" s="3"/>
    </row>
    <row r="50" spans="1:17" ht="15">
      <c r="A50" s="8"/>
      <c r="B50" s="8"/>
      <c r="C50" s="8"/>
      <c r="D50" s="8"/>
      <c r="E50" s="8"/>
      <c r="F50" s="8"/>
      <c r="G50" s="8"/>
      <c r="H50" s="8"/>
      <c r="I50" s="8"/>
      <c r="J50" s="8"/>
      <c r="K50" s="3"/>
      <c r="L50" s="3"/>
      <c r="M50" s="3"/>
      <c r="N50" s="3"/>
      <c r="O50" s="3"/>
      <c r="P50" s="3"/>
      <c r="Q50" s="3"/>
    </row>
    <row r="51" spans="1:17" ht="15">
      <c r="A51" s="8"/>
      <c r="B51" s="8"/>
      <c r="C51" s="8"/>
      <c r="D51" s="8"/>
      <c r="E51" s="8"/>
      <c r="F51" s="8"/>
      <c r="G51" s="8"/>
      <c r="H51" s="8"/>
      <c r="I51" s="8"/>
      <c r="J51" s="8"/>
      <c r="K51" s="3"/>
      <c r="L51" s="3"/>
      <c r="M51" s="3"/>
      <c r="N51" s="3"/>
      <c r="O51" s="3"/>
      <c r="P51" s="3"/>
      <c r="Q51" s="3"/>
    </row>
    <row r="52" spans="1:17" ht="15">
      <c r="A52" s="8"/>
      <c r="B52" s="8"/>
      <c r="C52" s="8"/>
      <c r="D52" s="8"/>
      <c r="E52" s="8"/>
      <c r="F52" s="8"/>
      <c r="G52" s="8"/>
      <c r="H52" s="8"/>
      <c r="I52" s="8"/>
      <c r="J52" s="8"/>
      <c r="K52" s="3"/>
      <c r="L52" s="3"/>
      <c r="M52" s="3"/>
      <c r="N52" s="3"/>
      <c r="O52" s="3"/>
      <c r="P52" s="3"/>
      <c r="Q52" s="3"/>
    </row>
    <row r="53" spans="1:17" ht="15">
      <c r="A53" s="8"/>
      <c r="B53" s="8"/>
      <c r="C53" s="8"/>
      <c r="D53" s="8"/>
      <c r="E53" s="8"/>
      <c r="F53" s="8"/>
      <c r="G53" s="8"/>
      <c r="H53" s="8"/>
      <c r="I53" s="8"/>
      <c r="J53" s="8"/>
      <c r="K53" s="3"/>
      <c r="L53" s="3"/>
      <c r="M53" s="3"/>
      <c r="N53" s="3"/>
      <c r="O53" s="3"/>
      <c r="P53" s="3"/>
      <c r="Q53" s="3"/>
    </row>
    <row r="54" spans="1:17" ht="15">
      <c r="A54" s="8"/>
      <c r="B54" s="8"/>
      <c r="C54" s="8"/>
      <c r="D54" s="8"/>
      <c r="E54" s="8"/>
      <c r="F54" s="8"/>
      <c r="G54" s="8"/>
      <c r="H54" s="8"/>
      <c r="I54" s="8"/>
      <c r="J54" s="8"/>
      <c r="K54" s="3"/>
      <c r="L54" s="3"/>
      <c r="M54" s="3"/>
      <c r="N54" s="3"/>
      <c r="O54" s="3"/>
      <c r="P54" s="3"/>
      <c r="Q54" s="3"/>
    </row>
    <row r="55" spans="1:17" ht="15">
      <c r="A55" s="8"/>
      <c r="B55" s="8"/>
      <c r="C55" s="8"/>
      <c r="D55" s="8"/>
      <c r="E55" s="8"/>
      <c r="F55" s="8"/>
      <c r="G55" s="8"/>
      <c r="H55" s="8"/>
      <c r="I55" s="8"/>
      <c r="J55" s="8"/>
      <c r="K55" s="3"/>
      <c r="L55" s="3"/>
      <c r="M55" s="3"/>
      <c r="N55" s="3"/>
      <c r="O55" s="3"/>
      <c r="P55" s="3"/>
      <c r="Q55" s="3"/>
    </row>
    <row r="56" spans="1:17" ht="15">
      <c r="A56" s="8"/>
      <c r="B56" s="8"/>
      <c r="C56" s="8"/>
      <c r="D56" s="8"/>
      <c r="E56" s="8"/>
      <c r="F56" s="8"/>
      <c r="G56" s="8"/>
      <c r="H56" s="8"/>
      <c r="I56" s="8"/>
      <c r="J56" s="8"/>
      <c r="K56" s="3"/>
      <c r="L56" s="3"/>
      <c r="M56" s="3"/>
      <c r="N56" s="3"/>
      <c r="O56" s="3"/>
      <c r="P56" s="3"/>
      <c r="Q56" s="3"/>
    </row>
    <row r="57" spans="1:17" ht="15">
      <c r="A57" s="8"/>
      <c r="B57" s="8"/>
      <c r="C57" s="8"/>
      <c r="D57" s="8"/>
      <c r="E57" s="8"/>
      <c r="F57" s="8"/>
      <c r="G57" s="8"/>
      <c r="H57" s="8"/>
      <c r="I57" s="8"/>
      <c r="J57" s="8"/>
      <c r="K57" s="3"/>
      <c r="L57" s="3"/>
      <c r="M57" s="3"/>
      <c r="N57" s="3"/>
      <c r="O57" s="3"/>
      <c r="P57" s="3"/>
      <c r="Q57" s="3"/>
    </row>
    <row r="58" spans="1:17" ht="15">
      <c r="A58" s="8"/>
      <c r="B58" s="8"/>
      <c r="C58" s="8"/>
      <c r="D58" s="8"/>
      <c r="E58" s="8"/>
      <c r="F58" s="8"/>
      <c r="G58" s="8"/>
      <c r="H58" s="8"/>
      <c r="I58" s="8"/>
      <c r="J58" s="8"/>
      <c r="K58" s="3"/>
      <c r="L58" s="3"/>
      <c r="M58" s="3"/>
      <c r="N58" s="3"/>
      <c r="O58" s="3"/>
      <c r="P58" s="3"/>
      <c r="Q58" s="3"/>
    </row>
    <row r="59" spans="1:17" ht="15">
      <c r="A59" s="8"/>
      <c r="B59" s="8"/>
      <c r="C59" s="8"/>
      <c r="D59" s="8"/>
      <c r="E59" s="8"/>
      <c r="F59" s="8"/>
      <c r="G59" s="8"/>
      <c r="H59" s="8"/>
      <c r="I59" s="8"/>
      <c r="J59" s="8"/>
      <c r="K59" s="3"/>
      <c r="L59" s="3"/>
      <c r="M59" s="3"/>
      <c r="N59" s="3"/>
      <c r="O59" s="3"/>
      <c r="P59" s="3"/>
      <c r="Q59" s="3"/>
    </row>
    <row r="60" spans="1:17" ht="15">
      <c r="A60" s="8"/>
      <c r="B60" s="8"/>
      <c r="C60" s="8"/>
      <c r="D60" s="8"/>
      <c r="E60" s="8"/>
      <c r="F60" s="8"/>
      <c r="G60" s="8"/>
      <c r="H60" s="8"/>
      <c r="I60" s="8"/>
      <c r="J60" s="8"/>
      <c r="K60" s="3"/>
      <c r="L60" s="3"/>
      <c r="M60" s="3"/>
      <c r="N60" s="3"/>
      <c r="O60" s="3"/>
      <c r="P60" s="3"/>
      <c r="Q60" s="3"/>
    </row>
    <row r="61" spans="1:17" ht="15">
      <c r="A61" s="8"/>
      <c r="B61" s="8"/>
      <c r="C61" s="8"/>
      <c r="D61" s="8"/>
      <c r="E61" s="8"/>
      <c r="F61" s="8"/>
      <c r="G61" s="8"/>
      <c r="H61" s="8"/>
      <c r="I61" s="8"/>
      <c r="J61" s="8"/>
      <c r="K61" s="3"/>
      <c r="L61" s="3"/>
      <c r="M61" s="3"/>
      <c r="N61" s="3"/>
      <c r="O61" s="3"/>
      <c r="P61" s="3"/>
      <c r="Q61" s="3"/>
    </row>
    <row r="62" spans="1:17" ht="15">
      <c r="A62" s="8"/>
      <c r="B62" s="8"/>
      <c r="C62" s="8"/>
      <c r="D62" s="8"/>
      <c r="E62" s="8"/>
      <c r="F62" s="8"/>
      <c r="G62" s="8"/>
      <c r="H62" s="8"/>
      <c r="I62" s="8"/>
      <c r="J62" s="8"/>
      <c r="K62" s="3"/>
      <c r="L62" s="3"/>
      <c r="M62" s="3"/>
      <c r="N62" s="3"/>
      <c r="O62" s="3"/>
      <c r="P62" s="3"/>
      <c r="Q62" s="3"/>
    </row>
    <row r="63" spans="1:17" ht="15">
      <c r="A63" s="8"/>
      <c r="B63" s="8"/>
      <c r="C63" s="8"/>
      <c r="D63" s="8"/>
      <c r="E63" s="8"/>
      <c r="F63" s="8"/>
      <c r="G63" s="8"/>
      <c r="H63" s="8"/>
      <c r="I63" s="8"/>
      <c r="J63" s="8"/>
      <c r="K63" s="3"/>
      <c r="L63" s="3"/>
      <c r="M63" s="3"/>
      <c r="N63" s="3"/>
      <c r="O63" s="3"/>
      <c r="P63" s="3"/>
      <c r="Q63" s="3"/>
    </row>
    <row r="64" spans="1:17" ht="15">
      <c r="A64" s="8"/>
      <c r="B64" s="8"/>
      <c r="C64" s="8"/>
      <c r="D64" s="8"/>
      <c r="E64" s="8"/>
      <c r="F64" s="8"/>
      <c r="G64" s="8"/>
      <c r="H64" s="8"/>
      <c r="I64" s="8"/>
      <c r="J64" s="8"/>
      <c r="K64" s="3"/>
      <c r="L64" s="3"/>
      <c r="M64" s="3"/>
      <c r="N64" s="3"/>
      <c r="O64" s="3"/>
      <c r="P64" s="3"/>
      <c r="Q64" s="3"/>
    </row>
    <row r="65" spans="1:17" ht="15">
      <c r="A65" s="8"/>
      <c r="B65" s="8"/>
      <c r="C65" s="8"/>
      <c r="D65" s="8"/>
      <c r="E65" s="8"/>
      <c r="F65" s="8"/>
      <c r="G65" s="8"/>
      <c r="H65" s="8"/>
      <c r="I65" s="8"/>
      <c r="J65" s="8"/>
      <c r="K65" s="3"/>
      <c r="L65" s="3"/>
      <c r="M65" s="3"/>
      <c r="N65" s="3"/>
      <c r="O65" s="3"/>
      <c r="P65" s="3"/>
      <c r="Q65" s="3"/>
    </row>
    <row r="66" spans="1:17" ht="15">
      <c r="A66" s="8"/>
      <c r="B66" s="8"/>
      <c r="C66" s="8"/>
      <c r="D66" s="8"/>
      <c r="E66" s="8"/>
      <c r="F66" s="8"/>
      <c r="G66" s="8"/>
      <c r="H66" s="8"/>
      <c r="I66" s="8"/>
      <c r="J66" s="8"/>
      <c r="K66" s="3"/>
      <c r="L66" s="3"/>
      <c r="M66" s="3"/>
      <c r="N66" s="3"/>
      <c r="O66" s="3"/>
      <c r="P66" s="3"/>
      <c r="Q66" s="3"/>
    </row>
    <row r="67" spans="1:17" ht="15">
      <c r="A67" s="8"/>
      <c r="B67" s="8"/>
      <c r="C67" s="8"/>
      <c r="D67" s="8"/>
      <c r="E67" s="8"/>
      <c r="F67" s="8"/>
      <c r="G67" s="8"/>
      <c r="H67" s="8"/>
      <c r="I67" s="8"/>
      <c r="J67" s="8"/>
      <c r="K67" s="3"/>
      <c r="L67" s="3"/>
      <c r="M67" s="3"/>
      <c r="N67" s="3"/>
      <c r="O67" s="3"/>
      <c r="P67" s="3"/>
      <c r="Q67" s="3"/>
    </row>
    <row r="68" spans="1:17" ht="15">
      <c r="A68" s="8"/>
      <c r="B68" s="8"/>
      <c r="C68" s="8"/>
      <c r="D68" s="8"/>
      <c r="E68" s="8"/>
      <c r="F68" s="8"/>
      <c r="G68" s="8"/>
      <c r="H68" s="8"/>
      <c r="I68" s="8"/>
      <c r="J68" s="8"/>
      <c r="K68" s="3"/>
      <c r="L68" s="3"/>
      <c r="M68" s="3"/>
      <c r="N68" s="3"/>
      <c r="O68" s="3"/>
      <c r="P68" s="3"/>
      <c r="Q68" s="3"/>
    </row>
    <row r="69" spans="1:17" ht="15">
      <c r="A69" s="8"/>
      <c r="B69" s="8"/>
      <c r="C69" s="8"/>
      <c r="D69" s="8"/>
      <c r="E69" s="8"/>
      <c r="F69" s="8"/>
      <c r="G69" s="8"/>
      <c r="H69" s="8"/>
      <c r="I69" s="8"/>
      <c r="J69" s="8"/>
      <c r="K69" s="3"/>
      <c r="L69" s="3"/>
      <c r="M69" s="3"/>
      <c r="N69" s="3"/>
      <c r="O69" s="3"/>
      <c r="P69" s="3"/>
      <c r="Q69" s="3"/>
    </row>
    <row r="70" spans="1:17" ht="15">
      <c r="A70" s="8"/>
      <c r="B70" s="8"/>
      <c r="C70" s="8"/>
      <c r="D70" s="8"/>
      <c r="E70" s="8"/>
      <c r="F70" s="8"/>
      <c r="G70" s="8"/>
      <c r="H70" s="8"/>
      <c r="I70" s="8"/>
      <c r="J70" s="8"/>
      <c r="K70" s="3"/>
      <c r="L70" s="3"/>
      <c r="M70" s="3"/>
      <c r="N70" s="3"/>
      <c r="O70" s="3"/>
      <c r="P70" s="3"/>
      <c r="Q70" s="3"/>
    </row>
    <row r="71" spans="1:17" ht="15">
      <c r="A71" s="8"/>
      <c r="B71" s="8"/>
      <c r="C71" s="8"/>
      <c r="D71" s="8"/>
      <c r="E71" s="8"/>
      <c r="F71" s="8"/>
      <c r="G71" s="8"/>
      <c r="H71" s="8"/>
      <c r="I71" s="8"/>
      <c r="J71" s="8"/>
      <c r="K71" s="3"/>
      <c r="L71" s="3"/>
      <c r="M71" s="3"/>
      <c r="N71" s="3"/>
      <c r="O71" s="3"/>
      <c r="P71" s="3"/>
      <c r="Q71" s="3"/>
    </row>
    <row r="72" spans="1:17" ht="15">
      <c r="A72" s="8"/>
      <c r="B72" s="8"/>
      <c r="C72" s="8"/>
      <c r="D72" s="8"/>
      <c r="E72" s="8"/>
      <c r="F72" s="8"/>
      <c r="G72" s="8"/>
      <c r="H72" s="8"/>
      <c r="I72" s="8"/>
      <c r="J72" s="8"/>
      <c r="K72" s="3"/>
      <c r="L72" s="3"/>
      <c r="M72" s="3"/>
      <c r="N72" s="3"/>
      <c r="O72" s="3"/>
      <c r="P72" s="3"/>
      <c r="Q72" s="3"/>
    </row>
    <row r="73" spans="1:17" ht="15">
      <c r="A73" s="8"/>
      <c r="B73" s="8"/>
      <c r="C73" s="8"/>
      <c r="D73" s="8"/>
      <c r="E73" s="8"/>
      <c r="F73" s="8"/>
      <c r="G73" s="8"/>
      <c r="H73" s="8"/>
      <c r="I73" s="8"/>
      <c r="J73" s="8"/>
      <c r="K73" s="3"/>
      <c r="L73" s="3"/>
      <c r="M73" s="3"/>
      <c r="N73" s="3"/>
      <c r="O73" s="3"/>
      <c r="P73" s="3"/>
      <c r="Q73" s="3"/>
    </row>
    <row r="74" spans="1:17" ht="15">
      <c r="A74" s="8"/>
      <c r="B74" s="8"/>
      <c r="C74" s="8"/>
      <c r="D74" s="8"/>
      <c r="E74" s="8"/>
      <c r="F74" s="8"/>
      <c r="G74" s="8"/>
      <c r="H74" s="8"/>
      <c r="I74" s="8"/>
      <c r="J74" s="8"/>
      <c r="K74" s="3"/>
      <c r="L74" s="3"/>
      <c r="M74" s="3"/>
      <c r="N74" s="3"/>
      <c r="O74" s="3"/>
      <c r="P74" s="3"/>
      <c r="Q74" s="3"/>
    </row>
    <row r="75" spans="1:17" ht="15">
      <c r="A75" s="8"/>
      <c r="B75" s="8"/>
      <c r="C75" s="8"/>
      <c r="D75" s="8"/>
      <c r="E75" s="8"/>
      <c r="F75" s="8"/>
      <c r="G75" s="8"/>
      <c r="H75" s="8"/>
      <c r="I75" s="8"/>
      <c r="J75" s="8"/>
      <c r="K75" s="3"/>
      <c r="L75" s="3"/>
      <c r="M75" s="3"/>
      <c r="N75" s="3"/>
      <c r="O75" s="3"/>
      <c r="P75" s="3"/>
      <c r="Q75" s="3"/>
    </row>
    <row r="76" spans="1:17" ht="15">
      <c r="A76" s="8"/>
      <c r="B76" s="8"/>
      <c r="C76" s="8"/>
      <c r="D76" s="8"/>
      <c r="E76" s="8"/>
      <c r="F76" s="8"/>
      <c r="G76" s="8"/>
      <c r="H76" s="8"/>
      <c r="I76" s="8"/>
      <c r="J76" s="8"/>
      <c r="K76" s="3"/>
      <c r="L76" s="3"/>
      <c r="M76" s="3"/>
      <c r="N76" s="3"/>
      <c r="O76" s="3"/>
      <c r="P76" s="3"/>
      <c r="Q76" s="3"/>
    </row>
    <row r="77" spans="1:17" ht="15">
      <c r="A77" s="8"/>
      <c r="B77" s="8"/>
      <c r="C77" s="8"/>
      <c r="D77" s="8"/>
      <c r="E77" s="8"/>
      <c r="F77" s="8"/>
      <c r="G77" s="8"/>
      <c r="H77" s="8"/>
      <c r="I77" s="8"/>
      <c r="J77" s="8"/>
      <c r="K77" s="3"/>
      <c r="L77" s="3"/>
      <c r="M77" s="3"/>
      <c r="N77" s="3"/>
      <c r="O77" s="3"/>
      <c r="P77" s="3"/>
      <c r="Q77" s="3"/>
    </row>
    <row r="78" spans="1:17" ht="15">
      <c r="A78" s="8"/>
      <c r="B78" s="8"/>
      <c r="C78" s="8"/>
      <c r="D78" s="8"/>
      <c r="E78" s="8"/>
      <c r="F78" s="8"/>
      <c r="G78" s="8"/>
      <c r="H78" s="8"/>
      <c r="I78" s="8"/>
      <c r="J78" s="8"/>
      <c r="K78" s="3"/>
      <c r="L78" s="3"/>
      <c r="M78" s="3"/>
      <c r="N78" s="3"/>
      <c r="O78" s="3"/>
      <c r="P78" s="3"/>
      <c r="Q78" s="3"/>
    </row>
    <row r="79" spans="1:17" ht="15">
      <c r="A79" s="8"/>
      <c r="B79" s="8"/>
      <c r="C79" s="8"/>
      <c r="D79" s="8"/>
      <c r="E79" s="8"/>
      <c r="F79" s="8"/>
      <c r="G79" s="8"/>
      <c r="H79" s="8"/>
      <c r="I79" s="8"/>
      <c r="J79" s="8"/>
      <c r="K79" s="3"/>
      <c r="L79" s="3"/>
      <c r="M79" s="3"/>
      <c r="N79" s="3"/>
      <c r="O79" s="3"/>
      <c r="P79" s="3"/>
      <c r="Q79" s="3"/>
    </row>
    <row r="80" spans="1:17" ht="15">
      <c r="A80" s="8"/>
      <c r="B80" s="8"/>
      <c r="C80" s="8"/>
      <c r="D80" s="8"/>
      <c r="E80" s="8"/>
      <c r="F80" s="8"/>
      <c r="G80" s="8"/>
      <c r="H80" s="8"/>
      <c r="I80" s="8"/>
      <c r="J80" s="8"/>
      <c r="K80" s="3"/>
      <c r="L80" s="3"/>
      <c r="M80" s="3"/>
      <c r="N80" s="3"/>
      <c r="O80" s="3"/>
      <c r="P80" s="3"/>
      <c r="Q80" s="3"/>
    </row>
    <row r="81" spans="1:17" ht="15">
      <c r="A81" s="8"/>
      <c r="B81" s="8"/>
      <c r="C81" s="8"/>
      <c r="D81" s="8"/>
      <c r="E81" s="8"/>
      <c r="F81" s="8"/>
      <c r="G81" s="8"/>
      <c r="H81" s="8"/>
      <c r="I81" s="8"/>
      <c r="J81" s="8"/>
      <c r="K81" s="3"/>
      <c r="L81" s="3"/>
      <c r="M81" s="3"/>
      <c r="N81" s="3"/>
      <c r="O81" s="3"/>
      <c r="P81" s="3"/>
      <c r="Q81" s="3"/>
    </row>
    <row r="82" spans="1:17" ht="15">
      <c r="A82" s="8"/>
      <c r="B82" s="8"/>
      <c r="C82" s="8"/>
      <c r="D82" s="8"/>
      <c r="E82" s="8"/>
      <c r="F82" s="8"/>
      <c r="G82" s="8"/>
      <c r="H82" s="8"/>
      <c r="I82" s="8"/>
      <c r="J82" s="8"/>
      <c r="K82" s="3"/>
      <c r="L82" s="3"/>
      <c r="M82" s="3"/>
      <c r="N82" s="3"/>
      <c r="O82" s="3"/>
      <c r="P82" s="3"/>
      <c r="Q82" s="3"/>
    </row>
    <row r="83" spans="1:17" ht="15">
      <c r="A83" s="8"/>
      <c r="B83" s="8"/>
      <c r="C83" s="8"/>
      <c r="D83" s="8"/>
      <c r="E83" s="8"/>
      <c r="F83" s="8"/>
      <c r="G83" s="8"/>
      <c r="H83" s="8"/>
      <c r="I83" s="8"/>
      <c r="J83" s="8"/>
      <c r="K83" s="3"/>
      <c r="L83" s="3"/>
      <c r="M83" s="3"/>
      <c r="N83" s="3"/>
      <c r="O83" s="3"/>
      <c r="P83" s="3"/>
      <c r="Q83" s="3"/>
    </row>
    <row r="84" spans="1:17" ht="15">
      <c r="A84" s="8"/>
      <c r="B84" s="8"/>
      <c r="C84" s="8"/>
      <c r="D84" s="8"/>
      <c r="E84" s="8"/>
      <c r="F84" s="8"/>
      <c r="G84" s="8"/>
      <c r="H84" s="8"/>
      <c r="I84" s="8"/>
      <c r="J84" s="8"/>
      <c r="K84" s="3"/>
      <c r="L84" s="3"/>
      <c r="M84" s="3"/>
      <c r="N84" s="3"/>
      <c r="O84" s="3"/>
      <c r="P84" s="3"/>
      <c r="Q84" s="3"/>
    </row>
    <row r="85" spans="1:17" ht="15">
      <c r="A85" s="8"/>
      <c r="B85" s="8"/>
      <c r="C85" s="8"/>
      <c r="D85" s="8"/>
      <c r="E85" s="8"/>
      <c r="F85" s="8"/>
      <c r="G85" s="8"/>
      <c r="H85" s="8"/>
      <c r="I85" s="8"/>
      <c r="J85" s="8"/>
      <c r="K85" s="3"/>
      <c r="L85" s="3"/>
      <c r="M85" s="3"/>
      <c r="N85" s="3"/>
      <c r="O85" s="3"/>
      <c r="P85" s="3"/>
      <c r="Q85" s="3"/>
    </row>
    <row r="86" spans="1:17" ht="15">
      <c r="A86" s="8"/>
      <c r="B86" s="8"/>
      <c r="C86" s="8"/>
      <c r="D86" s="8"/>
      <c r="E86" s="8"/>
      <c r="F86" s="8"/>
      <c r="G86" s="8"/>
      <c r="H86" s="8"/>
      <c r="I86" s="8"/>
      <c r="J86" s="8"/>
      <c r="K86" s="3"/>
      <c r="L86" s="3"/>
      <c r="M86" s="3"/>
      <c r="N86" s="3"/>
      <c r="O86" s="3"/>
      <c r="P86" s="3"/>
      <c r="Q86" s="3"/>
    </row>
    <row r="87" spans="1:17" ht="15">
      <c r="A87" s="8"/>
      <c r="B87" s="8"/>
      <c r="C87" s="8"/>
      <c r="D87" s="8"/>
      <c r="E87" s="8"/>
      <c r="F87" s="8"/>
      <c r="G87" s="8"/>
      <c r="H87" s="8"/>
      <c r="I87" s="8"/>
      <c r="J87" s="8"/>
      <c r="K87" s="3"/>
      <c r="L87" s="3"/>
      <c r="M87" s="3"/>
      <c r="N87" s="3"/>
      <c r="O87" s="3"/>
      <c r="P87" s="3"/>
      <c r="Q87" s="3"/>
    </row>
    <row r="88" spans="1:17" ht="15">
      <c r="A88" s="8"/>
      <c r="B88" s="8"/>
      <c r="C88" s="8"/>
      <c r="D88" s="8"/>
      <c r="E88" s="8"/>
      <c r="F88" s="8"/>
      <c r="G88" s="8"/>
      <c r="H88" s="8"/>
      <c r="I88" s="8"/>
      <c r="J88" s="8"/>
      <c r="K88" s="3"/>
      <c r="L88" s="3"/>
      <c r="M88" s="3"/>
      <c r="N88" s="3"/>
      <c r="O88" s="3"/>
      <c r="P88" s="3"/>
      <c r="Q88" s="3"/>
    </row>
    <row r="89" spans="1:17" ht="15">
      <c r="A89" s="8"/>
      <c r="B89" s="8"/>
      <c r="C89" s="8"/>
      <c r="D89" s="8"/>
      <c r="E89" s="8"/>
      <c r="F89" s="8"/>
      <c r="G89" s="8"/>
      <c r="H89" s="8"/>
      <c r="I89" s="8"/>
      <c r="J89" s="8"/>
      <c r="K89" s="3"/>
      <c r="L89" s="3"/>
      <c r="M89" s="3"/>
      <c r="N89" s="3"/>
      <c r="O89" s="3"/>
      <c r="P89" s="3"/>
      <c r="Q89" s="3"/>
    </row>
    <row r="90" spans="1:17" ht="15">
      <c r="A90" s="8"/>
      <c r="B90" s="8"/>
      <c r="C90" s="8"/>
      <c r="D90" s="8"/>
      <c r="E90" s="8"/>
      <c r="F90" s="8"/>
      <c r="G90" s="8"/>
      <c r="H90" s="8"/>
      <c r="I90" s="8"/>
      <c r="J90" s="8"/>
      <c r="K90" s="3"/>
      <c r="L90" s="3"/>
      <c r="M90" s="3"/>
      <c r="N90" s="3"/>
      <c r="O90" s="3"/>
      <c r="P90" s="3"/>
      <c r="Q90" s="3"/>
    </row>
    <row r="91" spans="1:17" ht="15">
      <c r="A91" s="8"/>
      <c r="B91" s="8"/>
      <c r="C91" s="8"/>
      <c r="D91" s="8"/>
      <c r="E91" s="8"/>
      <c r="F91" s="8"/>
      <c r="G91" s="8"/>
      <c r="H91" s="8"/>
      <c r="I91" s="8"/>
      <c r="J91" s="8"/>
      <c r="K91" s="3"/>
      <c r="L91" s="3"/>
      <c r="M91" s="3"/>
      <c r="N91" s="3"/>
      <c r="O91" s="3"/>
      <c r="P91" s="3"/>
      <c r="Q91" s="3"/>
    </row>
    <row r="92" spans="1:17" ht="15">
      <c r="A92" s="8"/>
      <c r="B92" s="8"/>
      <c r="C92" s="8"/>
      <c r="D92" s="8"/>
      <c r="E92" s="8"/>
      <c r="F92" s="8"/>
      <c r="G92" s="8"/>
      <c r="H92" s="8"/>
      <c r="I92" s="8"/>
      <c r="J92" s="8"/>
      <c r="K92" s="3"/>
      <c r="L92" s="3"/>
      <c r="M92" s="3"/>
      <c r="N92" s="3"/>
      <c r="O92" s="3"/>
      <c r="P92" s="3"/>
      <c r="Q92" s="3"/>
    </row>
    <row r="93" spans="1:17" ht="15">
      <c r="A93" s="8"/>
      <c r="B93" s="8"/>
      <c r="C93" s="8"/>
      <c r="D93" s="8"/>
      <c r="E93" s="8"/>
      <c r="F93" s="8"/>
      <c r="G93" s="8"/>
      <c r="H93" s="8"/>
      <c r="I93" s="8"/>
      <c r="J93" s="8"/>
      <c r="K93" s="3"/>
      <c r="L93" s="3"/>
      <c r="M93" s="3"/>
      <c r="N93" s="3"/>
      <c r="O93" s="3"/>
      <c r="P93" s="3"/>
      <c r="Q93" s="3"/>
    </row>
    <row r="94" spans="1:17" ht="15">
      <c r="A94" s="8"/>
      <c r="B94" s="8"/>
      <c r="C94" s="8"/>
      <c r="D94" s="8"/>
      <c r="E94" s="8"/>
      <c r="F94" s="8"/>
      <c r="G94" s="8"/>
      <c r="H94" s="8"/>
      <c r="I94" s="8"/>
      <c r="J94" s="8"/>
      <c r="K94" s="3"/>
      <c r="L94" s="3"/>
      <c r="M94" s="3"/>
      <c r="N94" s="3"/>
      <c r="O94" s="3"/>
      <c r="P94" s="3"/>
      <c r="Q94" s="3"/>
    </row>
    <row r="95" spans="1:17" ht="15">
      <c r="A95" s="8"/>
      <c r="B95" s="8"/>
      <c r="C95" s="8"/>
      <c r="D95" s="8"/>
      <c r="E95" s="8"/>
      <c r="F95" s="8"/>
      <c r="G95" s="8"/>
      <c r="H95" s="8"/>
      <c r="I95" s="8"/>
      <c r="J95" s="8"/>
      <c r="K95" s="3"/>
      <c r="L95" s="3"/>
      <c r="M95" s="3"/>
      <c r="N95" s="3"/>
      <c r="O95" s="3"/>
      <c r="P95" s="3"/>
      <c r="Q95" s="3"/>
    </row>
    <row r="96" spans="1:17" ht="15">
      <c r="A96" s="8"/>
      <c r="B96" s="8"/>
      <c r="C96" s="8"/>
      <c r="D96" s="8"/>
      <c r="E96" s="8"/>
      <c r="F96" s="8"/>
      <c r="G96" s="8"/>
      <c r="H96" s="8"/>
      <c r="I96" s="8"/>
      <c r="J96" s="8"/>
      <c r="K96" s="3"/>
      <c r="L96" s="3"/>
      <c r="M96" s="3"/>
      <c r="N96" s="3"/>
      <c r="O96" s="3"/>
      <c r="P96" s="3"/>
      <c r="Q96" s="3"/>
    </row>
    <row r="97" spans="1:17" ht="15">
      <c r="A97" s="8"/>
      <c r="B97" s="8"/>
      <c r="C97" s="8"/>
      <c r="D97" s="8"/>
      <c r="E97" s="8"/>
      <c r="F97" s="8"/>
      <c r="G97" s="8"/>
      <c r="H97" s="8"/>
      <c r="I97" s="8"/>
      <c r="J97" s="8"/>
      <c r="K97" s="3"/>
      <c r="L97" s="3"/>
      <c r="M97" s="3"/>
      <c r="N97" s="3"/>
      <c r="O97" s="3"/>
      <c r="P97" s="3"/>
      <c r="Q97" s="3"/>
    </row>
    <row r="98" spans="1:17" ht="15">
      <c r="A98" s="8"/>
      <c r="B98" s="8"/>
      <c r="C98" s="8"/>
      <c r="D98" s="8"/>
      <c r="E98" s="8"/>
      <c r="F98" s="8"/>
      <c r="G98" s="8"/>
      <c r="H98" s="8"/>
      <c r="I98" s="8"/>
      <c r="J98" s="8"/>
      <c r="K98" s="3"/>
      <c r="L98" s="3"/>
      <c r="M98" s="3"/>
      <c r="N98" s="3"/>
      <c r="O98" s="3"/>
      <c r="P98" s="3"/>
      <c r="Q98" s="3"/>
    </row>
    <row r="99" spans="1:17" ht="15">
      <c r="A99" s="8"/>
      <c r="B99" s="8"/>
      <c r="C99" s="8"/>
      <c r="D99" s="8"/>
      <c r="E99" s="8"/>
      <c r="F99" s="8"/>
      <c r="G99" s="8"/>
      <c r="H99" s="8"/>
      <c r="I99" s="8"/>
      <c r="J99" s="8"/>
      <c r="K99" s="3"/>
      <c r="L99" s="3"/>
      <c r="M99" s="3"/>
      <c r="N99" s="3"/>
      <c r="O99" s="3"/>
      <c r="P99" s="3"/>
      <c r="Q99" s="3"/>
    </row>
    <row r="100" spans="1:17" ht="15">
      <c r="A100" s="8"/>
      <c r="B100" s="8"/>
      <c r="C100" s="8"/>
      <c r="D100" s="8"/>
      <c r="E100" s="8"/>
      <c r="F100" s="8"/>
      <c r="G100" s="8"/>
      <c r="H100" s="8"/>
      <c r="I100" s="8"/>
      <c r="J100" s="8"/>
      <c r="K100" s="3"/>
      <c r="L100" s="3"/>
      <c r="M100" s="3"/>
      <c r="N100" s="3"/>
      <c r="O100" s="3"/>
      <c r="P100" s="3"/>
      <c r="Q100" s="3"/>
    </row>
    <row r="101" spans="1:17" ht="15">
      <c r="A101" s="8"/>
      <c r="B101" s="8"/>
      <c r="C101" s="8"/>
      <c r="D101" s="8"/>
      <c r="E101" s="8"/>
      <c r="F101" s="8"/>
      <c r="G101" s="8"/>
      <c r="H101" s="8"/>
      <c r="I101" s="8"/>
      <c r="J101" s="8"/>
      <c r="K101" s="3"/>
      <c r="L101" s="3"/>
      <c r="M101" s="3"/>
      <c r="N101" s="3"/>
      <c r="O101" s="3"/>
      <c r="P101" s="3"/>
      <c r="Q101" s="3"/>
    </row>
    <row r="102" spans="1:17" ht="15">
      <c r="A102" s="8"/>
      <c r="B102" s="8"/>
      <c r="C102" s="8"/>
      <c r="D102" s="8"/>
      <c r="E102" s="8"/>
      <c r="F102" s="8"/>
      <c r="G102" s="8"/>
      <c r="H102" s="8"/>
      <c r="I102" s="8"/>
      <c r="J102" s="8"/>
      <c r="K102" s="3"/>
      <c r="L102" s="3"/>
      <c r="M102" s="3"/>
      <c r="N102" s="3"/>
      <c r="O102" s="3"/>
      <c r="P102" s="3"/>
      <c r="Q102" s="3"/>
    </row>
    <row r="103" spans="1:17" ht="15">
      <c r="A103" s="8"/>
      <c r="B103" s="8"/>
      <c r="C103" s="8"/>
      <c r="D103" s="8"/>
      <c r="E103" s="8"/>
      <c r="F103" s="8"/>
      <c r="G103" s="8"/>
      <c r="H103" s="8"/>
      <c r="I103" s="8"/>
      <c r="J103" s="8"/>
      <c r="K103" s="3"/>
      <c r="L103" s="3"/>
      <c r="M103" s="3"/>
      <c r="N103" s="3"/>
      <c r="O103" s="3"/>
      <c r="P103" s="3"/>
      <c r="Q103" s="3"/>
    </row>
    <row r="104" spans="1:17" ht="15">
      <c r="A104" s="8"/>
      <c r="B104" s="8"/>
      <c r="C104" s="8"/>
      <c r="D104" s="8"/>
      <c r="E104" s="8"/>
      <c r="F104" s="8"/>
      <c r="G104" s="8"/>
      <c r="H104" s="8"/>
      <c r="I104" s="8"/>
      <c r="J104" s="8"/>
      <c r="K104" s="3"/>
      <c r="L104" s="3"/>
      <c r="M104" s="3"/>
      <c r="N104" s="3"/>
      <c r="O104" s="3"/>
      <c r="P104" s="3"/>
      <c r="Q104" s="3"/>
    </row>
    <row r="105" spans="1:17" ht="15">
      <c r="A105" s="8"/>
      <c r="B105" s="8"/>
      <c r="C105" s="8"/>
      <c r="D105" s="8"/>
      <c r="E105" s="8"/>
      <c r="F105" s="8"/>
      <c r="G105" s="8"/>
      <c r="H105" s="8"/>
      <c r="I105" s="8"/>
      <c r="J105" s="8"/>
      <c r="K105" s="3"/>
      <c r="L105" s="3"/>
      <c r="M105" s="3"/>
      <c r="N105" s="3"/>
      <c r="O105" s="3"/>
      <c r="P105" s="3"/>
      <c r="Q105" s="3"/>
    </row>
    <row r="106" spans="1:17" ht="15">
      <c r="A106" s="8"/>
      <c r="B106" s="8"/>
      <c r="C106" s="8"/>
      <c r="D106" s="8"/>
      <c r="E106" s="8"/>
      <c r="F106" s="8"/>
      <c r="G106" s="8"/>
      <c r="H106" s="8"/>
      <c r="I106" s="8"/>
      <c r="J106" s="8"/>
      <c r="K106" s="3"/>
      <c r="L106" s="3"/>
      <c r="M106" s="3"/>
      <c r="N106" s="3"/>
      <c r="O106" s="3"/>
      <c r="P106" s="3"/>
      <c r="Q106" s="3"/>
    </row>
    <row r="107" spans="1:17" ht="15">
      <c r="A107" s="8"/>
      <c r="B107" s="8"/>
      <c r="C107" s="8"/>
      <c r="D107" s="8"/>
      <c r="E107" s="8"/>
      <c r="F107" s="8"/>
      <c r="G107" s="8"/>
      <c r="H107" s="8"/>
      <c r="I107" s="8"/>
      <c r="J107" s="8"/>
      <c r="K107" s="3"/>
      <c r="L107" s="3"/>
      <c r="M107" s="3"/>
      <c r="N107" s="3"/>
      <c r="O107" s="3"/>
      <c r="P107" s="3"/>
      <c r="Q107" s="3"/>
    </row>
    <row r="108" spans="1:17" ht="15">
      <c r="A108" s="8"/>
      <c r="B108" s="8"/>
      <c r="C108" s="8"/>
      <c r="D108" s="8"/>
      <c r="E108" s="8"/>
      <c r="F108" s="8"/>
      <c r="G108" s="8"/>
      <c r="H108" s="8"/>
      <c r="I108" s="8"/>
      <c r="J108" s="8"/>
      <c r="K108" s="3"/>
      <c r="L108" s="3"/>
      <c r="M108" s="3"/>
      <c r="N108" s="3"/>
      <c r="O108" s="3"/>
      <c r="P108" s="3"/>
      <c r="Q108" s="3"/>
    </row>
    <row r="109" spans="1:17" ht="15">
      <c r="A109" s="8"/>
      <c r="B109" s="8"/>
      <c r="C109" s="8"/>
      <c r="D109" s="8"/>
      <c r="E109" s="8"/>
      <c r="F109" s="8"/>
      <c r="G109" s="8"/>
      <c r="H109" s="8"/>
      <c r="I109" s="8"/>
      <c r="J109" s="8"/>
      <c r="K109" s="3"/>
      <c r="L109" s="3"/>
      <c r="M109" s="3"/>
      <c r="N109" s="3"/>
      <c r="O109" s="3"/>
      <c r="P109" s="3"/>
      <c r="Q109" s="3"/>
    </row>
    <row r="110" spans="1:17" ht="15">
      <c r="A110" s="8"/>
      <c r="B110" s="8"/>
      <c r="C110" s="8"/>
      <c r="D110" s="8"/>
      <c r="E110" s="8"/>
      <c r="F110" s="8"/>
      <c r="G110" s="8"/>
      <c r="H110" s="8"/>
      <c r="I110" s="8"/>
      <c r="J110" s="8"/>
      <c r="K110" s="3"/>
      <c r="L110" s="3"/>
      <c r="M110" s="3"/>
      <c r="N110" s="3"/>
      <c r="O110" s="3"/>
      <c r="P110" s="3"/>
      <c r="Q110" s="3"/>
    </row>
    <row r="111" spans="1:17" ht="15">
      <c r="A111" s="8"/>
      <c r="B111" s="8"/>
      <c r="C111" s="8"/>
      <c r="D111" s="8"/>
      <c r="E111" s="8"/>
      <c r="F111" s="8"/>
      <c r="G111" s="8"/>
      <c r="H111" s="8"/>
      <c r="I111" s="8"/>
      <c r="J111" s="8"/>
      <c r="K111" s="3"/>
      <c r="L111" s="3"/>
      <c r="M111" s="3"/>
      <c r="N111" s="3"/>
      <c r="O111" s="3"/>
      <c r="P111" s="3"/>
      <c r="Q111" s="3"/>
    </row>
    <row r="112" spans="1:17" ht="15">
      <c r="A112" s="8"/>
      <c r="B112" s="8"/>
      <c r="C112" s="8"/>
      <c r="D112" s="8"/>
      <c r="E112" s="8"/>
      <c r="F112" s="8"/>
      <c r="G112" s="8"/>
      <c r="H112" s="8"/>
      <c r="I112" s="8"/>
      <c r="J112" s="8"/>
      <c r="K112" s="3"/>
      <c r="L112" s="3"/>
      <c r="M112" s="3"/>
      <c r="N112" s="3"/>
      <c r="O112" s="3"/>
      <c r="P112" s="3"/>
      <c r="Q112" s="3"/>
    </row>
    <row r="113" spans="1:17" ht="15">
      <c r="A113" s="8"/>
      <c r="B113" s="8"/>
      <c r="C113" s="8"/>
      <c r="D113" s="8"/>
      <c r="E113" s="8"/>
      <c r="F113" s="8"/>
      <c r="G113" s="8"/>
      <c r="H113" s="8"/>
      <c r="I113" s="8"/>
      <c r="J113" s="8"/>
      <c r="K113" s="3"/>
      <c r="L113" s="3"/>
      <c r="M113" s="3"/>
      <c r="N113" s="3"/>
      <c r="O113" s="3"/>
      <c r="P113" s="3"/>
      <c r="Q113" s="3"/>
    </row>
    <row r="114" spans="1:17" ht="15">
      <c r="A114" s="8"/>
      <c r="B114" s="8"/>
      <c r="C114" s="8"/>
      <c r="D114" s="8"/>
      <c r="E114" s="8"/>
      <c r="F114" s="8"/>
      <c r="G114" s="8"/>
      <c r="H114" s="8"/>
      <c r="I114" s="8"/>
      <c r="J114" s="8"/>
      <c r="K114" s="3"/>
      <c r="L114" s="3"/>
      <c r="M114" s="3"/>
      <c r="N114" s="3"/>
      <c r="O114" s="3"/>
      <c r="P114" s="3"/>
      <c r="Q114" s="3"/>
    </row>
    <row r="115" spans="1:17" ht="15">
      <c r="A115" s="8"/>
      <c r="B115" s="8"/>
      <c r="C115" s="8"/>
      <c r="D115" s="8"/>
      <c r="E115" s="8"/>
      <c r="F115" s="8"/>
      <c r="G115" s="8"/>
      <c r="H115" s="8"/>
      <c r="I115" s="8"/>
      <c r="J115" s="8"/>
      <c r="K115" s="3"/>
      <c r="L115" s="3"/>
      <c r="M115" s="3"/>
      <c r="N115" s="3"/>
      <c r="O115" s="3"/>
      <c r="P115" s="3"/>
      <c r="Q115" s="3"/>
    </row>
    <row r="116" spans="1:17" ht="15">
      <c r="A116" s="8"/>
      <c r="B116" s="8"/>
      <c r="C116" s="8"/>
      <c r="D116" s="8"/>
      <c r="E116" s="8"/>
      <c r="F116" s="8"/>
      <c r="G116" s="8"/>
      <c r="H116" s="8"/>
      <c r="I116" s="8"/>
      <c r="J116" s="8"/>
      <c r="K116" s="3"/>
      <c r="L116" s="3"/>
      <c r="M116" s="3"/>
      <c r="N116" s="3"/>
      <c r="O116" s="3"/>
      <c r="P116" s="3"/>
      <c r="Q116" s="3"/>
    </row>
    <row r="117" spans="1:17" ht="15">
      <c r="A117" s="8"/>
      <c r="B117" s="8"/>
      <c r="C117" s="8"/>
      <c r="D117" s="8"/>
      <c r="E117" s="8"/>
      <c r="F117" s="8"/>
      <c r="G117" s="8"/>
      <c r="H117" s="8"/>
      <c r="I117" s="8"/>
      <c r="J117" s="8"/>
      <c r="K117" s="3"/>
      <c r="L117" s="3"/>
      <c r="M117" s="3"/>
      <c r="N117" s="3"/>
      <c r="O117" s="3"/>
      <c r="P117" s="3"/>
      <c r="Q117" s="3"/>
    </row>
    <row r="118" spans="1:17" ht="15">
      <c r="A118" s="8"/>
      <c r="B118" s="8"/>
      <c r="C118" s="8"/>
      <c r="D118" s="8"/>
      <c r="E118" s="8"/>
      <c r="F118" s="8"/>
      <c r="G118" s="8"/>
      <c r="H118" s="8"/>
      <c r="I118" s="8"/>
      <c r="J118" s="8"/>
      <c r="K118" s="3"/>
      <c r="L118" s="3"/>
      <c r="M118" s="3"/>
      <c r="N118" s="3"/>
      <c r="O118" s="3"/>
      <c r="P118" s="3"/>
      <c r="Q118" s="3"/>
    </row>
    <row r="119" spans="1:17" ht="15">
      <c r="A119" s="8"/>
      <c r="B119" s="8"/>
      <c r="C119" s="8"/>
      <c r="D119" s="8"/>
      <c r="E119" s="8"/>
      <c r="F119" s="8"/>
      <c r="G119" s="8"/>
      <c r="H119" s="8"/>
      <c r="I119" s="8"/>
      <c r="J119" s="8"/>
      <c r="K119" s="3"/>
      <c r="L119" s="3"/>
      <c r="M119" s="3"/>
      <c r="N119" s="3"/>
      <c r="O119" s="3"/>
      <c r="P119" s="3"/>
      <c r="Q119" s="3"/>
    </row>
    <row r="120" spans="1:17" ht="15">
      <c r="A120" s="8"/>
      <c r="B120" s="8"/>
      <c r="C120" s="8"/>
      <c r="D120" s="8"/>
      <c r="E120" s="8"/>
      <c r="F120" s="8"/>
      <c r="G120" s="8"/>
      <c r="H120" s="8"/>
      <c r="I120" s="8"/>
      <c r="J120" s="8"/>
      <c r="K120" s="3"/>
      <c r="L120" s="3"/>
      <c r="M120" s="3"/>
      <c r="N120" s="3"/>
      <c r="O120" s="3"/>
      <c r="P120" s="3"/>
      <c r="Q120" s="3"/>
    </row>
    <row r="121" spans="1:17" ht="15">
      <c r="A121" s="8"/>
      <c r="B121" s="8"/>
      <c r="C121" s="8"/>
      <c r="D121" s="8"/>
      <c r="E121" s="8"/>
      <c r="F121" s="8"/>
      <c r="G121" s="8"/>
      <c r="H121" s="8"/>
      <c r="I121" s="8"/>
      <c r="J121" s="8"/>
      <c r="K121" s="3"/>
      <c r="L121" s="3"/>
      <c r="M121" s="3"/>
      <c r="N121" s="3"/>
      <c r="O121" s="3"/>
      <c r="P121" s="3"/>
      <c r="Q121" s="3"/>
    </row>
    <row r="122" spans="1:17" ht="15">
      <c r="A122" s="8"/>
      <c r="B122" s="8"/>
      <c r="C122" s="8"/>
      <c r="D122" s="8"/>
      <c r="E122" s="8"/>
      <c r="F122" s="8"/>
      <c r="G122" s="8"/>
      <c r="H122" s="8"/>
      <c r="I122" s="8"/>
      <c r="J122" s="8"/>
      <c r="K122" s="3"/>
      <c r="L122" s="3"/>
      <c r="M122" s="3"/>
      <c r="N122" s="3"/>
      <c r="O122" s="3"/>
      <c r="P122" s="3"/>
      <c r="Q122" s="3"/>
    </row>
    <row r="123" spans="1:17" ht="15">
      <c r="A123" s="8"/>
      <c r="B123" s="8"/>
      <c r="C123" s="8"/>
      <c r="D123" s="8"/>
      <c r="E123" s="8"/>
      <c r="F123" s="8"/>
      <c r="G123" s="8"/>
      <c r="H123" s="8"/>
      <c r="I123" s="8"/>
      <c r="J123" s="8"/>
      <c r="K123" s="3"/>
      <c r="L123" s="3"/>
      <c r="M123" s="3"/>
      <c r="N123" s="3"/>
      <c r="O123" s="3"/>
      <c r="P123" s="3"/>
      <c r="Q123" s="3"/>
    </row>
    <row r="124" spans="1:17" ht="15">
      <c r="A124" s="8"/>
      <c r="B124" s="8"/>
      <c r="C124" s="8"/>
      <c r="D124" s="8"/>
      <c r="E124" s="8"/>
      <c r="F124" s="8"/>
      <c r="G124" s="8"/>
      <c r="H124" s="8"/>
      <c r="I124" s="8"/>
      <c r="J124" s="8"/>
      <c r="K124" s="3"/>
      <c r="L124" s="3"/>
      <c r="M124" s="3"/>
      <c r="N124" s="3"/>
      <c r="O124" s="3"/>
      <c r="P124" s="3"/>
      <c r="Q124" s="3"/>
    </row>
    <row r="125" spans="1:17" ht="15">
      <c r="A125" s="8"/>
      <c r="B125" s="8"/>
      <c r="C125" s="8"/>
      <c r="D125" s="8"/>
      <c r="E125" s="8"/>
      <c r="F125" s="8"/>
      <c r="G125" s="8"/>
      <c r="H125" s="8"/>
      <c r="I125" s="8"/>
      <c r="J125" s="8"/>
      <c r="K125" s="3"/>
      <c r="L125" s="3"/>
      <c r="M125" s="3"/>
      <c r="N125" s="3"/>
      <c r="O125" s="3"/>
      <c r="P125" s="3"/>
      <c r="Q125" s="3"/>
    </row>
    <row r="126" spans="1:17" ht="15">
      <c r="A126" s="8"/>
      <c r="B126" s="8"/>
      <c r="C126" s="8"/>
      <c r="D126" s="8"/>
      <c r="E126" s="8"/>
      <c r="F126" s="8"/>
      <c r="G126" s="8"/>
      <c r="H126" s="8"/>
      <c r="I126" s="8"/>
      <c r="J126" s="8"/>
      <c r="K126" s="3"/>
      <c r="L126" s="3"/>
      <c r="M126" s="3"/>
      <c r="N126" s="3"/>
      <c r="O126" s="3"/>
      <c r="P126" s="3"/>
      <c r="Q126" s="3"/>
    </row>
    <row r="127" spans="1:17" ht="15">
      <c r="A127" s="8"/>
      <c r="B127" s="8"/>
      <c r="C127" s="8"/>
      <c r="D127" s="8"/>
      <c r="E127" s="8"/>
      <c r="F127" s="8"/>
      <c r="G127" s="8"/>
      <c r="H127" s="8"/>
      <c r="I127" s="8"/>
      <c r="J127" s="8"/>
      <c r="K127" s="3"/>
      <c r="L127" s="3"/>
      <c r="M127" s="3"/>
      <c r="N127" s="3"/>
      <c r="O127" s="3"/>
      <c r="P127" s="3"/>
      <c r="Q127" s="3"/>
    </row>
    <row r="128" spans="1:17" ht="15">
      <c r="A128" s="8"/>
      <c r="B128" s="8"/>
      <c r="C128" s="8"/>
      <c r="D128" s="8"/>
      <c r="E128" s="8"/>
      <c r="F128" s="8"/>
      <c r="G128" s="8"/>
      <c r="H128" s="8"/>
      <c r="I128" s="8"/>
      <c r="J128" s="8"/>
      <c r="K128" s="3"/>
      <c r="L128" s="3"/>
      <c r="M128" s="3"/>
      <c r="N128" s="3"/>
      <c r="O128" s="3"/>
      <c r="P128" s="3"/>
      <c r="Q128" s="3"/>
    </row>
    <row r="129" spans="1:17" ht="15">
      <c r="A129" s="8"/>
      <c r="B129" s="8"/>
      <c r="C129" s="8"/>
      <c r="D129" s="8"/>
      <c r="E129" s="8"/>
      <c r="F129" s="8"/>
      <c r="G129" s="8"/>
      <c r="H129" s="8"/>
      <c r="I129" s="8"/>
      <c r="J129" s="8"/>
      <c r="K129" s="3"/>
      <c r="L129" s="3"/>
      <c r="M129" s="3"/>
      <c r="N129" s="3"/>
      <c r="O129" s="3"/>
      <c r="P129" s="3"/>
      <c r="Q129" s="3"/>
    </row>
    <row r="130" spans="1:17" ht="15">
      <c r="A130" s="8"/>
      <c r="B130" s="8"/>
      <c r="C130" s="8"/>
      <c r="D130" s="8"/>
      <c r="E130" s="8"/>
      <c r="F130" s="8"/>
      <c r="G130" s="8"/>
      <c r="H130" s="8"/>
      <c r="I130" s="8"/>
      <c r="J130" s="8"/>
      <c r="K130" s="3"/>
      <c r="L130" s="3"/>
      <c r="M130" s="3"/>
      <c r="N130" s="3"/>
      <c r="O130" s="3"/>
      <c r="P130" s="3"/>
      <c r="Q130" s="3"/>
    </row>
    <row r="131" spans="1:17" ht="15">
      <c r="A131" s="8"/>
      <c r="B131" s="8"/>
      <c r="C131" s="8"/>
      <c r="D131" s="8"/>
      <c r="E131" s="8"/>
      <c r="F131" s="8"/>
      <c r="G131" s="8"/>
      <c r="H131" s="8"/>
      <c r="I131" s="8"/>
      <c r="J131" s="8"/>
      <c r="K131" s="3"/>
      <c r="L131" s="3"/>
      <c r="M131" s="3"/>
      <c r="N131" s="3"/>
      <c r="O131" s="3"/>
      <c r="P131" s="3"/>
      <c r="Q131" s="3"/>
    </row>
    <row r="132" spans="1:17" ht="15">
      <c r="A132" s="8"/>
      <c r="B132" s="8"/>
      <c r="C132" s="8"/>
      <c r="D132" s="8"/>
      <c r="E132" s="8"/>
      <c r="F132" s="8"/>
      <c r="G132" s="8"/>
      <c r="H132" s="8"/>
      <c r="I132" s="8"/>
      <c r="J132" s="8"/>
      <c r="K132" s="3"/>
      <c r="L132" s="3"/>
      <c r="M132" s="3"/>
      <c r="N132" s="3"/>
      <c r="O132" s="3"/>
      <c r="P132" s="3"/>
      <c r="Q132" s="3"/>
    </row>
    <row r="133" spans="1:17" ht="15">
      <c r="A133" s="8"/>
      <c r="B133" s="8"/>
      <c r="C133" s="8"/>
      <c r="D133" s="8"/>
      <c r="E133" s="8"/>
      <c r="F133" s="8"/>
      <c r="G133" s="8"/>
      <c r="H133" s="8"/>
      <c r="I133" s="8"/>
      <c r="J133" s="8"/>
      <c r="K133" s="3"/>
      <c r="L133" s="3"/>
      <c r="M133" s="3"/>
      <c r="N133" s="3"/>
      <c r="O133" s="3"/>
      <c r="P133" s="3"/>
      <c r="Q133" s="3"/>
    </row>
    <row r="134" spans="1:17" ht="15">
      <c r="A134" s="8"/>
      <c r="B134" s="8"/>
      <c r="C134" s="8"/>
      <c r="D134" s="8"/>
      <c r="E134" s="8"/>
      <c r="F134" s="8"/>
      <c r="G134" s="8"/>
      <c r="H134" s="8"/>
      <c r="I134" s="8"/>
      <c r="J134" s="8"/>
      <c r="K134" s="3"/>
      <c r="L134" s="3"/>
      <c r="M134" s="3"/>
      <c r="N134" s="3"/>
      <c r="O134" s="3"/>
      <c r="P134" s="3"/>
      <c r="Q134" s="3"/>
    </row>
    <row r="135" spans="1:17" ht="15">
      <c r="A135" s="8"/>
      <c r="B135" s="8"/>
      <c r="C135" s="8"/>
      <c r="D135" s="8"/>
      <c r="E135" s="8"/>
      <c r="F135" s="8"/>
      <c r="G135" s="8"/>
      <c r="H135" s="8"/>
      <c r="I135" s="8"/>
      <c r="J135" s="8"/>
      <c r="K135" s="3"/>
      <c r="L135" s="3"/>
      <c r="M135" s="3"/>
      <c r="N135" s="3"/>
      <c r="O135" s="3"/>
      <c r="P135" s="3"/>
      <c r="Q135" s="3"/>
    </row>
    <row r="136" spans="1:17" ht="15">
      <c r="A136" s="8"/>
      <c r="B136" s="8"/>
      <c r="C136" s="8"/>
      <c r="D136" s="8"/>
      <c r="E136" s="8"/>
      <c r="F136" s="8"/>
      <c r="G136" s="8"/>
      <c r="H136" s="8"/>
      <c r="I136" s="8"/>
      <c r="J136" s="8"/>
      <c r="K136" s="3"/>
      <c r="L136" s="3"/>
      <c r="M136" s="3"/>
      <c r="N136" s="3"/>
      <c r="O136" s="3"/>
      <c r="P136" s="3"/>
      <c r="Q136" s="3"/>
    </row>
    <row r="137" spans="1:17" ht="15">
      <c r="A137" s="8"/>
      <c r="B137" s="8"/>
      <c r="C137" s="8"/>
      <c r="D137" s="8"/>
      <c r="E137" s="8"/>
      <c r="F137" s="8"/>
      <c r="G137" s="8"/>
      <c r="H137" s="8"/>
      <c r="I137" s="8"/>
      <c r="J137" s="8"/>
      <c r="K137" s="3"/>
      <c r="L137" s="3"/>
      <c r="M137" s="3"/>
      <c r="N137" s="3"/>
      <c r="O137" s="3"/>
      <c r="P137" s="3"/>
      <c r="Q137" s="3"/>
    </row>
    <row r="138" spans="1:17" ht="15">
      <c r="A138" s="8"/>
      <c r="B138" s="8"/>
      <c r="C138" s="8"/>
      <c r="D138" s="8"/>
      <c r="E138" s="8"/>
      <c r="F138" s="8"/>
      <c r="G138" s="8"/>
      <c r="H138" s="8"/>
      <c r="I138" s="8"/>
      <c r="J138" s="8"/>
      <c r="K138" s="3"/>
      <c r="L138" s="3"/>
      <c r="M138" s="3"/>
      <c r="N138" s="3"/>
      <c r="O138" s="3"/>
      <c r="P138" s="3"/>
      <c r="Q138" s="3"/>
    </row>
    <row r="139" spans="1:17" ht="15">
      <c r="A139" s="8"/>
      <c r="B139" s="8"/>
      <c r="C139" s="8"/>
      <c r="D139" s="8"/>
      <c r="E139" s="8"/>
      <c r="F139" s="8"/>
      <c r="G139" s="8"/>
      <c r="H139" s="8"/>
      <c r="I139" s="8"/>
      <c r="J139" s="8"/>
      <c r="K139" s="3"/>
      <c r="L139" s="3"/>
      <c r="M139" s="3"/>
      <c r="N139" s="3"/>
      <c r="O139" s="3"/>
      <c r="P139" s="3"/>
      <c r="Q139" s="3"/>
    </row>
    <row r="140" spans="1:17" ht="15">
      <c r="A140" s="8"/>
      <c r="B140" s="8"/>
      <c r="C140" s="8"/>
      <c r="D140" s="8"/>
      <c r="E140" s="8"/>
      <c r="F140" s="8"/>
      <c r="G140" s="8"/>
      <c r="H140" s="8"/>
      <c r="I140" s="8"/>
      <c r="J140" s="8"/>
      <c r="K140" s="3"/>
      <c r="L140" s="3"/>
      <c r="M140" s="3"/>
      <c r="N140" s="3"/>
      <c r="O140" s="3"/>
      <c r="P140" s="3"/>
      <c r="Q140" s="3"/>
    </row>
    <row r="141" spans="1:17" ht="15">
      <c r="A141" s="8"/>
      <c r="B141" s="8"/>
      <c r="C141" s="8"/>
      <c r="D141" s="8"/>
      <c r="E141" s="8"/>
      <c r="F141" s="8"/>
      <c r="G141" s="8"/>
      <c r="H141" s="8"/>
      <c r="I141" s="8"/>
      <c r="J141" s="8"/>
      <c r="K141" s="3"/>
      <c r="L141" s="3"/>
      <c r="M141" s="3"/>
      <c r="N141" s="3"/>
      <c r="O141" s="3"/>
      <c r="P141" s="3"/>
      <c r="Q141" s="3"/>
    </row>
    <row r="142" spans="1:17" ht="15">
      <c r="A142" s="8"/>
      <c r="B142" s="8"/>
      <c r="C142" s="8"/>
      <c r="D142" s="8"/>
      <c r="E142" s="8"/>
      <c r="F142" s="8"/>
      <c r="G142" s="8"/>
      <c r="H142" s="8"/>
      <c r="I142" s="8"/>
      <c r="J142" s="8"/>
      <c r="K142" s="3"/>
      <c r="L142" s="3"/>
      <c r="M142" s="3"/>
      <c r="N142" s="3"/>
      <c r="O142" s="3"/>
      <c r="P142" s="3"/>
      <c r="Q142" s="3"/>
    </row>
    <row r="143" spans="1:17" ht="15">
      <c r="A143" s="8"/>
      <c r="B143" s="8"/>
      <c r="C143" s="8"/>
      <c r="D143" s="8"/>
      <c r="E143" s="8"/>
      <c r="F143" s="8"/>
      <c r="G143" s="8"/>
      <c r="H143" s="8"/>
      <c r="I143" s="8"/>
      <c r="J143" s="8"/>
      <c r="K143" s="3"/>
      <c r="L143" s="3"/>
      <c r="M143" s="3"/>
      <c r="N143" s="3"/>
      <c r="O143" s="3"/>
      <c r="P143" s="3"/>
      <c r="Q143" s="3"/>
    </row>
    <row r="144" spans="1:17" ht="15">
      <c r="A144" s="8"/>
      <c r="B144" s="8"/>
      <c r="C144" s="8"/>
      <c r="D144" s="8"/>
      <c r="E144" s="8"/>
      <c r="F144" s="8"/>
      <c r="G144" s="8"/>
      <c r="H144" s="8"/>
      <c r="I144" s="8"/>
      <c r="J144" s="8"/>
      <c r="K144" s="3"/>
      <c r="L144" s="3"/>
      <c r="M144" s="3"/>
      <c r="N144" s="3"/>
      <c r="O144" s="3"/>
      <c r="P144" s="3"/>
      <c r="Q144" s="3"/>
    </row>
    <row r="145" spans="1:17" ht="15">
      <c r="A145" s="8"/>
      <c r="B145" s="8"/>
      <c r="C145" s="8"/>
      <c r="D145" s="8"/>
      <c r="E145" s="8"/>
      <c r="F145" s="8"/>
      <c r="G145" s="8"/>
      <c r="H145" s="8"/>
      <c r="I145" s="8"/>
      <c r="J145" s="8"/>
      <c r="K145" s="3"/>
      <c r="L145" s="3"/>
      <c r="M145" s="3"/>
      <c r="N145" s="3"/>
      <c r="O145" s="3"/>
      <c r="P145" s="3"/>
      <c r="Q145" s="3"/>
    </row>
    <row r="146" spans="1:17" ht="15">
      <c r="A146" s="8"/>
      <c r="B146" s="8"/>
      <c r="C146" s="8"/>
      <c r="D146" s="8"/>
      <c r="E146" s="8"/>
      <c r="F146" s="8"/>
      <c r="G146" s="8"/>
      <c r="H146" s="8"/>
      <c r="I146" s="8"/>
      <c r="J146" s="8"/>
      <c r="K146" s="3"/>
      <c r="L146" s="3"/>
      <c r="M146" s="3"/>
      <c r="N146" s="3"/>
      <c r="O146" s="3"/>
      <c r="P146" s="3"/>
      <c r="Q146" s="3"/>
    </row>
    <row r="147" spans="1:17" ht="15">
      <c r="A147" s="8"/>
      <c r="B147" s="8"/>
      <c r="C147" s="8"/>
      <c r="D147" s="8"/>
      <c r="E147" s="8"/>
      <c r="F147" s="8"/>
      <c r="G147" s="8"/>
      <c r="H147" s="8"/>
      <c r="I147" s="8"/>
      <c r="J147" s="8"/>
      <c r="K147" s="3"/>
      <c r="L147" s="3"/>
      <c r="M147" s="3"/>
      <c r="N147" s="3"/>
      <c r="O147" s="3"/>
      <c r="P147" s="3"/>
      <c r="Q147" s="3"/>
    </row>
    <row r="148" spans="1:17" ht="15">
      <c r="A148" s="8"/>
      <c r="B148" s="8"/>
      <c r="C148" s="8"/>
      <c r="D148" s="8"/>
      <c r="E148" s="8"/>
      <c r="F148" s="8"/>
      <c r="G148" s="8"/>
      <c r="H148" s="8"/>
      <c r="I148" s="8"/>
      <c r="J148" s="8"/>
      <c r="K148" s="3"/>
      <c r="L148" s="3"/>
      <c r="M148" s="3"/>
      <c r="N148" s="3"/>
      <c r="O148" s="3"/>
      <c r="P148" s="3"/>
      <c r="Q148" s="3"/>
    </row>
    <row r="149" spans="1:17" ht="15">
      <c r="A149" s="8"/>
      <c r="B149" s="8"/>
      <c r="C149" s="8"/>
      <c r="D149" s="8"/>
      <c r="E149" s="8"/>
      <c r="F149" s="8"/>
      <c r="G149" s="8"/>
      <c r="H149" s="8"/>
      <c r="I149" s="8"/>
      <c r="J149" s="8"/>
      <c r="K149" s="3"/>
      <c r="L149" s="3"/>
      <c r="M149" s="3"/>
      <c r="N149" s="3"/>
      <c r="O149" s="3"/>
      <c r="P149" s="3"/>
      <c r="Q149" s="3"/>
    </row>
    <row r="150" spans="1:17" ht="15">
      <c r="A150" s="8"/>
      <c r="B150" s="8"/>
      <c r="C150" s="8"/>
      <c r="D150" s="8"/>
      <c r="E150" s="8"/>
      <c r="F150" s="8"/>
      <c r="G150" s="8"/>
      <c r="H150" s="8"/>
      <c r="I150" s="8"/>
      <c r="J150" s="8"/>
      <c r="K150" s="3"/>
      <c r="L150" s="3"/>
      <c r="M150" s="3"/>
      <c r="N150" s="3"/>
      <c r="O150" s="3"/>
      <c r="P150" s="3"/>
      <c r="Q150" s="3"/>
    </row>
    <row r="151" spans="1:17" ht="15">
      <c r="A151" s="8"/>
      <c r="B151" s="8"/>
      <c r="C151" s="8"/>
      <c r="D151" s="8"/>
      <c r="E151" s="8"/>
      <c r="F151" s="8"/>
      <c r="G151" s="8"/>
      <c r="H151" s="8"/>
      <c r="I151" s="8"/>
      <c r="J151" s="8"/>
      <c r="K151" s="3"/>
      <c r="L151" s="3"/>
      <c r="M151" s="3"/>
      <c r="N151" s="3"/>
      <c r="O151" s="3"/>
      <c r="P151" s="3"/>
      <c r="Q151" s="3"/>
    </row>
    <row r="152" spans="1:17" ht="15">
      <c r="A152" s="8"/>
      <c r="B152" s="8"/>
      <c r="C152" s="8"/>
      <c r="D152" s="8"/>
      <c r="E152" s="8"/>
      <c r="F152" s="8"/>
      <c r="G152" s="8"/>
      <c r="H152" s="8"/>
      <c r="I152" s="8"/>
      <c r="J152" s="8"/>
      <c r="K152" s="3"/>
      <c r="L152" s="3"/>
      <c r="M152" s="3"/>
      <c r="N152" s="3"/>
      <c r="O152" s="3"/>
      <c r="P152" s="3"/>
      <c r="Q152" s="3"/>
    </row>
    <row r="153" spans="1:17" ht="15">
      <c r="A153" s="8"/>
      <c r="B153" s="8"/>
      <c r="C153" s="8"/>
      <c r="D153" s="8"/>
      <c r="E153" s="8"/>
      <c r="F153" s="8"/>
      <c r="G153" s="8"/>
      <c r="H153" s="8"/>
      <c r="I153" s="8"/>
      <c r="J153" s="8"/>
      <c r="K153" s="3"/>
      <c r="L153" s="3"/>
      <c r="M153" s="3"/>
      <c r="N153" s="3"/>
      <c r="O153" s="3"/>
      <c r="P153" s="3"/>
      <c r="Q153" s="3"/>
    </row>
    <row r="154" spans="1:17" ht="15">
      <c r="A154" s="8"/>
      <c r="B154" s="8"/>
      <c r="C154" s="8"/>
      <c r="D154" s="8"/>
      <c r="E154" s="8"/>
      <c r="F154" s="8"/>
      <c r="G154" s="8"/>
      <c r="H154" s="8"/>
      <c r="I154" s="8"/>
      <c r="J154" s="8"/>
      <c r="K154" s="3"/>
      <c r="L154" s="3"/>
      <c r="M154" s="3"/>
      <c r="N154" s="3"/>
      <c r="O154" s="3"/>
      <c r="P154" s="3"/>
      <c r="Q154" s="3"/>
    </row>
    <row r="155" spans="1:17" ht="15">
      <c r="A155" s="8"/>
      <c r="B155" s="8"/>
      <c r="C155" s="8"/>
      <c r="D155" s="8"/>
      <c r="E155" s="8"/>
      <c r="F155" s="8"/>
      <c r="G155" s="8"/>
      <c r="H155" s="8"/>
      <c r="I155" s="8"/>
      <c r="J155" s="8"/>
      <c r="K155" s="3"/>
      <c r="L155" s="3"/>
      <c r="M155" s="3"/>
      <c r="N155" s="3"/>
      <c r="O155" s="3"/>
      <c r="P155" s="3"/>
      <c r="Q155" s="3"/>
    </row>
    <row r="156" spans="1:17" ht="15">
      <c r="A156" s="8"/>
      <c r="B156" s="8"/>
      <c r="C156" s="8"/>
      <c r="D156" s="8"/>
      <c r="E156" s="8"/>
      <c r="F156" s="8"/>
      <c r="G156" s="8"/>
      <c r="H156" s="8"/>
      <c r="I156" s="8"/>
      <c r="J156" s="8"/>
      <c r="K156" s="3"/>
      <c r="L156" s="3"/>
      <c r="M156" s="3"/>
      <c r="N156" s="3"/>
      <c r="O156" s="3"/>
      <c r="P156" s="3"/>
      <c r="Q156" s="3"/>
    </row>
    <row r="157" spans="1:17" ht="15">
      <c r="A157" s="8"/>
      <c r="B157" s="8"/>
      <c r="C157" s="8"/>
      <c r="D157" s="8"/>
      <c r="E157" s="8"/>
      <c r="F157" s="8"/>
      <c r="G157" s="8"/>
      <c r="H157" s="8"/>
      <c r="I157" s="8"/>
      <c r="J157" s="8"/>
      <c r="K157" s="3"/>
      <c r="L157" s="3"/>
      <c r="M157" s="3"/>
      <c r="N157" s="3"/>
      <c r="O157" s="3"/>
      <c r="P157" s="3"/>
      <c r="Q157" s="3"/>
    </row>
    <row r="158" spans="1:17" ht="15">
      <c r="A158" s="8"/>
      <c r="B158" s="8"/>
      <c r="C158" s="8"/>
      <c r="D158" s="8"/>
      <c r="E158" s="8"/>
      <c r="F158" s="8"/>
      <c r="G158" s="8"/>
      <c r="H158" s="8"/>
      <c r="I158" s="8"/>
      <c r="J158" s="8"/>
      <c r="K158" s="3"/>
      <c r="L158" s="3"/>
      <c r="M158" s="3"/>
      <c r="N158" s="3"/>
      <c r="O158" s="3"/>
      <c r="P158" s="3"/>
      <c r="Q158" s="3"/>
    </row>
    <row r="159" spans="1:17" ht="15">
      <c r="A159" s="8"/>
      <c r="B159" s="8"/>
      <c r="C159" s="8"/>
      <c r="D159" s="8"/>
      <c r="E159" s="8"/>
      <c r="F159" s="8"/>
      <c r="G159" s="8"/>
      <c r="H159" s="8"/>
      <c r="I159" s="8"/>
      <c r="J159" s="8"/>
      <c r="K159" s="3"/>
      <c r="L159" s="3"/>
      <c r="M159" s="3"/>
      <c r="N159" s="3"/>
      <c r="O159" s="3"/>
      <c r="P159" s="3"/>
      <c r="Q159" s="3"/>
    </row>
    <row r="160" spans="1:17" ht="15">
      <c r="A160" s="8"/>
      <c r="B160" s="8"/>
      <c r="C160" s="8"/>
      <c r="D160" s="8"/>
      <c r="E160" s="8"/>
      <c r="F160" s="8"/>
      <c r="G160" s="8"/>
      <c r="H160" s="8"/>
      <c r="I160" s="8"/>
      <c r="J160" s="8"/>
      <c r="K160" s="3"/>
      <c r="L160" s="3"/>
      <c r="M160" s="3"/>
      <c r="N160" s="3"/>
      <c r="O160" s="3"/>
      <c r="P160" s="3"/>
      <c r="Q160" s="3"/>
    </row>
    <row r="161" spans="1:17" ht="15">
      <c r="A161" s="8"/>
      <c r="B161" s="8"/>
      <c r="C161" s="8"/>
      <c r="D161" s="8"/>
      <c r="E161" s="8"/>
      <c r="F161" s="8"/>
      <c r="G161" s="8"/>
      <c r="H161" s="8"/>
      <c r="I161" s="8"/>
      <c r="J161" s="8"/>
      <c r="K161" s="3"/>
      <c r="L161" s="3"/>
      <c r="M161" s="3"/>
      <c r="N161" s="3"/>
      <c r="O161" s="3"/>
      <c r="P161" s="3"/>
      <c r="Q161" s="3"/>
    </row>
    <row r="162" spans="1:17" ht="15">
      <c r="A162" s="8"/>
      <c r="B162" s="8"/>
      <c r="C162" s="8"/>
      <c r="D162" s="8"/>
      <c r="E162" s="8"/>
      <c r="F162" s="8"/>
      <c r="G162" s="8"/>
      <c r="H162" s="8"/>
      <c r="I162" s="8"/>
      <c r="J162" s="8"/>
      <c r="K162" s="3"/>
      <c r="L162" s="3"/>
      <c r="M162" s="3"/>
      <c r="N162" s="3"/>
      <c r="O162" s="3"/>
      <c r="P162" s="3"/>
      <c r="Q162" s="3"/>
    </row>
    <row r="163" spans="1:17" ht="15">
      <c r="A163" s="8"/>
      <c r="B163" s="8"/>
      <c r="C163" s="8"/>
      <c r="D163" s="8"/>
      <c r="E163" s="8"/>
      <c r="F163" s="8"/>
      <c r="G163" s="8"/>
      <c r="H163" s="8"/>
      <c r="I163" s="8"/>
      <c r="J163" s="8"/>
      <c r="K163" s="3"/>
      <c r="L163" s="3"/>
      <c r="M163" s="3"/>
      <c r="N163" s="3"/>
      <c r="O163" s="3"/>
      <c r="P163" s="3"/>
      <c r="Q163" s="3"/>
    </row>
    <row r="164" spans="1:17" ht="15">
      <c r="A164" s="8"/>
      <c r="B164" s="8"/>
      <c r="C164" s="8"/>
      <c r="D164" s="8"/>
      <c r="E164" s="8"/>
      <c r="F164" s="8"/>
      <c r="G164" s="8"/>
      <c r="H164" s="8"/>
      <c r="I164" s="8"/>
      <c r="J164" s="8"/>
      <c r="K164" s="3"/>
      <c r="L164" s="3"/>
      <c r="M164" s="3"/>
      <c r="N164" s="3"/>
      <c r="O164" s="3"/>
      <c r="P164" s="3"/>
      <c r="Q164" s="3"/>
    </row>
    <row r="165" spans="1:17" ht="15">
      <c r="A165" s="8"/>
      <c r="B165" s="8"/>
      <c r="C165" s="8"/>
      <c r="D165" s="8"/>
      <c r="E165" s="8"/>
      <c r="F165" s="8"/>
      <c r="G165" s="8"/>
      <c r="H165" s="8"/>
      <c r="I165" s="8"/>
      <c r="J165" s="8"/>
      <c r="K165" s="3"/>
      <c r="L165" s="3"/>
      <c r="M165" s="3"/>
      <c r="N165" s="3"/>
      <c r="O165" s="3"/>
      <c r="P165" s="3"/>
      <c r="Q165" s="3"/>
    </row>
    <row r="166" spans="1:17" ht="15">
      <c r="A166" s="8"/>
      <c r="B166" s="8"/>
      <c r="C166" s="8"/>
      <c r="D166" s="8"/>
      <c r="E166" s="8"/>
      <c r="F166" s="8"/>
      <c r="G166" s="8"/>
      <c r="H166" s="8"/>
      <c r="I166" s="8"/>
      <c r="J166" s="8"/>
      <c r="K166" s="3"/>
      <c r="L166" s="3"/>
      <c r="M166" s="3"/>
      <c r="N166" s="3"/>
      <c r="O166" s="3"/>
      <c r="P166" s="3"/>
      <c r="Q166" s="3"/>
    </row>
    <row r="167" spans="1:17" ht="15">
      <c r="A167" s="8"/>
      <c r="B167" s="8"/>
      <c r="C167" s="8"/>
      <c r="D167" s="8"/>
      <c r="E167" s="8"/>
      <c r="F167" s="8"/>
      <c r="G167" s="8"/>
      <c r="H167" s="8"/>
      <c r="I167" s="8"/>
      <c r="J167" s="8"/>
      <c r="K167" s="3"/>
      <c r="L167" s="3"/>
      <c r="M167" s="3"/>
      <c r="N167" s="3"/>
      <c r="O167" s="3"/>
      <c r="P167" s="3"/>
      <c r="Q167" s="3"/>
    </row>
    <row r="168" spans="1:17" ht="15">
      <c r="A168" s="8"/>
      <c r="B168" s="8"/>
      <c r="C168" s="8"/>
      <c r="D168" s="8"/>
      <c r="E168" s="8"/>
      <c r="F168" s="8"/>
      <c r="G168" s="8"/>
      <c r="H168" s="8"/>
      <c r="I168" s="8"/>
      <c r="J168" s="8"/>
      <c r="K168" s="3"/>
      <c r="L168" s="3"/>
      <c r="M168" s="3"/>
      <c r="N168" s="3"/>
      <c r="O168" s="3"/>
      <c r="P168" s="3"/>
      <c r="Q168" s="3"/>
    </row>
    <row r="169" spans="1:17" ht="15">
      <c r="A169" s="8"/>
      <c r="B169" s="8"/>
      <c r="C169" s="8"/>
      <c r="D169" s="8"/>
      <c r="E169" s="8"/>
      <c r="F169" s="8"/>
      <c r="G169" s="8"/>
      <c r="H169" s="8"/>
      <c r="I169" s="8"/>
      <c r="J169" s="8"/>
      <c r="K169" s="3"/>
      <c r="L169" s="3"/>
      <c r="M169" s="3"/>
      <c r="N169" s="3"/>
      <c r="O169" s="3"/>
      <c r="P169" s="3"/>
      <c r="Q169" s="3"/>
    </row>
    <row r="170" spans="1:17" ht="15">
      <c r="A170" s="8"/>
      <c r="B170" s="8"/>
      <c r="C170" s="8"/>
      <c r="D170" s="8"/>
      <c r="E170" s="8"/>
      <c r="F170" s="8"/>
      <c r="G170" s="8"/>
      <c r="H170" s="8"/>
      <c r="I170" s="8"/>
      <c r="J170" s="8"/>
      <c r="K170" s="3"/>
      <c r="L170" s="3"/>
      <c r="M170" s="3"/>
      <c r="N170" s="3"/>
      <c r="O170" s="3"/>
      <c r="P170" s="3"/>
      <c r="Q170" s="3"/>
    </row>
    <row r="171" spans="1:17" ht="15">
      <c r="A171" s="8"/>
      <c r="B171" s="8"/>
      <c r="C171" s="8"/>
      <c r="D171" s="8"/>
      <c r="E171" s="8"/>
      <c r="F171" s="8"/>
      <c r="G171" s="8"/>
      <c r="H171" s="8"/>
      <c r="I171" s="8"/>
      <c r="J171" s="8"/>
      <c r="K171" s="3"/>
      <c r="L171" s="3"/>
      <c r="M171" s="3"/>
      <c r="N171" s="3"/>
      <c r="O171" s="3"/>
      <c r="P171" s="3"/>
      <c r="Q171" s="3"/>
    </row>
    <row r="172" spans="1:17" ht="15">
      <c r="A172" s="8"/>
      <c r="B172" s="8"/>
      <c r="C172" s="8"/>
      <c r="D172" s="8"/>
      <c r="E172" s="8"/>
      <c r="F172" s="8"/>
      <c r="G172" s="8"/>
      <c r="H172" s="8"/>
      <c r="I172" s="8"/>
      <c r="J172" s="8"/>
      <c r="K172" s="3"/>
      <c r="L172" s="3"/>
      <c r="M172" s="3"/>
      <c r="N172" s="3"/>
      <c r="O172" s="3"/>
      <c r="P172" s="3"/>
      <c r="Q172" s="3"/>
    </row>
    <row r="173" spans="1:17" ht="15">
      <c r="A173" s="8"/>
      <c r="B173" s="8"/>
      <c r="C173" s="8"/>
      <c r="D173" s="8"/>
      <c r="E173" s="8"/>
      <c r="F173" s="8"/>
      <c r="G173" s="8"/>
      <c r="H173" s="8"/>
      <c r="I173" s="8"/>
      <c r="J173" s="8"/>
      <c r="K173" s="3"/>
      <c r="L173" s="3"/>
      <c r="M173" s="3"/>
      <c r="N173" s="3"/>
      <c r="O173" s="3"/>
      <c r="P173" s="3"/>
      <c r="Q173" s="3"/>
    </row>
    <row r="174" spans="1:17" ht="15">
      <c r="A174" s="8"/>
      <c r="B174" s="8"/>
      <c r="C174" s="8"/>
      <c r="D174" s="8"/>
      <c r="E174" s="8"/>
      <c r="F174" s="8"/>
      <c r="G174" s="8"/>
      <c r="H174" s="8"/>
      <c r="I174" s="8"/>
      <c r="J174" s="8"/>
      <c r="K174" s="3"/>
      <c r="L174" s="3"/>
      <c r="M174" s="3"/>
      <c r="N174" s="3"/>
      <c r="O174" s="3"/>
      <c r="P174" s="3"/>
      <c r="Q174" s="3"/>
    </row>
    <row r="175" spans="1:17" ht="15">
      <c r="A175" s="8"/>
      <c r="B175" s="8"/>
      <c r="C175" s="8"/>
      <c r="D175" s="8"/>
      <c r="E175" s="8"/>
      <c r="F175" s="8"/>
      <c r="G175" s="8"/>
      <c r="H175" s="8"/>
      <c r="I175" s="8"/>
      <c r="J175" s="8"/>
      <c r="K175" s="3"/>
      <c r="L175" s="3"/>
      <c r="M175" s="3"/>
      <c r="N175" s="3"/>
      <c r="O175" s="3"/>
      <c r="P175" s="3"/>
      <c r="Q175" s="3"/>
    </row>
    <row r="176" spans="1:17" ht="15">
      <c r="A176" s="8"/>
      <c r="B176" s="8"/>
      <c r="C176" s="8"/>
      <c r="D176" s="8"/>
      <c r="E176" s="8"/>
      <c r="F176" s="8"/>
      <c r="G176" s="8"/>
      <c r="H176" s="8"/>
      <c r="I176" s="8"/>
      <c r="J176" s="8"/>
      <c r="K176" s="3"/>
      <c r="L176" s="3"/>
      <c r="M176" s="3"/>
      <c r="N176" s="3"/>
      <c r="O176" s="3"/>
      <c r="P176" s="3"/>
      <c r="Q176" s="3"/>
    </row>
    <row r="177" spans="1:17" ht="15">
      <c r="A177" s="8"/>
      <c r="B177" s="8"/>
      <c r="C177" s="8"/>
      <c r="D177" s="8"/>
      <c r="E177" s="8"/>
      <c r="F177" s="8"/>
      <c r="G177" s="8"/>
      <c r="H177" s="8"/>
      <c r="I177" s="8"/>
      <c r="J177" s="8"/>
      <c r="K177" s="3"/>
      <c r="L177" s="3"/>
      <c r="M177" s="3"/>
      <c r="N177" s="3"/>
      <c r="O177" s="3"/>
      <c r="P177" s="3"/>
      <c r="Q177" s="3"/>
    </row>
    <row r="178" spans="1:17" ht="15">
      <c r="A178" s="8"/>
      <c r="B178" s="8"/>
      <c r="C178" s="8"/>
      <c r="D178" s="8"/>
      <c r="E178" s="8"/>
      <c r="F178" s="8"/>
      <c r="G178" s="8"/>
      <c r="H178" s="8"/>
      <c r="I178" s="8"/>
      <c r="J178" s="8"/>
      <c r="K178" s="3"/>
      <c r="L178" s="3"/>
      <c r="M178" s="3"/>
      <c r="N178" s="3"/>
      <c r="O178" s="3"/>
      <c r="P178" s="3"/>
      <c r="Q178" s="3"/>
    </row>
    <row r="179" spans="1:17" ht="15">
      <c r="A179" s="8"/>
      <c r="B179" s="8"/>
      <c r="C179" s="8"/>
      <c r="D179" s="8"/>
      <c r="E179" s="8"/>
      <c r="F179" s="8"/>
      <c r="G179" s="8"/>
      <c r="H179" s="8"/>
      <c r="I179" s="8"/>
      <c r="J179" s="8"/>
      <c r="K179" s="3"/>
      <c r="L179" s="3"/>
      <c r="M179" s="3"/>
      <c r="N179" s="3"/>
      <c r="O179" s="3"/>
      <c r="P179" s="3"/>
      <c r="Q179" s="3"/>
    </row>
    <row r="180" spans="1:17" ht="15">
      <c r="A180" s="8"/>
      <c r="B180" s="8"/>
      <c r="C180" s="8"/>
      <c r="D180" s="8"/>
      <c r="E180" s="8"/>
      <c r="F180" s="8"/>
      <c r="G180" s="8"/>
      <c r="H180" s="8"/>
      <c r="I180" s="8"/>
      <c r="J180" s="8"/>
      <c r="K180" s="3"/>
      <c r="L180" s="3"/>
      <c r="M180" s="3"/>
      <c r="N180" s="3"/>
      <c r="O180" s="3"/>
      <c r="P180" s="3"/>
      <c r="Q180" s="3"/>
    </row>
    <row r="181" spans="1:17" ht="15">
      <c r="A181" s="8"/>
      <c r="B181" s="8"/>
      <c r="C181" s="8"/>
      <c r="D181" s="8"/>
      <c r="E181" s="8"/>
      <c r="F181" s="8"/>
      <c r="G181" s="8"/>
      <c r="H181" s="8"/>
      <c r="I181" s="8"/>
      <c r="J181" s="8"/>
      <c r="K181" s="3"/>
      <c r="L181" s="3"/>
      <c r="M181" s="3"/>
      <c r="N181" s="3"/>
      <c r="O181" s="3"/>
      <c r="P181" s="3"/>
      <c r="Q181" s="3"/>
    </row>
    <row r="182" spans="1:17" ht="15">
      <c r="A182" s="8"/>
      <c r="B182" s="8"/>
      <c r="C182" s="8"/>
      <c r="D182" s="8"/>
      <c r="E182" s="8"/>
      <c r="F182" s="8"/>
      <c r="G182" s="8"/>
      <c r="H182" s="8"/>
      <c r="I182" s="8"/>
      <c r="J182" s="8"/>
      <c r="K182" s="3"/>
      <c r="L182" s="3"/>
      <c r="M182" s="3"/>
      <c r="N182" s="3"/>
      <c r="O182" s="3"/>
      <c r="P182" s="3"/>
      <c r="Q182" s="3"/>
    </row>
    <row r="183" spans="1:17" ht="15">
      <c r="A183" s="8"/>
      <c r="B183" s="8"/>
      <c r="C183" s="8"/>
      <c r="D183" s="8"/>
      <c r="E183" s="8"/>
      <c r="F183" s="8"/>
      <c r="G183" s="8"/>
      <c r="H183" s="8"/>
      <c r="I183" s="8"/>
      <c r="J183" s="8"/>
      <c r="K183" s="3"/>
      <c r="L183" s="3"/>
      <c r="M183" s="3"/>
      <c r="N183" s="3"/>
      <c r="O183" s="3"/>
      <c r="P183" s="3"/>
      <c r="Q183" s="3"/>
    </row>
    <row r="184" spans="1:17" ht="15">
      <c r="A184" s="8"/>
      <c r="B184" s="8"/>
      <c r="C184" s="8"/>
      <c r="D184" s="8"/>
      <c r="E184" s="8"/>
      <c r="F184" s="8"/>
      <c r="G184" s="8"/>
      <c r="H184" s="8"/>
      <c r="I184" s="8"/>
      <c r="J184" s="8"/>
      <c r="K184" s="3"/>
      <c r="L184" s="3"/>
      <c r="M184" s="3"/>
      <c r="N184" s="3"/>
      <c r="O184" s="3"/>
      <c r="P184" s="3"/>
      <c r="Q184" s="3"/>
    </row>
    <row r="185" spans="1:17" ht="15">
      <c r="A185" s="8"/>
      <c r="B185" s="8"/>
      <c r="C185" s="8"/>
      <c r="D185" s="8"/>
      <c r="E185" s="8"/>
      <c r="F185" s="8"/>
      <c r="G185" s="8"/>
      <c r="H185" s="8"/>
      <c r="I185" s="8"/>
      <c r="J185" s="8"/>
      <c r="K185" s="3"/>
      <c r="L185" s="3"/>
      <c r="M185" s="3"/>
      <c r="N185" s="3"/>
      <c r="O185" s="3"/>
      <c r="P185" s="3"/>
      <c r="Q185" s="3"/>
    </row>
    <row r="186" spans="1:17" ht="15">
      <c r="A186" s="8"/>
      <c r="B186" s="8"/>
      <c r="C186" s="8"/>
      <c r="D186" s="8"/>
      <c r="E186" s="8"/>
      <c r="F186" s="8"/>
      <c r="G186" s="8"/>
      <c r="H186" s="8"/>
      <c r="I186" s="8"/>
      <c r="J186" s="8"/>
      <c r="K186" s="3"/>
      <c r="L186" s="3"/>
      <c r="M186" s="3"/>
      <c r="N186" s="3"/>
      <c r="O186" s="3"/>
      <c r="P186" s="3"/>
      <c r="Q186" s="3"/>
    </row>
    <row r="187" spans="1:17" ht="15">
      <c r="A187" s="8"/>
      <c r="B187" s="8"/>
      <c r="C187" s="8"/>
      <c r="D187" s="8"/>
      <c r="E187" s="8"/>
      <c r="F187" s="8"/>
      <c r="G187" s="8"/>
      <c r="H187" s="8"/>
      <c r="I187" s="8"/>
      <c r="J187" s="8"/>
      <c r="K187" s="3"/>
      <c r="L187" s="3"/>
      <c r="M187" s="3"/>
      <c r="N187" s="3"/>
      <c r="O187" s="3"/>
      <c r="P187" s="3"/>
      <c r="Q187" s="3"/>
    </row>
    <row r="188" spans="1:17" ht="15">
      <c r="A188" s="8"/>
      <c r="B188" s="8"/>
      <c r="C188" s="8"/>
      <c r="D188" s="8"/>
      <c r="E188" s="8"/>
      <c r="F188" s="8"/>
      <c r="G188" s="8"/>
      <c r="H188" s="8"/>
      <c r="I188" s="8"/>
      <c r="J188" s="8"/>
      <c r="K188" s="3"/>
      <c r="L188" s="3"/>
      <c r="M188" s="3"/>
      <c r="N188" s="3"/>
      <c r="O188" s="3"/>
      <c r="P188" s="3"/>
      <c r="Q188" s="3"/>
    </row>
    <row r="189" spans="1:17" ht="15">
      <c r="A189" s="8"/>
      <c r="B189" s="8"/>
      <c r="C189" s="8"/>
      <c r="D189" s="8"/>
      <c r="E189" s="8"/>
      <c r="F189" s="8"/>
      <c r="G189" s="8"/>
      <c r="H189" s="8"/>
      <c r="I189" s="8"/>
      <c r="J189" s="8"/>
      <c r="K189" s="3"/>
      <c r="L189" s="3"/>
      <c r="M189" s="3"/>
      <c r="N189" s="3"/>
      <c r="O189" s="3"/>
      <c r="P189" s="3"/>
      <c r="Q189" s="3"/>
    </row>
    <row r="190" spans="1:17" ht="15">
      <c r="A190" s="8"/>
      <c r="B190" s="8"/>
      <c r="C190" s="8"/>
      <c r="D190" s="8"/>
      <c r="E190" s="8"/>
      <c r="F190" s="8"/>
      <c r="G190" s="8"/>
      <c r="H190" s="8"/>
      <c r="I190" s="8"/>
      <c r="J190" s="8"/>
      <c r="K190" s="3"/>
      <c r="L190" s="3"/>
      <c r="M190" s="3"/>
      <c r="N190" s="3"/>
      <c r="O190" s="3"/>
      <c r="P190" s="3"/>
      <c r="Q190" s="3"/>
    </row>
    <row r="191" spans="1:17" ht="15">
      <c r="A191" s="8"/>
      <c r="B191" s="8"/>
      <c r="C191" s="8"/>
      <c r="D191" s="8"/>
      <c r="E191" s="8"/>
      <c r="F191" s="8"/>
      <c r="G191" s="8"/>
      <c r="H191" s="8"/>
      <c r="I191" s="8"/>
      <c r="J191" s="8"/>
      <c r="K191" s="3"/>
      <c r="L191" s="3"/>
      <c r="M191" s="3"/>
      <c r="N191" s="3"/>
      <c r="O191" s="3"/>
      <c r="P191" s="3"/>
      <c r="Q191" s="3"/>
    </row>
    <row r="192" spans="1:17" ht="15">
      <c r="A192" s="8"/>
      <c r="B192" s="8"/>
      <c r="C192" s="8"/>
      <c r="D192" s="8"/>
      <c r="E192" s="8"/>
      <c r="F192" s="8"/>
      <c r="G192" s="8"/>
      <c r="H192" s="8"/>
      <c r="I192" s="8"/>
      <c r="J192" s="8"/>
      <c r="K192" s="3"/>
      <c r="L192" s="3"/>
      <c r="M192" s="3"/>
      <c r="N192" s="3"/>
      <c r="O192" s="3"/>
      <c r="P192" s="3"/>
      <c r="Q192" s="3"/>
    </row>
    <row r="193" spans="1:17" ht="15">
      <c r="A193" s="8"/>
      <c r="B193" s="8"/>
      <c r="C193" s="8"/>
      <c r="D193" s="8"/>
      <c r="E193" s="8"/>
      <c r="F193" s="8"/>
      <c r="G193" s="8"/>
      <c r="H193" s="8"/>
      <c r="I193" s="8"/>
      <c r="J193" s="8"/>
      <c r="K193" s="3"/>
      <c r="L193" s="3"/>
      <c r="M193" s="3"/>
      <c r="N193" s="3"/>
      <c r="O193" s="3"/>
      <c r="P193" s="3"/>
      <c r="Q193" s="3"/>
    </row>
    <row r="194" spans="1:17" ht="15">
      <c r="A194" s="8"/>
      <c r="B194" s="8"/>
      <c r="C194" s="8"/>
      <c r="D194" s="8"/>
      <c r="E194" s="8"/>
      <c r="F194" s="8"/>
      <c r="G194" s="8"/>
      <c r="H194" s="8"/>
      <c r="I194" s="8"/>
      <c r="J194" s="8"/>
      <c r="K194" s="3"/>
      <c r="L194" s="3"/>
      <c r="M194" s="3"/>
      <c r="N194" s="3"/>
      <c r="O194" s="3"/>
      <c r="P194" s="3"/>
      <c r="Q194" s="3"/>
    </row>
    <row r="195" spans="1:17" ht="15">
      <c r="A195" s="8"/>
      <c r="B195" s="8"/>
      <c r="C195" s="8"/>
      <c r="D195" s="8"/>
      <c r="E195" s="8"/>
      <c r="F195" s="8"/>
      <c r="G195" s="8"/>
      <c r="H195" s="8"/>
      <c r="I195" s="8"/>
      <c r="J195" s="8"/>
      <c r="K195" s="3"/>
      <c r="L195" s="3"/>
      <c r="M195" s="3"/>
      <c r="N195" s="3"/>
      <c r="O195" s="3"/>
      <c r="P195" s="3"/>
      <c r="Q195" s="3"/>
    </row>
    <row r="196" spans="1:17" ht="15">
      <c r="A196" s="8"/>
      <c r="B196" s="8"/>
      <c r="C196" s="8"/>
      <c r="D196" s="8"/>
      <c r="E196" s="8"/>
      <c r="F196" s="8"/>
      <c r="G196" s="8"/>
      <c r="H196" s="8"/>
      <c r="I196" s="8"/>
      <c r="J196" s="8"/>
      <c r="K196" s="3"/>
      <c r="L196" s="3"/>
      <c r="M196" s="3"/>
      <c r="N196" s="3"/>
      <c r="O196" s="3"/>
      <c r="P196" s="3"/>
      <c r="Q196" s="3"/>
    </row>
    <row r="197" spans="1:17" ht="15">
      <c r="A197" s="8"/>
      <c r="B197" s="8"/>
      <c r="C197" s="8"/>
      <c r="D197" s="8"/>
      <c r="E197" s="8"/>
      <c r="F197" s="8"/>
      <c r="G197" s="8"/>
      <c r="H197" s="8"/>
      <c r="I197" s="8"/>
      <c r="J197" s="8"/>
      <c r="K197" s="3"/>
      <c r="L197" s="3"/>
      <c r="M197" s="3"/>
      <c r="N197" s="3"/>
      <c r="O197" s="3"/>
      <c r="P197" s="3"/>
      <c r="Q197" s="3"/>
    </row>
    <row r="198" spans="1:17" ht="15">
      <c r="A198" s="8"/>
      <c r="B198" s="8"/>
      <c r="C198" s="8"/>
      <c r="D198" s="8"/>
      <c r="E198" s="8"/>
      <c r="F198" s="8"/>
      <c r="G198" s="8"/>
      <c r="H198" s="8"/>
      <c r="I198" s="8"/>
      <c r="J198" s="8"/>
      <c r="K198" s="3"/>
      <c r="L198" s="3"/>
      <c r="M198" s="3"/>
      <c r="N198" s="3"/>
      <c r="O198" s="3"/>
      <c r="P198" s="3"/>
      <c r="Q198" s="3"/>
    </row>
    <row r="199" spans="1:17" ht="15">
      <c r="A199" s="8"/>
      <c r="B199" s="8"/>
      <c r="C199" s="8"/>
      <c r="D199" s="8"/>
      <c r="E199" s="8"/>
      <c r="F199" s="8"/>
      <c r="G199" s="8"/>
      <c r="H199" s="8"/>
      <c r="I199" s="8"/>
      <c r="J199" s="8"/>
      <c r="K199" s="3"/>
      <c r="L199" s="3"/>
      <c r="M199" s="3"/>
      <c r="N199" s="3"/>
      <c r="O199" s="3"/>
      <c r="P199" s="3"/>
      <c r="Q199" s="3"/>
    </row>
    <row r="200" spans="1:17" ht="15">
      <c r="A200" s="8"/>
      <c r="B200" s="8"/>
      <c r="C200" s="8"/>
      <c r="D200" s="8"/>
      <c r="E200" s="8"/>
      <c r="F200" s="8"/>
      <c r="G200" s="8"/>
      <c r="H200" s="8"/>
      <c r="I200" s="8"/>
      <c r="J200" s="8"/>
      <c r="K200" s="3"/>
      <c r="L200" s="3"/>
      <c r="M200" s="3"/>
      <c r="N200" s="3"/>
      <c r="O200" s="3"/>
      <c r="P200" s="3"/>
      <c r="Q200" s="3"/>
    </row>
    <row r="201" spans="1:17" ht="15">
      <c r="A201" s="8"/>
      <c r="B201" s="8"/>
      <c r="C201" s="8"/>
      <c r="D201" s="8"/>
      <c r="E201" s="8"/>
      <c r="F201" s="8"/>
      <c r="G201" s="8"/>
      <c r="H201" s="8"/>
      <c r="I201" s="8"/>
      <c r="J201" s="8"/>
      <c r="K201" s="3"/>
      <c r="L201" s="3"/>
      <c r="M201" s="3"/>
      <c r="N201" s="3"/>
      <c r="O201" s="3"/>
      <c r="P201" s="3"/>
      <c r="Q201" s="3"/>
    </row>
    <row r="202" spans="1:17" ht="15">
      <c r="A202" s="8"/>
      <c r="B202" s="8"/>
      <c r="C202" s="8"/>
      <c r="D202" s="8"/>
      <c r="E202" s="8"/>
      <c r="F202" s="8"/>
      <c r="G202" s="8"/>
      <c r="H202" s="8"/>
      <c r="I202" s="8"/>
      <c r="J202" s="8"/>
      <c r="K202" s="3"/>
      <c r="L202" s="3"/>
      <c r="M202" s="3"/>
      <c r="N202" s="3"/>
      <c r="O202" s="3"/>
      <c r="P202" s="3"/>
      <c r="Q202" s="3"/>
    </row>
    <row r="203" spans="1:17" ht="15">
      <c r="A203" s="8"/>
      <c r="B203" s="8"/>
      <c r="C203" s="8"/>
      <c r="D203" s="8"/>
      <c r="E203" s="8"/>
      <c r="F203" s="8"/>
      <c r="G203" s="8"/>
      <c r="H203" s="8"/>
      <c r="I203" s="8"/>
      <c r="J203" s="8"/>
      <c r="K203" s="3"/>
      <c r="L203" s="3"/>
      <c r="M203" s="3"/>
      <c r="N203" s="3"/>
      <c r="O203" s="3"/>
      <c r="P203" s="3"/>
      <c r="Q203" s="3"/>
    </row>
    <row r="204" spans="1:17" ht="15">
      <c r="A204" s="8"/>
      <c r="B204" s="8"/>
      <c r="C204" s="8"/>
      <c r="D204" s="8"/>
      <c r="E204" s="8"/>
      <c r="F204" s="8"/>
      <c r="G204" s="8"/>
      <c r="H204" s="8"/>
      <c r="I204" s="8"/>
      <c r="J204" s="8"/>
      <c r="K204" s="3"/>
      <c r="L204" s="3"/>
      <c r="M204" s="3"/>
      <c r="N204" s="3"/>
      <c r="O204" s="3"/>
      <c r="P204" s="3"/>
      <c r="Q204" s="3"/>
    </row>
    <row r="205" spans="1:17" ht="15">
      <c r="A205" s="8"/>
      <c r="B205" s="8"/>
      <c r="C205" s="8"/>
      <c r="D205" s="8"/>
      <c r="E205" s="8"/>
      <c r="F205" s="8"/>
      <c r="G205" s="8"/>
      <c r="H205" s="8"/>
      <c r="I205" s="8"/>
      <c r="J205" s="8"/>
      <c r="K205" s="3"/>
      <c r="L205" s="3"/>
      <c r="M205" s="3"/>
      <c r="N205" s="3"/>
      <c r="O205" s="3"/>
      <c r="P205" s="3"/>
      <c r="Q205" s="3"/>
    </row>
    <row r="206" spans="1:17" ht="15">
      <c r="A206" s="8"/>
      <c r="B206" s="8"/>
      <c r="C206" s="8"/>
      <c r="D206" s="8"/>
      <c r="E206" s="8"/>
      <c r="F206" s="8"/>
      <c r="G206" s="8"/>
      <c r="H206" s="8"/>
      <c r="I206" s="8"/>
      <c r="J206" s="8"/>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J1"/>
    <mergeCell ref="A2:J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xr:uid="{00000000-0002-0000-0E00-000000000000}">
          <x14:formula1>
            <xm:f>_LISTS!$J$2:$J$4</xm:f>
          </x14:formula1>
          <xm:sqref>F7:F206</xm:sqref>
        </x14:dataValidation>
        <x14:dataValidation type="list" xr:uid="{00000000-0002-0000-0E00-000001000000}">
          <x14:formula1>
            <xm:f>_LISTS!$I$2:$I$4</xm:f>
          </x14:formula1>
          <xm:sqref>G7:G206</xm:sqref>
        </x14:dataValidation>
        <x14:dataValidation type="list" xr:uid="{00000000-0002-0000-0E00-000002000000}">
          <x14:formula1>
            <xm:f>_LISTS!$G$2:$G$5</xm:f>
          </x14:formula1>
          <xm:sqref>I7:I206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250"/>
  <sheetViews>
    <sheetView workbookViewId="0"/>
  </sheetViews>
  <sheetFormatPr defaultRowHeight="14.25"/>
  <cols>
    <col min="1" max="1" width="12" customWidth="1"/>
    <col min="2" max="2" width="26" customWidth="1"/>
    <col min="3" max="3" width="22" customWidth="1"/>
    <col min="4" max="4" width="44" customWidth="1"/>
    <col min="5" max="5" width="18" customWidth="1"/>
    <col min="6" max="6" width="14" customWidth="1"/>
    <col min="7" max="7" width="18" customWidth="1"/>
    <col min="8" max="8" width="44" customWidth="1"/>
  </cols>
  <sheetData>
    <row r="1" spans="1:17" ht="24" customHeight="1">
      <c r="A1" s="32" t="s">
        <v>889</v>
      </c>
      <c r="B1" s="33"/>
      <c r="C1" s="33"/>
      <c r="D1" s="33"/>
      <c r="E1" s="33"/>
      <c r="F1" s="33"/>
      <c r="G1" s="33"/>
      <c r="H1" s="33"/>
      <c r="I1" s="21"/>
      <c r="J1" s="21"/>
      <c r="K1" s="21"/>
      <c r="L1" s="3"/>
      <c r="M1" s="3"/>
      <c r="N1" s="3"/>
      <c r="O1" s="3"/>
      <c r="P1" s="3"/>
      <c r="Q1" s="3"/>
    </row>
    <row r="2" spans="1:17" ht="33.950000000000003" customHeight="1">
      <c r="A2" s="34" t="s">
        <v>890</v>
      </c>
      <c r="B2" s="35"/>
      <c r="C2" s="35"/>
      <c r="D2" s="35"/>
      <c r="E2" s="35"/>
      <c r="F2" s="35"/>
      <c r="G2" s="35"/>
      <c r="H2" s="35"/>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891</v>
      </c>
      <c r="B6" s="4" t="s">
        <v>892</v>
      </c>
      <c r="C6" s="4" t="s">
        <v>893</v>
      </c>
      <c r="D6" s="23" t="s">
        <v>894</v>
      </c>
      <c r="E6" s="4" t="s">
        <v>895</v>
      </c>
      <c r="F6" s="4" t="s">
        <v>896</v>
      </c>
      <c r="G6" s="4" t="s">
        <v>897</v>
      </c>
      <c r="H6" s="4" t="s">
        <v>358</v>
      </c>
      <c r="I6" s="3"/>
      <c r="J6" s="3"/>
      <c r="K6" s="3"/>
      <c r="L6" s="3"/>
      <c r="M6" s="3"/>
      <c r="N6" s="3"/>
      <c r="O6" s="3"/>
      <c r="P6" s="3"/>
      <c r="Q6" s="3"/>
    </row>
    <row r="7" spans="1:17" ht="15">
      <c r="A7" s="7" t="s">
        <v>898</v>
      </c>
      <c r="B7" s="7" t="s">
        <v>899</v>
      </c>
      <c r="C7" s="7" t="s">
        <v>900</v>
      </c>
      <c r="D7" s="7">
        <f>COUNTA(DATA_PROPERTY_MASTER!A7:A206)</f>
        <v>17</v>
      </c>
      <c r="E7" s="7">
        <f>COUNTA(DATA_PROPERTY_MASTER!A7:A206)</f>
        <v>17</v>
      </c>
      <c r="F7" s="8" t="s">
        <v>566</v>
      </c>
      <c r="G7" s="8" t="s">
        <v>901</v>
      </c>
      <c r="H7" s="8" t="s">
        <v>567</v>
      </c>
      <c r="I7" s="3"/>
      <c r="J7" s="3"/>
      <c r="K7" s="3"/>
      <c r="L7" s="3"/>
      <c r="M7" s="3"/>
      <c r="N7" s="3"/>
      <c r="O7" s="3"/>
      <c r="P7" s="3"/>
      <c r="Q7" s="3"/>
    </row>
    <row r="8" spans="1:17" ht="15">
      <c r="A8" s="7" t="s">
        <v>902</v>
      </c>
      <c r="B8" s="7" t="s">
        <v>903</v>
      </c>
      <c r="C8" s="7" t="s">
        <v>900</v>
      </c>
      <c r="D8" s="7">
        <f>COUNTIF(DATA_PROPERTY_MASTER!E7:E206,"Yes")</f>
        <v>16</v>
      </c>
      <c r="E8" s="7">
        <f>COUNTIF(DATA_PROPERTY_MASTER!E7:E206,"Yes")</f>
        <v>16</v>
      </c>
      <c r="F8" s="8" t="s">
        <v>566</v>
      </c>
      <c r="G8" s="8" t="s">
        <v>901</v>
      </c>
      <c r="H8" s="8" t="s">
        <v>904</v>
      </c>
      <c r="I8" s="3"/>
      <c r="J8" s="3"/>
      <c r="K8" s="3"/>
      <c r="L8" s="3"/>
      <c r="M8" s="3"/>
      <c r="N8" s="3"/>
      <c r="O8" s="3"/>
      <c r="P8" s="3"/>
      <c r="Q8" s="3"/>
    </row>
    <row r="9" spans="1:17" ht="15">
      <c r="A9" s="7" t="s">
        <v>905</v>
      </c>
      <c r="B9" s="7" t="s">
        <v>906</v>
      </c>
      <c r="C9" s="7" t="s">
        <v>900</v>
      </c>
      <c r="D9" s="7">
        <f>COUNTIFS(DATA_PROPERTY_MASTER!D7:D206,"Active",DATA_PROPERTY_MASTER!E7:E206,"Yes")</f>
        <v>12</v>
      </c>
      <c r="E9" s="7">
        <f>COUNTIFS(DATA_PROPERTY_MASTER!D7:D206,"Active",DATA_PROPERTY_MASTER!E7:E206,"Yes")</f>
        <v>12</v>
      </c>
      <c r="F9" s="8" t="s">
        <v>566</v>
      </c>
      <c r="G9" s="8" t="s">
        <v>901</v>
      </c>
      <c r="H9" s="8" t="s">
        <v>907</v>
      </c>
      <c r="I9" s="3"/>
      <c r="J9" s="3"/>
      <c r="K9" s="3"/>
      <c r="L9" s="3"/>
      <c r="M9" s="3"/>
      <c r="N9" s="3"/>
      <c r="O9" s="3"/>
      <c r="P9" s="3"/>
      <c r="Q9" s="3"/>
    </row>
    <row r="10" spans="1:17" ht="15">
      <c r="A10" s="7" t="s">
        <v>908</v>
      </c>
      <c r="B10" s="7" t="s">
        <v>909</v>
      </c>
      <c r="C10" s="7" t="s">
        <v>900</v>
      </c>
      <c r="D10" s="7">
        <f>COUNTIFS(DATA_PROPERTY_MASTER!D7:D206,"New Dev",DATA_PROPERTY_MASTER!E7:E206,"Yes")</f>
        <v>4</v>
      </c>
      <c r="E10" s="7">
        <f>COUNTIFS(DATA_PROPERTY_MASTER!D7:D206,"New Dev",DATA_PROPERTY_MASTER!E7:E206,"Yes")</f>
        <v>4</v>
      </c>
      <c r="F10" s="8" t="s">
        <v>566</v>
      </c>
      <c r="G10" s="8" t="s">
        <v>901</v>
      </c>
      <c r="H10" s="8" t="s">
        <v>910</v>
      </c>
      <c r="I10" s="3"/>
      <c r="J10" s="3"/>
      <c r="K10" s="3"/>
      <c r="L10" s="3"/>
      <c r="M10" s="3"/>
      <c r="N10" s="3"/>
      <c r="O10" s="3"/>
      <c r="P10" s="3"/>
      <c r="Q10" s="3"/>
    </row>
    <row r="11" spans="1:17" ht="15">
      <c r="A11" s="7" t="s">
        <v>911</v>
      </c>
      <c r="B11" s="7" t="s">
        <v>912</v>
      </c>
      <c r="C11" s="7" t="s">
        <v>900</v>
      </c>
      <c r="D11" s="7">
        <f>SUMIFS(DATA_PROPERTY_MASTER!I7:I206,DATA_PROPERTY_MASTER!E7:E206,"Yes")</f>
        <v>1076</v>
      </c>
      <c r="E11" s="7">
        <f>SUMIFS(DATA_PROPERTY_MASTER!I7:I206,DATA_PROPERTY_MASTER!E7:E206,"Yes")</f>
        <v>1076</v>
      </c>
      <c r="F11" s="8" t="s">
        <v>582</v>
      </c>
      <c r="G11" s="8" t="s">
        <v>913</v>
      </c>
      <c r="H11" s="8" t="s">
        <v>914</v>
      </c>
      <c r="I11" s="3"/>
      <c r="J11" s="3"/>
      <c r="K11" s="3"/>
      <c r="L11" s="3"/>
      <c r="M11" s="3"/>
      <c r="N11" s="3"/>
      <c r="O11" s="3"/>
      <c r="P11" s="3"/>
      <c r="Q11" s="3"/>
    </row>
    <row r="12" spans="1:17" ht="15">
      <c r="A12" s="7" t="s">
        <v>915</v>
      </c>
      <c r="B12" s="7" t="s">
        <v>916</v>
      </c>
      <c r="C12" s="7" t="s">
        <v>917</v>
      </c>
      <c r="D12" s="7">
        <f>COUNTIF(DATA_PROPERTY_MASTER!K7:K206,"Yes")</f>
        <v>2</v>
      </c>
      <c r="E12" s="7">
        <f>COUNTIF(DATA_PROPERTY_MASTER!K7:K206,"Yes")</f>
        <v>2</v>
      </c>
      <c r="F12" s="8" t="s">
        <v>582</v>
      </c>
      <c r="G12" s="8" t="s">
        <v>901</v>
      </c>
      <c r="H12" s="8" t="s">
        <v>918</v>
      </c>
      <c r="I12" s="3"/>
      <c r="J12" s="3"/>
      <c r="K12" s="3"/>
      <c r="L12" s="3"/>
      <c r="M12" s="3"/>
      <c r="N12" s="3"/>
      <c r="O12" s="3"/>
      <c r="P12" s="3"/>
      <c r="Q12" s="3"/>
    </row>
    <row r="13" spans="1:17" ht="15">
      <c r="A13" s="7" t="s">
        <v>919</v>
      </c>
      <c r="B13" s="7" t="s">
        <v>920</v>
      </c>
      <c r="C13" s="7" t="s">
        <v>917</v>
      </c>
      <c r="D13" s="7">
        <f>COUNTA(STG_SOURCE_INTAKE!A5:A206)</f>
        <v>5</v>
      </c>
      <c r="E13" s="7">
        <f>COUNTA(STG_SOURCE_INTAKE!A5:A206)</f>
        <v>5</v>
      </c>
      <c r="F13" s="8" t="s">
        <v>566</v>
      </c>
      <c r="G13" s="8" t="s">
        <v>901</v>
      </c>
      <c r="H13" s="8" t="s">
        <v>921</v>
      </c>
      <c r="I13" s="3"/>
      <c r="J13" s="3"/>
      <c r="K13" s="3"/>
      <c r="L13" s="3"/>
      <c r="M13" s="3"/>
      <c r="N13" s="3"/>
      <c r="O13" s="3"/>
      <c r="P13" s="3"/>
      <c r="Q13" s="3"/>
    </row>
    <row r="14" spans="1:17" ht="15">
      <c r="A14" s="7" t="s">
        <v>922</v>
      </c>
      <c r="B14" s="7" t="s">
        <v>923</v>
      </c>
      <c r="C14" s="7" t="s">
        <v>917</v>
      </c>
      <c r="D14" s="7">
        <f>COUNTIF(ASSUMPTIONS_FLAGS!I7:I206,"Open")</f>
        <v>4</v>
      </c>
      <c r="E14" s="7">
        <f>COUNTIF(ASSUMPTIONS_FLAGS!I7:I206,"Open")</f>
        <v>4</v>
      </c>
      <c r="F14" s="8" t="s">
        <v>582</v>
      </c>
      <c r="G14" s="8" t="s">
        <v>901</v>
      </c>
      <c r="H14" s="8" t="s">
        <v>924</v>
      </c>
      <c r="I14" s="3"/>
      <c r="J14" s="3"/>
      <c r="K14" s="3"/>
      <c r="L14" s="3"/>
      <c r="M14" s="3"/>
      <c r="N14" s="3"/>
      <c r="O14" s="3"/>
      <c r="P14" s="3"/>
      <c r="Q14" s="3"/>
    </row>
    <row r="15" spans="1:17" ht="15">
      <c r="A15" s="7" t="s">
        <v>925</v>
      </c>
      <c r="B15" s="7" t="s">
        <v>760</v>
      </c>
      <c r="C15" s="7" t="s">
        <v>926</v>
      </c>
      <c r="D15" s="7">
        <f>SUMIFS(DATA_OPERATING_ACTUALS!J7:J306,DATA_OPERATING_ACTUALS!I7:I306,"Revenue")</f>
        <v>17600000</v>
      </c>
      <c r="E15" s="13">
        <f>SUMIFS(DATA_OPERATING_ACTUALS!J7:J306,DATA_OPERATING_ACTUALS!I7:I306,"Revenue")</f>
        <v>17600000</v>
      </c>
      <c r="F15" s="8" t="s">
        <v>566</v>
      </c>
      <c r="G15" s="8" t="s">
        <v>901</v>
      </c>
      <c r="H15" s="8" t="s">
        <v>927</v>
      </c>
      <c r="I15" s="3"/>
      <c r="J15" s="3"/>
      <c r="K15" s="3"/>
      <c r="L15" s="3"/>
      <c r="M15" s="3"/>
      <c r="N15" s="3"/>
      <c r="O15" s="3"/>
      <c r="P15" s="3"/>
      <c r="Q15" s="3"/>
    </row>
    <row r="16" spans="1:17" ht="15">
      <c r="A16" s="7" t="s">
        <v>928</v>
      </c>
      <c r="B16" s="7" t="s">
        <v>929</v>
      </c>
      <c r="C16" s="7" t="s">
        <v>926</v>
      </c>
      <c r="D16" s="7">
        <f>SUMIFS(DATA_OPERATING_ACTUALS!J7:J306,DATA_OPERATING_ACTUALS!I7:I306,"Operating Expense")</f>
        <v>8300000</v>
      </c>
      <c r="E16" s="13">
        <f>SUMIFS(DATA_OPERATING_ACTUALS!J7:J306,DATA_OPERATING_ACTUALS!I7:I306,"Operating Expense")</f>
        <v>8300000</v>
      </c>
      <c r="F16" s="8" t="s">
        <v>566</v>
      </c>
      <c r="G16" s="8" t="s">
        <v>901</v>
      </c>
      <c r="H16" s="8" t="s">
        <v>930</v>
      </c>
      <c r="I16" s="3"/>
      <c r="J16" s="3"/>
      <c r="K16" s="3"/>
      <c r="L16" s="3"/>
      <c r="M16" s="3"/>
      <c r="N16" s="3"/>
      <c r="O16" s="3"/>
      <c r="P16" s="3"/>
      <c r="Q16" s="3"/>
    </row>
    <row r="17" spans="1:17" ht="15">
      <c r="A17" s="7" t="s">
        <v>931</v>
      </c>
      <c r="B17" s="7" t="s">
        <v>932</v>
      </c>
      <c r="C17" s="7" t="s">
        <v>926</v>
      </c>
      <c r="D17" s="7">
        <f>E15-E16</f>
        <v>9300000</v>
      </c>
      <c r="E17" s="13">
        <f>E15-E16</f>
        <v>9300000</v>
      </c>
      <c r="F17" s="8" t="s">
        <v>566</v>
      </c>
      <c r="G17" s="8" t="s">
        <v>901</v>
      </c>
      <c r="H17" s="8" t="s">
        <v>933</v>
      </c>
      <c r="I17" s="3"/>
      <c r="J17" s="3"/>
      <c r="K17" s="3"/>
      <c r="L17" s="3"/>
      <c r="M17" s="3"/>
      <c r="N17" s="3"/>
      <c r="O17" s="3"/>
      <c r="P17" s="3"/>
      <c r="Q17" s="3"/>
    </row>
    <row r="18" spans="1:17" ht="15">
      <c r="A18" s="7" t="s">
        <v>934</v>
      </c>
      <c r="B18" s="7" t="s">
        <v>935</v>
      </c>
      <c r="C18" s="7" t="s">
        <v>926</v>
      </c>
      <c r="D18" s="7">
        <f>SUMIFS(DATA_DEBT_MASTER!M7:M206,DATA_DEBT_MASTER!D7:D206,"Yes")</f>
        <v>14749710.91</v>
      </c>
      <c r="E18" s="13">
        <f>SUMIFS(DATA_DEBT_MASTER!M7:M206,DATA_DEBT_MASTER!D7:D206,"Yes")</f>
        <v>14749710.91</v>
      </c>
      <c r="F18" s="8" t="s">
        <v>566</v>
      </c>
      <c r="G18" s="8" t="s">
        <v>901</v>
      </c>
      <c r="H18" s="8" t="s">
        <v>936</v>
      </c>
      <c r="I18" s="3"/>
      <c r="J18" s="3"/>
      <c r="K18" s="3"/>
      <c r="L18" s="3"/>
      <c r="M18" s="3"/>
      <c r="N18" s="3"/>
      <c r="O18" s="3"/>
      <c r="P18" s="3"/>
      <c r="Q18" s="3"/>
    </row>
    <row r="19" spans="1:17" ht="15">
      <c r="A19" s="7" t="s">
        <v>937</v>
      </c>
      <c r="B19" s="7" t="s">
        <v>938</v>
      </c>
      <c r="C19" s="7" t="s">
        <v>926</v>
      </c>
      <c r="D19" s="7">
        <f>E17-E18</f>
        <v>-5449710.9100000001</v>
      </c>
      <c r="E19" s="13">
        <f>E17-E18</f>
        <v>-5449710.9100000001</v>
      </c>
      <c r="F19" s="8" t="s">
        <v>566</v>
      </c>
      <c r="G19" s="8" t="s">
        <v>901</v>
      </c>
      <c r="H19" s="8" t="s">
        <v>939</v>
      </c>
      <c r="I19" s="3"/>
      <c r="J19" s="3"/>
      <c r="K19" s="3"/>
      <c r="L19" s="3"/>
      <c r="M19" s="3"/>
      <c r="N19" s="3"/>
      <c r="O19" s="3"/>
      <c r="P19" s="3"/>
      <c r="Q19" s="3"/>
    </row>
    <row r="20" spans="1:17" ht="15">
      <c r="A20" s="7" t="s">
        <v>940</v>
      </c>
      <c r="B20" s="7" t="s">
        <v>941</v>
      </c>
      <c r="C20" s="7" t="s">
        <v>926</v>
      </c>
      <c r="D20" s="7">
        <f>IFERROR(E17/E18,"")</f>
        <v>0.63052083235711365</v>
      </c>
      <c r="E20" s="17">
        <f>IFERROR(E17/E18,"")</f>
        <v>0.63052083235711365</v>
      </c>
      <c r="F20" s="8" t="s">
        <v>582</v>
      </c>
      <c r="G20" s="8" t="s">
        <v>901</v>
      </c>
      <c r="H20" s="8" t="s">
        <v>942</v>
      </c>
      <c r="I20" s="3"/>
      <c r="J20" s="3"/>
      <c r="K20" s="3"/>
      <c r="L20" s="3"/>
      <c r="M20" s="3"/>
      <c r="N20" s="3"/>
      <c r="O20" s="3"/>
      <c r="P20" s="3"/>
      <c r="Q20" s="3"/>
    </row>
    <row r="21" spans="1:17" ht="15">
      <c r="A21" s="7" t="s">
        <v>943</v>
      </c>
      <c r="B21" s="7" t="s">
        <v>944</v>
      </c>
      <c r="C21" s="7" t="s">
        <v>945</v>
      </c>
      <c r="D21" s="7">
        <f>SUM(DATA_UNIT_MIX!I7:I206)</f>
        <v>75</v>
      </c>
      <c r="E21" s="7">
        <f>SUM(DATA_UNIT_MIX!I7:I206)</f>
        <v>75</v>
      </c>
      <c r="F21" s="8" t="s">
        <v>589</v>
      </c>
      <c r="G21" s="8" t="s">
        <v>946</v>
      </c>
      <c r="H21" s="8" t="s">
        <v>947</v>
      </c>
      <c r="I21" s="3"/>
      <c r="J21" s="3"/>
      <c r="K21" s="3"/>
      <c r="L21" s="3"/>
      <c r="M21" s="3"/>
      <c r="N21" s="3"/>
      <c r="O21" s="3"/>
      <c r="P21" s="3"/>
      <c r="Q21" s="3"/>
    </row>
    <row r="22" spans="1:17" ht="15">
      <c r="A22" s="7" t="s">
        <v>948</v>
      </c>
      <c r="B22" s="7" t="s">
        <v>949</v>
      </c>
      <c r="C22" s="7" t="s">
        <v>945</v>
      </c>
      <c r="D22" s="7">
        <f>SUM(DATA_UNIT_MIX!J7:J206)</f>
        <v>33</v>
      </c>
      <c r="E22" s="7">
        <f>SUM(DATA_UNIT_MIX!J7:J206)</f>
        <v>33</v>
      </c>
      <c r="F22" s="8" t="s">
        <v>589</v>
      </c>
      <c r="G22" s="8" t="s">
        <v>946</v>
      </c>
      <c r="H22" s="8" t="s">
        <v>950</v>
      </c>
      <c r="I22" s="3"/>
      <c r="J22" s="3"/>
      <c r="K22" s="3"/>
      <c r="L22" s="3"/>
      <c r="M22" s="3"/>
      <c r="N22" s="3"/>
      <c r="O22" s="3"/>
      <c r="P22" s="3"/>
      <c r="Q22" s="3"/>
    </row>
    <row r="23" spans="1:17" ht="15">
      <c r="A23" s="7" t="s">
        <v>951</v>
      </c>
      <c r="B23" s="7" t="s">
        <v>952</v>
      </c>
      <c r="C23" s="7" t="s">
        <v>953</v>
      </c>
      <c r="D23" s="7" t="str">
        <f>IF(COUNTA(DATA_AGREEMENTS!A7:A206)=0,"Not reviewed","Partial / reviewed")</f>
        <v>Not reviewed</v>
      </c>
      <c r="E23" s="7" t="str">
        <f>IF(COUNTA(DATA_AGREEMENTS!A7:A206)=0,"Not reviewed","Partial / reviewed")</f>
        <v>Not reviewed</v>
      </c>
      <c r="F23" s="8" t="s">
        <v>582</v>
      </c>
      <c r="G23" s="8" t="s">
        <v>901</v>
      </c>
      <c r="H23" s="8" t="s">
        <v>954</v>
      </c>
      <c r="I23" s="3"/>
      <c r="J23" s="3"/>
      <c r="K23" s="3"/>
      <c r="L23" s="3"/>
      <c r="M23" s="3"/>
      <c r="N23" s="3"/>
      <c r="O23" s="3"/>
      <c r="P23" s="3"/>
      <c r="Q23" s="3"/>
    </row>
    <row r="24" spans="1:17" ht="15">
      <c r="A24" s="7" t="s">
        <v>955</v>
      </c>
      <c r="B24" s="7" t="s">
        <v>956</v>
      </c>
      <c r="C24" s="7" t="s">
        <v>957</v>
      </c>
      <c r="D24" s="7" t="str">
        <f>IF(COUNTA(DATA_CAPITAL_NEEDS!A7:A206)=0,"Not reviewed","Partial / reviewed")</f>
        <v>Partial / reviewed</v>
      </c>
      <c r="E24" s="7" t="str">
        <f>IF(COUNTA(DATA_CAPITAL_NEEDS!A7:A206)=0,"Not reviewed","Partial / reviewed")</f>
        <v>Partial / reviewed</v>
      </c>
      <c r="F24" s="8" t="s">
        <v>582</v>
      </c>
      <c r="G24" s="8" t="s">
        <v>901</v>
      </c>
      <c r="H24" s="8" t="s">
        <v>954</v>
      </c>
      <c r="I24" s="3"/>
      <c r="J24" s="3"/>
      <c r="K24" s="3"/>
      <c r="L24" s="3"/>
      <c r="M24" s="3"/>
      <c r="N24" s="3"/>
      <c r="O24" s="3"/>
      <c r="P24" s="3"/>
      <c r="Q24" s="3"/>
    </row>
    <row r="25" spans="1:17" ht="15">
      <c r="A25" s="11"/>
      <c r="B25" s="11"/>
      <c r="C25" s="11"/>
      <c r="D25" s="11"/>
      <c r="E25" s="11"/>
      <c r="F25" s="11"/>
      <c r="G25" s="11"/>
      <c r="H25" s="11"/>
      <c r="I25" s="3"/>
      <c r="J25" s="3"/>
      <c r="K25" s="3"/>
      <c r="L25" s="3"/>
      <c r="M25" s="3"/>
      <c r="N25" s="3"/>
      <c r="O25" s="3"/>
      <c r="P25" s="3"/>
      <c r="Q25" s="3"/>
    </row>
    <row r="26" spans="1:17" ht="15">
      <c r="A26" s="11"/>
      <c r="B26" s="11"/>
      <c r="C26" s="11"/>
      <c r="D26" s="11"/>
      <c r="E26" s="11"/>
      <c r="F26" s="11"/>
      <c r="G26" s="11"/>
      <c r="H26" s="11"/>
      <c r="I26" s="3"/>
      <c r="J26" s="3"/>
      <c r="K26" s="3"/>
      <c r="L26" s="3"/>
      <c r="M26" s="3"/>
      <c r="N26" s="3"/>
      <c r="O26" s="3"/>
      <c r="P26" s="3"/>
      <c r="Q26" s="3"/>
    </row>
    <row r="27" spans="1:17" ht="15">
      <c r="A27" s="11"/>
      <c r="B27" s="11"/>
      <c r="C27" s="11"/>
      <c r="D27" s="11"/>
      <c r="E27" s="11"/>
      <c r="F27" s="11"/>
      <c r="G27" s="11"/>
      <c r="H27" s="11"/>
      <c r="I27" s="3"/>
      <c r="J27" s="3"/>
      <c r="K27" s="3"/>
      <c r="L27" s="3"/>
      <c r="M27" s="3"/>
      <c r="N27" s="3"/>
      <c r="O27" s="3"/>
      <c r="P27" s="3"/>
      <c r="Q27" s="3"/>
    </row>
    <row r="28" spans="1:17" ht="15">
      <c r="A28" s="11"/>
      <c r="B28" s="11"/>
      <c r="C28" s="11"/>
      <c r="D28" s="11"/>
      <c r="E28" s="11"/>
      <c r="F28" s="11"/>
      <c r="G28" s="11"/>
      <c r="H28" s="11"/>
      <c r="I28" s="3"/>
      <c r="J28" s="3"/>
      <c r="K28" s="3"/>
      <c r="L28" s="3"/>
      <c r="M28" s="3"/>
      <c r="N28" s="3"/>
      <c r="O28" s="3"/>
      <c r="P28" s="3"/>
      <c r="Q28" s="3"/>
    </row>
    <row r="29" spans="1:17" ht="15">
      <c r="A29" s="11"/>
      <c r="B29" s="11"/>
      <c r="C29" s="11"/>
      <c r="D29" s="11"/>
      <c r="E29" s="11"/>
      <c r="F29" s="11"/>
      <c r="G29" s="11"/>
      <c r="H29" s="11"/>
      <c r="I29" s="3"/>
      <c r="J29" s="3"/>
      <c r="K29" s="3"/>
      <c r="L29" s="3"/>
      <c r="M29" s="3"/>
      <c r="N29" s="3"/>
      <c r="O29" s="3"/>
      <c r="P29" s="3"/>
      <c r="Q29" s="3"/>
    </row>
    <row r="30" spans="1:17" ht="15">
      <c r="A30" s="11"/>
      <c r="B30" s="11"/>
      <c r="C30" s="11"/>
      <c r="D30" s="11"/>
      <c r="E30" s="11"/>
      <c r="F30" s="11"/>
      <c r="G30" s="11"/>
      <c r="H30" s="11"/>
      <c r="I30" s="3"/>
      <c r="J30" s="3"/>
      <c r="K30" s="3"/>
      <c r="L30" s="3"/>
      <c r="M30" s="3"/>
      <c r="N30" s="3"/>
      <c r="O30" s="3"/>
      <c r="P30" s="3"/>
      <c r="Q30" s="3"/>
    </row>
    <row r="31" spans="1:17" ht="15">
      <c r="A31" s="11"/>
      <c r="B31" s="11"/>
      <c r="C31" s="11"/>
      <c r="D31" s="11"/>
      <c r="E31" s="11"/>
      <c r="F31" s="11"/>
      <c r="G31" s="11"/>
      <c r="H31" s="11"/>
      <c r="I31" s="3"/>
      <c r="J31" s="3"/>
      <c r="K31" s="3"/>
      <c r="L31" s="3"/>
      <c r="M31" s="3"/>
      <c r="N31" s="3"/>
      <c r="O31" s="3"/>
      <c r="P31" s="3"/>
      <c r="Q31" s="3"/>
    </row>
    <row r="32" spans="1:17" ht="15">
      <c r="A32" s="11"/>
      <c r="B32" s="11"/>
      <c r="C32" s="11"/>
      <c r="D32" s="11"/>
      <c r="E32" s="11"/>
      <c r="F32" s="11"/>
      <c r="G32" s="11"/>
      <c r="H32" s="11"/>
      <c r="I32" s="3"/>
      <c r="J32" s="3"/>
      <c r="K32" s="3"/>
      <c r="L32" s="3"/>
      <c r="M32" s="3"/>
      <c r="N32" s="3"/>
      <c r="O32" s="3"/>
      <c r="P32" s="3"/>
      <c r="Q32" s="3"/>
    </row>
    <row r="33" spans="1:17" ht="15">
      <c r="A33" s="11"/>
      <c r="B33" s="11"/>
      <c r="C33" s="11"/>
      <c r="D33" s="11"/>
      <c r="E33" s="11"/>
      <c r="F33" s="11"/>
      <c r="G33" s="11"/>
      <c r="H33" s="11"/>
      <c r="I33" s="3"/>
      <c r="J33" s="3"/>
      <c r="K33" s="3"/>
      <c r="L33" s="3"/>
      <c r="M33" s="3"/>
      <c r="N33" s="3"/>
      <c r="O33" s="3"/>
      <c r="P33" s="3"/>
      <c r="Q33" s="3"/>
    </row>
    <row r="34" spans="1:17" ht="15">
      <c r="A34" s="11"/>
      <c r="B34" s="11"/>
      <c r="C34" s="11"/>
      <c r="D34" s="11"/>
      <c r="E34" s="11"/>
      <c r="F34" s="11"/>
      <c r="G34" s="11"/>
      <c r="H34" s="11"/>
      <c r="I34" s="3"/>
      <c r="J34" s="3"/>
      <c r="K34" s="3"/>
      <c r="L34" s="3"/>
      <c r="M34" s="3"/>
      <c r="N34" s="3"/>
      <c r="O34" s="3"/>
      <c r="P34" s="3"/>
      <c r="Q34" s="3"/>
    </row>
    <row r="35" spans="1:17" ht="15">
      <c r="A35" s="11"/>
      <c r="B35" s="11"/>
      <c r="C35" s="11"/>
      <c r="D35" s="11"/>
      <c r="E35" s="11"/>
      <c r="F35" s="11"/>
      <c r="G35" s="11"/>
      <c r="H35" s="11"/>
      <c r="I35" s="3"/>
      <c r="J35" s="3"/>
      <c r="K35" s="3"/>
      <c r="L35" s="3"/>
      <c r="M35" s="3"/>
      <c r="N35" s="3"/>
      <c r="O35" s="3"/>
      <c r="P35" s="3"/>
      <c r="Q35" s="3"/>
    </row>
    <row r="36" spans="1:17" ht="15">
      <c r="A36" s="11"/>
      <c r="B36" s="11"/>
      <c r="C36" s="11"/>
      <c r="D36" s="11"/>
      <c r="E36" s="11"/>
      <c r="F36" s="11"/>
      <c r="G36" s="11"/>
      <c r="H36" s="11"/>
      <c r="I36" s="3"/>
      <c r="J36" s="3"/>
      <c r="K36" s="3"/>
      <c r="L36" s="3"/>
      <c r="M36" s="3"/>
      <c r="N36" s="3"/>
      <c r="O36" s="3"/>
      <c r="P36" s="3"/>
      <c r="Q36" s="3"/>
    </row>
    <row r="37" spans="1:17" ht="15">
      <c r="A37" s="11"/>
      <c r="B37" s="11"/>
      <c r="C37" s="11"/>
      <c r="D37" s="11"/>
      <c r="E37" s="11"/>
      <c r="F37" s="11"/>
      <c r="G37" s="11"/>
      <c r="H37" s="11"/>
      <c r="I37" s="3"/>
      <c r="J37" s="3"/>
      <c r="K37" s="3"/>
      <c r="L37" s="3"/>
      <c r="M37" s="3"/>
      <c r="N37" s="3"/>
      <c r="O37" s="3"/>
      <c r="P37" s="3"/>
      <c r="Q37" s="3"/>
    </row>
    <row r="38" spans="1:17" ht="15">
      <c r="A38" s="11"/>
      <c r="B38" s="11"/>
      <c r="C38" s="11"/>
      <c r="D38" s="11"/>
      <c r="E38" s="11"/>
      <c r="F38" s="11"/>
      <c r="G38" s="11"/>
      <c r="H38" s="11"/>
      <c r="I38" s="3"/>
      <c r="J38" s="3"/>
      <c r="K38" s="3"/>
      <c r="L38" s="3"/>
      <c r="M38" s="3"/>
      <c r="N38" s="3"/>
      <c r="O38" s="3"/>
      <c r="P38" s="3"/>
      <c r="Q38" s="3"/>
    </row>
    <row r="39" spans="1:17" ht="15">
      <c r="A39" s="11"/>
      <c r="B39" s="11"/>
      <c r="C39" s="11"/>
      <c r="D39" s="11"/>
      <c r="E39" s="11"/>
      <c r="F39" s="11"/>
      <c r="G39" s="11"/>
      <c r="H39" s="11"/>
      <c r="I39" s="3"/>
      <c r="J39" s="3"/>
      <c r="K39" s="3"/>
      <c r="L39" s="3"/>
      <c r="M39" s="3"/>
      <c r="N39" s="3"/>
      <c r="O39" s="3"/>
      <c r="P39" s="3"/>
      <c r="Q39" s="3"/>
    </row>
    <row r="40" spans="1:17" ht="15">
      <c r="A40" s="11"/>
      <c r="B40" s="11"/>
      <c r="C40" s="11"/>
      <c r="D40" s="11"/>
      <c r="E40" s="11"/>
      <c r="F40" s="11"/>
      <c r="G40" s="11"/>
      <c r="H40" s="11"/>
      <c r="I40" s="3"/>
      <c r="J40" s="3"/>
      <c r="K40" s="3"/>
      <c r="L40" s="3"/>
      <c r="M40" s="3"/>
      <c r="N40" s="3"/>
      <c r="O40" s="3"/>
      <c r="P40" s="3"/>
      <c r="Q40" s="3"/>
    </row>
    <row r="41" spans="1:17" ht="15">
      <c r="A41" s="11"/>
      <c r="B41" s="11"/>
      <c r="C41" s="11"/>
      <c r="D41" s="11"/>
      <c r="E41" s="11"/>
      <c r="F41" s="11"/>
      <c r="G41" s="11"/>
      <c r="H41" s="11"/>
      <c r="I41" s="3"/>
      <c r="J41" s="3"/>
      <c r="K41" s="3"/>
      <c r="L41" s="3"/>
      <c r="M41" s="3"/>
      <c r="N41" s="3"/>
      <c r="O41" s="3"/>
      <c r="P41" s="3"/>
      <c r="Q41" s="3"/>
    </row>
    <row r="42" spans="1:17" ht="15">
      <c r="A42" s="11"/>
      <c r="B42" s="11"/>
      <c r="C42" s="11"/>
      <c r="D42" s="11"/>
      <c r="E42" s="11"/>
      <c r="F42" s="11"/>
      <c r="G42" s="11"/>
      <c r="H42" s="11"/>
      <c r="I42" s="3"/>
      <c r="J42" s="3"/>
      <c r="K42" s="3"/>
      <c r="L42" s="3"/>
      <c r="M42" s="3"/>
      <c r="N42" s="3"/>
      <c r="O42" s="3"/>
      <c r="P42" s="3"/>
      <c r="Q42" s="3"/>
    </row>
    <row r="43" spans="1:17" ht="15">
      <c r="A43" s="11"/>
      <c r="B43" s="11"/>
      <c r="C43" s="11"/>
      <c r="D43" s="11"/>
      <c r="E43" s="11"/>
      <c r="F43" s="11"/>
      <c r="G43" s="11"/>
      <c r="H43" s="11"/>
      <c r="I43" s="3"/>
      <c r="J43" s="3"/>
      <c r="K43" s="3"/>
      <c r="L43" s="3"/>
      <c r="M43" s="3"/>
      <c r="N43" s="3"/>
      <c r="O43" s="3"/>
      <c r="P43" s="3"/>
      <c r="Q43" s="3"/>
    </row>
    <row r="44" spans="1:17" ht="15">
      <c r="A44" s="11"/>
      <c r="B44" s="11"/>
      <c r="C44" s="11"/>
      <c r="D44" s="11"/>
      <c r="E44" s="11"/>
      <c r="F44" s="11"/>
      <c r="G44" s="11"/>
      <c r="H44" s="11"/>
      <c r="I44" s="3"/>
      <c r="J44" s="3"/>
      <c r="K44" s="3"/>
      <c r="L44" s="3"/>
      <c r="M44" s="3"/>
      <c r="N44" s="3"/>
      <c r="O44" s="3"/>
      <c r="P44" s="3"/>
      <c r="Q44" s="3"/>
    </row>
    <row r="45" spans="1:17" ht="15">
      <c r="A45" s="11"/>
      <c r="B45" s="11"/>
      <c r="C45" s="11"/>
      <c r="D45" s="11"/>
      <c r="E45" s="11"/>
      <c r="F45" s="11"/>
      <c r="G45" s="11"/>
      <c r="H45" s="11"/>
      <c r="I45" s="3"/>
      <c r="J45" s="3"/>
      <c r="K45" s="3"/>
      <c r="L45" s="3"/>
      <c r="M45" s="3"/>
      <c r="N45" s="3"/>
      <c r="O45" s="3"/>
      <c r="P45" s="3"/>
      <c r="Q45" s="3"/>
    </row>
    <row r="46" spans="1:17" ht="15">
      <c r="A46" s="11"/>
      <c r="B46" s="11"/>
      <c r="C46" s="11"/>
      <c r="D46" s="11"/>
      <c r="E46" s="11"/>
      <c r="F46" s="11"/>
      <c r="G46" s="11"/>
      <c r="H46" s="11"/>
      <c r="I46" s="3"/>
      <c r="J46" s="3"/>
      <c r="K46" s="3"/>
      <c r="L46" s="3"/>
      <c r="M46" s="3"/>
      <c r="N46" s="3"/>
      <c r="O46" s="3"/>
      <c r="P46" s="3"/>
      <c r="Q46" s="3"/>
    </row>
    <row r="47" spans="1:17" ht="15">
      <c r="A47" s="11"/>
      <c r="B47" s="11"/>
      <c r="C47" s="11"/>
      <c r="D47" s="11"/>
      <c r="E47" s="11"/>
      <c r="F47" s="11"/>
      <c r="G47" s="11"/>
      <c r="H47" s="11"/>
      <c r="I47" s="3"/>
      <c r="J47" s="3"/>
      <c r="K47" s="3"/>
      <c r="L47" s="3"/>
      <c r="M47" s="3"/>
      <c r="N47" s="3"/>
      <c r="O47" s="3"/>
      <c r="P47" s="3"/>
      <c r="Q47" s="3"/>
    </row>
    <row r="48" spans="1:17" ht="15">
      <c r="A48" s="11"/>
      <c r="B48" s="11"/>
      <c r="C48" s="11"/>
      <c r="D48" s="11"/>
      <c r="E48" s="11"/>
      <c r="F48" s="11"/>
      <c r="G48" s="11"/>
      <c r="H48" s="11"/>
      <c r="I48" s="3"/>
      <c r="J48" s="3"/>
      <c r="K48" s="3"/>
      <c r="L48" s="3"/>
      <c r="M48" s="3"/>
      <c r="N48" s="3"/>
      <c r="O48" s="3"/>
      <c r="P48" s="3"/>
      <c r="Q48" s="3"/>
    </row>
    <row r="49" spans="1:17" ht="15">
      <c r="A49" s="11"/>
      <c r="B49" s="11"/>
      <c r="C49" s="11"/>
      <c r="D49" s="11"/>
      <c r="E49" s="11"/>
      <c r="F49" s="11"/>
      <c r="G49" s="11"/>
      <c r="H49" s="11"/>
      <c r="I49" s="3"/>
      <c r="J49" s="3"/>
      <c r="K49" s="3"/>
      <c r="L49" s="3"/>
      <c r="M49" s="3"/>
      <c r="N49" s="3"/>
      <c r="O49" s="3"/>
      <c r="P49" s="3"/>
      <c r="Q49" s="3"/>
    </row>
    <row r="50" spans="1:17" ht="15">
      <c r="A50" s="11"/>
      <c r="B50" s="11"/>
      <c r="C50" s="11"/>
      <c r="D50" s="11"/>
      <c r="E50" s="11"/>
      <c r="F50" s="11"/>
      <c r="G50" s="11"/>
      <c r="H50" s="11"/>
      <c r="I50" s="3"/>
      <c r="J50" s="3"/>
      <c r="K50" s="3"/>
      <c r="L50" s="3"/>
      <c r="M50" s="3"/>
      <c r="N50" s="3"/>
      <c r="O50" s="3"/>
      <c r="P50" s="3"/>
      <c r="Q50" s="3"/>
    </row>
    <row r="51" spans="1:17" ht="15">
      <c r="A51" s="11"/>
      <c r="B51" s="11"/>
      <c r="C51" s="11"/>
      <c r="D51" s="11"/>
      <c r="E51" s="11"/>
      <c r="F51" s="11"/>
      <c r="G51" s="11"/>
      <c r="H51" s="11"/>
      <c r="I51" s="3"/>
      <c r="J51" s="3"/>
      <c r="K51" s="3"/>
      <c r="L51" s="3"/>
      <c r="M51" s="3"/>
      <c r="N51" s="3"/>
      <c r="O51" s="3"/>
      <c r="P51" s="3"/>
      <c r="Q51" s="3"/>
    </row>
    <row r="52" spans="1:17" ht="15">
      <c r="A52" s="11"/>
      <c r="B52" s="11"/>
      <c r="C52" s="11"/>
      <c r="D52" s="11"/>
      <c r="E52" s="11"/>
      <c r="F52" s="11"/>
      <c r="G52" s="11"/>
      <c r="H52" s="11"/>
      <c r="I52" s="3"/>
      <c r="J52" s="3"/>
      <c r="K52" s="3"/>
      <c r="L52" s="3"/>
      <c r="M52" s="3"/>
      <c r="N52" s="3"/>
      <c r="O52" s="3"/>
      <c r="P52" s="3"/>
      <c r="Q52" s="3"/>
    </row>
    <row r="53" spans="1:17" ht="15">
      <c r="A53" s="11"/>
      <c r="B53" s="11"/>
      <c r="C53" s="11"/>
      <c r="D53" s="11"/>
      <c r="E53" s="11"/>
      <c r="F53" s="11"/>
      <c r="G53" s="11"/>
      <c r="H53" s="11"/>
      <c r="I53" s="3"/>
      <c r="J53" s="3"/>
      <c r="K53" s="3"/>
      <c r="L53" s="3"/>
      <c r="M53" s="3"/>
      <c r="N53" s="3"/>
      <c r="O53" s="3"/>
      <c r="P53" s="3"/>
      <c r="Q53" s="3"/>
    </row>
    <row r="54" spans="1:17" ht="15">
      <c r="A54" s="11"/>
      <c r="B54" s="11"/>
      <c r="C54" s="11"/>
      <c r="D54" s="11"/>
      <c r="E54" s="11"/>
      <c r="F54" s="11"/>
      <c r="G54" s="11"/>
      <c r="H54" s="11"/>
      <c r="I54" s="3"/>
      <c r="J54" s="3"/>
      <c r="K54" s="3"/>
      <c r="L54" s="3"/>
      <c r="M54" s="3"/>
      <c r="N54" s="3"/>
      <c r="O54" s="3"/>
      <c r="P54" s="3"/>
      <c r="Q54" s="3"/>
    </row>
    <row r="55" spans="1:17" ht="15">
      <c r="A55" s="11"/>
      <c r="B55" s="11"/>
      <c r="C55" s="11"/>
      <c r="D55" s="11"/>
      <c r="E55" s="11"/>
      <c r="F55" s="11"/>
      <c r="G55" s="11"/>
      <c r="H55" s="11"/>
      <c r="I55" s="3"/>
      <c r="J55" s="3"/>
      <c r="K55" s="3"/>
      <c r="L55" s="3"/>
      <c r="M55" s="3"/>
      <c r="N55" s="3"/>
      <c r="O55" s="3"/>
      <c r="P55" s="3"/>
      <c r="Q55" s="3"/>
    </row>
    <row r="56" spans="1:17" ht="15">
      <c r="A56" s="11"/>
      <c r="B56" s="11"/>
      <c r="C56" s="11"/>
      <c r="D56" s="11"/>
      <c r="E56" s="11"/>
      <c r="F56" s="11"/>
      <c r="G56" s="11"/>
      <c r="H56" s="11"/>
      <c r="I56" s="3"/>
      <c r="J56" s="3"/>
      <c r="K56" s="3"/>
      <c r="L56" s="3"/>
      <c r="M56" s="3"/>
      <c r="N56" s="3"/>
      <c r="O56" s="3"/>
      <c r="P56" s="3"/>
      <c r="Q56" s="3"/>
    </row>
    <row r="57" spans="1:17" ht="15">
      <c r="A57" s="11"/>
      <c r="B57" s="11"/>
      <c r="C57" s="11"/>
      <c r="D57" s="11"/>
      <c r="E57" s="11"/>
      <c r="F57" s="11"/>
      <c r="G57" s="11"/>
      <c r="H57" s="11"/>
      <c r="I57" s="3"/>
      <c r="J57" s="3"/>
      <c r="K57" s="3"/>
      <c r="L57" s="3"/>
      <c r="M57" s="3"/>
      <c r="N57" s="3"/>
      <c r="O57" s="3"/>
      <c r="P57" s="3"/>
      <c r="Q57" s="3"/>
    </row>
    <row r="58" spans="1:17" ht="15">
      <c r="A58" s="11"/>
      <c r="B58" s="11"/>
      <c r="C58" s="11"/>
      <c r="D58" s="11"/>
      <c r="E58" s="11"/>
      <c r="F58" s="11"/>
      <c r="G58" s="11"/>
      <c r="H58" s="11"/>
      <c r="I58" s="3"/>
      <c r="J58" s="3"/>
      <c r="K58" s="3"/>
      <c r="L58" s="3"/>
      <c r="M58" s="3"/>
      <c r="N58" s="3"/>
      <c r="O58" s="3"/>
      <c r="P58" s="3"/>
      <c r="Q58" s="3"/>
    </row>
    <row r="59" spans="1:17" ht="15">
      <c r="A59" s="11"/>
      <c r="B59" s="11"/>
      <c r="C59" s="11"/>
      <c r="D59" s="11"/>
      <c r="E59" s="11"/>
      <c r="F59" s="11"/>
      <c r="G59" s="11"/>
      <c r="H59" s="11"/>
      <c r="I59" s="3"/>
      <c r="J59" s="3"/>
      <c r="K59" s="3"/>
      <c r="L59" s="3"/>
      <c r="M59" s="3"/>
      <c r="N59" s="3"/>
      <c r="O59" s="3"/>
      <c r="P59" s="3"/>
      <c r="Q59" s="3"/>
    </row>
    <row r="60" spans="1:17" ht="15">
      <c r="A60" s="11"/>
      <c r="B60" s="11"/>
      <c r="C60" s="11"/>
      <c r="D60" s="11"/>
      <c r="E60" s="11"/>
      <c r="F60" s="11"/>
      <c r="G60" s="11"/>
      <c r="H60" s="11"/>
      <c r="I60" s="3"/>
      <c r="J60" s="3"/>
      <c r="K60" s="3"/>
      <c r="L60" s="3"/>
      <c r="M60" s="3"/>
      <c r="N60" s="3"/>
      <c r="O60" s="3"/>
      <c r="P60" s="3"/>
      <c r="Q60" s="3"/>
    </row>
    <row r="61" spans="1:17" ht="15">
      <c r="A61" s="11"/>
      <c r="B61" s="11"/>
      <c r="C61" s="11"/>
      <c r="D61" s="11"/>
      <c r="E61" s="11"/>
      <c r="F61" s="11"/>
      <c r="G61" s="11"/>
      <c r="H61" s="11"/>
      <c r="I61" s="3"/>
      <c r="J61" s="3"/>
      <c r="K61" s="3"/>
      <c r="L61" s="3"/>
      <c r="M61" s="3"/>
      <c r="N61" s="3"/>
      <c r="O61" s="3"/>
      <c r="P61" s="3"/>
      <c r="Q61" s="3"/>
    </row>
    <row r="62" spans="1:17" ht="15">
      <c r="A62" s="11"/>
      <c r="B62" s="11"/>
      <c r="C62" s="11"/>
      <c r="D62" s="11"/>
      <c r="E62" s="11"/>
      <c r="F62" s="11"/>
      <c r="G62" s="11"/>
      <c r="H62" s="11"/>
      <c r="I62" s="3"/>
      <c r="J62" s="3"/>
      <c r="K62" s="3"/>
      <c r="L62" s="3"/>
      <c r="M62" s="3"/>
      <c r="N62" s="3"/>
      <c r="O62" s="3"/>
      <c r="P62" s="3"/>
      <c r="Q62" s="3"/>
    </row>
    <row r="63" spans="1:17" ht="15">
      <c r="A63" s="11"/>
      <c r="B63" s="11"/>
      <c r="C63" s="11"/>
      <c r="D63" s="11"/>
      <c r="E63" s="11"/>
      <c r="F63" s="11"/>
      <c r="G63" s="11"/>
      <c r="H63" s="11"/>
      <c r="I63" s="3"/>
      <c r="J63" s="3"/>
      <c r="K63" s="3"/>
      <c r="L63" s="3"/>
      <c r="M63" s="3"/>
      <c r="N63" s="3"/>
      <c r="O63" s="3"/>
      <c r="P63" s="3"/>
      <c r="Q63" s="3"/>
    </row>
    <row r="64" spans="1:17" ht="15">
      <c r="A64" s="11"/>
      <c r="B64" s="11"/>
      <c r="C64" s="11"/>
      <c r="D64" s="11"/>
      <c r="E64" s="11"/>
      <c r="F64" s="11"/>
      <c r="G64" s="11"/>
      <c r="H64" s="11"/>
      <c r="I64" s="3"/>
      <c r="J64" s="3"/>
      <c r="K64" s="3"/>
      <c r="L64" s="3"/>
      <c r="M64" s="3"/>
      <c r="N64" s="3"/>
      <c r="O64" s="3"/>
      <c r="P64" s="3"/>
      <c r="Q64" s="3"/>
    </row>
    <row r="65" spans="1:17" ht="15">
      <c r="A65" s="11"/>
      <c r="B65" s="11"/>
      <c r="C65" s="11"/>
      <c r="D65" s="11"/>
      <c r="E65" s="11"/>
      <c r="F65" s="11"/>
      <c r="G65" s="11"/>
      <c r="H65" s="11"/>
      <c r="I65" s="3"/>
      <c r="J65" s="3"/>
      <c r="K65" s="3"/>
      <c r="L65" s="3"/>
      <c r="M65" s="3"/>
      <c r="N65" s="3"/>
      <c r="O65" s="3"/>
      <c r="P65" s="3"/>
      <c r="Q65" s="3"/>
    </row>
    <row r="66" spans="1:17" ht="15">
      <c r="A66" s="11"/>
      <c r="B66" s="11"/>
      <c r="C66" s="11"/>
      <c r="D66" s="11"/>
      <c r="E66" s="11"/>
      <c r="F66" s="11"/>
      <c r="G66" s="11"/>
      <c r="H66" s="11"/>
      <c r="I66" s="3"/>
      <c r="J66" s="3"/>
      <c r="K66" s="3"/>
      <c r="L66" s="3"/>
      <c r="M66" s="3"/>
      <c r="N66" s="3"/>
      <c r="O66" s="3"/>
      <c r="P66" s="3"/>
      <c r="Q66" s="3"/>
    </row>
    <row r="67" spans="1:17" ht="15">
      <c r="A67" s="11"/>
      <c r="B67" s="11"/>
      <c r="C67" s="11"/>
      <c r="D67" s="11"/>
      <c r="E67" s="11"/>
      <c r="F67" s="11"/>
      <c r="G67" s="11"/>
      <c r="H67" s="11"/>
      <c r="I67" s="3"/>
      <c r="J67" s="3"/>
      <c r="K67" s="3"/>
      <c r="L67" s="3"/>
      <c r="M67" s="3"/>
      <c r="N67" s="3"/>
      <c r="O67" s="3"/>
      <c r="P67" s="3"/>
      <c r="Q67" s="3"/>
    </row>
    <row r="68" spans="1:17" ht="15">
      <c r="A68" s="11"/>
      <c r="B68" s="11"/>
      <c r="C68" s="11"/>
      <c r="D68" s="11"/>
      <c r="E68" s="11"/>
      <c r="F68" s="11"/>
      <c r="G68" s="11"/>
      <c r="H68" s="11"/>
      <c r="I68" s="3"/>
      <c r="J68" s="3"/>
      <c r="K68" s="3"/>
      <c r="L68" s="3"/>
      <c r="M68" s="3"/>
      <c r="N68" s="3"/>
      <c r="O68" s="3"/>
      <c r="P68" s="3"/>
      <c r="Q68" s="3"/>
    </row>
    <row r="69" spans="1:17" ht="15">
      <c r="A69" s="11"/>
      <c r="B69" s="11"/>
      <c r="C69" s="11"/>
      <c r="D69" s="11"/>
      <c r="E69" s="11"/>
      <c r="F69" s="11"/>
      <c r="G69" s="11"/>
      <c r="H69" s="11"/>
      <c r="I69" s="3"/>
      <c r="J69" s="3"/>
      <c r="K69" s="3"/>
      <c r="L69" s="3"/>
      <c r="M69" s="3"/>
      <c r="N69" s="3"/>
      <c r="O69" s="3"/>
      <c r="P69" s="3"/>
      <c r="Q69" s="3"/>
    </row>
    <row r="70" spans="1:17" ht="15">
      <c r="A70" s="11"/>
      <c r="B70" s="11"/>
      <c r="C70" s="11"/>
      <c r="D70" s="11"/>
      <c r="E70" s="11"/>
      <c r="F70" s="11"/>
      <c r="G70" s="11"/>
      <c r="H70" s="11"/>
      <c r="I70" s="3"/>
      <c r="J70" s="3"/>
      <c r="K70" s="3"/>
      <c r="L70" s="3"/>
      <c r="M70" s="3"/>
      <c r="N70" s="3"/>
      <c r="O70" s="3"/>
      <c r="P70" s="3"/>
      <c r="Q70" s="3"/>
    </row>
    <row r="71" spans="1:17" ht="15">
      <c r="A71" s="11"/>
      <c r="B71" s="11"/>
      <c r="C71" s="11"/>
      <c r="D71" s="11"/>
      <c r="E71" s="11"/>
      <c r="F71" s="11"/>
      <c r="G71" s="11"/>
      <c r="H71" s="11"/>
      <c r="I71" s="3"/>
      <c r="J71" s="3"/>
      <c r="K71" s="3"/>
      <c r="L71" s="3"/>
      <c r="M71" s="3"/>
      <c r="N71" s="3"/>
      <c r="O71" s="3"/>
      <c r="P71" s="3"/>
      <c r="Q71" s="3"/>
    </row>
    <row r="72" spans="1:17" ht="15">
      <c r="A72" s="11"/>
      <c r="B72" s="11"/>
      <c r="C72" s="11"/>
      <c r="D72" s="11"/>
      <c r="E72" s="11"/>
      <c r="F72" s="11"/>
      <c r="G72" s="11"/>
      <c r="H72" s="11"/>
      <c r="I72" s="3"/>
      <c r="J72" s="3"/>
      <c r="K72" s="3"/>
      <c r="L72" s="3"/>
      <c r="M72" s="3"/>
      <c r="N72" s="3"/>
      <c r="O72" s="3"/>
      <c r="P72" s="3"/>
      <c r="Q72" s="3"/>
    </row>
    <row r="73" spans="1:17" ht="15">
      <c r="A73" s="11"/>
      <c r="B73" s="11"/>
      <c r="C73" s="11"/>
      <c r="D73" s="11"/>
      <c r="E73" s="11"/>
      <c r="F73" s="11"/>
      <c r="G73" s="11"/>
      <c r="H73" s="11"/>
      <c r="I73" s="3"/>
      <c r="J73" s="3"/>
      <c r="K73" s="3"/>
      <c r="L73" s="3"/>
      <c r="M73" s="3"/>
      <c r="N73" s="3"/>
      <c r="O73" s="3"/>
      <c r="P73" s="3"/>
      <c r="Q73" s="3"/>
    </row>
    <row r="74" spans="1:17" ht="15">
      <c r="A74" s="11"/>
      <c r="B74" s="11"/>
      <c r="C74" s="11"/>
      <c r="D74" s="11"/>
      <c r="E74" s="11"/>
      <c r="F74" s="11"/>
      <c r="G74" s="11"/>
      <c r="H74" s="11"/>
      <c r="I74" s="3"/>
      <c r="J74" s="3"/>
      <c r="K74" s="3"/>
      <c r="L74" s="3"/>
      <c r="M74" s="3"/>
      <c r="N74" s="3"/>
      <c r="O74" s="3"/>
      <c r="P74" s="3"/>
      <c r="Q74" s="3"/>
    </row>
    <row r="75" spans="1:17" ht="15">
      <c r="A75" s="11"/>
      <c r="B75" s="11"/>
      <c r="C75" s="11"/>
      <c r="D75" s="11"/>
      <c r="E75" s="11"/>
      <c r="F75" s="11"/>
      <c r="G75" s="11"/>
      <c r="H75" s="11"/>
      <c r="I75" s="3"/>
      <c r="J75" s="3"/>
      <c r="K75" s="3"/>
      <c r="L75" s="3"/>
      <c r="M75" s="3"/>
      <c r="N75" s="3"/>
      <c r="O75" s="3"/>
      <c r="P75" s="3"/>
      <c r="Q75" s="3"/>
    </row>
    <row r="76" spans="1:17" ht="15">
      <c r="A76" s="11"/>
      <c r="B76" s="11"/>
      <c r="C76" s="11"/>
      <c r="D76" s="11"/>
      <c r="E76" s="11"/>
      <c r="F76" s="11"/>
      <c r="G76" s="11"/>
      <c r="H76" s="11"/>
      <c r="I76" s="3"/>
      <c r="J76" s="3"/>
      <c r="K76" s="3"/>
      <c r="L76" s="3"/>
      <c r="M76" s="3"/>
      <c r="N76" s="3"/>
      <c r="O76" s="3"/>
      <c r="P76" s="3"/>
      <c r="Q76" s="3"/>
    </row>
    <row r="77" spans="1:17" ht="15">
      <c r="A77" s="11"/>
      <c r="B77" s="11"/>
      <c r="C77" s="11"/>
      <c r="D77" s="11"/>
      <c r="E77" s="11"/>
      <c r="F77" s="11"/>
      <c r="G77" s="11"/>
      <c r="H77" s="11"/>
      <c r="I77" s="3"/>
      <c r="J77" s="3"/>
      <c r="K77" s="3"/>
      <c r="L77" s="3"/>
      <c r="M77" s="3"/>
      <c r="N77" s="3"/>
      <c r="O77" s="3"/>
      <c r="P77" s="3"/>
      <c r="Q77" s="3"/>
    </row>
    <row r="78" spans="1:17" ht="15">
      <c r="A78" s="11"/>
      <c r="B78" s="11"/>
      <c r="C78" s="11"/>
      <c r="D78" s="11"/>
      <c r="E78" s="11"/>
      <c r="F78" s="11"/>
      <c r="G78" s="11"/>
      <c r="H78" s="11"/>
      <c r="I78" s="3"/>
      <c r="J78" s="3"/>
      <c r="K78" s="3"/>
      <c r="L78" s="3"/>
      <c r="M78" s="3"/>
      <c r="N78" s="3"/>
      <c r="O78" s="3"/>
      <c r="P78" s="3"/>
      <c r="Q78" s="3"/>
    </row>
    <row r="79" spans="1:17" ht="15">
      <c r="A79" s="11"/>
      <c r="B79" s="11"/>
      <c r="C79" s="11"/>
      <c r="D79" s="11"/>
      <c r="E79" s="11"/>
      <c r="F79" s="11"/>
      <c r="G79" s="11"/>
      <c r="H79" s="11"/>
      <c r="I79" s="3"/>
      <c r="J79" s="3"/>
      <c r="K79" s="3"/>
      <c r="L79" s="3"/>
      <c r="M79" s="3"/>
      <c r="N79" s="3"/>
      <c r="O79" s="3"/>
      <c r="P79" s="3"/>
      <c r="Q79" s="3"/>
    </row>
    <row r="80" spans="1:17" ht="15">
      <c r="A80" s="11"/>
      <c r="B80" s="11"/>
      <c r="C80" s="11"/>
      <c r="D80" s="11"/>
      <c r="E80" s="11"/>
      <c r="F80" s="11"/>
      <c r="G80" s="11"/>
      <c r="H80" s="11"/>
      <c r="I80" s="3"/>
      <c r="J80" s="3"/>
      <c r="K80" s="3"/>
      <c r="L80" s="3"/>
      <c r="M80" s="3"/>
      <c r="N80" s="3"/>
      <c r="O80" s="3"/>
      <c r="P80" s="3"/>
      <c r="Q80" s="3"/>
    </row>
    <row r="81" spans="1:17" ht="15">
      <c r="A81" s="11"/>
      <c r="B81" s="11"/>
      <c r="C81" s="11"/>
      <c r="D81" s="11"/>
      <c r="E81" s="11"/>
      <c r="F81" s="11"/>
      <c r="G81" s="11"/>
      <c r="H81" s="11"/>
      <c r="I81" s="3"/>
      <c r="J81" s="3"/>
      <c r="K81" s="3"/>
      <c r="L81" s="3"/>
      <c r="M81" s="3"/>
      <c r="N81" s="3"/>
      <c r="O81" s="3"/>
      <c r="P81" s="3"/>
      <c r="Q81" s="3"/>
    </row>
    <row r="82" spans="1:17" ht="15">
      <c r="A82" s="11"/>
      <c r="B82" s="11"/>
      <c r="C82" s="11"/>
      <c r="D82" s="11"/>
      <c r="E82" s="11"/>
      <c r="F82" s="11"/>
      <c r="G82" s="11"/>
      <c r="H82" s="11"/>
      <c r="I82" s="3"/>
      <c r="J82" s="3"/>
      <c r="K82" s="3"/>
      <c r="L82" s="3"/>
      <c r="M82" s="3"/>
      <c r="N82" s="3"/>
      <c r="O82" s="3"/>
      <c r="P82" s="3"/>
      <c r="Q82" s="3"/>
    </row>
    <row r="83" spans="1:17" ht="15">
      <c r="A83" s="11"/>
      <c r="B83" s="11"/>
      <c r="C83" s="11"/>
      <c r="D83" s="11"/>
      <c r="E83" s="11"/>
      <c r="F83" s="11"/>
      <c r="G83" s="11"/>
      <c r="H83" s="11"/>
      <c r="I83" s="3"/>
      <c r="J83" s="3"/>
      <c r="K83" s="3"/>
      <c r="L83" s="3"/>
      <c r="M83" s="3"/>
      <c r="N83" s="3"/>
      <c r="O83" s="3"/>
      <c r="P83" s="3"/>
      <c r="Q83" s="3"/>
    </row>
    <row r="84" spans="1:17" ht="15">
      <c r="A84" s="11"/>
      <c r="B84" s="11"/>
      <c r="C84" s="11"/>
      <c r="D84" s="11"/>
      <c r="E84" s="11"/>
      <c r="F84" s="11"/>
      <c r="G84" s="11"/>
      <c r="H84" s="11"/>
      <c r="I84" s="3"/>
      <c r="J84" s="3"/>
      <c r="K84" s="3"/>
      <c r="L84" s="3"/>
      <c r="M84" s="3"/>
      <c r="N84" s="3"/>
      <c r="O84" s="3"/>
      <c r="P84" s="3"/>
      <c r="Q84" s="3"/>
    </row>
    <row r="85" spans="1:17" ht="15">
      <c r="A85" s="11"/>
      <c r="B85" s="11"/>
      <c r="C85" s="11"/>
      <c r="D85" s="11"/>
      <c r="E85" s="11"/>
      <c r="F85" s="11"/>
      <c r="G85" s="11"/>
      <c r="H85" s="11"/>
      <c r="I85" s="3"/>
      <c r="J85" s="3"/>
      <c r="K85" s="3"/>
      <c r="L85" s="3"/>
      <c r="M85" s="3"/>
      <c r="N85" s="3"/>
      <c r="O85" s="3"/>
      <c r="P85" s="3"/>
      <c r="Q85" s="3"/>
    </row>
    <row r="86" spans="1:17" ht="15">
      <c r="A86" s="11"/>
      <c r="B86" s="11"/>
      <c r="C86" s="11"/>
      <c r="D86" s="11"/>
      <c r="E86" s="11"/>
      <c r="F86" s="11"/>
      <c r="G86" s="11"/>
      <c r="H86" s="11"/>
      <c r="I86" s="3"/>
      <c r="J86" s="3"/>
      <c r="K86" s="3"/>
      <c r="L86" s="3"/>
      <c r="M86" s="3"/>
      <c r="N86" s="3"/>
      <c r="O86" s="3"/>
      <c r="P86" s="3"/>
      <c r="Q86" s="3"/>
    </row>
    <row r="87" spans="1:17" ht="15">
      <c r="A87" s="11"/>
      <c r="B87" s="11"/>
      <c r="C87" s="11"/>
      <c r="D87" s="11"/>
      <c r="E87" s="11"/>
      <c r="F87" s="11"/>
      <c r="G87" s="11"/>
      <c r="H87" s="11"/>
      <c r="I87" s="3"/>
      <c r="J87" s="3"/>
      <c r="K87" s="3"/>
      <c r="L87" s="3"/>
      <c r="M87" s="3"/>
      <c r="N87" s="3"/>
      <c r="O87" s="3"/>
      <c r="P87" s="3"/>
      <c r="Q87" s="3"/>
    </row>
    <row r="88" spans="1:17" ht="15">
      <c r="A88" s="11"/>
      <c r="B88" s="11"/>
      <c r="C88" s="11"/>
      <c r="D88" s="11"/>
      <c r="E88" s="11"/>
      <c r="F88" s="11"/>
      <c r="G88" s="11"/>
      <c r="H88" s="11"/>
      <c r="I88" s="3"/>
      <c r="J88" s="3"/>
      <c r="K88" s="3"/>
      <c r="L88" s="3"/>
      <c r="M88" s="3"/>
      <c r="N88" s="3"/>
      <c r="O88" s="3"/>
      <c r="P88" s="3"/>
      <c r="Q88" s="3"/>
    </row>
    <row r="89" spans="1:17" ht="15">
      <c r="A89" s="11"/>
      <c r="B89" s="11"/>
      <c r="C89" s="11"/>
      <c r="D89" s="11"/>
      <c r="E89" s="11"/>
      <c r="F89" s="11"/>
      <c r="G89" s="11"/>
      <c r="H89" s="11"/>
      <c r="I89" s="3"/>
      <c r="J89" s="3"/>
      <c r="K89" s="3"/>
      <c r="L89" s="3"/>
      <c r="M89" s="3"/>
      <c r="N89" s="3"/>
      <c r="O89" s="3"/>
      <c r="P89" s="3"/>
      <c r="Q89" s="3"/>
    </row>
    <row r="90" spans="1:17" ht="15">
      <c r="A90" s="11"/>
      <c r="B90" s="11"/>
      <c r="C90" s="11"/>
      <c r="D90" s="11"/>
      <c r="E90" s="11"/>
      <c r="F90" s="11"/>
      <c r="G90" s="11"/>
      <c r="H90" s="11"/>
      <c r="I90" s="3"/>
      <c r="J90" s="3"/>
      <c r="K90" s="3"/>
      <c r="L90" s="3"/>
      <c r="M90" s="3"/>
      <c r="N90" s="3"/>
      <c r="O90" s="3"/>
      <c r="P90" s="3"/>
      <c r="Q90" s="3"/>
    </row>
    <row r="91" spans="1:17" ht="15">
      <c r="A91" s="11"/>
      <c r="B91" s="11"/>
      <c r="C91" s="11"/>
      <c r="D91" s="11"/>
      <c r="E91" s="11"/>
      <c r="F91" s="11"/>
      <c r="G91" s="11"/>
      <c r="H91" s="11"/>
      <c r="I91" s="3"/>
      <c r="J91" s="3"/>
      <c r="K91" s="3"/>
      <c r="L91" s="3"/>
      <c r="M91" s="3"/>
      <c r="N91" s="3"/>
      <c r="O91" s="3"/>
      <c r="P91" s="3"/>
      <c r="Q91" s="3"/>
    </row>
    <row r="92" spans="1:17" ht="15">
      <c r="A92" s="11"/>
      <c r="B92" s="11"/>
      <c r="C92" s="11"/>
      <c r="D92" s="11"/>
      <c r="E92" s="11"/>
      <c r="F92" s="11"/>
      <c r="G92" s="11"/>
      <c r="H92" s="11"/>
      <c r="I92" s="3"/>
      <c r="J92" s="3"/>
      <c r="K92" s="3"/>
      <c r="L92" s="3"/>
      <c r="M92" s="3"/>
      <c r="N92" s="3"/>
      <c r="O92" s="3"/>
      <c r="P92" s="3"/>
      <c r="Q92" s="3"/>
    </row>
    <row r="93" spans="1:17" ht="15">
      <c r="A93" s="11"/>
      <c r="B93" s="11"/>
      <c r="C93" s="11"/>
      <c r="D93" s="11"/>
      <c r="E93" s="11"/>
      <c r="F93" s="11"/>
      <c r="G93" s="11"/>
      <c r="H93" s="11"/>
      <c r="I93" s="3"/>
      <c r="J93" s="3"/>
      <c r="K93" s="3"/>
      <c r="L93" s="3"/>
      <c r="M93" s="3"/>
      <c r="N93" s="3"/>
      <c r="O93" s="3"/>
      <c r="P93" s="3"/>
      <c r="Q93" s="3"/>
    </row>
    <row r="94" spans="1:17" ht="15">
      <c r="A94" s="11"/>
      <c r="B94" s="11"/>
      <c r="C94" s="11"/>
      <c r="D94" s="11"/>
      <c r="E94" s="11"/>
      <c r="F94" s="11"/>
      <c r="G94" s="11"/>
      <c r="H94" s="11"/>
      <c r="I94" s="3"/>
      <c r="J94" s="3"/>
      <c r="K94" s="3"/>
      <c r="L94" s="3"/>
      <c r="M94" s="3"/>
      <c r="N94" s="3"/>
      <c r="O94" s="3"/>
      <c r="P94" s="3"/>
      <c r="Q94" s="3"/>
    </row>
    <row r="95" spans="1:17" ht="15">
      <c r="A95" s="11"/>
      <c r="B95" s="11"/>
      <c r="C95" s="11"/>
      <c r="D95" s="11"/>
      <c r="E95" s="11"/>
      <c r="F95" s="11"/>
      <c r="G95" s="11"/>
      <c r="H95" s="11"/>
      <c r="I95" s="3"/>
      <c r="J95" s="3"/>
      <c r="K95" s="3"/>
      <c r="L95" s="3"/>
      <c r="M95" s="3"/>
      <c r="N95" s="3"/>
      <c r="O95" s="3"/>
      <c r="P95" s="3"/>
      <c r="Q95" s="3"/>
    </row>
    <row r="96" spans="1:17" ht="15">
      <c r="A96" s="11"/>
      <c r="B96" s="11"/>
      <c r="C96" s="11"/>
      <c r="D96" s="11"/>
      <c r="E96" s="11"/>
      <c r="F96" s="11"/>
      <c r="G96" s="11"/>
      <c r="H96" s="11"/>
      <c r="I96" s="3"/>
      <c r="J96" s="3"/>
      <c r="K96" s="3"/>
      <c r="L96" s="3"/>
      <c r="M96" s="3"/>
      <c r="N96" s="3"/>
      <c r="O96" s="3"/>
      <c r="P96" s="3"/>
      <c r="Q96" s="3"/>
    </row>
    <row r="97" spans="1:17" ht="15">
      <c r="A97" s="11"/>
      <c r="B97" s="11"/>
      <c r="C97" s="11"/>
      <c r="D97" s="11"/>
      <c r="E97" s="11"/>
      <c r="F97" s="11"/>
      <c r="G97" s="11"/>
      <c r="H97" s="11"/>
      <c r="I97" s="3"/>
      <c r="J97" s="3"/>
      <c r="K97" s="3"/>
      <c r="L97" s="3"/>
      <c r="M97" s="3"/>
      <c r="N97" s="3"/>
      <c r="O97" s="3"/>
      <c r="P97" s="3"/>
      <c r="Q97" s="3"/>
    </row>
    <row r="98" spans="1:17" ht="15">
      <c r="A98" s="11"/>
      <c r="B98" s="11"/>
      <c r="C98" s="11"/>
      <c r="D98" s="11"/>
      <c r="E98" s="11"/>
      <c r="F98" s="11"/>
      <c r="G98" s="11"/>
      <c r="H98" s="11"/>
      <c r="I98" s="3"/>
      <c r="J98" s="3"/>
      <c r="K98" s="3"/>
      <c r="L98" s="3"/>
      <c r="M98" s="3"/>
      <c r="N98" s="3"/>
      <c r="O98" s="3"/>
      <c r="P98" s="3"/>
      <c r="Q98" s="3"/>
    </row>
    <row r="99" spans="1:17" ht="15">
      <c r="A99" s="11"/>
      <c r="B99" s="11"/>
      <c r="C99" s="11"/>
      <c r="D99" s="11"/>
      <c r="E99" s="11"/>
      <c r="F99" s="11"/>
      <c r="G99" s="11"/>
      <c r="H99" s="11"/>
      <c r="I99" s="3"/>
      <c r="J99" s="3"/>
      <c r="K99" s="3"/>
      <c r="L99" s="3"/>
      <c r="M99" s="3"/>
      <c r="N99" s="3"/>
      <c r="O99" s="3"/>
      <c r="P99" s="3"/>
      <c r="Q99" s="3"/>
    </row>
    <row r="100" spans="1:17" ht="15">
      <c r="A100" s="11"/>
      <c r="B100" s="11"/>
      <c r="C100" s="11"/>
      <c r="D100" s="11"/>
      <c r="E100" s="11"/>
      <c r="F100" s="11"/>
      <c r="G100" s="11"/>
      <c r="H100" s="11"/>
      <c r="I100" s="3"/>
      <c r="J100" s="3"/>
      <c r="K100" s="3"/>
      <c r="L100" s="3"/>
      <c r="M100" s="3"/>
      <c r="N100" s="3"/>
      <c r="O100" s="3"/>
      <c r="P100" s="3"/>
      <c r="Q100" s="3"/>
    </row>
    <row r="101" spans="1:17" ht="15">
      <c r="A101" s="11"/>
      <c r="B101" s="11"/>
      <c r="C101" s="11"/>
      <c r="D101" s="11"/>
      <c r="E101" s="11"/>
      <c r="F101" s="11"/>
      <c r="G101" s="11"/>
      <c r="H101" s="11"/>
      <c r="I101" s="3"/>
      <c r="J101" s="3"/>
      <c r="K101" s="3"/>
      <c r="L101" s="3"/>
      <c r="M101" s="3"/>
      <c r="N101" s="3"/>
      <c r="O101" s="3"/>
      <c r="P101" s="3"/>
      <c r="Q101" s="3"/>
    </row>
    <row r="102" spans="1:17" ht="15">
      <c r="A102" s="11"/>
      <c r="B102" s="11"/>
      <c r="C102" s="11"/>
      <c r="D102" s="11"/>
      <c r="E102" s="11"/>
      <c r="F102" s="11"/>
      <c r="G102" s="11"/>
      <c r="H102" s="11"/>
      <c r="I102" s="3"/>
      <c r="J102" s="3"/>
      <c r="K102" s="3"/>
      <c r="L102" s="3"/>
      <c r="M102" s="3"/>
      <c r="N102" s="3"/>
      <c r="O102" s="3"/>
      <c r="P102" s="3"/>
      <c r="Q102" s="3"/>
    </row>
    <row r="103" spans="1:17" ht="15">
      <c r="A103" s="11"/>
      <c r="B103" s="11"/>
      <c r="C103" s="11"/>
      <c r="D103" s="11"/>
      <c r="E103" s="11"/>
      <c r="F103" s="11"/>
      <c r="G103" s="11"/>
      <c r="H103" s="11"/>
      <c r="I103" s="3"/>
      <c r="J103" s="3"/>
      <c r="K103" s="3"/>
      <c r="L103" s="3"/>
      <c r="M103" s="3"/>
      <c r="N103" s="3"/>
      <c r="O103" s="3"/>
      <c r="P103" s="3"/>
      <c r="Q103" s="3"/>
    </row>
    <row r="104" spans="1:17" ht="15">
      <c r="A104" s="11"/>
      <c r="B104" s="11"/>
      <c r="C104" s="11"/>
      <c r="D104" s="11"/>
      <c r="E104" s="11"/>
      <c r="F104" s="11"/>
      <c r="G104" s="11"/>
      <c r="H104" s="11"/>
      <c r="I104" s="3"/>
      <c r="J104" s="3"/>
      <c r="K104" s="3"/>
      <c r="L104" s="3"/>
      <c r="M104" s="3"/>
      <c r="N104" s="3"/>
      <c r="O104" s="3"/>
      <c r="P104" s="3"/>
      <c r="Q104" s="3"/>
    </row>
    <row r="105" spans="1:17" ht="15">
      <c r="A105" s="11"/>
      <c r="B105" s="11"/>
      <c r="C105" s="11"/>
      <c r="D105" s="11"/>
      <c r="E105" s="11"/>
      <c r="F105" s="11"/>
      <c r="G105" s="11"/>
      <c r="H105" s="11"/>
      <c r="I105" s="3"/>
      <c r="J105" s="3"/>
      <c r="K105" s="3"/>
      <c r="L105" s="3"/>
      <c r="M105" s="3"/>
      <c r="N105" s="3"/>
      <c r="O105" s="3"/>
      <c r="P105" s="3"/>
      <c r="Q105" s="3"/>
    </row>
    <row r="106" spans="1:17" ht="15">
      <c r="A106" s="11"/>
      <c r="B106" s="11"/>
      <c r="C106" s="11"/>
      <c r="D106" s="11"/>
      <c r="E106" s="11"/>
      <c r="F106" s="11"/>
      <c r="G106" s="11"/>
      <c r="H106" s="11"/>
      <c r="I106" s="3"/>
      <c r="J106" s="3"/>
      <c r="K106" s="3"/>
      <c r="L106" s="3"/>
      <c r="M106" s="3"/>
      <c r="N106" s="3"/>
      <c r="O106" s="3"/>
      <c r="P106" s="3"/>
      <c r="Q106" s="3"/>
    </row>
    <row r="107" spans="1:17" ht="15">
      <c r="A107" s="11"/>
      <c r="B107" s="11"/>
      <c r="C107" s="11"/>
      <c r="D107" s="11"/>
      <c r="E107" s="11"/>
      <c r="F107" s="11"/>
      <c r="G107" s="11"/>
      <c r="H107" s="11"/>
      <c r="I107" s="3"/>
      <c r="J107" s="3"/>
      <c r="K107" s="3"/>
      <c r="L107" s="3"/>
      <c r="M107" s="3"/>
      <c r="N107" s="3"/>
      <c r="O107" s="3"/>
      <c r="P107" s="3"/>
      <c r="Q107" s="3"/>
    </row>
    <row r="108" spans="1:17" ht="15">
      <c r="A108" s="11"/>
      <c r="B108" s="11"/>
      <c r="C108" s="11"/>
      <c r="D108" s="11"/>
      <c r="E108" s="11"/>
      <c r="F108" s="11"/>
      <c r="G108" s="11"/>
      <c r="H108" s="11"/>
      <c r="I108" s="3"/>
      <c r="J108" s="3"/>
      <c r="K108" s="3"/>
      <c r="L108" s="3"/>
      <c r="M108" s="3"/>
      <c r="N108" s="3"/>
      <c r="O108" s="3"/>
      <c r="P108" s="3"/>
      <c r="Q108" s="3"/>
    </row>
    <row r="109" spans="1:17" ht="15">
      <c r="A109" s="11"/>
      <c r="B109" s="11"/>
      <c r="C109" s="11"/>
      <c r="D109" s="11"/>
      <c r="E109" s="11"/>
      <c r="F109" s="11"/>
      <c r="G109" s="11"/>
      <c r="H109" s="11"/>
      <c r="I109" s="3"/>
      <c r="J109" s="3"/>
      <c r="K109" s="3"/>
      <c r="L109" s="3"/>
      <c r="M109" s="3"/>
      <c r="N109" s="3"/>
      <c r="O109" s="3"/>
      <c r="P109" s="3"/>
      <c r="Q109" s="3"/>
    </row>
    <row r="110" spans="1:17" ht="15">
      <c r="A110" s="11"/>
      <c r="B110" s="11"/>
      <c r="C110" s="11"/>
      <c r="D110" s="11"/>
      <c r="E110" s="11"/>
      <c r="F110" s="11"/>
      <c r="G110" s="11"/>
      <c r="H110" s="11"/>
      <c r="I110" s="3"/>
      <c r="J110" s="3"/>
      <c r="K110" s="3"/>
      <c r="L110" s="3"/>
      <c r="M110" s="3"/>
      <c r="N110" s="3"/>
      <c r="O110" s="3"/>
      <c r="P110" s="3"/>
      <c r="Q110" s="3"/>
    </row>
    <row r="111" spans="1:17" ht="15">
      <c r="A111" s="11"/>
      <c r="B111" s="11"/>
      <c r="C111" s="11"/>
      <c r="D111" s="11"/>
      <c r="E111" s="11"/>
      <c r="F111" s="11"/>
      <c r="G111" s="11"/>
      <c r="H111" s="11"/>
      <c r="I111" s="3"/>
      <c r="J111" s="3"/>
      <c r="K111" s="3"/>
      <c r="L111" s="3"/>
      <c r="M111" s="3"/>
      <c r="N111" s="3"/>
      <c r="O111" s="3"/>
      <c r="P111" s="3"/>
      <c r="Q111" s="3"/>
    </row>
    <row r="112" spans="1:17" ht="15">
      <c r="A112" s="11"/>
      <c r="B112" s="11"/>
      <c r="C112" s="11"/>
      <c r="D112" s="11"/>
      <c r="E112" s="11"/>
      <c r="F112" s="11"/>
      <c r="G112" s="11"/>
      <c r="H112" s="11"/>
      <c r="I112" s="3"/>
      <c r="J112" s="3"/>
      <c r="K112" s="3"/>
      <c r="L112" s="3"/>
      <c r="M112" s="3"/>
      <c r="N112" s="3"/>
      <c r="O112" s="3"/>
      <c r="P112" s="3"/>
      <c r="Q112" s="3"/>
    </row>
    <row r="113" spans="1:17" ht="15">
      <c r="A113" s="11"/>
      <c r="B113" s="11"/>
      <c r="C113" s="11"/>
      <c r="D113" s="11"/>
      <c r="E113" s="11"/>
      <c r="F113" s="11"/>
      <c r="G113" s="11"/>
      <c r="H113" s="11"/>
      <c r="I113" s="3"/>
      <c r="J113" s="3"/>
      <c r="K113" s="3"/>
      <c r="L113" s="3"/>
      <c r="M113" s="3"/>
      <c r="N113" s="3"/>
      <c r="O113" s="3"/>
      <c r="P113" s="3"/>
      <c r="Q113" s="3"/>
    </row>
    <row r="114" spans="1:17" ht="15">
      <c r="A114" s="11"/>
      <c r="B114" s="11"/>
      <c r="C114" s="11"/>
      <c r="D114" s="11"/>
      <c r="E114" s="11"/>
      <c r="F114" s="11"/>
      <c r="G114" s="11"/>
      <c r="H114" s="11"/>
      <c r="I114" s="3"/>
      <c r="J114" s="3"/>
      <c r="K114" s="3"/>
      <c r="L114" s="3"/>
      <c r="M114" s="3"/>
      <c r="N114" s="3"/>
      <c r="O114" s="3"/>
      <c r="P114" s="3"/>
      <c r="Q114" s="3"/>
    </row>
    <row r="115" spans="1:17" ht="15">
      <c r="A115" s="11"/>
      <c r="B115" s="11"/>
      <c r="C115" s="11"/>
      <c r="D115" s="11"/>
      <c r="E115" s="11"/>
      <c r="F115" s="11"/>
      <c r="G115" s="11"/>
      <c r="H115" s="11"/>
      <c r="I115" s="3"/>
      <c r="J115" s="3"/>
      <c r="K115" s="3"/>
      <c r="L115" s="3"/>
      <c r="M115" s="3"/>
      <c r="N115" s="3"/>
      <c r="O115" s="3"/>
      <c r="P115" s="3"/>
      <c r="Q115" s="3"/>
    </row>
    <row r="116" spans="1:17" ht="15">
      <c r="A116" s="11"/>
      <c r="B116" s="11"/>
      <c r="C116" s="11"/>
      <c r="D116" s="11"/>
      <c r="E116" s="11"/>
      <c r="F116" s="11"/>
      <c r="G116" s="11"/>
      <c r="H116" s="11"/>
      <c r="I116" s="3"/>
      <c r="J116" s="3"/>
      <c r="K116" s="3"/>
      <c r="L116" s="3"/>
      <c r="M116" s="3"/>
      <c r="N116" s="3"/>
      <c r="O116" s="3"/>
      <c r="P116" s="3"/>
      <c r="Q116" s="3"/>
    </row>
    <row r="117" spans="1:17" ht="15">
      <c r="A117" s="11"/>
      <c r="B117" s="11"/>
      <c r="C117" s="11"/>
      <c r="D117" s="11"/>
      <c r="E117" s="11"/>
      <c r="F117" s="11"/>
      <c r="G117" s="11"/>
      <c r="H117" s="11"/>
      <c r="I117" s="3"/>
      <c r="J117" s="3"/>
      <c r="K117" s="3"/>
      <c r="L117" s="3"/>
      <c r="M117" s="3"/>
      <c r="N117" s="3"/>
      <c r="O117" s="3"/>
      <c r="P117" s="3"/>
      <c r="Q117" s="3"/>
    </row>
    <row r="118" spans="1:17" ht="15">
      <c r="A118" s="11"/>
      <c r="B118" s="11"/>
      <c r="C118" s="11"/>
      <c r="D118" s="11"/>
      <c r="E118" s="11"/>
      <c r="F118" s="11"/>
      <c r="G118" s="11"/>
      <c r="H118" s="11"/>
      <c r="I118" s="3"/>
      <c r="J118" s="3"/>
      <c r="K118" s="3"/>
      <c r="L118" s="3"/>
      <c r="M118" s="3"/>
      <c r="N118" s="3"/>
      <c r="O118" s="3"/>
      <c r="P118" s="3"/>
      <c r="Q118" s="3"/>
    </row>
    <row r="119" spans="1:17" ht="15">
      <c r="A119" s="11"/>
      <c r="B119" s="11"/>
      <c r="C119" s="11"/>
      <c r="D119" s="11"/>
      <c r="E119" s="11"/>
      <c r="F119" s="11"/>
      <c r="G119" s="11"/>
      <c r="H119" s="11"/>
      <c r="I119" s="3"/>
      <c r="J119" s="3"/>
      <c r="K119" s="3"/>
      <c r="L119" s="3"/>
      <c r="M119" s="3"/>
      <c r="N119" s="3"/>
      <c r="O119" s="3"/>
      <c r="P119" s="3"/>
      <c r="Q119" s="3"/>
    </row>
    <row r="120" spans="1:17" ht="15">
      <c r="A120" s="11"/>
      <c r="B120" s="11"/>
      <c r="C120" s="11"/>
      <c r="D120" s="11"/>
      <c r="E120" s="11"/>
      <c r="F120" s="11"/>
      <c r="G120" s="11"/>
      <c r="H120" s="11"/>
      <c r="I120" s="3"/>
      <c r="J120" s="3"/>
      <c r="K120" s="3"/>
      <c r="L120" s="3"/>
      <c r="M120" s="3"/>
      <c r="N120" s="3"/>
      <c r="O120" s="3"/>
      <c r="P120" s="3"/>
      <c r="Q120" s="3"/>
    </row>
    <row r="121" spans="1:17" ht="15">
      <c r="A121" s="11"/>
      <c r="B121" s="11"/>
      <c r="C121" s="11"/>
      <c r="D121" s="11"/>
      <c r="E121" s="11"/>
      <c r="F121" s="11"/>
      <c r="G121" s="11"/>
      <c r="H121" s="11"/>
      <c r="I121" s="3"/>
      <c r="J121" s="3"/>
      <c r="K121" s="3"/>
      <c r="L121" s="3"/>
      <c r="M121" s="3"/>
      <c r="N121" s="3"/>
      <c r="O121" s="3"/>
      <c r="P121" s="3"/>
      <c r="Q121" s="3"/>
    </row>
    <row r="122" spans="1:17" ht="15">
      <c r="A122" s="11"/>
      <c r="B122" s="11"/>
      <c r="C122" s="11"/>
      <c r="D122" s="11"/>
      <c r="E122" s="11"/>
      <c r="F122" s="11"/>
      <c r="G122" s="11"/>
      <c r="H122" s="11"/>
      <c r="I122" s="3"/>
      <c r="J122" s="3"/>
      <c r="K122" s="3"/>
      <c r="L122" s="3"/>
      <c r="M122" s="3"/>
      <c r="N122" s="3"/>
      <c r="O122" s="3"/>
      <c r="P122" s="3"/>
      <c r="Q122" s="3"/>
    </row>
    <row r="123" spans="1:17" ht="15">
      <c r="A123" s="11"/>
      <c r="B123" s="11"/>
      <c r="C123" s="11"/>
      <c r="D123" s="11"/>
      <c r="E123" s="11"/>
      <c r="F123" s="11"/>
      <c r="G123" s="11"/>
      <c r="H123" s="11"/>
      <c r="I123" s="3"/>
      <c r="J123" s="3"/>
      <c r="K123" s="3"/>
      <c r="L123" s="3"/>
      <c r="M123" s="3"/>
      <c r="N123" s="3"/>
      <c r="O123" s="3"/>
      <c r="P123" s="3"/>
      <c r="Q123" s="3"/>
    </row>
    <row r="124" spans="1:17" ht="15">
      <c r="A124" s="11"/>
      <c r="B124" s="11"/>
      <c r="C124" s="11"/>
      <c r="D124" s="11"/>
      <c r="E124" s="11"/>
      <c r="F124" s="11"/>
      <c r="G124" s="11"/>
      <c r="H124" s="11"/>
      <c r="I124" s="3"/>
      <c r="J124" s="3"/>
      <c r="K124" s="3"/>
      <c r="L124" s="3"/>
      <c r="M124" s="3"/>
      <c r="N124" s="3"/>
      <c r="O124" s="3"/>
      <c r="P124" s="3"/>
      <c r="Q124" s="3"/>
    </row>
    <row r="125" spans="1:17" ht="15">
      <c r="A125" s="11"/>
      <c r="B125" s="11"/>
      <c r="C125" s="11"/>
      <c r="D125" s="11"/>
      <c r="E125" s="11"/>
      <c r="F125" s="11"/>
      <c r="G125" s="11"/>
      <c r="H125" s="11"/>
      <c r="I125" s="3"/>
      <c r="J125" s="3"/>
      <c r="K125" s="3"/>
      <c r="L125" s="3"/>
      <c r="M125" s="3"/>
      <c r="N125" s="3"/>
      <c r="O125" s="3"/>
      <c r="P125" s="3"/>
      <c r="Q125" s="3"/>
    </row>
    <row r="126" spans="1:17" ht="15">
      <c r="A126" s="11"/>
      <c r="B126" s="11"/>
      <c r="C126" s="11"/>
      <c r="D126" s="11"/>
      <c r="E126" s="11"/>
      <c r="F126" s="11"/>
      <c r="G126" s="11"/>
      <c r="H126" s="11"/>
      <c r="I126" s="3"/>
      <c r="J126" s="3"/>
      <c r="K126" s="3"/>
      <c r="L126" s="3"/>
      <c r="M126" s="3"/>
      <c r="N126" s="3"/>
      <c r="O126" s="3"/>
      <c r="P126" s="3"/>
      <c r="Q126" s="3"/>
    </row>
    <row r="127" spans="1:17" ht="15">
      <c r="A127" s="11"/>
      <c r="B127" s="11"/>
      <c r="C127" s="11"/>
      <c r="D127" s="11"/>
      <c r="E127" s="11"/>
      <c r="F127" s="11"/>
      <c r="G127" s="11"/>
      <c r="H127" s="11"/>
      <c r="I127" s="3"/>
      <c r="J127" s="3"/>
      <c r="K127" s="3"/>
      <c r="L127" s="3"/>
      <c r="M127" s="3"/>
      <c r="N127" s="3"/>
      <c r="O127" s="3"/>
      <c r="P127" s="3"/>
      <c r="Q127" s="3"/>
    </row>
    <row r="128" spans="1:17" ht="15">
      <c r="A128" s="11"/>
      <c r="B128" s="11"/>
      <c r="C128" s="11"/>
      <c r="D128" s="11"/>
      <c r="E128" s="11"/>
      <c r="F128" s="11"/>
      <c r="G128" s="11"/>
      <c r="H128" s="11"/>
      <c r="I128" s="3"/>
      <c r="J128" s="3"/>
      <c r="K128" s="3"/>
      <c r="L128" s="3"/>
      <c r="M128" s="3"/>
      <c r="N128" s="3"/>
      <c r="O128" s="3"/>
      <c r="P128" s="3"/>
      <c r="Q128" s="3"/>
    </row>
    <row r="129" spans="1:17" ht="15">
      <c r="A129" s="11"/>
      <c r="B129" s="11"/>
      <c r="C129" s="11"/>
      <c r="D129" s="11"/>
      <c r="E129" s="11"/>
      <c r="F129" s="11"/>
      <c r="G129" s="11"/>
      <c r="H129" s="11"/>
      <c r="I129" s="3"/>
      <c r="J129" s="3"/>
      <c r="K129" s="3"/>
      <c r="L129" s="3"/>
      <c r="M129" s="3"/>
      <c r="N129" s="3"/>
      <c r="O129" s="3"/>
      <c r="P129" s="3"/>
      <c r="Q129" s="3"/>
    </row>
    <row r="130" spans="1:17" ht="15">
      <c r="A130" s="11"/>
      <c r="B130" s="11"/>
      <c r="C130" s="11"/>
      <c r="D130" s="11"/>
      <c r="E130" s="11"/>
      <c r="F130" s="11"/>
      <c r="G130" s="11"/>
      <c r="H130" s="11"/>
      <c r="I130" s="3"/>
      <c r="J130" s="3"/>
      <c r="K130" s="3"/>
      <c r="L130" s="3"/>
      <c r="M130" s="3"/>
      <c r="N130" s="3"/>
      <c r="O130" s="3"/>
      <c r="P130" s="3"/>
      <c r="Q130" s="3"/>
    </row>
    <row r="131" spans="1:17" ht="15">
      <c r="A131" s="11"/>
      <c r="B131" s="11"/>
      <c r="C131" s="11"/>
      <c r="D131" s="11"/>
      <c r="E131" s="11"/>
      <c r="F131" s="11"/>
      <c r="G131" s="11"/>
      <c r="H131" s="11"/>
      <c r="I131" s="3"/>
      <c r="J131" s="3"/>
      <c r="K131" s="3"/>
      <c r="L131" s="3"/>
      <c r="M131" s="3"/>
      <c r="N131" s="3"/>
      <c r="O131" s="3"/>
      <c r="P131" s="3"/>
      <c r="Q131" s="3"/>
    </row>
    <row r="132" spans="1:17" ht="15">
      <c r="A132" s="11"/>
      <c r="B132" s="11"/>
      <c r="C132" s="11"/>
      <c r="D132" s="11"/>
      <c r="E132" s="11"/>
      <c r="F132" s="11"/>
      <c r="G132" s="11"/>
      <c r="H132" s="11"/>
      <c r="I132" s="3"/>
      <c r="J132" s="3"/>
      <c r="K132" s="3"/>
      <c r="L132" s="3"/>
      <c r="M132" s="3"/>
      <c r="N132" s="3"/>
      <c r="O132" s="3"/>
      <c r="P132" s="3"/>
      <c r="Q132" s="3"/>
    </row>
    <row r="133" spans="1:17" ht="15">
      <c r="A133" s="11"/>
      <c r="B133" s="11"/>
      <c r="C133" s="11"/>
      <c r="D133" s="11"/>
      <c r="E133" s="11"/>
      <c r="F133" s="11"/>
      <c r="G133" s="11"/>
      <c r="H133" s="11"/>
      <c r="I133" s="3"/>
      <c r="J133" s="3"/>
      <c r="K133" s="3"/>
      <c r="L133" s="3"/>
      <c r="M133" s="3"/>
      <c r="N133" s="3"/>
      <c r="O133" s="3"/>
      <c r="P133" s="3"/>
      <c r="Q133" s="3"/>
    </row>
    <row r="134" spans="1:17" ht="15">
      <c r="A134" s="11"/>
      <c r="B134" s="11"/>
      <c r="C134" s="11"/>
      <c r="D134" s="11"/>
      <c r="E134" s="11"/>
      <c r="F134" s="11"/>
      <c r="G134" s="11"/>
      <c r="H134" s="11"/>
      <c r="I134" s="3"/>
      <c r="J134" s="3"/>
      <c r="K134" s="3"/>
      <c r="L134" s="3"/>
      <c r="M134" s="3"/>
      <c r="N134" s="3"/>
      <c r="O134" s="3"/>
      <c r="P134" s="3"/>
      <c r="Q134" s="3"/>
    </row>
    <row r="135" spans="1:17" ht="15">
      <c r="A135" s="11"/>
      <c r="B135" s="11"/>
      <c r="C135" s="11"/>
      <c r="D135" s="11"/>
      <c r="E135" s="11"/>
      <c r="F135" s="11"/>
      <c r="G135" s="11"/>
      <c r="H135" s="11"/>
      <c r="I135" s="3"/>
      <c r="J135" s="3"/>
      <c r="K135" s="3"/>
      <c r="L135" s="3"/>
      <c r="M135" s="3"/>
      <c r="N135" s="3"/>
      <c r="O135" s="3"/>
      <c r="P135" s="3"/>
      <c r="Q135" s="3"/>
    </row>
    <row r="136" spans="1:17" ht="15">
      <c r="A136" s="11"/>
      <c r="B136" s="11"/>
      <c r="C136" s="11"/>
      <c r="D136" s="11"/>
      <c r="E136" s="11"/>
      <c r="F136" s="11"/>
      <c r="G136" s="11"/>
      <c r="H136" s="11"/>
      <c r="I136" s="3"/>
      <c r="J136" s="3"/>
      <c r="K136" s="3"/>
      <c r="L136" s="3"/>
      <c r="M136" s="3"/>
      <c r="N136" s="3"/>
      <c r="O136" s="3"/>
      <c r="P136" s="3"/>
      <c r="Q136" s="3"/>
    </row>
    <row r="137" spans="1:17" ht="15">
      <c r="A137" s="11"/>
      <c r="B137" s="11"/>
      <c r="C137" s="11"/>
      <c r="D137" s="11"/>
      <c r="E137" s="11"/>
      <c r="F137" s="11"/>
      <c r="G137" s="11"/>
      <c r="H137" s="11"/>
      <c r="I137" s="3"/>
      <c r="J137" s="3"/>
      <c r="K137" s="3"/>
      <c r="L137" s="3"/>
      <c r="M137" s="3"/>
      <c r="N137" s="3"/>
      <c r="O137" s="3"/>
      <c r="P137" s="3"/>
      <c r="Q137" s="3"/>
    </row>
    <row r="138" spans="1:17" ht="15">
      <c r="A138" s="11"/>
      <c r="B138" s="11"/>
      <c r="C138" s="11"/>
      <c r="D138" s="11"/>
      <c r="E138" s="11"/>
      <c r="F138" s="11"/>
      <c r="G138" s="11"/>
      <c r="H138" s="11"/>
      <c r="I138" s="3"/>
      <c r="J138" s="3"/>
      <c r="K138" s="3"/>
      <c r="L138" s="3"/>
      <c r="M138" s="3"/>
      <c r="N138" s="3"/>
      <c r="O138" s="3"/>
      <c r="P138" s="3"/>
      <c r="Q138" s="3"/>
    </row>
    <row r="139" spans="1:17" ht="15">
      <c r="A139" s="11"/>
      <c r="B139" s="11"/>
      <c r="C139" s="11"/>
      <c r="D139" s="11"/>
      <c r="E139" s="11"/>
      <c r="F139" s="11"/>
      <c r="G139" s="11"/>
      <c r="H139" s="11"/>
      <c r="I139" s="3"/>
      <c r="J139" s="3"/>
      <c r="K139" s="3"/>
      <c r="L139" s="3"/>
      <c r="M139" s="3"/>
      <c r="N139" s="3"/>
      <c r="O139" s="3"/>
      <c r="P139" s="3"/>
      <c r="Q139" s="3"/>
    </row>
    <row r="140" spans="1:17" ht="15">
      <c r="A140" s="11"/>
      <c r="B140" s="11"/>
      <c r="C140" s="11"/>
      <c r="D140" s="11"/>
      <c r="E140" s="11"/>
      <c r="F140" s="11"/>
      <c r="G140" s="11"/>
      <c r="H140" s="11"/>
      <c r="I140" s="3"/>
      <c r="J140" s="3"/>
      <c r="K140" s="3"/>
      <c r="L140" s="3"/>
      <c r="M140" s="3"/>
      <c r="N140" s="3"/>
      <c r="O140" s="3"/>
      <c r="P140" s="3"/>
      <c r="Q140" s="3"/>
    </row>
    <row r="141" spans="1:17" ht="15">
      <c r="A141" s="11"/>
      <c r="B141" s="11"/>
      <c r="C141" s="11"/>
      <c r="D141" s="11"/>
      <c r="E141" s="11"/>
      <c r="F141" s="11"/>
      <c r="G141" s="11"/>
      <c r="H141" s="11"/>
      <c r="I141" s="3"/>
      <c r="J141" s="3"/>
      <c r="K141" s="3"/>
      <c r="L141" s="3"/>
      <c r="M141" s="3"/>
      <c r="N141" s="3"/>
      <c r="O141" s="3"/>
      <c r="P141" s="3"/>
      <c r="Q141" s="3"/>
    </row>
    <row r="142" spans="1:17" ht="15">
      <c r="A142" s="11"/>
      <c r="B142" s="11"/>
      <c r="C142" s="11"/>
      <c r="D142" s="11"/>
      <c r="E142" s="11"/>
      <c r="F142" s="11"/>
      <c r="G142" s="11"/>
      <c r="H142" s="11"/>
      <c r="I142" s="3"/>
      <c r="J142" s="3"/>
      <c r="K142" s="3"/>
      <c r="L142" s="3"/>
      <c r="M142" s="3"/>
      <c r="N142" s="3"/>
      <c r="O142" s="3"/>
      <c r="P142" s="3"/>
      <c r="Q142" s="3"/>
    </row>
    <row r="143" spans="1:17" ht="15">
      <c r="A143" s="11"/>
      <c r="B143" s="11"/>
      <c r="C143" s="11"/>
      <c r="D143" s="11"/>
      <c r="E143" s="11"/>
      <c r="F143" s="11"/>
      <c r="G143" s="11"/>
      <c r="H143" s="11"/>
      <c r="I143" s="3"/>
      <c r="J143" s="3"/>
      <c r="K143" s="3"/>
      <c r="L143" s="3"/>
      <c r="M143" s="3"/>
      <c r="N143" s="3"/>
      <c r="O143" s="3"/>
      <c r="P143" s="3"/>
      <c r="Q143" s="3"/>
    </row>
    <row r="144" spans="1:17" ht="15">
      <c r="A144" s="11"/>
      <c r="B144" s="11"/>
      <c r="C144" s="11"/>
      <c r="D144" s="11"/>
      <c r="E144" s="11"/>
      <c r="F144" s="11"/>
      <c r="G144" s="11"/>
      <c r="H144" s="11"/>
      <c r="I144" s="3"/>
      <c r="J144" s="3"/>
      <c r="K144" s="3"/>
      <c r="L144" s="3"/>
      <c r="M144" s="3"/>
      <c r="N144" s="3"/>
      <c r="O144" s="3"/>
      <c r="P144" s="3"/>
      <c r="Q144" s="3"/>
    </row>
    <row r="145" spans="1:17" ht="15">
      <c r="A145" s="11"/>
      <c r="B145" s="11"/>
      <c r="C145" s="11"/>
      <c r="D145" s="11"/>
      <c r="E145" s="11"/>
      <c r="F145" s="11"/>
      <c r="G145" s="11"/>
      <c r="H145" s="11"/>
      <c r="I145" s="3"/>
      <c r="J145" s="3"/>
      <c r="K145" s="3"/>
      <c r="L145" s="3"/>
      <c r="M145" s="3"/>
      <c r="N145" s="3"/>
      <c r="O145" s="3"/>
      <c r="P145" s="3"/>
      <c r="Q145" s="3"/>
    </row>
    <row r="146" spans="1:17" ht="15">
      <c r="A146" s="11"/>
      <c r="B146" s="11"/>
      <c r="C146" s="11"/>
      <c r="D146" s="11"/>
      <c r="E146" s="11"/>
      <c r="F146" s="11"/>
      <c r="G146" s="11"/>
      <c r="H146" s="11"/>
      <c r="I146" s="3"/>
      <c r="J146" s="3"/>
      <c r="K146" s="3"/>
      <c r="L146" s="3"/>
      <c r="M146" s="3"/>
      <c r="N146" s="3"/>
      <c r="O146" s="3"/>
      <c r="P146" s="3"/>
      <c r="Q146" s="3"/>
    </row>
    <row r="147" spans="1:17" ht="15">
      <c r="A147" s="11"/>
      <c r="B147" s="11"/>
      <c r="C147" s="11"/>
      <c r="D147" s="11"/>
      <c r="E147" s="11"/>
      <c r="F147" s="11"/>
      <c r="G147" s="11"/>
      <c r="H147" s="11"/>
      <c r="I147" s="3"/>
      <c r="J147" s="3"/>
      <c r="K147" s="3"/>
      <c r="L147" s="3"/>
      <c r="M147" s="3"/>
      <c r="N147" s="3"/>
      <c r="O147" s="3"/>
      <c r="P147" s="3"/>
      <c r="Q147" s="3"/>
    </row>
    <row r="148" spans="1:17" ht="15">
      <c r="A148" s="11"/>
      <c r="B148" s="11"/>
      <c r="C148" s="11"/>
      <c r="D148" s="11"/>
      <c r="E148" s="11"/>
      <c r="F148" s="11"/>
      <c r="G148" s="11"/>
      <c r="H148" s="11"/>
      <c r="I148" s="3"/>
      <c r="J148" s="3"/>
      <c r="K148" s="3"/>
      <c r="L148" s="3"/>
      <c r="M148" s="3"/>
      <c r="N148" s="3"/>
      <c r="O148" s="3"/>
      <c r="P148" s="3"/>
      <c r="Q148" s="3"/>
    </row>
    <row r="149" spans="1:17" ht="15">
      <c r="A149" s="11"/>
      <c r="B149" s="11"/>
      <c r="C149" s="11"/>
      <c r="D149" s="11"/>
      <c r="E149" s="11"/>
      <c r="F149" s="11"/>
      <c r="G149" s="11"/>
      <c r="H149" s="11"/>
      <c r="I149" s="3"/>
      <c r="J149" s="3"/>
      <c r="K149" s="3"/>
      <c r="L149" s="3"/>
      <c r="M149" s="3"/>
      <c r="N149" s="3"/>
      <c r="O149" s="3"/>
      <c r="P149" s="3"/>
      <c r="Q149" s="3"/>
    </row>
    <row r="150" spans="1:17" ht="15">
      <c r="A150" s="11"/>
      <c r="B150" s="11"/>
      <c r="C150" s="11"/>
      <c r="D150" s="11"/>
      <c r="E150" s="11"/>
      <c r="F150" s="11"/>
      <c r="G150" s="11"/>
      <c r="H150" s="11"/>
      <c r="I150" s="3"/>
      <c r="J150" s="3"/>
      <c r="K150" s="3"/>
      <c r="L150" s="3"/>
      <c r="M150" s="3"/>
      <c r="N150" s="3"/>
      <c r="O150" s="3"/>
      <c r="P150" s="3"/>
      <c r="Q150" s="3"/>
    </row>
    <row r="151" spans="1:17" ht="15">
      <c r="A151" s="11"/>
      <c r="B151" s="11"/>
      <c r="C151" s="11"/>
      <c r="D151" s="11"/>
      <c r="E151" s="11"/>
      <c r="F151" s="11"/>
      <c r="G151" s="11"/>
      <c r="H151" s="11"/>
      <c r="I151" s="3"/>
      <c r="J151" s="3"/>
      <c r="K151" s="3"/>
      <c r="L151" s="3"/>
      <c r="M151" s="3"/>
      <c r="N151" s="3"/>
      <c r="O151" s="3"/>
      <c r="P151" s="3"/>
      <c r="Q151" s="3"/>
    </row>
    <row r="152" spans="1:17" ht="15">
      <c r="A152" s="11"/>
      <c r="B152" s="11"/>
      <c r="C152" s="11"/>
      <c r="D152" s="11"/>
      <c r="E152" s="11"/>
      <c r="F152" s="11"/>
      <c r="G152" s="11"/>
      <c r="H152" s="11"/>
      <c r="I152" s="3"/>
      <c r="J152" s="3"/>
      <c r="K152" s="3"/>
      <c r="L152" s="3"/>
      <c r="M152" s="3"/>
      <c r="N152" s="3"/>
      <c r="O152" s="3"/>
      <c r="P152" s="3"/>
      <c r="Q152" s="3"/>
    </row>
    <row r="153" spans="1:17" ht="15">
      <c r="A153" s="11"/>
      <c r="B153" s="11"/>
      <c r="C153" s="11"/>
      <c r="D153" s="11"/>
      <c r="E153" s="11"/>
      <c r="F153" s="11"/>
      <c r="G153" s="11"/>
      <c r="H153" s="11"/>
      <c r="I153" s="3"/>
      <c r="J153" s="3"/>
      <c r="K153" s="3"/>
      <c r="L153" s="3"/>
      <c r="M153" s="3"/>
      <c r="N153" s="3"/>
      <c r="O153" s="3"/>
      <c r="P153" s="3"/>
      <c r="Q153" s="3"/>
    </row>
    <row r="154" spans="1:17" ht="15">
      <c r="A154" s="11"/>
      <c r="B154" s="11"/>
      <c r="C154" s="11"/>
      <c r="D154" s="11"/>
      <c r="E154" s="11"/>
      <c r="F154" s="11"/>
      <c r="G154" s="11"/>
      <c r="H154" s="11"/>
      <c r="I154" s="3"/>
      <c r="J154" s="3"/>
      <c r="K154" s="3"/>
      <c r="L154" s="3"/>
      <c r="M154" s="3"/>
      <c r="N154" s="3"/>
      <c r="O154" s="3"/>
      <c r="P154" s="3"/>
      <c r="Q154" s="3"/>
    </row>
    <row r="155" spans="1:17" ht="15">
      <c r="A155" s="11"/>
      <c r="B155" s="11"/>
      <c r="C155" s="11"/>
      <c r="D155" s="11"/>
      <c r="E155" s="11"/>
      <c r="F155" s="11"/>
      <c r="G155" s="11"/>
      <c r="H155" s="11"/>
      <c r="I155" s="3"/>
      <c r="J155" s="3"/>
      <c r="K155" s="3"/>
      <c r="L155" s="3"/>
      <c r="M155" s="3"/>
      <c r="N155" s="3"/>
      <c r="O155" s="3"/>
      <c r="P155" s="3"/>
      <c r="Q155" s="3"/>
    </row>
    <row r="156" spans="1:17" ht="15">
      <c r="A156" s="11"/>
      <c r="B156" s="11"/>
      <c r="C156" s="11"/>
      <c r="D156" s="11"/>
      <c r="E156" s="11"/>
      <c r="F156" s="11"/>
      <c r="G156" s="11"/>
      <c r="H156" s="11"/>
      <c r="I156" s="3"/>
      <c r="J156" s="3"/>
      <c r="K156" s="3"/>
      <c r="L156" s="3"/>
      <c r="M156" s="3"/>
      <c r="N156" s="3"/>
      <c r="O156" s="3"/>
      <c r="P156" s="3"/>
      <c r="Q156" s="3"/>
    </row>
    <row r="157" spans="1:17" ht="15">
      <c r="A157" s="11"/>
      <c r="B157" s="11"/>
      <c r="C157" s="11"/>
      <c r="D157" s="11"/>
      <c r="E157" s="11"/>
      <c r="F157" s="11"/>
      <c r="G157" s="11"/>
      <c r="H157" s="11"/>
      <c r="I157" s="3"/>
      <c r="J157" s="3"/>
      <c r="K157" s="3"/>
      <c r="L157" s="3"/>
      <c r="M157" s="3"/>
      <c r="N157" s="3"/>
      <c r="O157" s="3"/>
      <c r="P157" s="3"/>
      <c r="Q157" s="3"/>
    </row>
    <row r="158" spans="1:17" ht="15">
      <c r="A158" s="11"/>
      <c r="B158" s="11"/>
      <c r="C158" s="11"/>
      <c r="D158" s="11"/>
      <c r="E158" s="11"/>
      <c r="F158" s="11"/>
      <c r="G158" s="11"/>
      <c r="H158" s="11"/>
      <c r="I158" s="3"/>
      <c r="J158" s="3"/>
      <c r="K158" s="3"/>
      <c r="L158" s="3"/>
      <c r="M158" s="3"/>
      <c r="N158" s="3"/>
      <c r="O158" s="3"/>
      <c r="P158" s="3"/>
      <c r="Q158" s="3"/>
    </row>
    <row r="159" spans="1:17" ht="15">
      <c r="A159" s="11"/>
      <c r="B159" s="11"/>
      <c r="C159" s="11"/>
      <c r="D159" s="11"/>
      <c r="E159" s="11"/>
      <c r="F159" s="11"/>
      <c r="G159" s="11"/>
      <c r="H159" s="11"/>
      <c r="I159" s="3"/>
      <c r="J159" s="3"/>
      <c r="K159" s="3"/>
      <c r="L159" s="3"/>
      <c r="M159" s="3"/>
      <c r="N159" s="3"/>
      <c r="O159" s="3"/>
      <c r="P159" s="3"/>
      <c r="Q159" s="3"/>
    </row>
    <row r="160" spans="1:17" ht="15">
      <c r="A160" s="11"/>
      <c r="B160" s="11"/>
      <c r="C160" s="11"/>
      <c r="D160" s="11"/>
      <c r="E160" s="11"/>
      <c r="F160" s="11"/>
      <c r="G160" s="11"/>
      <c r="H160" s="11"/>
      <c r="I160" s="3"/>
      <c r="J160" s="3"/>
      <c r="K160" s="3"/>
      <c r="L160" s="3"/>
      <c r="M160" s="3"/>
      <c r="N160" s="3"/>
      <c r="O160" s="3"/>
      <c r="P160" s="3"/>
      <c r="Q160" s="3"/>
    </row>
    <row r="161" spans="1:17" ht="15">
      <c r="A161" s="11"/>
      <c r="B161" s="11"/>
      <c r="C161" s="11"/>
      <c r="D161" s="11"/>
      <c r="E161" s="11"/>
      <c r="F161" s="11"/>
      <c r="G161" s="11"/>
      <c r="H161" s="11"/>
      <c r="I161" s="3"/>
      <c r="J161" s="3"/>
      <c r="K161" s="3"/>
      <c r="L161" s="3"/>
      <c r="M161" s="3"/>
      <c r="N161" s="3"/>
      <c r="O161" s="3"/>
      <c r="P161" s="3"/>
      <c r="Q161" s="3"/>
    </row>
    <row r="162" spans="1:17" ht="15">
      <c r="A162" s="11"/>
      <c r="B162" s="11"/>
      <c r="C162" s="11"/>
      <c r="D162" s="11"/>
      <c r="E162" s="11"/>
      <c r="F162" s="11"/>
      <c r="G162" s="11"/>
      <c r="H162" s="11"/>
      <c r="I162" s="3"/>
      <c r="J162" s="3"/>
      <c r="K162" s="3"/>
      <c r="L162" s="3"/>
      <c r="M162" s="3"/>
      <c r="N162" s="3"/>
      <c r="O162" s="3"/>
      <c r="P162" s="3"/>
      <c r="Q162" s="3"/>
    </row>
    <row r="163" spans="1:17" ht="15">
      <c r="A163" s="11"/>
      <c r="B163" s="11"/>
      <c r="C163" s="11"/>
      <c r="D163" s="11"/>
      <c r="E163" s="11"/>
      <c r="F163" s="11"/>
      <c r="G163" s="11"/>
      <c r="H163" s="11"/>
      <c r="I163" s="3"/>
      <c r="J163" s="3"/>
      <c r="K163" s="3"/>
      <c r="L163" s="3"/>
      <c r="M163" s="3"/>
      <c r="N163" s="3"/>
      <c r="O163" s="3"/>
      <c r="P163" s="3"/>
      <c r="Q163" s="3"/>
    </row>
    <row r="164" spans="1:17" ht="15">
      <c r="A164" s="11"/>
      <c r="B164" s="11"/>
      <c r="C164" s="11"/>
      <c r="D164" s="11"/>
      <c r="E164" s="11"/>
      <c r="F164" s="11"/>
      <c r="G164" s="11"/>
      <c r="H164" s="11"/>
      <c r="I164" s="3"/>
      <c r="J164" s="3"/>
      <c r="K164" s="3"/>
      <c r="L164" s="3"/>
      <c r="M164" s="3"/>
      <c r="N164" s="3"/>
      <c r="O164" s="3"/>
      <c r="P164" s="3"/>
      <c r="Q164" s="3"/>
    </row>
    <row r="165" spans="1:17" ht="15">
      <c r="A165" s="11"/>
      <c r="B165" s="11"/>
      <c r="C165" s="11"/>
      <c r="D165" s="11"/>
      <c r="E165" s="11"/>
      <c r="F165" s="11"/>
      <c r="G165" s="11"/>
      <c r="H165" s="11"/>
      <c r="I165" s="3"/>
      <c r="J165" s="3"/>
      <c r="K165" s="3"/>
      <c r="L165" s="3"/>
      <c r="M165" s="3"/>
      <c r="N165" s="3"/>
      <c r="O165" s="3"/>
      <c r="P165" s="3"/>
      <c r="Q165" s="3"/>
    </row>
    <row r="166" spans="1:17" ht="15">
      <c r="A166" s="11"/>
      <c r="B166" s="11"/>
      <c r="C166" s="11"/>
      <c r="D166" s="11"/>
      <c r="E166" s="11"/>
      <c r="F166" s="11"/>
      <c r="G166" s="11"/>
      <c r="H166" s="11"/>
      <c r="I166" s="3"/>
      <c r="J166" s="3"/>
      <c r="K166" s="3"/>
      <c r="L166" s="3"/>
      <c r="M166" s="3"/>
      <c r="N166" s="3"/>
      <c r="O166" s="3"/>
      <c r="P166" s="3"/>
      <c r="Q166" s="3"/>
    </row>
    <row r="167" spans="1:17" ht="15">
      <c r="A167" s="11"/>
      <c r="B167" s="11"/>
      <c r="C167" s="11"/>
      <c r="D167" s="11"/>
      <c r="E167" s="11"/>
      <c r="F167" s="11"/>
      <c r="G167" s="11"/>
      <c r="H167" s="11"/>
      <c r="I167" s="3"/>
      <c r="J167" s="3"/>
      <c r="K167" s="3"/>
      <c r="L167" s="3"/>
      <c r="M167" s="3"/>
      <c r="N167" s="3"/>
      <c r="O167" s="3"/>
      <c r="P167" s="3"/>
      <c r="Q167" s="3"/>
    </row>
    <row r="168" spans="1:17" ht="15">
      <c r="A168" s="11"/>
      <c r="B168" s="11"/>
      <c r="C168" s="11"/>
      <c r="D168" s="11"/>
      <c r="E168" s="11"/>
      <c r="F168" s="11"/>
      <c r="G168" s="11"/>
      <c r="H168" s="11"/>
      <c r="I168" s="3"/>
      <c r="J168" s="3"/>
      <c r="K168" s="3"/>
      <c r="L168" s="3"/>
      <c r="M168" s="3"/>
      <c r="N168" s="3"/>
      <c r="O168" s="3"/>
      <c r="P168" s="3"/>
      <c r="Q168" s="3"/>
    </row>
    <row r="169" spans="1:17" ht="15">
      <c r="A169" s="11"/>
      <c r="B169" s="11"/>
      <c r="C169" s="11"/>
      <c r="D169" s="11"/>
      <c r="E169" s="11"/>
      <c r="F169" s="11"/>
      <c r="G169" s="11"/>
      <c r="H169" s="11"/>
      <c r="I169" s="3"/>
      <c r="J169" s="3"/>
      <c r="K169" s="3"/>
      <c r="L169" s="3"/>
      <c r="M169" s="3"/>
      <c r="N169" s="3"/>
      <c r="O169" s="3"/>
      <c r="P169" s="3"/>
      <c r="Q169" s="3"/>
    </row>
    <row r="170" spans="1:17" ht="15">
      <c r="A170" s="11"/>
      <c r="B170" s="11"/>
      <c r="C170" s="11"/>
      <c r="D170" s="11"/>
      <c r="E170" s="11"/>
      <c r="F170" s="11"/>
      <c r="G170" s="11"/>
      <c r="H170" s="11"/>
      <c r="I170" s="3"/>
      <c r="J170" s="3"/>
      <c r="K170" s="3"/>
      <c r="L170" s="3"/>
      <c r="M170" s="3"/>
      <c r="N170" s="3"/>
      <c r="O170" s="3"/>
      <c r="P170" s="3"/>
      <c r="Q170" s="3"/>
    </row>
    <row r="171" spans="1:17" ht="15">
      <c r="A171" s="11"/>
      <c r="B171" s="11"/>
      <c r="C171" s="11"/>
      <c r="D171" s="11"/>
      <c r="E171" s="11"/>
      <c r="F171" s="11"/>
      <c r="G171" s="11"/>
      <c r="H171" s="11"/>
      <c r="I171" s="3"/>
      <c r="J171" s="3"/>
      <c r="K171" s="3"/>
      <c r="L171" s="3"/>
      <c r="M171" s="3"/>
      <c r="N171" s="3"/>
      <c r="O171" s="3"/>
      <c r="P171" s="3"/>
      <c r="Q171" s="3"/>
    </row>
    <row r="172" spans="1:17" ht="15">
      <c r="A172" s="11"/>
      <c r="B172" s="11"/>
      <c r="C172" s="11"/>
      <c r="D172" s="11"/>
      <c r="E172" s="11"/>
      <c r="F172" s="11"/>
      <c r="G172" s="11"/>
      <c r="H172" s="11"/>
      <c r="I172" s="3"/>
      <c r="J172" s="3"/>
      <c r="K172" s="3"/>
      <c r="L172" s="3"/>
      <c r="M172" s="3"/>
      <c r="N172" s="3"/>
      <c r="O172" s="3"/>
      <c r="P172" s="3"/>
      <c r="Q172" s="3"/>
    </row>
    <row r="173" spans="1:17" ht="15">
      <c r="A173" s="11"/>
      <c r="B173" s="11"/>
      <c r="C173" s="11"/>
      <c r="D173" s="11"/>
      <c r="E173" s="11"/>
      <c r="F173" s="11"/>
      <c r="G173" s="11"/>
      <c r="H173" s="11"/>
      <c r="I173" s="3"/>
      <c r="J173" s="3"/>
      <c r="K173" s="3"/>
      <c r="L173" s="3"/>
      <c r="M173" s="3"/>
      <c r="N173" s="3"/>
      <c r="O173" s="3"/>
      <c r="P173" s="3"/>
      <c r="Q173" s="3"/>
    </row>
    <row r="174" spans="1:17" ht="15">
      <c r="A174" s="11"/>
      <c r="B174" s="11"/>
      <c r="C174" s="11"/>
      <c r="D174" s="11"/>
      <c r="E174" s="11"/>
      <c r="F174" s="11"/>
      <c r="G174" s="11"/>
      <c r="H174" s="11"/>
      <c r="I174" s="3"/>
      <c r="J174" s="3"/>
      <c r="K174" s="3"/>
      <c r="L174" s="3"/>
      <c r="M174" s="3"/>
      <c r="N174" s="3"/>
      <c r="O174" s="3"/>
      <c r="P174" s="3"/>
      <c r="Q174" s="3"/>
    </row>
    <row r="175" spans="1:17" ht="15">
      <c r="A175" s="11"/>
      <c r="B175" s="11"/>
      <c r="C175" s="11"/>
      <c r="D175" s="11"/>
      <c r="E175" s="11"/>
      <c r="F175" s="11"/>
      <c r="G175" s="11"/>
      <c r="H175" s="11"/>
      <c r="I175" s="3"/>
      <c r="J175" s="3"/>
      <c r="K175" s="3"/>
      <c r="L175" s="3"/>
      <c r="M175" s="3"/>
      <c r="N175" s="3"/>
      <c r="O175" s="3"/>
      <c r="P175" s="3"/>
      <c r="Q175" s="3"/>
    </row>
    <row r="176" spans="1:17" ht="15">
      <c r="A176" s="11"/>
      <c r="B176" s="11"/>
      <c r="C176" s="11"/>
      <c r="D176" s="11"/>
      <c r="E176" s="11"/>
      <c r="F176" s="11"/>
      <c r="G176" s="11"/>
      <c r="H176" s="11"/>
      <c r="I176" s="3"/>
      <c r="J176" s="3"/>
      <c r="K176" s="3"/>
      <c r="L176" s="3"/>
      <c r="M176" s="3"/>
      <c r="N176" s="3"/>
      <c r="O176" s="3"/>
      <c r="P176" s="3"/>
      <c r="Q176" s="3"/>
    </row>
    <row r="177" spans="1:17" ht="15">
      <c r="A177" s="11"/>
      <c r="B177" s="11"/>
      <c r="C177" s="11"/>
      <c r="D177" s="11"/>
      <c r="E177" s="11"/>
      <c r="F177" s="11"/>
      <c r="G177" s="11"/>
      <c r="H177" s="11"/>
      <c r="I177" s="3"/>
      <c r="J177" s="3"/>
      <c r="K177" s="3"/>
      <c r="L177" s="3"/>
      <c r="M177" s="3"/>
      <c r="N177" s="3"/>
      <c r="O177" s="3"/>
      <c r="P177" s="3"/>
      <c r="Q177" s="3"/>
    </row>
    <row r="178" spans="1:17" ht="15">
      <c r="A178" s="11"/>
      <c r="B178" s="11"/>
      <c r="C178" s="11"/>
      <c r="D178" s="11"/>
      <c r="E178" s="11"/>
      <c r="F178" s="11"/>
      <c r="G178" s="11"/>
      <c r="H178" s="11"/>
      <c r="I178" s="3"/>
      <c r="J178" s="3"/>
      <c r="K178" s="3"/>
      <c r="L178" s="3"/>
      <c r="M178" s="3"/>
      <c r="N178" s="3"/>
      <c r="O178" s="3"/>
      <c r="P178" s="3"/>
      <c r="Q178" s="3"/>
    </row>
    <row r="179" spans="1:17" ht="15">
      <c r="A179" s="11"/>
      <c r="B179" s="11"/>
      <c r="C179" s="11"/>
      <c r="D179" s="11"/>
      <c r="E179" s="11"/>
      <c r="F179" s="11"/>
      <c r="G179" s="11"/>
      <c r="H179" s="11"/>
      <c r="I179" s="3"/>
      <c r="J179" s="3"/>
      <c r="K179" s="3"/>
      <c r="L179" s="3"/>
      <c r="M179" s="3"/>
      <c r="N179" s="3"/>
      <c r="O179" s="3"/>
      <c r="P179" s="3"/>
      <c r="Q179" s="3"/>
    </row>
    <row r="180" spans="1:17" ht="15">
      <c r="A180" s="11"/>
      <c r="B180" s="11"/>
      <c r="C180" s="11"/>
      <c r="D180" s="11"/>
      <c r="E180" s="11"/>
      <c r="F180" s="11"/>
      <c r="G180" s="11"/>
      <c r="H180" s="11"/>
      <c r="I180" s="3"/>
      <c r="J180" s="3"/>
      <c r="K180" s="3"/>
      <c r="L180" s="3"/>
      <c r="M180" s="3"/>
      <c r="N180" s="3"/>
      <c r="O180" s="3"/>
      <c r="P180" s="3"/>
      <c r="Q180" s="3"/>
    </row>
    <row r="181" spans="1:17" ht="15">
      <c r="A181" s="11"/>
      <c r="B181" s="11"/>
      <c r="C181" s="11"/>
      <c r="D181" s="11"/>
      <c r="E181" s="11"/>
      <c r="F181" s="11"/>
      <c r="G181" s="11"/>
      <c r="H181" s="11"/>
      <c r="I181" s="3"/>
      <c r="J181" s="3"/>
      <c r="K181" s="3"/>
      <c r="L181" s="3"/>
      <c r="M181" s="3"/>
      <c r="N181" s="3"/>
      <c r="O181" s="3"/>
      <c r="P181" s="3"/>
      <c r="Q181" s="3"/>
    </row>
    <row r="182" spans="1:17" ht="15">
      <c r="A182" s="11"/>
      <c r="B182" s="11"/>
      <c r="C182" s="11"/>
      <c r="D182" s="11"/>
      <c r="E182" s="11"/>
      <c r="F182" s="11"/>
      <c r="G182" s="11"/>
      <c r="H182" s="11"/>
      <c r="I182" s="3"/>
      <c r="J182" s="3"/>
      <c r="K182" s="3"/>
      <c r="L182" s="3"/>
      <c r="M182" s="3"/>
      <c r="N182" s="3"/>
      <c r="O182" s="3"/>
      <c r="P182" s="3"/>
      <c r="Q182" s="3"/>
    </row>
    <row r="183" spans="1:17" ht="15">
      <c r="A183" s="11"/>
      <c r="B183" s="11"/>
      <c r="C183" s="11"/>
      <c r="D183" s="11"/>
      <c r="E183" s="11"/>
      <c r="F183" s="11"/>
      <c r="G183" s="11"/>
      <c r="H183" s="11"/>
      <c r="I183" s="3"/>
      <c r="J183" s="3"/>
      <c r="K183" s="3"/>
      <c r="L183" s="3"/>
      <c r="M183" s="3"/>
      <c r="N183" s="3"/>
      <c r="O183" s="3"/>
      <c r="P183" s="3"/>
      <c r="Q183" s="3"/>
    </row>
    <row r="184" spans="1:17" ht="15">
      <c r="A184" s="11"/>
      <c r="B184" s="11"/>
      <c r="C184" s="11"/>
      <c r="D184" s="11"/>
      <c r="E184" s="11"/>
      <c r="F184" s="11"/>
      <c r="G184" s="11"/>
      <c r="H184" s="11"/>
      <c r="I184" s="3"/>
      <c r="J184" s="3"/>
      <c r="K184" s="3"/>
      <c r="L184" s="3"/>
      <c r="M184" s="3"/>
      <c r="N184" s="3"/>
      <c r="O184" s="3"/>
      <c r="P184" s="3"/>
      <c r="Q184" s="3"/>
    </row>
    <row r="185" spans="1:17" ht="15">
      <c r="A185" s="11"/>
      <c r="B185" s="11"/>
      <c r="C185" s="11"/>
      <c r="D185" s="11"/>
      <c r="E185" s="11"/>
      <c r="F185" s="11"/>
      <c r="G185" s="11"/>
      <c r="H185" s="11"/>
      <c r="I185" s="3"/>
      <c r="J185" s="3"/>
      <c r="K185" s="3"/>
      <c r="L185" s="3"/>
      <c r="M185" s="3"/>
      <c r="N185" s="3"/>
      <c r="O185" s="3"/>
      <c r="P185" s="3"/>
      <c r="Q185" s="3"/>
    </row>
    <row r="186" spans="1:17" ht="15">
      <c r="A186" s="11"/>
      <c r="B186" s="11"/>
      <c r="C186" s="11"/>
      <c r="D186" s="11"/>
      <c r="E186" s="11"/>
      <c r="F186" s="11"/>
      <c r="G186" s="11"/>
      <c r="H186" s="11"/>
      <c r="I186" s="3"/>
      <c r="J186" s="3"/>
      <c r="K186" s="3"/>
      <c r="L186" s="3"/>
      <c r="M186" s="3"/>
      <c r="N186" s="3"/>
      <c r="O186" s="3"/>
      <c r="P186" s="3"/>
      <c r="Q186" s="3"/>
    </row>
    <row r="187" spans="1:17" ht="15">
      <c r="A187" s="11"/>
      <c r="B187" s="11"/>
      <c r="C187" s="11"/>
      <c r="D187" s="11"/>
      <c r="E187" s="11"/>
      <c r="F187" s="11"/>
      <c r="G187" s="11"/>
      <c r="H187" s="11"/>
      <c r="I187" s="3"/>
      <c r="J187" s="3"/>
      <c r="K187" s="3"/>
      <c r="L187" s="3"/>
      <c r="M187" s="3"/>
      <c r="N187" s="3"/>
      <c r="O187" s="3"/>
      <c r="P187" s="3"/>
      <c r="Q187" s="3"/>
    </row>
    <row r="188" spans="1:17" ht="15">
      <c r="A188" s="11"/>
      <c r="B188" s="11"/>
      <c r="C188" s="11"/>
      <c r="D188" s="11"/>
      <c r="E188" s="11"/>
      <c r="F188" s="11"/>
      <c r="G188" s="11"/>
      <c r="H188" s="11"/>
      <c r="I188" s="3"/>
      <c r="J188" s="3"/>
      <c r="K188" s="3"/>
      <c r="L188" s="3"/>
      <c r="M188" s="3"/>
      <c r="N188" s="3"/>
      <c r="O188" s="3"/>
      <c r="P188" s="3"/>
      <c r="Q188" s="3"/>
    </row>
    <row r="189" spans="1:17" ht="15">
      <c r="A189" s="11"/>
      <c r="B189" s="11"/>
      <c r="C189" s="11"/>
      <c r="D189" s="11"/>
      <c r="E189" s="11"/>
      <c r="F189" s="11"/>
      <c r="G189" s="11"/>
      <c r="H189" s="11"/>
      <c r="I189" s="3"/>
      <c r="J189" s="3"/>
      <c r="K189" s="3"/>
      <c r="L189" s="3"/>
      <c r="M189" s="3"/>
      <c r="N189" s="3"/>
      <c r="O189" s="3"/>
      <c r="P189" s="3"/>
      <c r="Q189" s="3"/>
    </row>
    <row r="190" spans="1:17" ht="15">
      <c r="A190" s="11"/>
      <c r="B190" s="11"/>
      <c r="C190" s="11"/>
      <c r="D190" s="11"/>
      <c r="E190" s="11"/>
      <c r="F190" s="11"/>
      <c r="G190" s="11"/>
      <c r="H190" s="11"/>
      <c r="I190" s="3"/>
      <c r="J190" s="3"/>
      <c r="K190" s="3"/>
      <c r="L190" s="3"/>
      <c r="M190" s="3"/>
      <c r="N190" s="3"/>
      <c r="O190" s="3"/>
      <c r="P190" s="3"/>
      <c r="Q190" s="3"/>
    </row>
    <row r="191" spans="1:17" ht="15">
      <c r="A191" s="11"/>
      <c r="B191" s="11"/>
      <c r="C191" s="11"/>
      <c r="D191" s="11"/>
      <c r="E191" s="11"/>
      <c r="F191" s="11"/>
      <c r="G191" s="11"/>
      <c r="H191" s="11"/>
      <c r="I191" s="3"/>
      <c r="J191" s="3"/>
      <c r="K191" s="3"/>
      <c r="L191" s="3"/>
      <c r="M191" s="3"/>
      <c r="N191" s="3"/>
      <c r="O191" s="3"/>
      <c r="P191" s="3"/>
      <c r="Q191" s="3"/>
    </row>
    <row r="192" spans="1:17" ht="15">
      <c r="A192" s="11"/>
      <c r="B192" s="11"/>
      <c r="C192" s="11"/>
      <c r="D192" s="11"/>
      <c r="E192" s="11"/>
      <c r="F192" s="11"/>
      <c r="G192" s="11"/>
      <c r="H192" s="11"/>
      <c r="I192" s="3"/>
      <c r="J192" s="3"/>
      <c r="K192" s="3"/>
      <c r="L192" s="3"/>
      <c r="M192" s="3"/>
      <c r="N192" s="3"/>
      <c r="O192" s="3"/>
      <c r="P192" s="3"/>
      <c r="Q192" s="3"/>
    </row>
    <row r="193" spans="1:17" ht="15">
      <c r="A193" s="11"/>
      <c r="B193" s="11"/>
      <c r="C193" s="11"/>
      <c r="D193" s="11"/>
      <c r="E193" s="11"/>
      <c r="F193" s="11"/>
      <c r="G193" s="11"/>
      <c r="H193" s="11"/>
      <c r="I193" s="3"/>
      <c r="J193" s="3"/>
      <c r="K193" s="3"/>
      <c r="L193" s="3"/>
      <c r="M193" s="3"/>
      <c r="N193" s="3"/>
      <c r="O193" s="3"/>
      <c r="P193" s="3"/>
      <c r="Q193" s="3"/>
    </row>
    <row r="194" spans="1:17" ht="15">
      <c r="A194" s="11"/>
      <c r="B194" s="11"/>
      <c r="C194" s="11"/>
      <c r="D194" s="11"/>
      <c r="E194" s="11"/>
      <c r="F194" s="11"/>
      <c r="G194" s="11"/>
      <c r="H194" s="11"/>
      <c r="I194" s="3"/>
      <c r="J194" s="3"/>
      <c r="K194" s="3"/>
      <c r="L194" s="3"/>
      <c r="M194" s="3"/>
      <c r="N194" s="3"/>
      <c r="O194" s="3"/>
      <c r="P194" s="3"/>
      <c r="Q194" s="3"/>
    </row>
    <row r="195" spans="1:17" ht="15">
      <c r="A195" s="11"/>
      <c r="B195" s="11"/>
      <c r="C195" s="11"/>
      <c r="D195" s="11"/>
      <c r="E195" s="11"/>
      <c r="F195" s="11"/>
      <c r="G195" s="11"/>
      <c r="H195" s="11"/>
      <c r="I195" s="3"/>
      <c r="J195" s="3"/>
      <c r="K195" s="3"/>
      <c r="L195" s="3"/>
      <c r="M195" s="3"/>
      <c r="N195" s="3"/>
      <c r="O195" s="3"/>
      <c r="P195" s="3"/>
      <c r="Q195" s="3"/>
    </row>
    <row r="196" spans="1:17" ht="15">
      <c r="A196" s="11"/>
      <c r="B196" s="11"/>
      <c r="C196" s="11"/>
      <c r="D196" s="11"/>
      <c r="E196" s="11"/>
      <c r="F196" s="11"/>
      <c r="G196" s="11"/>
      <c r="H196" s="11"/>
      <c r="I196" s="3"/>
      <c r="J196" s="3"/>
      <c r="K196" s="3"/>
      <c r="L196" s="3"/>
      <c r="M196" s="3"/>
      <c r="N196" s="3"/>
      <c r="O196" s="3"/>
      <c r="P196" s="3"/>
      <c r="Q196" s="3"/>
    </row>
    <row r="197" spans="1:17" ht="15">
      <c r="A197" s="11"/>
      <c r="B197" s="11"/>
      <c r="C197" s="11"/>
      <c r="D197" s="11"/>
      <c r="E197" s="11"/>
      <c r="F197" s="11"/>
      <c r="G197" s="11"/>
      <c r="H197" s="11"/>
      <c r="I197" s="3"/>
      <c r="J197" s="3"/>
      <c r="K197" s="3"/>
      <c r="L197" s="3"/>
      <c r="M197" s="3"/>
      <c r="N197" s="3"/>
      <c r="O197" s="3"/>
      <c r="P197" s="3"/>
      <c r="Q197" s="3"/>
    </row>
    <row r="198" spans="1:17" ht="15">
      <c r="A198" s="11"/>
      <c r="B198" s="11"/>
      <c r="C198" s="11"/>
      <c r="D198" s="11"/>
      <c r="E198" s="11"/>
      <c r="F198" s="11"/>
      <c r="G198" s="11"/>
      <c r="H198" s="11"/>
      <c r="I198" s="3"/>
      <c r="J198" s="3"/>
      <c r="K198" s="3"/>
      <c r="L198" s="3"/>
      <c r="M198" s="3"/>
      <c r="N198" s="3"/>
      <c r="O198" s="3"/>
      <c r="P198" s="3"/>
      <c r="Q198" s="3"/>
    </row>
    <row r="199" spans="1:17" ht="15">
      <c r="A199" s="11"/>
      <c r="B199" s="11"/>
      <c r="C199" s="11"/>
      <c r="D199" s="11"/>
      <c r="E199" s="11"/>
      <c r="F199" s="11"/>
      <c r="G199" s="11"/>
      <c r="H199" s="11"/>
      <c r="I199" s="3"/>
      <c r="J199" s="3"/>
      <c r="K199" s="3"/>
      <c r="L199" s="3"/>
      <c r="M199" s="3"/>
      <c r="N199" s="3"/>
      <c r="O199" s="3"/>
      <c r="P199" s="3"/>
      <c r="Q199" s="3"/>
    </row>
    <row r="200" spans="1:17" ht="15">
      <c r="A200" s="11"/>
      <c r="B200" s="11"/>
      <c r="C200" s="11"/>
      <c r="D200" s="11"/>
      <c r="E200" s="11"/>
      <c r="F200" s="11"/>
      <c r="G200" s="11"/>
      <c r="H200" s="11"/>
      <c r="I200" s="3"/>
      <c r="J200" s="3"/>
      <c r="K200" s="3"/>
      <c r="L200" s="3"/>
      <c r="M200" s="3"/>
      <c r="N200" s="3"/>
      <c r="O200" s="3"/>
      <c r="P200" s="3"/>
      <c r="Q200" s="3"/>
    </row>
    <row r="201" spans="1:17" ht="15">
      <c r="A201" s="11"/>
      <c r="B201" s="11"/>
      <c r="C201" s="11"/>
      <c r="D201" s="11"/>
      <c r="E201" s="11"/>
      <c r="F201" s="11"/>
      <c r="G201" s="11"/>
      <c r="H201" s="11"/>
      <c r="I201" s="3"/>
      <c r="J201" s="3"/>
      <c r="K201" s="3"/>
      <c r="L201" s="3"/>
      <c r="M201" s="3"/>
      <c r="N201" s="3"/>
      <c r="O201" s="3"/>
      <c r="P201" s="3"/>
      <c r="Q201" s="3"/>
    </row>
    <row r="202" spans="1:17" ht="15">
      <c r="A202" s="11"/>
      <c r="B202" s="11"/>
      <c r="C202" s="11"/>
      <c r="D202" s="11"/>
      <c r="E202" s="11"/>
      <c r="F202" s="11"/>
      <c r="G202" s="11"/>
      <c r="H202" s="11"/>
      <c r="I202" s="3"/>
      <c r="J202" s="3"/>
      <c r="K202" s="3"/>
      <c r="L202" s="3"/>
      <c r="M202" s="3"/>
      <c r="N202" s="3"/>
      <c r="O202" s="3"/>
      <c r="P202" s="3"/>
      <c r="Q202" s="3"/>
    </row>
    <row r="203" spans="1:17" ht="15">
      <c r="A203" s="11"/>
      <c r="B203" s="11"/>
      <c r="C203" s="11"/>
      <c r="D203" s="11"/>
      <c r="E203" s="11"/>
      <c r="F203" s="11"/>
      <c r="G203" s="11"/>
      <c r="H203" s="11"/>
      <c r="I203" s="3"/>
      <c r="J203" s="3"/>
      <c r="K203" s="3"/>
      <c r="L203" s="3"/>
      <c r="M203" s="3"/>
      <c r="N203" s="3"/>
      <c r="O203" s="3"/>
      <c r="P203" s="3"/>
      <c r="Q203" s="3"/>
    </row>
    <row r="204" spans="1:17" ht="15">
      <c r="A204" s="11"/>
      <c r="B204" s="11"/>
      <c r="C204" s="11"/>
      <c r="D204" s="11"/>
      <c r="E204" s="11"/>
      <c r="F204" s="11"/>
      <c r="G204" s="11"/>
      <c r="H204" s="11"/>
      <c r="I204" s="3"/>
      <c r="J204" s="3"/>
      <c r="K204" s="3"/>
      <c r="L204" s="3"/>
      <c r="M204" s="3"/>
      <c r="N204" s="3"/>
      <c r="O204" s="3"/>
      <c r="P204" s="3"/>
      <c r="Q204" s="3"/>
    </row>
    <row r="205" spans="1:17" ht="15">
      <c r="A205" s="11"/>
      <c r="B205" s="11"/>
      <c r="C205" s="11"/>
      <c r="D205" s="11"/>
      <c r="E205" s="11"/>
      <c r="F205" s="11"/>
      <c r="G205" s="11"/>
      <c r="H205" s="11"/>
      <c r="I205" s="3"/>
      <c r="J205" s="3"/>
      <c r="K205" s="3"/>
      <c r="L205" s="3"/>
      <c r="M205" s="3"/>
      <c r="N205" s="3"/>
      <c r="O205" s="3"/>
      <c r="P205" s="3"/>
      <c r="Q205" s="3"/>
    </row>
    <row r="206" spans="1:17" ht="15">
      <c r="A206" s="11"/>
      <c r="B206" s="11"/>
      <c r="C206" s="11"/>
      <c r="D206" s="11"/>
      <c r="E206" s="11"/>
      <c r="F206" s="11"/>
      <c r="G206" s="11"/>
      <c r="H206" s="11"/>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H1"/>
    <mergeCell ref="A2:H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50"/>
  <sheetViews>
    <sheetView workbookViewId="0"/>
  </sheetViews>
  <sheetFormatPr defaultRowHeight="14.25"/>
  <cols>
    <col min="1" max="1" width="14" customWidth="1"/>
    <col min="2" max="2" width="24" customWidth="1"/>
    <col min="3" max="3" width="22" customWidth="1"/>
    <col min="4" max="4" width="16" customWidth="1"/>
    <col min="5" max="5" width="12" customWidth="1"/>
    <col min="6" max="6" width="46" customWidth="1"/>
    <col min="7" max="7" width="34" customWidth="1"/>
  </cols>
  <sheetData>
    <row r="1" spans="1:17" ht="24" customHeight="1">
      <c r="A1" s="32" t="s">
        <v>958</v>
      </c>
      <c r="B1" s="33"/>
      <c r="C1" s="33"/>
      <c r="D1" s="33"/>
      <c r="E1" s="33"/>
      <c r="F1" s="33"/>
      <c r="G1" s="33"/>
      <c r="H1" s="21"/>
      <c r="I1" s="21"/>
      <c r="J1" s="21"/>
      <c r="K1" s="21"/>
      <c r="L1" s="3"/>
      <c r="M1" s="3"/>
      <c r="N1" s="3"/>
      <c r="O1" s="3"/>
      <c r="P1" s="3"/>
      <c r="Q1" s="3"/>
    </row>
    <row r="2" spans="1:17" ht="33.950000000000003" customHeight="1">
      <c r="A2" s="34" t="s">
        <v>959</v>
      </c>
      <c r="B2" s="35"/>
      <c r="C2" s="35"/>
      <c r="D2" s="35"/>
      <c r="E2" s="35"/>
      <c r="F2" s="35"/>
      <c r="G2" s="35"/>
      <c r="H2" s="3"/>
      <c r="I2" s="3"/>
      <c r="J2" s="3"/>
      <c r="K2" s="3"/>
      <c r="L2" s="3"/>
      <c r="M2" s="3"/>
      <c r="N2" s="3"/>
      <c r="O2" s="3"/>
      <c r="P2" s="3"/>
      <c r="Q2" s="3"/>
    </row>
    <row r="3" spans="1:17" ht="15">
      <c r="A3" s="3"/>
      <c r="B3" s="3"/>
      <c r="C3" s="3"/>
      <c r="D3" s="3"/>
      <c r="E3" s="3"/>
      <c r="F3" s="3"/>
      <c r="G3" s="3"/>
      <c r="H3" s="3"/>
      <c r="I3" s="3"/>
      <c r="J3" s="3"/>
      <c r="K3" s="3"/>
      <c r="L3" s="3"/>
      <c r="M3" s="3"/>
      <c r="N3" s="3"/>
      <c r="O3" s="3"/>
      <c r="P3" s="3"/>
      <c r="Q3" s="3"/>
    </row>
    <row r="4" spans="1:17" ht="15">
      <c r="A4" s="3"/>
      <c r="B4" s="3"/>
      <c r="C4" s="3"/>
      <c r="D4" s="3"/>
      <c r="E4" s="3"/>
      <c r="F4" s="3"/>
      <c r="G4" s="3"/>
      <c r="H4" s="3"/>
      <c r="I4" s="3"/>
      <c r="J4" s="3"/>
      <c r="K4" s="3"/>
      <c r="L4" s="3"/>
      <c r="M4" s="3"/>
      <c r="N4" s="3"/>
      <c r="O4" s="3"/>
      <c r="P4" s="3"/>
      <c r="Q4" s="3"/>
    </row>
    <row r="5" spans="1:17" ht="15">
      <c r="A5" s="3"/>
      <c r="B5" s="3"/>
      <c r="C5" s="3"/>
      <c r="D5" s="3"/>
      <c r="E5" s="3"/>
      <c r="F5" s="3"/>
      <c r="G5" s="3"/>
      <c r="H5" s="3"/>
      <c r="I5" s="3"/>
      <c r="J5" s="3"/>
      <c r="K5" s="3"/>
      <c r="L5" s="3"/>
      <c r="M5" s="3"/>
      <c r="N5" s="3"/>
      <c r="O5" s="3"/>
      <c r="P5" s="3"/>
      <c r="Q5" s="3"/>
    </row>
    <row r="6" spans="1:17" ht="26.1" customHeight="1">
      <c r="A6" s="4" t="s">
        <v>960</v>
      </c>
      <c r="B6" s="4" t="s">
        <v>961</v>
      </c>
      <c r="C6" s="4" t="s">
        <v>962</v>
      </c>
      <c r="D6" s="4" t="s">
        <v>963</v>
      </c>
      <c r="E6" s="4" t="s">
        <v>136</v>
      </c>
      <c r="F6" s="4" t="s">
        <v>964</v>
      </c>
      <c r="G6" s="4" t="s">
        <v>137</v>
      </c>
      <c r="H6" s="3"/>
      <c r="I6" s="3"/>
      <c r="J6" s="3"/>
      <c r="K6" s="3"/>
      <c r="L6" s="3"/>
      <c r="M6" s="3"/>
      <c r="N6" s="3"/>
      <c r="O6" s="3"/>
      <c r="P6" s="3"/>
      <c r="Q6" s="3"/>
    </row>
    <row r="7" spans="1:17" ht="15">
      <c r="A7" s="7" t="s">
        <v>965</v>
      </c>
      <c r="B7" s="7" t="s">
        <v>966</v>
      </c>
      <c r="C7" s="7">
        <v>17</v>
      </c>
      <c r="D7" s="7">
        <f>COUNTA(DATA_PROPERTY_MASTER!A7:A206)</f>
        <v>17</v>
      </c>
      <c r="E7" s="7" t="str">
        <f>IF(D7=VALUE(C7),"PASS","REVIEW")</f>
        <v>PASS</v>
      </c>
      <c r="F7" s="8" t="s">
        <v>967</v>
      </c>
      <c r="G7" s="8" t="s">
        <v>968</v>
      </c>
      <c r="H7" s="3"/>
      <c r="I7" s="3"/>
      <c r="J7" s="3"/>
      <c r="K7" s="3"/>
      <c r="L7" s="3"/>
      <c r="M7" s="3"/>
      <c r="N7" s="3"/>
      <c r="O7" s="3"/>
      <c r="P7" s="3"/>
      <c r="Q7" s="3"/>
    </row>
    <row r="8" spans="1:17" ht="15">
      <c r="A8" s="7" t="s">
        <v>969</v>
      </c>
      <c r="B8" s="7" t="s">
        <v>970</v>
      </c>
      <c r="C8" s="7" t="s">
        <v>971</v>
      </c>
      <c r="D8" s="7">
        <f>COUNTIF(DATA_PROPERTY_MASTER!E7:E206,"Yes")</f>
        <v>16</v>
      </c>
      <c r="E8" s="7" t="str">
        <f>IF(D8&gt;=1,"PASS","FAIL")</f>
        <v>PASS</v>
      </c>
      <c r="F8" s="8" t="s">
        <v>972</v>
      </c>
      <c r="G8" s="8" t="s">
        <v>973</v>
      </c>
      <c r="H8" s="3"/>
      <c r="I8" s="3"/>
      <c r="J8" s="3"/>
      <c r="K8" s="3"/>
      <c r="L8" s="3"/>
      <c r="M8" s="3"/>
      <c r="N8" s="3"/>
      <c r="O8" s="3"/>
      <c r="P8" s="3"/>
      <c r="Q8" s="3"/>
    </row>
    <row r="9" spans="1:17" ht="15">
      <c r="A9" s="7" t="s">
        <v>974</v>
      </c>
      <c r="B9" s="7" t="s">
        <v>975</v>
      </c>
      <c r="C9" s="7" t="s">
        <v>976</v>
      </c>
      <c r="D9" s="7">
        <f>COUNTIF(DATA_PROPERTY_MASTER!K7:K206,"Yes")</f>
        <v>2</v>
      </c>
      <c r="E9" s="7" t="str">
        <f>IF(D9=0,"PASS","OPEN")</f>
        <v>OPEN</v>
      </c>
      <c r="F9" s="8" t="s">
        <v>977</v>
      </c>
      <c r="G9" s="8" t="s">
        <v>978</v>
      </c>
      <c r="H9" s="3"/>
      <c r="I9" s="3"/>
      <c r="J9" s="3"/>
      <c r="K9" s="3"/>
      <c r="L9" s="3"/>
      <c r="M9" s="3"/>
      <c r="N9" s="3"/>
      <c r="O9" s="3"/>
      <c r="P9" s="3"/>
      <c r="Q9" s="3"/>
    </row>
    <row r="10" spans="1:17" ht="15">
      <c r="A10" s="7" t="s">
        <v>979</v>
      </c>
      <c r="B10" s="7" t="s">
        <v>980</v>
      </c>
      <c r="C10" s="7" t="s">
        <v>981</v>
      </c>
      <c r="D10" s="7">
        <f>COUNTA(STG_SOURCE_INTAKE!A5:A206)</f>
        <v>5</v>
      </c>
      <c r="E10" s="7" t="str">
        <f>IF(D10&gt;=4,"PASS","OPEN")</f>
        <v>PASS</v>
      </c>
      <c r="F10" s="8" t="s">
        <v>982</v>
      </c>
      <c r="G10" s="8" t="s">
        <v>983</v>
      </c>
      <c r="H10" s="3"/>
      <c r="I10" s="3"/>
      <c r="J10" s="3"/>
      <c r="K10" s="3"/>
      <c r="L10" s="3"/>
      <c r="M10" s="3"/>
      <c r="N10" s="3"/>
      <c r="O10" s="3"/>
      <c r="P10" s="3"/>
      <c r="Q10" s="3"/>
    </row>
    <row r="11" spans="1:17" ht="15">
      <c r="A11" s="7" t="s">
        <v>984</v>
      </c>
      <c r="B11" s="7" t="s">
        <v>985</v>
      </c>
      <c r="C11" s="7" t="s">
        <v>986</v>
      </c>
      <c r="D11" s="7">
        <f>COUNTIFS(DATA_OPERATING_ACTUALS!I7:I306,"Revenue")+COUNTIFS(DATA_OPERATING_ACTUALS!I7:I306,"Operating Expense")</f>
        <v>2</v>
      </c>
      <c r="E11" s="7" t="str">
        <f>IF(D11&gt;=2,"PASS","OPEN")</f>
        <v>PASS</v>
      </c>
      <c r="F11" s="8" t="s">
        <v>987</v>
      </c>
      <c r="G11" s="8" t="s">
        <v>988</v>
      </c>
      <c r="H11" s="3"/>
      <c r="I11" s="3"/>
      <c r="J11" s="3"/>
      <c r="K11" s="3"/>
      <c r="L11" s="3"/>
      <c r="M11" s="3"/>
      <c r="N11" s="3"/>
      <c r="O11" s="3"/>
      <c r="P11" s="3"/>
      <c r="Q11" s="3"/>
    </row>
    <row r="12" spans="1:17" ht="27">
      <c r="A12" s="7" t="s">
        <v>989</v>
      </c>
      <c r="B12" s="7" t="s">
        <v>990</v>
      </c>
      <c r="C12" s="7" t="s">
        <v>991</v>
      </c>
      <c r="D12" s="7">
        <f>COUNTIFS(DATA_DEBT_MASTER!D7:D206,"Yes",DATA_DEBT_MASTER!Q7:Q206,"Partial")</f>
        <v>0</v>
      </c>
      <c r="E12" s="7" t="str">
        <f>IF(D12=0,"PASS","OPEN")</f>
        <v>PASS</v>
      </c>
      <c r="F12" s="8" t="s">
        <v>992</v>
      </c>
      <c r="G12" s="8" t="s">
        <v>993</v>
      </c>
      <c r="H12" s="3"/>
      <c r="I12" s="3"/>
      <c r="J12" s="3"/>
      <c r="K12" s="3"/>
      <c r="L12" s="3"/>
      <c r="M12" s="3"/>
      <c r="N12" s="3"/>
      <c r="O12" s="3"/>
      <c r="P12" s="3"/>
      <c r="Q12" s="3"/>
    </row>
    <row r="13" spans="1:17" ht="15">
      <c r="A13" s="7" t="s">
        <v>994</v>
      </c>
      <c r="B13" s="7" t="s">
        <v>995</v>
      </c>
      <c r="C13" s="7" t="s">
        <v>996</v>
      </c>
      <c r="D13" s="7">
        <f>COUNTIF(DATA_CASH_RESERVES!I7:J206,"Unknown")</f>
        <v>2</v>
      </c>
      <c r="E13" s="7" t="str">
        <f>IF(D13=0,"PASS","OPEN")</f>
        <v>OPEN</v>
      </c>
      <c r="F13" s="8" t="s">
        <v>997</v>
      </c>
      <c r="G13" s="8" t="s">
        <v>998</v>
      </c>
      <c r="H13" s="3"/>
      <c r="I13" s="3"/>
      <c r="J13" s="3"/>
      <c r="K13" s="3"/>
      <c r="L13" s="3"/>
      <c r="M13" s="3"/>
      <c r="N13" s="3"/>
      <c r="O13" s="3"/>
      <c r="P13" s="3"/>
      <c r="Q13" s="3"/>
    </row>
    <row r="14" spans="1:17" ht="15">
      <c r="A14" s="7" t="s">
        <v>999</v>
      </c>
      <c r="B14" s="7" t="s">
        <v>1000</v>
      </c>
      <c r="C14" s="7" t="s">
        <v>1001</v>
      </c>
      <c r="D14" s="7">
        <f>COUNTA(DATA_CAPITAL_NEEDS!A7:A206)</f>
        <v>1</v>
      </c>
      <c r="E14" s="7" t="str">
        <f>IF(D14&gt;=1,"OPEN","OPEN")</f>
        <v>OPEN</v>
      </c>
      <c r="F14" s="8" t="s">
        <v>1002</v>
      </c>
      <c r="G14" s="8" t="s">
        <v>1003</v>
      </c>
      <c r="H14" s="3"/>
      <c r="I14" s="3"/>
      <c r="J14" s="3"/>
      <c r="K14" s="3"/>
      <c r="L14" s="3"/>
      <c r="M14" s="3"/>
      <c r="N14" s="3"/>
      <c r="O14" s="3"/>
      <c r="P14" s="3"/>
      <c r="Q14" s="3"/>
    </row>
    <row r="15" spans="1:17" ht="15">
      <c r="A15" s="7" t="s">
        <v>1004</v>
      </c>
      <c r="B15" s="7" t="s">
        <v>1005</v>
      </c>
      <c r="C15" s="7" t="s">
        <v>1001</v>
      </c>
      <c r="D15" s="7">
        <f>COUNTA(DATA_AGREEMENTS!A7:A206)</f>
        <v>0</v>
      </c>
      <c r="E15" s="7" t="str">
        <f>IF(D15&gt;=1,"PARTIAL","OPEN")</f>
        <v>OPEN</v>
      </c>
      <c r="F15" s="8" t="s">
        <v>1006</v>
      </c>
      <c r="G15" s="8" t="s">
        <v>1007</v>
      </c>
      <c r="H15" s="3"/>
      <c r="I15" s="3"/>
      <c r="J15" s="3"/>
      <c r="K15" s="3"/>
      <c r="L15" s="3"/>
      <c r="M15" s="3"/>
      <c r="N15" s="3"/>
      <c r="O15" s="3"/>
      <c r="P15" s="3"/>
      <c r="Q15" s="3"/>
    </row>
    <row r="16" spans="1:17" ht="15">
      <c r="A16" s="7" t="s">
        <v>1008</v>
      </c>
      <c r="B16" s="7" t="s">
        <v>1009</v>
      </c>
      <c r="C16" s="7" t="s">
        <v>976</v>
      </c>
      <c r="D16" s="7">
        <f>COUNTIF(ASSUMPTIONS_FLAGS!I7:I206,"Open")</f>
        <v>4</v>
      </c>
      <c r="E16" s="7" t="str">
        <f>IF(D16=0,"PASS","OPEN")</f>
        <v>OPEN</v>
      </c>
      <c r="F16" s="8" t="s">
        <v>1010</v>
      </c>
      <c r="G16" s="8" t="s">
        <v>1011</v>
      </c>
      <c r="H16" s="3"/>
      <c r="I16" s="3"/>
      <c r="J16" s="3"/>
      <c r="K16" s="3"/>
      <c r="L16" s="3"/>
      <c r="M16" s="3"/>
      <c r="N16" s="3"/>
      <c r="O16" s="3"/>
      <c r="P16" s="3"/>
      <c r="Q16" s="3"/>
    </row>
    <row r="17" spans="1:17" ht="15">
      <c r="A17" s="3"/>
      <c r="B17" s="3"/>
      <c r="C17" s="3"/>
      <c r="D17" s="3"/>
      <c r="E17" s="3"/>
      <c r="F17" s="3"/>
      <c r="G17" s="3"/>
      <c r="H17" s="3"/>
      <c r="I17" s="3"/>
      <c r="J17" s="3"/>
      <c r="K17" s="3"/>
      <c r="L17" s="3"/>
      <c r="M17" s="3"/>
      <c r="N17" s="3"/>
      <c r="O17" s="3"/>
      <c r="P17" s="3"/>
      <c r="Q17" s="3"/>
    </row>
    <row r="18" spans="1:17" ht="15">
      <c r="A18" s="3"/>
      <c r="B18" s="3"/>
      <c r="C18" s="3"/>
      <c r="D18" s="3"/>
      <c r="E18" s="3"/>
      <c r="F18" s="3"/>
      <c r="G18" s="3"/>
      <c r="H18" s="3"/>
      <c r="I18" s="3"/>
      <c r="J18" s="3"/>
      <c r="K18" s="3"/>
      <c r="L18" s="3"/>
      <c r="M18" s="3"/>
      <c r="N18" s="3"/>
      <c r="O18" s="3"/>
      <c r="P18" s="3"/>
      <c r="Q18" s="3"/>
    </row>
    <row r="19" spans="1:17" ht="15">
      <c r="A19" s="3"/>
      <c r="B19" s="3"/>
      <c r="C19" s="3"/>
      <c r="D19" s="3"/>
      <c r="E19" s="3"/>
      <c r="F19" s="3"/>
      <c r="G19" s="3"/>
      <c r="H19" s="3"/>
      <c r="I19" s="3"/>
      <c r="J19" s="3"/>
      <c r="K19" s="3"/>
      <c r="L19" s="3"/>
      <c r="M19" s="3"/>
      <c r="N19" s="3"/>
      <c r="O19" s="3"/>
      <c r="P19" s="3"/>
      <c r="Q19" s="3"/>
    </row>
    <row r="20" spans="1:17" ht="15">
      <c r="A20" s="3"/>
      <c r="B20" s="3"/>
      <c r="C20" s="3"/>
      <c r="D20" s="3"/>
      <c r="E20" s="3"/>
      <c r="F20" s="3"/>
      <c r="G20" s="3"/>
      <c r="H20" s="3"/>
      <c r="I20" s="3"/>
      <c r="J20" s="3"/>
      <c r="K20" s="3"/>
      <c r="L20" s="3"/>
      <c r="M20" s="3"/>
      <c r="N20" s="3"/>
      <c r="O20" s="3"/>
      <c r="P20" s="3"/>
      <c r="Q20" s="3"/>
    </row>
    <row r="21" spans="1:17" ht="15">
      <c r="A21" s="3"/>
      <c r="B21" s="3"/>
      <c r="C21" s="3"/>
      <c r="D21" s="3"/>
      <c r="E21" s="3"/>
      <c r="F21" s="3"/>
      <c r="G21" s="3"/>
      <c r="H21" s="3"/>
      <c r="I21" s="3"/>
      <c r="J21" s="3"/>
      <c r="K21" s="3"/>
      <c r="L21" s="3"/>
      <c r="M21" s="3"/>
      <c r="N21" s="3"/>
      <c r="O21" s="3"/>
      <c r="P21" s="3"/>
      <c r="Q21" s="3"/>
    </row>
    <row r="22" spans="1:17" ht="15">
      <c r="A22" s="3"/>
      <c r="B22" s="3"/>
      <c r="C22" s="3"/>
      <c r="D22" s="3"/>
      <c r="E22" s="3"/>
      <c r="F22" s="3"/>
      <c r="G22" s="3"/>
      <c r="H22" s="3"/>
      <c r="I22" s="3"/>
      <c r="J22" s="3"/>
      <c r="K22" s="3"/>
      <c r="L22" s="3"/>
      <c r="M22" s="3"/>
      <c r="N22" s="3"/>
      <c r="O22" s="3"/>
      <c r="P22" s="3"/>
      <c r="Q22" s="3"/>
    </row>
    <row r="23" spans="1:17" ht="15">
      <c r="A23" s="3"/>
      <c r="B23" s="3"/>
      <c r="C23" s="3"/>
      <c r="D23" s="3"/>
      <c r="E23" s="3"/>
      <c r="F23" s="3"/>
      <c r="G23" s="3"/>
      <c r="H23" s="3"/>
      <c r="I23" s="3"/>
      <c r="J23" s="3"/>
      <c r="K23" s="3"/>
      <c r="L23" s="3"/>
      <c r="M23" s="3"/>
      <c r="N23" s="3"/>
      <c r="O23" s="3"/>
      <c r="P23" s="3"/>
      <c r="Q23" s="3"/>
    </row>
    <row r="24" spans="1:17" ht="15">
      <c r="A24" s="3"/>
      <c r="B24" s="3"/>
      <c r="C24" s="3"/>
      <c r="D24" s="3"/>
      <c r="E24" s="3"/>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3"/>
      <c r="B26" s="3"/>
      <c r="C26" s="3"/>
      <c r="D26" s="3"/>
      <c r="E26" s="3"/>
      <c r="F26" s="3"/>
      <c r="G26" s="3"/>
      <c r="H26" s="3"/>
      <c r="I26" s="3"/>
      <c r="J26" s="3"/>
      <c r="K26" s="3"/>
      <c r="L26" s="3"/>
      <c r="M26" s="3"/>
      <c r="N26" s="3"/>
      <c r="O26" s="3"/>
      <c r="P26" s="3"/>
      <c r="Q26" s="3"/>
    </row>
    <row r="27" spans="1:17" ht="15">
      <c r="A27" s="3"/>
      <c r="B27" s="3"/>
      <c r="C27" s="3"/>
      <c r="D27" s="3"/>
      <c r="E27" s="3"/>
      <c r="F27" s="3"/>
      <c r="G27" s="3"/>
      <c r="H27" s="3"/>
      <c r="I27" s="3"/>
      <c r="J27" s="3"/>
      <c r="K27" s="3"/>
      <c r="L27" s="3"/>
      <c r="M27" s="3"/>
      <c r="N27" s="3"/>
      <c r="O27" s="3"/>
      <c r="P27" s="3"/>
      <c r="Q27" s="3"/>
    </row>
    <row r="28" spans="1:17" ht="15">
      <c r="A28" s="3"/>
      <c r="B28" s="3"/>
      <c r="C28" s="3"/>
      <c r="D28" s="3"/>
      <c r="E28" s="3"/>
      <c r="F28" s="3"/>
      <c r="G28" s="3"/>
      <c r="H28" s="3"/>
      <c r="I28" s="3"/>
      <c r="J28" s="3"/>
      <c r="K28" s="3"/>
      <c r="L28" s="3"/>
      <c r="M28" s="3"/>
      <c r="N28" s="3"/>
      <c r="O28" s="3"/>
      <c r="P28" s="3"/>
      <c r="Q28" s="3"/>
    </row>
    <row r="29" spans="1:17" ht="15">
      <c r="A29" s="3"/>
      <c r="B29" s="3"/>
      <c r="C29" s="3"/>
      <c r="D29" s="3"/>
      <c r="E29" s="3"/>
      <c r="F29" s="3"/>
      <c r="G29" s="3"/>
      <c r="H29" s="3"/>
      <c r="I29" s="3"/>
      <c r="J29" s="3"/>
      <c r="K29" s="3"/>
      <c r="L29" s="3"/>
      <c r="M29" s="3"/>
      <c r="N29" s="3"/>
      <c r="O29" s="3"/>
      <c r="P29" s="3"/>
      <c r="Q29" s="3"/>
    </row>
    <row r="30" spans="1:17" ht="15">
      <c r="A30" s="3"/>
      <c r="B30" s="3"/>
      <c r="C30" s="3"/>
      <c r="D30" s="3"/>
      <c r="E30" s="3"/>
      <c r="F30" s="3"/>
      <c r="G30" s="3"/>
      <c r="H30" s="3"/>
      <c r="I30" s="3"/>
      <c r="J30" s="3"/>
      <c r="K30" s="3"/>
      <c r="L30" s="3"/>
      <c r="M30" s="3"/>
      <c r="N30" s="3"/>
      <c r="O30" s="3"/>
      <c r="P30" s="3"/>
      <c r="Q30" s="3"/>
    </row>
    <row r="31" spans="1:17" ht="15">
      <c r="A31" s="3"/>
      <c r="B31" s="3"/>
      <c r="C31" s="3"/>
      <c r="D31" s="3"/>
      <c r="E31" s="3"/>
      <c r="F31" s="3"/>
      <c r="G31" s="3"/>
      <c r="H31" s="3"/>
      <c r="I31" s="3"/>
      <c r="J31" s="3"/>
      <c r="K31" s="3"/>
      <c r="L31" s="3"/>
      <c r="M31" s="3"/>
      <c r="N31" s="3"/>
      <c r="O31" s="3"/>
      <c r="P31" s="3"/>
      <c r="Q31" s="3"/>
    </row>
    <row r="32" spans="1:17" ht="15">
      <c r="A32" s="3"/>
      <c r="B32" s="3"/>
      <c r="C32" s="3"/>
      <c r="D32" s="3"/>
      <c r="E32" s="3"/>
      <c r="F32" s="3"/>
      <c r="G32" s="3"/>
      <c r="H32" s="3"/>
      <c r="I32" s="3"/>
      <c r="J32" s="3"/>
      <c r="K32" s="3"/>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3"/>
      <c r="B34" s="3"/>
      <c r="C34" s="3"/>
      <c r="D34" s="3"/>
      <c r="E34" s="3"/>
      <c r="F34" s="3"/>
      <c r="G34" s="3"/>
      <c r="H34" s="3"/>
      <c r="I34" s="3"/>
      <c r="J34" s="3"/>
      <c r="K34" s="3"/>
      <c r="L34" s="3"/>
      <c r="M34" s="3"/>
      <c r="N34" s="3"/>
      <c r="O34" s="3"/>
      <c r="P34" s="3"/>
      <c r="Q34" s="3"/>
    </row>
    <row r="35" spans="1:17" ht="15">
      <c r="A35" s="3"/>
      <c r="B35" s="3"/>
      <c r="C35" s="3"/>
      <c r="D35" s="3"/>
      <c r="E35" s="3"/>
      <c r="F35" s="3"/>
      <c r="G35" s="3"/>
      <c r="H35" s="3"/>
      <c r="I35" s="3"/>
      <c r="J35" s="3"/>
      <c r="K35" s="3"/>
      <c r="L35" s="3"/>
      <c r="M35" s="3"/>
      <c r="N35" s="3"/>
      <c r="O35" s="3"/>
      <c r="P35" s="3"/>
      <c r="Q35" s="3"/>
    </row>
    <row r="36" spans="1:17" ht="15">
      <c r="A36" s="3"/>
      <c r="B36" s="3"/>
      <c r="C36" s="3"/>
      <c r="D36" s="3"/>
      <c r="E36" s="3"/>
      <c r="F36" s="3"/>
      <c r="G36" s="3"/>
      <c r="H36" s="3"/>
      <c r="I36" s="3"/>
      <c r="J36" s="3"/>
      <c r="K36" s="3"/>
      <c r="L36" s="3"/>
      <c r="M36" s="3"/>
      <c r="N36" s="3"/>
      <c r="O36" s="3"/>
      <c r="P36" s="3"/>
      <c r="Q36" s="3"/>
    </row>
    <row r="37" spans="1:17" ht="15">
      <c r="A37" s="3"/>
      <c r="B37" s="3"/>
      <c r="C37" s="3"/>
      <c r="D37" s="3"/>
      <c r="E37" s="3"/>
      <c r="F37" s="3"/>
      <c r="G37" s="3"/>
      <c r="H37" s="3"/>
      <c r="I37" s="3"/>
      <c r="J37" s="3"/>
      <c r="K37" s="3"/>
      <c r="L37" s="3"/>
      <c r="M37" s="3"/>
      <c r="N37" s="3"/>
      <c r="O37" s="3"/>
      <c r="P37" s="3"/>
      <c r="Q37" s="3"/>
    </row>
    <row r="38" spans="1:17" ht="15">
      <c r="A38" s="3"/>
      <c r="B38" s="3"/>
      <c r="C38" s="3"/>
      <c r="D38" s="3"/>
      <c r="E38" s="3"/>
      <c r="F38" s="3"/>
      <c r="G38" s="3"/>
      <c r="H38" s="3"/>
      <c r="I38" s="3"/>
      <c r="J38" s="3"/>
      <c r="K38" s="3"/>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3"/>
      <c r="B40" s="3"/>
      <c r="C40" s="3"/>
      <c r="D40" s="3"/>
      <c r="E40" s="3"/>
      <c r="F40" s="3"/>
      <c r="G40" s="3"/>
      <c r="H40" s="3"/>
      <c r="I40" s="3"/>
      <c r="J40" s="3"/>
      <c r="K40" s="3"/>
      <c r="L40" s="3"/>
      <c r="M40" s="3"/>
      <c r="N40" s="3"/>
      <c r="O40" s="3"/>
      <c r="P40" s="3"/>
      <c r="Q40" s="3"/>
    </row>
    <row r="41" spans="1:17" ht="15">
      <c r="A41" s="3"/>
      <c r="B41" s="3"/>
      <c r="C41" s="3"/>
      <c r="D41" s="3"/>
      <c r="E41" s="3"/>
      <c r="F41" s="3"/>
      <c r="G41" s="3"/>
      <c r="H41" s="3"/>
      <c r="I41" s="3"/>
      <c r="J41" s="3"/>
      <c r="K41" s="3"/>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2">
    <mergeCell ref="A1:G1"/>
    <mergeCell ref="A2:G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1000-000000000000}">
          <x14:formula1>
            <xm:f>_LISTS!$F$2:$F$6</xm:f>
          </x14:formula1>
          <xm:sqref>E7:E206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250"/>
  <sheetViews>
    <sheetView workbookViewId="0"/>
  </sheetViews>
  <sheetFormatPr defaultRowHeight="14.25"/>
  <cols>
    <col min="1" max="1" width="16" customWidth="1"/>
    <col min="2" max="2" width="12" customWidth="1"/>
    <col min="3" max="4" width="16" customWidth="1"/>
    <col min="5" max="5" width="14" customWidth="1"/>
    <col min="6" max="7" width="16" customWidth="1"/>
    <col min="8" max="8" width="14" customWidth="1"/>
    <col min="9" max="11" width="16" customWidth="1"/>
  </cols>
  <sheetData>
    <row r="1" spans="1:17" ht="30" customHeight="1">
      <c r="A1" s="32" t="s">
        <v>1012</v>
      </c>
      <c r="B1" s="33"/>
      <c r="C1" s="33"/>
      <c r="D1" s="33"/>
      <c r="E1" s="33"/>
      <c r="F1" s="33"/>
      <c r="G1" s="33"/>
      <c r="H1" s="33"/>
      <c r="I1" s="33"/>
      <c r="J1" s="33"/>
      <c r="K1" s="33"/>
      <c r="L1" s="3"/>
      <c r="M1" s="3"/>
      <c r="N1" s="3"/>
      <c r="O1" s="3"/>
      <c r="P1" s="3"/>
      <c r="Q1" s="3"/>
    </row>
    <row r="2" spans="1:17" ht="21.95" customHeight="1">
      <c r="A2" s="38" t="s">
        <v>1013</v>
      </c>
      <c r="B2" s="35"/>
      <c r="C2" s="35"/>
      <c r="D2" s="35"/>
      <c r="E2" s="35"/>
      <c r="F2" s="35"/>
      <c r="G2" s="35"/>
      <c r="H2" s="35"/>
      <c r="I2" s="35"/>
      <c r="J2" s="35"/>
      <c r="K2" s="35"/>
      <c r="L2" s="3"/>
      <c r="M2" s="3"/>
      <c r="N2" s="3"/>
      <c r="O2" s="3"/>
      <c r="P2" s="3"/>
      <c r="Q2" s="3"/>
    </row>
    <row r="3" spans="1:17" ht="15">
      <c r="A3" s="3"/>
      <c r="B3" s="3"/>
      <c r="C3" s="3"/>
      <c r="D3" s="3"/>
      <c r="E3" s="3"/>
      <c r="F3" s="3"/>
      <c r="G3" s="3"/>
      <c r="H3" s="3"/>
      <c r="I3" s="3"/>
      <c r="J3" s="3"/>
      <c r="K3" s="3"/>
      <c r="L3" s="3"/>
      <c r="M3" s="3"/>
      <c r="N3" s="3"/>
      <c r="O3" s="3"/>
      <c r="P3" s="3"/>
      <c r="Q3" s="3"/>
    </row>
    <row r="4" spans="1:17" ht="15">
      <c r="A4" s="39" t="s">
        <v>1014</v>
      </c>
      <c r="B4" s="39"/>
      <c r="C4" s="3"/>
      <c r="D4" s="39" t="s">
        <v>906</v>
      </c>
      <c r="E4" s="39"/>
      <c r="F4" s="3"/>
      <c r="G4" s="39" t="s">
        <v>909</v>
      </c>
      <c r="H4" s="39"/>
      <c r="I4" s="3"/>
      <c r="J4" s="39" t="s">
        <v>1015</v>
      </c>
      <c r="K4" s="39"/>
      <c r="L4" s="3"/>
      <c r="M4" s="3"/>
      <c r="N4" s="3"/>
      <c r="O4" s="3"/>
      <c r="P4" s="3"/>
      <c r="Q4" s="3"/>
    </row>
    <row r="5" spans="1:17" ht="15">
      <c r="A5" s="40">
        <f>INDEX(DATA_METRIC_LONG!$E:$E,MATCH("Total Properties",DATA_METRIC_LONG!$B:$B,0))</f>
        <v>17</v>
      </c>
      <c r="B5" s="40"/>
      <c r="C5" s="3"/>
      <c r="D5" s="40">
        <f>INDEX(DATA_METRIC_LONG!$E:$E,MATCH("Existing Assets",DATA_METRIC_LONG!$B:$B,0))</f>
        <v>12</v>
      </c>
      <c r="E5" s="40"/>
      <c r="F5" s="3"/>
      <c r="G5" s="40">
        <f>INDEX(DATA_METRIC_LONG!$E:$E,MATCH("New / Future Projects",DATA_METRIC_LONG!$B:$B,0))</f>
        <v>4</v>
      </c>
      <c r="H5" s="40"/>
      <c r="I5" s="3"/>
      <c r="J5" s="40" t="str">
        <f>IF(COUNTIF(DATA_QUALITY_CHECKS!$E$7:$E$16,"OPEN")&gt;0,"Conditional","Ready")</f>
        <v>Conditional</v>
      </c>
      <c r="K5" s="40"/>
      <c r="L5" s="3"/>
      <c r="M5" s="3"/>
      <c r="N5" s="3"/>
      <c r="O5" s="3"/>
      <c r="P5" s="3"/>
      <c r="Q5" s="3"/>
    </row>
    <row r="6" spans="1:17" ht="15">
      <c r="A6" s="40"/>
      <c r="B6" s="40"/>
      <c r="C6" s="3"/>
      <c r="D6" s="40"/>
      <c r="E6" s="40"/>
      <c r="F6" s="3"/>
      <c r="G6" s="40"/>
      <c r="H6" s="40"/>
      <c r="I6" s="3"/>
      <c r="J6" s="40"/>
      <c r="K6" s="40"/>
      <c r="L6" s="3"/>
      <c r="M6" s="3"/>
      <c r="N6" s="3"/>
      <c r="O6" s="3"/>
      <c r="P6" s="3"/>
      <c r="Q6" s="3"/>
    </row>
    <row r="7" spans="1:17" ht="15">
      <c r="A7" s="3"/>
      <c r="B7" s="3"/>
      <c r="C7" s="3"/>
      <c r="D7" s="3"/>
      <c r="E7" s="3"/>
      <c r="F7" s="3"/>
      <c r="G7" s="3"/>
      <c r="H7" s="3"/>
      <c r="I7" s="3"/>
      <c r="J7" s="3"/>
      <c r="K7" s="3"/>
      <c r="L7" s="3"/>
      <c r="M7" s="3"/>
      <c r="N7" s="3"/>
      <c r="O7" s="3"/>
      <c r="P7" s="3"/>
      <c r="Q7" s="3"/>
    </row>
    <row r="8" spans="1:17" ht="15">
      <c r="A8" s="41" t="s">
        <v>1016</v>
      </c>
      <c r="B8" s="35"/>
      <c r="C8" s="35"/>
      <c r="D8" s="35"/>
      <c r="E8" s="35"/>
      <c r="F8" s="3"/>
      <c r="G8" s="41" t="s">
        <v>1017</v>
      </c>
      <c r="H8" s="35"/>
      <c r="I8" s="35"/>
      <c r="J8" s="35"/>
      <c r="K8" s="35"/>
      <c r="L8" s="3"/>
      <c r="M8" s="3"/>
      <c r="N8" s="3"/>
      <c r="O8" s="3"/>
      <c r="P8" s="3"/>
      <c r="Q8" s="3"/>
    </row>
    <row r="9" spans="1:17" ht="15">
      <c r="A9" s="18" t="s">
        <v>1018</v>
      </c>
      <c r="B9" s="18"/>
      <c r="C9" s="42" t="s">
        <v>1019</v>
      </c>
      <c r="D9" s="42"/>
      <c r="E9" s="42"/>
      <c r="F9" s="3"/>
      <c r="G9" s="43" t="s">
        <v>1020</v>
      </c>
      <c r="H9" s="43"/>
      <c r="I9" s="44" t="str">
        <f>IF(INDEX(DATA_QUALITY_CHECKS!$E:$E,MATCH("QC-MVP-001",DATA_QUALITY_CHECKS!$A:$A,0))="PASS","Complete","Review")</f>
        <v>Complete</v>
      </c>
      <c r="J9" s="44"/>
      <c r="K9" s="44"/>
      <c r="L9" s="3"/>
      <c r="M9" s="3"/>
      <c r="N9" s="3"/>
      <c r="O9" s="3"/>
      <c r="P9" s="3"/>
      <c r="Q9" s="3"/>
    </row>
    <row r="10" spans="1:17" ht="15">
      <c r="A10" s="18" t="s">
        <v>1021</v>
      </c>
      <c r="B10" s="18"/>
      <c r="C10" s="42" t="s">
        <v>1022</v>
      </c>
      <c r="D10" s="42"/>
      <c r="E10" s="42"/>
      <c r="F10" s="3"/>
      <c r="G10" s="43" t="s">
        <v>1023</v>
      </c>
      <c r="H10" s="43"/>
      <c r="I10" s="44" t="str">
        <f>IF(INDEX(DATA_QUALITY_CHECKS!$E:$E,MATCH("QC-MVP-003",DATA_QUALITY_CHECKS!$A:$A,0))="PASS","Complete","Partial / Conflict")</f>
        <v>Partial / Conflict</v>
      </c>
      <c r="J10" s="44"/>
      <c r="K10" s="44"/>
      <c r="L10" s="3"/>
      <c r="M10" s="3"/>
      <c r="N10" s="3"/>
      <c r="O10" s="3"/>
      <c r="P10" s="3"/>
      <c r="Q10" s="3"/>
    </row>
    <row r="11" spans="1:17" ht="15">
      <c r="A11" s="18" t="s">
        <v>1024</v>
      </c>
      <c r="B11" s="18"/>
      <c r="C11" s="42" t="s">
        <v>755</v>
      </c>
      <c r="D11" s="42"/>
      <c r="E11" s="42"/>
      <c r="F11" s="3"/>
      <c r="G11" s="43" t="s">
        <v>1025</v>
      </c>
      <c r="H11" s="43"/>
      <c r="I11" s="44" t="str">
        <f>IF(INDEX(DATA_QUALITY_CHECKS!$E:$E,MATCH("QC-MVP-005",DATA_QUALITY_CHECKS!$A:$A,0))="PASS","Complete","Partial")</f>
        <v>Complete</v>
      </c>
      <c r="J11" s="44"/>
      <c r="K11" s="44"/>
      <c r="L11" s="3"/>
      <c r="M11" s="3"/>
      <c r="N11" s="3"/>
      <c r="O11" s="3"/>
      <c r="P11" s="3"/>
      <c r="Q11" s="3"/>
    </row>
    <row r="12" spans="1:17" ht="27">
      <c r="A12" s="18" t="s">
        <v>1026</v>
      </c>
      <c r="B12" s="18"/>
      <c r="C12" s="42" t="s">
        <v>1027</v>
      </c>
      <c r="D12" s="42"/>
      <c r="E12" s="42"/>
      <c r="F12" s="3"/>
      <c r="G12" s="43" t="s">
        <v>1028</v>
      </c>
      <c r="H12" s="43"/>
      <c r="I12" s="44" t="str">
        <f>IF(INDEX(DATA_QUALITY_CHECKS!$E:$E,MATCH("QC-MVP-006",DATA_QUALITY_CHECKS!$A:$A,0))="PASS","Available / Source-based","Open")</f>
        <v>Available / Source-based</v>
      </c>
      <c r="J12" s="44"/>
      <c r="K12" s="44"/>
      <c r="L12" s="3"/>
      <c r="M12" s="3"/>
      <c r="N12" s="3"/>
      <c r="O12" s="3"/>
      <c r="P12" s="3"/>
      <c r="Q12" s="3"/>
    </row>
    <row r="13" spans="1:17" ht="15">
      <c r="A13" s="18" t="s">
        <v>1029</v>
      </c>
      <c r="B13" s="18"/>
      <c r="C13" s="42" t="str">
        <f>IF(COUNTIF(DATA_QUALITY_CHECKS!$E$7:$E$16,"OPEN")&gt;0,"Partial / Conditional","Ready")</f>
        <v>Partial / Conditional</v>
      </c>
      <c r="D13" s="42"/>
      <c r="E13" s="42"/>
      <c r="F13" s="3"/>
      <c r="G13" s="43" t="s">
        <v>1030</v>
      </c>
      <c r="H13" s="43"/>
      <c r="I13" s="44" t="str">
        <f>IF(INDEX(DATA_QUALITY_CHECKS!$E:$E,MATCH("QC-MVP-007",DATA_QUALITY_CHECKS!$A:$A,0))="PASS","Complete","Conditional")</f>
        <v>Conditional</v>
      </c>
      <c r="J13" s="44"/>
      <c r="K13" s="44"/>
      <c r="L13" s="3"/>
      <c r="M13" s="3"/>
      <c r="N13" s="3"/>
      <c r="O13" s="3"/>
      <c r="P13" s="3"/>
      <c r="Q13" s="3"/>
    </row>
    <row r="14" spans="1:17" ht="15">
      <c r="A14" s="18" t="s">
        <v>1031</v>
      </c>
      <c r="B14" s="18"/>
      <c r="C14" s="42" t="s">
        <v>1032</v>
      </c>
      <c r="D14" s="42"/>
      <c r="E14" s="42"/>
      <c r="F14" s="3"/>
      <c r="G14" s="43" t="s">
        <v>957</v>
      </c>
      <c r="H14" s="43"/>
      <c r="I14" s="44" t="str">
        <f>IF(INDEX(DATA_QUALITY_CHECKS!$E:$E,MATCH("QC-MVP-008",DATA_QUALITY_CHECKS!$A:$A,0))="PASS","Complete","Conditional")</f>
        <v>Conditional</v>
      </c>
      <c r="J14" s="44"/>
      <c r="K14" s="44"/>
      <c r="L14" s="3"/>
      <c r="M14" s="3"/>
      <c r="N14" s="3"/>
      <c r="O14" s="3"/>
      <c r="P14" s="3"/>
      <c r="Q14" s="3"/>
    </row>
    <row r="15" spans="1:17" ht="15">
      <c r="A15" s="3"/>
      <c r="B15" s="3"/>
      <c r="C15" s="3"/>
      <c r="D15" s="3"/>
      <c r="E15" s="3"/>
      <c r="F15" s="3"/>
      <c r="G15" s="43" t="s">
        <v>1033</v>
      </c>
      <c r="H15" s="43"/>
      <c r="I15" s="44" t="str">
        <f>IF(INDEX(DATA_QUALITY_CHECKS!$E:$E,MATCH("QC-MVP-009",DATA_QUALITY_CHECKS!$A:$A,0))="PASS","Complete","Partial")</f>
        <v>Partial</v>
      </c>
      <c r="J15" s="44"/>
      <c r="K15" s="44"/>
      <c r="L15" s="3"/>
      <c r="M15" s="3"/>
      <c r="N15" s="3"/>
      <c r="O15" s="3"/>
      <c r="P15" s="3"/>
      <c r="Q15" s="3"/>
    </row>
    <row r="16" spans="1:17" ht="15">
      <c r="A16" s="3"/>
      <c r="B16" s="3"/>
      <c r="C16" s="3"/>
      <c r="D16" s="3"/>
      <c r="E16" s="3"/>
      <c r="F16" s="3"/>
      <c r="G16" s="43" t="s">
        <v>1034</v>
      </c>
      <c r="H16" s="43"/>
      <c r="I16" s="44" t="str">
        <f>IF(INDEX(DATA_QUALITY_CHECKS!$E:$E,MATCH("QC-MVP-004",DATA_QUALITY_CHECKS!$A:$A,0))="PASS","Complete","Open")</f>
        <v>Complete</v>
      </c>
      <c r="J16" s="44"/>
      <c r="K16" s="44"/>
      <c r="L16" s="3"/>
      <c r="M16" s="3"/>
      <c r="N16" s="3"/>
      <c r="O16" s="3"/>
      <c r="P16" s="3"/>
      <c r="Q16" s="3"/>
    </row>
    <row r="17" spans="1:17" ht="15">
      <c r="A17" s="41" t="s">
        <v>1035</v>
      </c>
      <c r="B17" s="35"/>
      <c r="C17" s="35"/>
      <c r="D17" s="35"/>
      <c r="E17" s="35"/>
      <c r="F17" s="3"/>
      <c r="G17" s="3"/>
      <c r="H17" s="3"/>
      <c r="I17" s="3"/>
      <c r="J17" s="3"/>
      <c r="K17" s="3"/>
      <c r="L17" s="3"/>
      <c r="M17" s="3"/>
      <c r="N17" s="3"/>
      <c r="O17" s="3"/>
      <c r="P17" s="3"/>
      <c r="Q17" s="3"/>
    </row>
    <row r="18" spans="1:17" ht="26.1" customHeight="1">
      <c r="A18" s="4" t="s">
        <v>1036</v>
      </c>
      <c r="B18" s="4" t="s">
        <v>1037</v>
      </c>
      <c r="C18" s="4"/>
      <c r="D18" s="4" t="s">
        <v>358</v>
      </c>
      <c r="E18" s="4"/>
      <c r="F18" s="3"/>
      <c r="G18" s="41" t="s">
        <v>1038</v>
      </c>
      <c r="H18" s="35"/>
      <c r="I18" s="35"/>
      <c r="J18" s="35"/>
      <c r="K18" s="35"/>
      <c r="L18" s="3"/>
      <c r="M18" s="3"/>
      <c r="N18" s="3"/>
      <c r="O18" s="3"/>
      <c r="P18" s="3"/>
      <c r="Q18" s="3"/>
    </row>
    <row r="19" spans="1:17" ht="15">
      <c r="A19" s="45" t="s">
        <v>760</v>
      </c>
      <c r="B19" s="45"/>
      <c r="C19" s="19">
        <f>INDEX(DATA_METRIC_LONG!$E:$E,MATCH("Revenue",DATA_METRIC_LONG!$B:$B,0))</f>
        <v>17600000</v>
      </c>
      <c r="D19" s="35" t="s">
        <v>1039</v>
      </c>
      <c r="E19" s="35"/>
      <c r="F19" s="3"/>
      <c r="G19" s="43" t="s">
        <v>912</v>
      </c>
      <c r="H19" s="43"/>
      <c r="I19" s="43"/>
      <c r="J19" s="44">
        <f>INDEX(DATA_METRIC_LONG!$E:$E,MATCH("Modeled Units",DATA_METRIC_LONG!$B:$B,0))</f>
        <v>1076</v>
      </c>
      <c r="K19" s="44"/>
      <c r="L19" s="3"/>
      <c r="M19" s="3"/>
      <c r="N19" s="3"/>
      <c r="O19" s="3"/>
      <c r="P19" s="3"/>
      <c r="Q19" s="3"/>
    </row>
    <row r="20" spans="1:17" ht="15">
      <c r="A20" s="45" t="s">
        <v>929</v>
      </c>
      <c r="B20" s="45"/>
      <c r="C20" s="19">
        <f>INDEX(DATA_METRIC_LONG!$E:$E,MATCH("Operating Expenses",DATA_METRIC_LONG!$B:$B,0))</f>
        <v>8300000</v>
      </c>
      <c r="D20" s="35" t="s">
        <v>1039</v>
      </c>
      <c r="E20" s="35"/>
      <c r="F20" s="3"/>
      <c r="G20" s="43" t="s">
        <v>944</v>
      </c>
      <c r="H20" s="43"/>
      <c r="I20" s="43"/>
      <c r="J20" s="44">
        <f>INDEX(DATA_METRIC_LONG!$E:$E,MATCH("Affordable Units",DATA_METRIC_LONG!$B:$B,0))</f>
        <v>75</v>
      </c>
      <c r="K20" s="44"/>
      <c r="L20" s="3"/>
      <c r="M20" s="3"/>
      <c r="N20" s="3"/>
      <c r="O20" s="3"/>
      <c r="P20" s="3"/>
      <c r="Q20" s="3"/>
    </row>
    <row r="21" spans="1:17" ht="15">
      <c r="A21" s="45" t="s">
        <v>932</v>
      </c>
      <c r="B21" s="45"/>
      <c r="C21" s="19">
        <f>INDEX(DATA_METRIC_LONG!$E:$E,MATCH("NOI",DATA_METRIC_LONG!$B:$B,0))</f>
        <v>9300000</v>
      </c>
      <c r="D21" s="35" t="s">
        <v>1040</v>
      </c>
      <c r="E21" s="35"/>
      <c r="F21" s="3"/>
      <c r="G21" s="43" t="s">
        <v>949</v>
      </c>
      <c r="H21" s="43"/>
      <c r="I21" s="43"/>
      <c r="J21" s="44">
        <f>INDEX(DATA_METRIC_LONG!$E:$E,MATCH("Market / Other Units",DATA_METRIC_LONG!$B:$B,0))</f>
        <v>33</v>
      </c>
      <c r="K21" s="44"/>
      <c r="L21" s="3"/>
      <c r="M21" s="3"/>
      <c r="N21" s="3"/>
      <c r="O21" s="3"/>
      <c r="P21" s="3"/>
      <c r="Q21" s="3"/>
    </row>
    <row r="22" spans="1:17" ht="15">
      <c r="A22" s="45" t="s">
        <v>935</v>
      </c>
      <c r="B22" s="45"/>
      <c r="C22" s="19">
        <f>INDEX(DATA_METRIC_LONG!$E:$E,MATCH("Debt Service",DATA_METRIC_LONG!$B:$B,0))</f>
        <v>14749710.91</v>
      </c>
      <c r="D22" s="35" t="s">
        <v>1041</v>
      </c>
      <c r="E22" s="35"/>
      <c r="F22" s="3"/>
      <c r="G22" s="43" t="s">
        <v>1042</v>
      </c>
      <c r="H22" s="43"/>
      <c r="I22" s="43"/>
      <c r="J22" s="44" t="str">
        <f>INDEX(DATA_METRIC_LONG!$E:$E,MATCH("Agreement Review Status",DATA_METRIC_LONG!$B:$B,0))</f>
        <v>Not reviewed</v>
      </c>
      <c r="K22" s="44"/>
      <c r="L22" s="3"/>
      <c r="M22" s="3"/>
      <c r="N22" s="3"/>
      <c r="O22" s="3"/>
      <c r="P22" s="3"/>
      <c r="Q22" s="3"/>
    </row>
    <row r="23" spans="1:17" ht="15">
      <c r="A23" s="45" t="s">
        <v>938</v>
      </c>
      <c r="B23" s="45"/>
      <c r="C23" s="19">
        <f>INDEX(DATA_METRIC_LONG!$E:$E,MATCH("AFFO / Cash Flow After Debt",DATA_METRIC_LONG!$B:$B,0))</f>
        <v>-5449710.9100000001</v>
      </c>
      <c r="D23" s="35" t="s">
        <v>1043</v>
      </c>
      <c r="E23" s="35"/>
      <c r="F23" s="3"/>
      <c r="G23" s="43" t="s">
        <v>1044</v>
      </c>
      <c r="H23" s="43"/>
      <c r="I23" s="43"/>
      <c r="J23" s="44" t="str">
        <f>IF(COUNTA(DATA_AGREEMENTS!A7:A206)=0,"Partial / not fully reviewed","Partial")</f>
        <v>Partial / not fully reviewed</v>
      </c>
      <c r="K23" s="44"/>
      <c r="L23" s="3"/>
      <c r="M23" s="3"/>
      <c r="N23" s="3"/>
      <c r="O23" s="3"/>
      <c r="P23" s="3"/>
      <c r="Q23" s="3"/>
    </row>
    <row r="24" spans="1:17" ht="15">
      <c r="A24" s="45" t="s">
        <v>941</v>
      </c>
      <c r="B24" s="45"/>
      <c r="C24" s="20">
        <f>INDEX(DATA_METRIC_LONG!$E:$E,MATCH("DSCR",DATA_METRIC_LONG!$B:$B,0))</f>
        <v>0.63052083235711365</v>
      </c>
      <c r="D24" s="35" t="s">
        <v>1045</v>
      </c>
      <c r="E24" s="35"/>
      <c r="F24" s="3"/>
      <c r="G24" s="3"/>
      <c r="H24" s="3"/>
      <c r="I24" s="3"/>
      <c r="J24" s="3"/>
      <c r="K24" s="3"/>
      <c r="L24" s="3"/>
      <c r="M24" s="3"/>
      <c r="N24" s="3"/>
      <c r="O24" s="3"/>
      <c r="P24" s="3"/>
      <c r="Q24" s="3"/>
    </row>
    <row r="25" spans="1:17" ht="15">
      <c r="A25" s="3"/>
      <c r="B25" s="3"/>
      <c r="C25" s="3"/>
      <c r="D25" s="3"/>
      <c r="E25" s="3"/>
      <c r="F25" s="3"/>
      <c r="G25" s="3"/>
      <c r="H25" s="3"/>
      <c r="I25" s="3"/>
      <c r="J25" s="3"/>
      <c r="K25" s="3"/>
      <c r="L25" s="3"/>
      <c r="M25" s="3"/>
      <c r="N25" s="3"/>
      <c r="O25" s="3"/>
      <c r="P25" s="3"/>
      <c r="Q25" s="3"/>
    </row>
    <row r="26" spans="1:17" ht="15">
      <c r="A26" s="46" t="s">
        <v>1046</v>
      </c>
      <c r="B26" s="35"/>
      <c r="C26" s="35"/>
      <c r="D26" s="35"/>
      <c r="E26" s="35"/>
      <c r="F26" s="35"/>
      <c r="G26" s="35"/>
      <c r="H26" s="35"/>
      <c r="I26" s="35"/>
      <c r="J26" s="35"/>
      <c r="K26" s="35"/>
      <c r="L26" s="3"/>
      <c r="M26" s="3"/>
      <c r="N26" s="3"/>
      <c r="O26" s="3"/>
      <c r="P26" s="3"/>
      <c r="Q26" s="3"/>
    </row>
    <row r="27" spans="1:17" ht="15">
      <c r="A27" s="47" t="str">
        <f>IFERROR("• "&amp;INDEX(ASSUMPTIONS_FLAGS!$D$7:$D$206,1),"")</f>
        <v>• Port Moody unit count conflict: 245 vs 328</v>
      </c>
      <c r="B27" s="47"/>
      <c r="C27" s="47"/>
      <c r="D27" s="47"/>
      <c r="E27" s="47"/>
      <c r="F27" s="47"/>
      <c r="G27" s="47"/>
      <c r="H27" s="47"/>
      <c r="I27" s="47"/>
      <c r="J27" s="47"/>
      <c r="K27" s="47"/>
      <c r="L27" s="3"/>
      <c r="M27" s="3"/>
      <c r="N27" s="3"/>
      <c r="O27" s="3"/>
      <c r="P27" s="3"/>
      <c r="Q27" s="3"/>
    </row>
    <row r="28" spans="1:17" ht="15">
      <c r="A28" s="47" t="str">
        <f>IFERROR("• "&amp;INDEX(ASSUMPTIONS_FLAGS!$D$7:$D$206,2),"")</f>
        <v>• Restricted vs unrestricted cash not confirmed</v>
      </c>
      <c r="B28" s="47"/>
      <c r="C28" s="47"/>
      <c r="D28" s="47"/>
      <c r="E28" s="47"/>
      <c r="F28" s="47"/>
      <c r="G28" s="47"/>
      <c r="H28" s="47"/>
      <c r="I28" s="47"/>
      <c r="J28" s="47"/>
      <c r="K28" s="47"/>
      <c r="L28" s="3"/>
      <c r="M28" s="3"/>
      <c r="N28" s="3"/>
      <c r="O28" s="3"/>
      <c r="P28" s="3"/>
      <c r="Q28" s="3"/>
    </row>
    <row r="29" spans="1:17" ht="15">
      <c r="A29" s="47" t="str">
        <f>IFERROR("• "&amp;INDEX(ASSUMPTIONS_FLAGS!$D$7:$D$206,3),"")</f>
        <v>• Capital needs plan not fully reviewed</v>
      </c>
      <c r="B29" s="47"/>
      <c r="C29" s="47"/>
      <c r="D29" s="47"/>
      <c r="E29" s="47"/>
      <c r="F29" s="47"/>
      <c r="G29" s="47"/>
      <c r="H29" s="47"/>
      <c r="I29" s="47"/>
      <c r="J29" s="47"/>
      <c r="K29" s="47"/>
      <c r="L29" s="3"/>
      <c r="M29" s="3"/>
      <c r="N29" s="3"/>
      <c r="O29" s="3"/>
      <c r="P29" s="3"/>
      <c r="Q29" s="3"/>
    </row>
    <row r="30" spans="1:17" ht="15">
      <c r="A30" s="47" t="str">
        <f>IFERROR("• "&amp;INDEX(ASSUMPTIONS_FLAGS!$D$7:$D$206,4),"")</f>
        <v>• Affordability/covenant/refinance restrictions pending review</v>
      </c>
      <c r="B30" s="47"/>
      <c r="C30" s="47"/>
      <c r="D30" s="47"/>
      <c r="E30" s="47"/>
      <c r="F30" s="47"/>
      <c r="G30" s="47"/>
      <c r="H30" s="47"/>
      <c r="I30" s="47"/>
      <c r="J30" s="47"/>
      <c r="K30" s="47"/>
      <c r="L30" s="3"/>
      <c r="M30" s="3"/>
      <c r="N30" s="3"/>
      <c r="O30" s="3"/>
      <c r="P30" s="3"/>
      <c r="Q30" s="3"/>
    </row>
    <row r="31" spans="1:17" ht="15">
      <c r="A31" s="47" t="str">
        <f>IFERROR("• "&amp;INDEX(ASSUMPTIONS_FLAGS!$D$7:$D$206,5),"")</f>
        <v>• Tapestry / ENF source data supersedes generic v12 assumptions where more current</v>
      </c>
      <c r="B31" s="47"/>
      <c r="C31" s="47"/>
      <c r="D31" s="47"/>
      <c r="E31" s="47"/>
      <c r="F31" s="47"/>
      <c r="G31" s="47"/>
      <c r="H31" s="47"/>
      <c r="I31" s="47"/>
      <c r="J31" s="47"/>
      <c r="K31" s="47"/>
      <c r="L31" s="3"/>
      <c r="M31" s="3"/>
      <c r="N31" s="3"/>
      <c r="O31" s="3"/>
      <c r="P31" s="3"/>
      <c r="Q31" s="3"/>
    </row>
    <row r="32" spans="1:17" ht="15">
      <c r="A32" s="47" t="str">
        <f>IFERROR("• "&amp;INDEX(ASSUMPTIONS_FLAGS!$D$7:$D$206,6),"")</f>
        <v>• 800 Commercial unit count differs between v12 and Tapestry indication</v>
      </c>
      <c r="B32" s="47"/>
      <c r="C32" s="47"/>
      <c r="D32" s="47"/>
      <c r="E32" s="47"/>
      <c r="F32" s="47"/>
      <c r="G32" s="47"/>
      <c r="H32" s="47"/>
      <c r="I32" s="47"/>
      <c r="J32" s="47"/>
      <c r="K32" s="47"/>
      <c r="L32" s="3"/>
      <c r="M32" s="3"/>
      <c r="N32" s="3"/>
      <c r="O32" s="3"/>
      <c r="P32" s="3"/>
      <c r="Q32" s="3"/>
    </row>
    <row r="33" spans="1:17" ht="15">
      <c r="A33" s="3"/>
      <c r="B33" s="3"/>
      <c r="C33" s="3"/>
      <c r="D33" s="3"/>
      <c r="E33" s="3"/>
      <c r="F33" s="3"/>
      <c r="G33" s="3"/>
      <c r="H33" s="3"/>
      <c r="I33" s="3"/>
      <c r="J33" s="3"/>
      <c r="K33" s="3"/>
      <c r="L33" s="3"/>
      <c r="M33" s="3"/>
      <c r="N33" s="3"/>
      <c r="O33" s="3"/>
      <c r="P33" s="3"/>
      <c r="Q33" s="3"/>
    </row>
    <row r="34" spans="1:17" ht="15">
      <c r="A34" s="48" t="s">
        <v>1047</v>
      </c>
      <c r="B34" s="35"/>
      <c r="C34" s="35"/>
      <c r="D34" s="35"/>
      <c r="E34" s="35"/>
      <c r="F34" s="35"/>
      <c r="G34" s="35"/>
      <c r="H34" s="35"/>
      <c r="I34" s="35"/>
      <c r="J34" s="35"/>
      <c r="K34" s="35"/>
      <c r="L34" s="3"/>
      <c r="M34" s="3"/>
      <c r="N34" s="3"/>
      <c r="O34" s="3"/>
      <c r="P34" s="3"/>
      <c r="Q34" s="3"/>
    </row>
    <row r="35" spans="1:17" ht="15">
      <c r="A35" s="49" t="s">
        <v>917</v>
      </c>
      <c r="B35" s="49"/>
      <c r="C35" s="3"/>
      <c r="D35" s="49" t="s">
        <v>1048</v>
      </c>
      <c r="E35" s="49"/>
      <c r="F35" s="3"/>
      <c r="G35" s="49" t="s">
        <v>1049</v>
      </c>
      <c r="H35" s="49"/>
      <c r="I35" s="3"/>
      <c r="J35" s="49" t="s">
        <v>1050</v>
      </c>
      <c r="K35" s="49"/>
      <c r="L35" s="3"/>
      <c r="M35" s="3"/>
      <c r="N35" s="3"/>
      <c r="O35" s="3"/>
      <c r="P35" s="3"/>
      <c r="Q35" s="3"/>
    </row>
    <row r="36" spans="1:17" ht="15">
      <c r="A36" s="50" t="str">
        <f>IF(COUNTIF(DATA_QUALITY_CHECKS!$E$7:$E$16,"OPEN")&gt;0,"Conditional","Ready")</f>
        <v>Conditional</v>
      </c>
      <c r="B36" s="49"/>
      <c r="C36" s="3"/>
      <c r="D36" s="50" t="str">
        <f>IF(INDEX(DATA_QUALITY_CHECKS!$E:$E,MATCH("QC-MVP-005",DATA_QUALITY_CHECKS!$A:$A,0))="PASS","Partial","Open")</f>
        <v>Partial</v>
      </c>
      <c r="E36" s="49"/>
      <c r="F36" s="3"/>
      <c r="G36" s="50" t="str">
        <f>IF(COUNTA(DATA_AGREEMENTS!A7:A206)=0,"Partial","Partial")</f>
        <v>Partial</v>
      </c>
      <c r="H36" s="49"/>
      <c r="I36" s="3"/>
      <c r="J36" s="50" t="str">
        <f>IF(COUNTIF(DATA_QUALITY_CHECKS!$E$7:$E$16,"OPEN")&gt;0,"Conditional","Ready")</f>
        <v>Conditional</v>
      </c>
      <c r="K36" s="49"/>
      <c r="L36" s="3"/>
      <c r="M36" s="3"/>
      <c r="N36" s="3"/>
      <c r="O36" s="3"/>
      <c r="P36" s="3"/>
      <c r="Q36" s="3"/>
    </row>
    <row r="37" spans="1:17" ht="15">
      <c r="A37" s="49" t="s">
        <v>1051</v>
      </c>
      <c r="B37" s="49"/>
      <c r="C37" s="3"/>
      <c r="D37" s="49" t="s">
        <v>1052</v>
      </c>
      <c r="E37" s="49"/>
      <c r="F37" s="3"/>
      <c r="G37" s="49" t="s">
        <v>1053</v>
      </c>
      <c r="H37" s="49"/>
      <c r="I37" s="3"/>
      <c r="J37" s="49" t="s">
        <v>1054</v>
      </c>
      <c r="K37" s="49"/>
      <c r="L37" s="3"/>
      <c r="M37" s="3"/>
      <c r="N37" s="3"/>
      <c r="O37" s="3"/>
      <c r="P37" s="3"/>
      <c r="Q37" s="3"/>
    </row>
    <row r="38" spans="1:17" ht="15">
      <c r="A38" s="49"/>
      <c r="B38" s="49"/>
      <c r="C38" s="3"/>
      <c r="D38" s="49"/>
      <c r="E38" s="49"/>
      <c r="F38" s="3"/>
      <c r="G38" s="49"/>
      <c r="H38" s="49"/>
      <c r="I38" s="3"/>
      <c r="J38" s="49"/>
      <c r="K38" s="49"/>
      <c r="L38" s="3"/>
      <c r="M38" s="3"/>
      <c r="N38" s="3"/>
      <c r="O38" s="3"/>
      <c r="P38" s="3"/>
      <c r="Q38" s="3"/>
    </row>
    <row r="39" spans="1:17" ht="15">
      <c r="A39" s="3"/>
      <c r="B39" s="3"/>
      <c r="C39" s="3"/>
      <c r="D39" s="3"/>
      <c r="E39" s="3"/>
      <c r="F39" s="3"/>
      <c r="G39" s="3"/>
      <c r="H39" s="3"/>
      <c r="I39" s="3"/>
      <c r="J39" s="3"/>
      <c r="K39" s="3"/>
      <c r="L39" s="3"/>
      <c r="M39" s="3"/>
      <c r="N39" s="3"/>
      <c r="O39" s="3"/>
      <c r="P39" s="3"/>
      <c r="Q39" s="3"/>
    </row>
    <row r="40" spans="1:17" ht="15">
      <c r="A40" s="51" t="s">
        <v>1055</v>
      </c>
      <c r="B40" s="35"/>
      <c r="C40" s="35"/>
      <c r="D40" s="35"/>
      <c r="E40" s="35"/>
      <c r="F40" s="35"/>
      <c r="G40" s="35"/>
      <c r="H40" s="35"/>
      <c r="I40" s="35"/>
      <c r="J40" s="35"/>
      <c r="K40" s="35"/>
      <c r="L40" s="3"/>
      <c r="M40" s="3"/>
      <c r="N40" s="3"/>
      <c r="O40" s="3"/>
      <c r="P40" s="3"/>
      <c r="Q40" s="3"/>
    </row>
    <row r="41" spans="1:17" ht="15">
      <c r="A41" s="35"/>
      <c r="B41" s="35"/>
      <c r="C41" s="35"/>
      <c r="D41" s="35"/>
      <c r="E41" s="35"/>
      <c r="F41" s="35"/>
      <c r="G41" s="35"/>
      <c r="H41" s="35"/>
      <c r="I41" s="35"/>
      <c r="J41" s="35"/>
      <c r="K41" s="35"/>
      <c r="L41" s="3"/>
      <c r="M41" s="3"/>
      <c r="N41" s="3"/>
      <c r="O41" s="3"/>
      <c r="P41" s="3"/>
      <c r="Q41" s="3"/>
    </row>
    <row r="42" spans="1:17" ht="15">
      <c r="A42" s="3"/>
      <c r="B42" s="3"/>
      <c r="C42" s="3"/>
      <c r="D42" s="3"/>
      <c r="E42" s="3"/>
      <c r="F42" s="3"/>
      <c r="G42" s="3"/>
      <c r="H42" s="3"/>
      <c r="I42" s="3"/>
      <c r="J42" s="3"/>
      <c r="K42" s="3"/>
      <c r="L42" s="3"/>
      <c r="M42" s="3"/>
      <c r="N42" s="3"/>
      <c r="O42" s="3"/>
      <c r="P42" s="3"/>
      <c r="Q42" s="3"/>
    </row>
    <row r="43" spans="1:17" ht="15">
      <c r="A43" s="3"/>
      <c r="B43" s="3"/>
      <c r="C43" s="3"/>
      <c r="D43" s="3"/>
      <c r="E43" s="3"/>
      <c r="F43" s="3"/>
      <c r="G43" s="3"/>
      <c r="H43" s="3"/>
      <c r="I43" s="3"/>
      <c r="J43" s="3"/>
      <c r="K43" s="3"/>
      <c r="L43" s="3"/>
      <c r="M43" s="3"/>
      <c r="N43" s="3"/>
      <c r="O43" s="3"/>
      <c r="P43" s="3"/>
      <c r="Q43" s="3"/>
    </row>
    <row r="44" spans="1:17" ht="15">
      <c r="A44" s="3"/>
      <c r="B44" s="3"/>
      <c r="C44" s="3"/>
      <c r="D44" s="3"/>
      <c r="E44" s="3"/>
      <c r="F44" s="3"/>
      <c r="G44" s="3"/>
      <c r="H44" s="3"/>
      <c r="I44" s="3"/>
      <c r="J44" s="3"/>
      <c r="K44" s="3"/>
      <c r="L44" s="3"/>
      <c r="M44" s="3"/>
      <c r="N44" s="3"/>
      <c r="O44" s="3"/>
      <c r="P44" s="3"/>
      <c r="Q44" s="3"/>
    </row>
    <row r="45" spans="1:17" ht="15">
      <c r="A45" s="3"/>
      <c r="B45" s="3"/>
      <c r="C45" s="3"/>
      <c r="D45" s="3"/>
      <c r="E45" s="3"/>
      <c r="F45" s="3"/>
      <c r="G45" s="3"/>
      <c r="H45" s="3"/>
      <c r="I45" s="3"/>
      <c r="J45" s="3"/>
      <c r="K45" s="3"/>
      <c r="L45" s="3"/>
      <c r="M45" s="3"/>
      <c r="N45" s="3"/>
      <c r="O45" s="3"/>
      <c r="P45" s="3"/>
      <c r="Q45" s="3"/>
    </row>
    <row r="46" spans="1:17" ht="15">
      <c r="A46" s="3"/>
      <c r="B46" s="3"/>
      <c r="C46" s="3"/>
      <c r="D46" s="3"/>
      <c r="E46" s="3"/>
      <c r="F46" s="3"/>
      <c r="G46" s="3"/>
      <c r="H46" s="3"/>
      <c r="I46" s="3"/>
      <c r="J46" s="3"/>
      <c r="K46" s="3"/>
      <c r="L46" s="3"/>
      <c r="M46" s="3"/>
      <c r="N46" s="3"/>
      <c r="O46" s="3"/>
      <c r="P46" s="3"/>
      <c r="Q46" s="3"/>
    </row>
    <row r="47" spans="1:17" ht="15">
      <c r="A47" s="3"/>
      <c r="B47" s="3"/>
      <c r="C47" s="3"/>
      <c r="D47" s="3"/>
      <c r="E47" s="3"/>
      <c r="F47" s="3"/>
      <c r="G47" s="3"/>
      <c r="H47" s="3"/>
      <c r="I47" s="3"/>
      <c r="J47" s="3"/>
      <c r="K47" s="3"/>
      <c r="L47" s="3"/>
      <c r="M47" s="3"/>
      <c r="N47" s="3"/>
      <c r="O47" s="3"/>
      <c r="P47" s="3"/>
      <c r="Q47" s="3"/>
    </row>
    <row r="48" spans="1:17" ht="15">
      <c r="A48" s="3"/>
      <c r="B48" s="3"/>
      <c r="C48" s="3"/>
      <c r="D48" s="3"/>
      <c r="E48" s="3"/>
      <c r="F48" s="3"/>
      <c r="G48" s="3"/>
      <c r="H48" s="3"/>
      <c r="I48" s="3"/>
      <c r="J48" s="3"/>
      <c r="K48" s="3"/>
      <c r="L48" s="3"/>
      <c r="M48" s="3"/>
      <c r="N48" s="3"/>
      <c r="O48" s="3"/>
      <c r="P48" s="3"/>
      <c r="Q48" s="3"/>
    </row>
    <row r="49" spans="1:17" ht="15">
      <c r="A49" s="3"/>
      <c r="B49" s="3"/>
      <c r="C49" s="3"/>
      <c r="D49" s="3"/>
      <c r="E49" s="3"/>
      <c r="F49" s="3"/>
      <c r="G49" s="3"/>
      <c r="H49" s="3"/>
      <c r="I49" s="3"/>
      <c r="J49" s="3"/>
      <c r="K49" s="3"/>
      <c r="L49" s="3"/>
      <c r="M49" s="3"/>
      <c r="N49" s="3"/>
      <c r="O49" s="3"/>
      <c r="P49" s="3"/>
      <c r="Q49" s="3"/>
    </row>
    <row r="50" spans="1:17" ht="15">
      <c r="A50" s="3"/>
      <c r="B50" s="3"/>
      <c r="C50" s="3"/>
      <c r="D50" s="3"/>
      <c r="E50" s="3"/>
      <c r="F50" s="3"/>
      <c r="G50" s="3"/>
      <c r="H50" s="3"/>
      <c r="I50" s="3"/>
      <c r="J50" s="3"/>
      <c r="K50" s="3"/>
      <c r="L50" s="3"/>
      <c r="M50" s="3"/>
      <c r="N50" s="3"/>
      <c r="O50" s="3"/>
      <c r="P50" s="3"/>
      <c r="Q50" s="3"/>
    </row>
    <row r="51" spans="1:17" ht="15">
      <c r="A51" s="3"/>
      <c r="B51" s="3"/>
      <c r="C51" s="3"/>
      <c r="D51" s="3"/>
      <c r="E51" s="3"/>
      <c r="F51" s="3"/>
      <c r="G51" s="3"/>
      <c r="H51" s="3"/>
      <c r="I51" s="3"/>
      <c r="J51" s="3"/>
      <c r="K51" s="3"/>
      <c r="L51" s="3"/>
      <c r="M51" s="3"/>
      <c r="N51" s="3"/>
      <c r="O51" s="3"/>
      <c r="P51" s="3"/>
      <c r="Q51" s="3"/>
    </row>
    <row r="52" spans="1:17" ht="15">
      <c r="A52" s="3"/>
      <c r="B52" s="3"/>
      <c r="C52" s="3"/>
      <c r="D52" s="3"/>
      <c r="E52" s="3"/>
      <c r="F52" s="3"/>
      <c r="G52" s="3"/>
      <c r="H52" s="3"/>
      <c r="I52" s="3"/>
      <c r="J52" s="3"/>
      <c r="K52" s="3"/>
      <c r="L52" s="3"/>
      <c r="M52" s="3"/>
      <c r="N52" s="3"/>
      <c r="O52" s="3"/>
      <c r="P52" s="3"/>
      <c r="Q52" s="3"/>
    </row>
    <row r="53" spans="1:17" ht="15">
      <c r="A53" s="3"/>
      <c r="B53" s="3"/>
      <c r="C53" s="3"/>
      <c r="D53" s="3"/>
      <c r="E53" s="3"/>
      <c r="F53" s="3"/>
      <c r="G53" s="3"/>
      <c r="H53" s="3"/>
      <c r="I53" s="3"/>
      <c r="J53" s="3"/>
      <c r="K53" s="3"/>
      <c r="L53" s="3"/>
      <c r="M53" s="3"/>
      <c r="N53" s="3"/>
      <c r="O53" s="3"/>
      <c r="P53" s="3"/>
      <c r="Q53" s="3"/>
    </row>
    <row r="54" spans="1:17" ht="15">
      <c r="A54" s="3"/>
      <c r="B54" s="3"/>
      <c r="C54" s="3"/>
      <c r="D54" s="3"/>
      <c r="E54" s="3"/>
      <c r="F54" s="3"/>
      <c r="G54" s="3"/>
      <c r="H54" s="3"/>
      <c r="I54" s="3"/>
      <c r="J54" s="3"/>
      <c r="K54" s="3"/>
      <c r="L54" s="3"/>
      <c r="M54" s="3"/>
      <c r="N54" s="3"/>
      <c r="O54" s="3"/>
      <c r="P54" s="3"/>
      <c r="Q54" s="3"/>
    </row>
    <row r="55" spans="1:17" ht="15">
      <c r="A55" s="3"/>
      <c r="B55" s="3"/>
      <c r="C55" s="3"/>
      <c r="D55" s="3"/>
      <c r="E55" s="3"/>
      <c r="F55" s="3"/>
      <c r="G55" s="3"/>
      <c r="H55" s="3"/>
      <c r="I55" s="3"/>
      <c r="J55" s="3"/>
      <c r="K55" s="3"/>
      <c r="L55" s="3"/>
      <c r="M55" s="3"/>
      <c r="N55" s="3"/>
      <c r="O55" s="3"/>
      <c r="P55" s="3"/>
      <c r="Q55" s="3"/>
    </row>
    <row r="56" spans="1:17" ht="15">
      <c r="A56" s="3"/>
      <c r="B56" s="3"/>
      <c r="C56" s="3"/>
      <c r="D56" s="3"/>
      <c r="E56" s="3"/>
      <c r="F56" s="3"/>
      <c r="G56" s="3"/>
      <c r="H56" s="3"/>
      <c r="I56" s="3"/>
      <c r="J56" s="3"/>
      <c r="K56" s="3"/>
      <c r="L56" s="3"/>
      <c r="M56" s="3"/>
      <c r="N56" s="3"/>
      <c r="O56" s="3"/>
      <c r="P56" s="3"/>
      <c r="Q56" s="3"/>
    </row>
    <row r="57" spans="1:17" ht="15">
      <c r="A57" s="3"/>
      <c r="B57" s="3"/>
      <c r="C57" s="3"/>
      <c r="D57" s="3"/>
      <c r="E57" s="3"/>
      <c r="F57" s="3"/>
      <c r="G57" s="3"/>
      <c r="H57" s="3"/>
      <c r="I57" s="3"/>
      <c r="J57" s="3"/>
      <c r="K57" s="3"/>
      <c r="L57" s="3"/>
      <c r="M57" s="3"/>
      <c r="N57" s="3"/>
      <c r="O57" s="3"/>
      <c r="P57" s="3"/>
      <c r="Q57" s="3"/>
    </row>
    <row r="58" spans="1:17" ht="15">
      <c r="A58" s="3"/>
      <c r="B58" s="3"/>
      <c r="C58" s="3"/>
      <c r="D58" s="3"/>
      <c r="E58" s="3"/>
      <c r="F58" s="3"/>
      <c r="G58" s="3"/>
      <c r="H58" s="3"/>
      <c r="I58" s="3"/>
      <c r="J58" s="3"/>
      <c r="K58" s="3"/>
      <c r="L58" s="3"/>
      <c r="M58" s="3"/>
      <c r="N58" s="3"/>
      <c r="O58" s="3"/>
      <c r="P58" s="3"/>
      <c r="Q58" s="3"/>
    </row>
    <row r="59" spans="1:17" ht="15">
      <c r="A59" s="3"/>
      <c r="B59" s="3"/>
      <c r="C59" s="3"/>
      <c r="D59" s="3"/>
      <c r="E59" s="3"/>
      <c r="F59" s="3"/>
      <c r="G59" s="3"/>
      <c r="H59" s="3"/>
      <c r="I59" s="3"/>
      <c r="J59" s="3"/>
      <c r="K59" s="3"/>
      <c r="L59" s="3"/>
      <c r="M59" s="3"/>
      <c r="N59" s="3"/>
      <c r="O59" s="3"/>
      <c r="P59" s="3"/>
      <c r="Q59" s="3"/>
    </row>
    <row r="60" spans="1:17" ht="15">
      <c r="A60" s="3"/>
      <c r="B60" s="3"/>
      <c r="C60" s="3"/>
      <c r="D60" s="3"/>
      <c r="E60" s="3"/>
      <c r="F60" s="3"/>
      <c r="G60" s="3"/>
      <c r="H60" s="3"/>
      <c r="I60" s="3"/>
      <c r="J60" s="3"/>
      <c r="K60" s="3"/>
      <c r="L60" s="3"/>
      <c r="M60" s="3"/>
      <c r="N60" s="3"/>
      <c r="O60" s="3"/>
      <c r="P60" s="3"/>
      <c r="Q60" s="3"/>
    </row>
    <row r="61" spans="1:17" ht="15">
      <c r="A61" s="3"/>
      <c r="B61" s="3"/>
      <c r="C61" s="3"/>
      <c r="D61" s="3"/>
      <c r="E61" s="3"/>
      <c r="F61" s="3"/>
      <c r="G61" s="3"/>
      <c r="H61" s="3"/>
      <c r="I61" s="3"/>
      <c r="J61" s="3"/>
      <c r="K61" s="3"/>
      <c r="L61" s="3"/>
      <c r="M61" s="3"/>
      <c r="N61" s="3"/>
      <c r="O61" s="3"/>
      <c r="P61" s="3"/>
      <c r="Q61" s="3"/>
    </row>
    <row r="62" spans="1:17" ht="15">
      <c r="A62" s="3"/>
      <c r="B62" s="3"/>
      <c r="C62" s="3"/>
      <c r="D62" s="3"/>
      <c r="E62" s="3"/>
      <c r="F62" s="3"/>
      <c r="G62" s="3"/>
      <c r="H62" s="3"/>
      <c r="I62" s="3"/>
      <c r="J62" s="3"/>
      <c r="K62" s="3"/>
      <c r="L62" s="3"/>
      <c r="M62" s="3"/>
      <c r="N62" s="3"/>
      <c r="O62" s="3"/>
      <c r="P62" s="3"/>
      <c r="Q62" s="3"/>
    </row>
    <row r="63" spans="1:17" ht="15">
      <c r="A63" s="3"/>
      <c r="B63" s="3"/>
      <c r="C63" s="3"/>
      <c r="D63" s="3"/>
      <c r="E63" s="3"/>
      <c r="F63" s="3"/>
      <c r="G63" s="3"/>
      <c r="H63" s="3"/>
      <c r="I63" s="3"/>
      <c r="J63" s="3"/>
      <c r="K63" s="3"/>
      <c r="L63" s="3"/>
      <c r="M63" s="3"/>
      <c r="N63" s="3"/>
      <c r="O63" s="3"/>
      <c r="P63" s="3"/>
      <c r="Q63" s="3"/>
    </row>
    <row r="64" spans="1:17" ht="15">
      <c r="A64" s="3"/>
      <c r="B64" s="3"/>
      <c r="C64" s="3"/>
      <c r="D64" s="3"/>
      <c r="E64" s="3"/>
      <c r="F64" s="3"/>
      <c r="G64" s="3"/>
      <c r="H64" s="3"/>
      <c r="I64" s="3"/>
      <c r="J64" s="3"/>
      <c r="K64" s="3"/>
      <c r="L64" s="3"/>
      <c r="M64" s="3"/>
      <c r="N64" s="3"/>
      <c r="O64" s="3"/>
      <c r="P64" s="3"/>
      <c r="Q64" s="3"/>
    </row>
    <row r="65" spans="1:17" ht="15">
      <c r="A65" s="3"/>
      <c r="B65" s="3"/>
      <c r="C65" s="3"/>
      <c r="D65" s="3"/>
      <c r="E65" s="3"/>
      <c r="F65" s="3"/>
      <c r="G65" s="3"/>
      <c r="H65" s="3"/>
      <c r="I65" s="3"/>
      <c r="J65" s="3"/>
      <c r="K65" s="3"/>
      <c r="L65" s="3"/>
      <c r="M65" s="3"/>
      <c r="N65" s="3"/>
      <c r="O65" s="3"/>
      <c r="P65" s="3"/>
      <c r="Q65" s="3"/>
    </row>
    <row r="66" spans="1:17" ht="15">
      <c r="A66" s="3"/>
      <c r="B66" s="3"/>
      <c r="C66" s="3"/>
      <c r="D66" s="3"/>
      <c r="E66" s="3"/>
      <c r="F66" s="3"/>
      <c r="G66" s="3"/>
      <c r="H66" s="3"/>
      <c r="I66" s="3"/>
      <c r="J66" s="3"/>
      <c r="K66" s="3"/>
      <c r="L66" s="3"/>
      <c r="M66" s="3"/>
      <c r="N66" s="3"/>
      <c r="O66" s="3"/>
      <c r="P66" s="3"/>
      <c r="Q66" s="3"/>
    </row>
    <row r="67" spans="1:17" ht="15">
      <c r="A67" s="3"/>
      <c r="B67" s="3"/>
      <c r="C67" s="3"/>
      <c r="D67" s="3"/>
      <c r="E67" s="3"/>
      <c r="F67" s="3"/>
      <c r="G67" s="3"/>
      <c r="H67" s="3"/>
      <c r="I67" s="3"/>
      <c r="J67" s="3"/>
      <c r="K67" s="3"/>
      <c r="L67" s="3"/>
      <c r="M67" s="3"/>
      <c r="N67" s="3"/>
      <c r="O67" s="3"/>
      <c r="P67" s="3"/>
      <c r="Q67" s="3"/>
    </row>
    <row r="68" spans="1:17" ht="15">
      <c r="A68" s="3"/>
      <c r="B68" s="3"/>
      <c r="C68" s="3"/>
      <c r="D68" s="3"/>
      <c r="E68" s="3"/>
      <c r="F68" s="3"/>
      <c r="G68" s="3"/>
      <c r="H68" s="3"/>
      <c r="I68" s="3"/>
      <c r="J68" s="3"/>
      <c r="K68" s="3"/>
      <c r="L68" s="3"/>
      <c r="M68" s="3"/>
      <c r="N68" s="3"/>
      <c r="O68" s="3"/>
      <c r="P68" s="3"/>
      <c r="Q68" s="3"/>
    </row>
    <row r="69" spans="1:17" ht="15">
      <c r="A69" s="3"/>
      <c r="B69" s="3"/>
      <c r="C69" s="3"/>
      <c r="D69" s="3"/>
      <c r="E69" s="3"/>
      <c r="F69" s="3"/>
      <c r="G69" s="3"/>
      <c r="H69" s="3"/>
      <c r="I69" s="3"/>
      <c r="J69" s="3"/>
      <c r="K69" s="3"/>
      <c r="L69" s="3"/>
      <c r="M69" s="3"/>
      <c r="N69" s="3"/>
      <c r="O69" s="3"/>
      <c r="P69" s="3"/>
      <c r="Q69" s="3"/>
    </row>
    <row r="70" spans="1:17" ht="15">
      <c r="A70" s="3"/>
      <c r="B70" s="3"/>
      <c r="C70" s="3"/>
      <c r="D70" s="3"/>
      <c r="E70" s="3"/>
      <c r="F70" s="3"/>
      <c r="G70" s="3"/>
      <c r="H70" s="3"/>
      <c r="I70" s="3"/>
      <c r="J70" s="3"/>
      <c r="K70" s="3"/>
      <c r="L70" s="3"/>
      <c r="M70" s="3"/>
      <c r="N70" s="3"/>
      <c r="O70" s="3"/>
      <c r="P70" s="3"/>
      <c r="Q70" s="3"/>
    </row>
    <row r="71" spans="1:17" ht="15">
      <c r="A71" s="3"/>
      <c r="B71" s="3"/>
      <c r="C71" s="3"/>
      <c r="D71" s="3"/>
      <c r="E71" s="3"/>
      <c r="F71" s="3"/>
      <c r="G71" s="3"/>
      <c r="H71" s="3"/>
      <c r="I71" s="3"/>
      <c r="J71" s="3"/>
      <c r="K71" s="3"/>
      <c r="L71" s="3"/>
      <c r="M71" s="3"/>
      <c r="N71" s="3"/>
      <c r="O71" s="3"/>
      <c r="P71" s="3"/>
      <c r="Q71" s="3"/>
    </row>
    <row r="72" spans="1:17" ht="15">
      <c r="A72" s="3"/>
      <c r="B72" s="3"/>
      <c r="C72" s="3"/>
      <c r="D72" s="3"/>
      <c r="E72" s="3"/>
      <c r="F72" s="3"/>
      <c r="G72" s="3"/>
      <c r="H72" s="3"/>
      <c r="I72" s="3"/>
      <c r="J72" s="3"/>
      <c r="K72" s="3"/>
      <c r="L72" s="3"/>
      <c r="M72" s="3"/>
      <c r="N72" s="3"/>
      <c r="O72" s="3"/>
      <c r="P72" s="3"/>
      <c r="Q72" s="3"/>
    </row>
    <row r="73" spans="1:17" ht="15">
      <c r="A73" s="3"/>
      <c r="B73" s="3"/>
      <c r="C73" s="3"/>
      <c r="D73" s="3"/>
      <c r="E73" s="3"/>
      <c r="F73" s="3"/>
      <c r="G73" s="3"/>
      <c r="H73" s="3"/>
      <c r="I73" s="3"/>
      <c r="J73" s="3"/>
      <c r="K73" s="3"/>
      <c r="L73" s="3"/>
      <c r="M73" s="3"/>
      <c r="N73" s="3"/>
      <c r="O73" s="3"/>
      <c r="P73" s="3"/>
      <c r="Q73" s="3"/>
    </row>
    <row r="74" spans="1:17" ht="15">
      <c r="A74" s="3"/>
      <c r="B74" s="3"/>
      <c r="C74" s="3"/>
      <c r="D74" s="3"/>
      <c r="E74" s="3"/>
      <c r="F74" s="3"/>
      <c r="G74" s="3"/>
      <c r="H74" s="3"/>
      <c r="I74" s="3"/>
      <c r="J74" s="3"/>
      <c r="K74" s="3"/>
      <c r="L74" s="3"/>
      <c r="M74" s="3"/>
      <c r="N74" s="3"/>
      <c r="O74" s="3"/>
      <c r="P74" s="3"/>
      <c r="Q74" s="3"/>
    </row>
    <row r="75" spans="1:17" ht="15">
      <c r="A75" s="3"/>
      <c r="B75" s="3"/>
      <c r="C75" s="3"/>
      <c r="D75" s="3"/>
      <c r="E75" s="3"/>
      <c r="F75" s="3"/>
      <c r="G75" s="3"/>
      <c r="H75" s="3"/>
      <c r="I75" s="3"/>
      <c r="J75" s="3"/>
      <c r="K75" s="3"/>
      <c r="L75" s="3"/>
      <c r="M75" s="3"/>
      <c r="N75" s="3"/>
      <c r="O75" s="3"/>
      <c r="P75" s="3"/>
      <c r="Q75" s="3"/>
    </row>
    <row r="76" spans="1:17" ht="15">
      <c r="A76" s="3"/>
      <c r="B76" s="3"/>
      <c r="C76" s="3"/>
      <c r="D76" s="3"/>
      <c r="E76" s="3"/>
      <c r="F76" s="3"/>
      <c r="G76" s="3"/>
      <c r="H76" s="3"/>
      <c r="I76" s="3"/>
      <c r="J76" s="3"/>
      <c r="K76" s="3"/>
      <c r="L76" s="3"/>
      <c r="M76" s="3"/>
      <c r="N76" s="3"/>
      <c r="O76" s="3"/>
      <c r="P76" s="3"/>
      <c r="Q76" s="3"/>
    </row>
    <row r="77" spans="1:17" ht="15">
      <c r="A77" s="3"/>
      <c r="B77" s="3"/>
      <c r="C77" s="3"/>
      <c r="D77" s="3"/>
      <c r="E77" s="3"/>
      <c r="F77" s="3"/>
      <c r="G77" s="3"/>
      <c r="H77" s="3"/>
      <c r="I77" s="3"/>
      <c r="J77" s="3"/>
      <c r="K77" s="3"/>
      <c r="L77" s="3"/>
      <c r="M77" s="3"/>
      <c r="N77" s="3"/>
      <c r="O77" s="3"/>
      <c r="P77" s="3"/>
      <c r="Q77" s="3"/>
    </row>
    <row r="78" spans="1:17" ht="15">
      <c r="A78" s="3"/>
      <c r="B78" s="3"/>
      <c r="C78" s="3"/>
      <c r="D78" s="3"/>
      <c r="E78" s="3"/>
      <c r="F78" s="3"/>
      <c r="G78" s="3"/>
      <c r="H78" s="3"/>
      <c r="I78" s="3"/>
      <c r="J78" s="3"/>
      <c r="K78" s="3"/>
      <c r="L78" s="3"/>
      <c r="M78" s="3"/>
      <c r="N78" s="3"/>
      <c r="O78" s="3"/>
      <c r="P78" s="3"/>
      <c r="Q78" s="3"/>
    </row>
    <row r="79" spans="1:17" ht="15">
      <c r="A79" s="3"/>
      <c r="B79" s="3"/>
      <c r="C79" s="3"/>
      <c r="D79" s="3"/>
      <c r="E79" s="3"/>
      <c r="F79" s="3"/>
      <c r="G79" s="3"/>
      <c r="H79" s="3"/>
      <c r="I79" s="3"/>
      <c r="J79" s="3"/>
      <c r="K79" s="3"/>
      <c r="L79" s="3"/>
      <c r="M79" s="3"/>
      <c r="N79" s="3"/>
      <c r="O79" s="3"/>
      <c r="P79" s="3"/>
      <c r="Q79" s="3"/>
    </row>
    <row r="80" spans="1:17" ht="15">
      <c r="A80" s="3"/>
      <c r="B80" s="3"/>
      <c r="C80" s="3"/>
      <c r="D80" s="3"/>
      <c r="E80" s="3"/>
      <c r="F80" s="3"/>
      <c r="G80" s="3"/>
      <c r="H80" s="3"/>
      <c r="I80" s="3"/>
      <c r="J80" s="3"/>
      <c r="K80" s="3"/>
      <c r="L80" s="3"/>
      <c r="M80" s="3"/>
      <c r="N80" s="3"/>
      <c r="O80" s="3"/>
      <c r="P80" s="3"/>
      <c r="Q80" s="3"/>
    </row>
    <row r="81" spans="1:17" ht="15">
      <c r="A81" s="3"/>
      <c r="B81" s="3"/>
      <c r="C81" s="3"/>
      <c r="D81" s="3"/>
      <c r="E81" s="3"/>
      <c r="F81" s="3"/>
      <c r="G81" s="3"/>
      <c r="H81" s="3"/>
      <c r="I81" s="3"/>
      <c r="J81" s="3"/>
      <c r="K81" s="3"/>
      <c r="L81" s="3"/>
      <c r="M81" s="3"/>
      <c r="N81" s="3"/>
      <c r="O81" s="3"/>
      <c r="P81" s="3"/>
      <c r="Q81" s="3"/>
    </row>
    <row r="82" spans="1:17" ht="15">
      <c r="A82" s="3"/>
      <c r="B82" s="3"/>
      <c r="C82" s="3"/>
      <c r="D82" s="3"/>
      <c r="E82" s="3"/>
      <c r="F82" s="3"/>
      <c r="G82" s="3"/>
      <c r="H82" s="3"/>
      <c r="I82" s="3"/>
      <c r="J82" s="3"/>
      <c r="K82" s="3"/>
      <c r="L82" s="3"/>
      <c r="M82" s="3"/>
      <c r="N82" s="3"/>
      <c r="O82" s="3"/>
      <c r="P82" s="3"/>
      <c r="Q82" s="3"/>
    </row>
    <row r="83" spans="1:17" ht="15">
      <c r="A83" s="3"/>
      <c r="B83" s="3"/>
      <c r="C83" s="3"/>
      <c r="D83" s="3"/>
      <c r="E83" s="3"/>
      <c r="F83" s="3"/>
      <c r="G83" s="3"/>
      <c r="H83" s="3"/>
      <c r="I83" s="3"/>
      <c r="J83" s="3"/>
      <c r="K83" s="3"/>
      <c r="L83" s="3"/>
      <c r="M83" s="3"/>
      <c r="N83" s="3"/>
      <c r="O83" s="3"/>
      <c r="P83" s="3"/>
      <c r="Q83" s="3"/>
    </row>
    <row r="84" spans="1:17" ht="15">
      <c r="A84" s="3"/>
      <c r="B84" s="3"/>
      <c r="C84" s="3"/>
      <c r="D84" s="3"/>
      <c r="E84" s="3"/>
      <c r="F84" s="3"/>
      <c r="G84" s="3"/>
      <c r="H84" s="3"/>
      <c r="I84" s="3"/>
      <c r="J84" s="3"/>
      <c r="K84" s="3"/>
      <c r="L84" s="3"/>
      <c r="M84" s="3"/>
      <c r="N84" s="3"/>
      <c r="O84" s="3"/>
      <c r="P84" s="3"/>
      <c r="Q84" s="3"/>
    </row>
    <row r="85" spans="1:17" ht="15">
      <c r="A85" s="3"/>
      <c r="B85" s="3"/>
      <c r="C85" s="3"/>
      <c r="D85" s="3"/>
      <c r="E85" s="3"/>
      <c r="F85" s="3"/>
      <c r="G85" s="3"/>
      <c r="H85" s="3"/>
      <c r="I85" s="3"/>
      <c r="J85" s="3"/>
      <c r="K85" s="3"/>
      <c r="L85" s="3"/>
      <c r="M85" s="3"/>
      <c r="N85" s="3"/>
      <c r="O85" s="3"/>
      <c r="P85" s="3"/>
      <c r="Q85" s="3"/>
    </row>
    <row r="86" spans="1:17" ht="15">
      <c r="A86" s="3"/>
      <c r="B86" s="3"/>
      <c r="C86" s="3"/>
      <c r="D86" s="3"/>
      <c r="E86" s="3"/>
      <c r="F86" s="3"/>
      <c r="G86" s="3"/>
      <c r="H86" s="3"/>
      <c r="I86" s="3"/>
      <c r="J86" s="3"/>
      <c r="K86" s="3"/>
      <c r="L86" s="3"/>
      <c r="M86" s="3"/>
      <c r="N86" s="3"/>
      <c r="O86" s="3"/>
      <c r="P86" s="3"/>
      <c r="Q86" s="3"/>
    </row>
    <row r="87" spans="1:17" ht="15">
      <c r="A87" s="3"/>
      <c r="B87" s="3"/>
      <c r="C87" s="3"/>
      <c r="D87" s="3"/>
      <c r="E87" s="3"/>
      <c r="F87" s="3"/>
      <c r="G87" s="3"/>
      <c r="H87" s="3"/>
      <c r="I87" s="3"/>
      <c r="J87" s="3"/>
      <c r="K87" s="3"/>
      <c r="L87" s="3"/>
      <c r="M87" s="3"/>
      <c r="N87" s="3"/>
      <c r="O87" s="3"/>
      <c r="P87" s="3"/>
      <c r="Q87" s="3"/>
    </row>
    <row r="88" spans="1:17" ht="15">
      <c r="A88" s="3"/>
      <c r="B88" s="3"/>
      <c r="C88" s="3"/>
      <c r="D88" s="3"/>
      <c r="E88" s="3"/>
      <c r="F88" s="3"/>
      <c r="G88" s="3"/>
      <c r="H88" s="3"/>
      <c r="I88" s="3"/>
      <c r="J88" s="3"/>
      <c r="K88" s="3"/>
      <c r="L88" s="3"/>
      <c r="M88" s="3"/>
      <c r="N88" s="3"/>
      <c r="O88" s="3"/>
      <c r="P88" s="3"/>
      <c r="Q88" s="3"/>
    </row>
    <row r="89" spans="1:17" ht="15">
      <c r="A89" s="3"/>
      <c r="B89" s="3"/>
      <c r="C89" s="3"/>
      <c r="D89" s="3"/>
      <c r="E89" s="3"/>
      <c r="F89" s="3"/>
      <c r="G89" s="3"/>
      <c r="H89" s="3"/>
      <c r="I89" s="3"/>
      <c r="J89" s="3"/>
      <c r="K89" s="3"/>
      <c r="L89" s="3"/>
      <c r="M89" s="3"/>
      <c r="N89" s="3"/>
      <c r="O89" s="3"/>
      <c r="P89" s="3"/>
      <c r="Q89" s="3"/>
    </row>
    <row r="90" spans="1:17" ht="15">
      <c r="A90" s="3"/>
      <c r="B90" s="3"/>
      <c r="C90" s="3"/>
      <c r="D90" s="3"/>
      <c r="E90" s="3"/>
      <c r="F90" s="3"/>
      <c r="G90" s="3"/>
      <c r="H90" s="3"/>
      <c r="I90" s="3"/>
      <c r="J90" s="3"/>
      <c r="K90" s="3"/>
      <c r="L90" s="3"/>
      <c r="M90" s="3"/>
      <c r="N90" s="3"/>
      <c r="O90" s="3"/>
      <c r="P90" s="3"/>
      <c r="Q90" s="3"/>
    </row>
    <row r="91" spans="1:17" ht="15">
      <c r="A91" s="3"/>
      <c r="B91" s="3"/>
      <c r="C91" s="3"/>
      <c r="D91" s="3"/>
      <c r="E91" s="3"/>
      <c r="F91" s="3"/>
      <c r="G91" s="3"/>
      <c r="H91" s="3"/>
      <c r="I91" s="3"/>
      <c r="J91" s="3"/>
      <c r="K91" s="3"/>
      <c r="L91" s="3"/>
      <c r="M91" s="3"/>
      <c r="N91" s="3"/>
      <c r="O91" s="3"/>
      <c r="P91" s="3"/>
      <c r="Q91" s="3"/>
    </row>
    <row r="92" spans="1:17" ht="15">
      <c r="A92" s="3"/>
      <c r="B92" s="3"/>
      <c r="C92" s="3"/>
      <c r="D92" s="3"/>
      <c r="E92" s="3"/>
      <c r="F92" s="3"/>
      <c r="G92" s="3"/>
      <c r="H92" s="3"/>
      <c r="I92" s="3"/>
      <c r="J92" s="3"/>
      <c r="K92" s="3"/>
      <c r="L92" s="3"/>
      <c r="M92" s="3"/>
      <c r="N92" s="3"/>
      <c r="O92" s="3"/>
      <c r="P92" s="3"/>
      <c r="Q92" s="3"/>
    </row>
    <row r="93" spans="1:17" ht="15">
      <c r="A93" s="3"/>
      <c r="B93" s="3"/>
      <c r="C93" s="3"/>
      <c r="D93" s="3"/>
      <c r="E93" s="3"/>
      <c r="F93" s="3"/>
      <c r="G93" s="3"/>
      <c r="H93" s="3"/>
      <c r="I93" s="3"/>
      <c r="J93" s="3"/>
      <c r="K93" s="3"/>
      <c r="L93" s="3"/>
      <c r="M93" s="3"/>
      <c r="N93" s="3"/>
      <c r="O93" s="3"/>
      <c r="P93" s="3"/>
      <c r="Q93" s="3"/>
    </row>
    <row r="94" spans="1:17" ht="15">
      <c r="A94" s="3"/>
      <c r="B94" s="3"/>
      <c r="C94" s="3"/>
      <c r="D94" s="3"/>
      <c r="E94" s="3"/>
      <c r="F94" s="3"/>
      <c r="G94" s="3"/>
      <c r="H94" s="3"/>
      <c r="I94" s="3"/>
      <c r="J94" s="3"/>
      <c r="K94" s="3"/>
      <c r="L94" s="3"/>
      <c r="M94" s="3"/>
      <c r="N94" s="3"/>
      <c r="O94" s="3"/>
      <c r="P94" s="3"/>
      <c r="Q94" s="3"/>
    </row>
    <row r="95" spans="1:17" ht="15">
      <c r="A95" s="3"/>
      <c r="B95" s="3"/>
      <c r="C95" s="3"/>
      <c r="D95" s="3"/>
      <c r="E95" s="3"/>
      <c r="F95" s="3"/>
      <c r="G95" s="3"/>
      <c r="H95" s="3"/>
      <c r="I95" s="3"/>
      <c r="J95" s="3"/>
      <c r="K95" s="3"/>
      <c r="L95" s="3"/>
      <c r="M95" s="3"/>
      <c r="N95" s="3"/>
      <c r="O95" s="3"/>
      <c r="P95" s="3"/>
      <c r="Q95" s="3"/>
    </row>
    <row r="96" spans="1:17" ht="15">
      <c r="A96" s="3"/>
      <c r="B96" s="3"/>
      <c r="C96" s="3"/>
      <c r="D96" s="3"/>
      <c r="E96" s="3"/>
      <c r="F96" s="3"/>
      <c r="G96" s="3"/>
      <c r="H96" s="3"/>
      <c r="I96" s="3"/>
      <c r="J96" s="3"/>
      <c r="K96" s="3"/>
      <c r="L96" s="3"/>
      <c r="M96" s="3"/>
      <c r="N96" s="3"/>
      <c r="O96" s="3"/>
      <c r="P96" s="3"/>
      <c r="Q96" s="3"/>
    </row>
    <row r="97" spans="1:17" ht="15">
      <c r="A97" s="3"/>
      <c r="B97" s="3"/>
      <c r="C97" s="3"/>
      <c r="D97" s="3"/>
      <c r="E97" s="3"/>
      <c r="F97" s="3"/>
      <c r="G97" s="3"/>
      <c r="H97" s="3"/>
      <c r="I97" s="3"/>
      <c r="J97" s="3"/>
      <c r="K97" s="3"/>
      <c r="L97" s="3"/>
      <c r="M97" s="3"/>
      <c r="N97" s="3"/>
      <c r="O97" s="3"/>
      <c r="P97" s="3"/>
      <c r="Q97" s="3"/>
    </row>
    <row r="98" spans="1:17" ht="15">
      <c r="A98" s="3"/>
      <c r="B98" s="3"/>
      <c r="C98" s="3"/>
      <c r="D98" s="3"/>
      <c r="E98" s="3"/>
      <c r="F98" s="3"/>
      <c r="G98" s="3"/>
      <c r="H98" s="3"/>
      <c r="I98" s="3"/>
      <c r="J98" s="3"/>
      <c r="K98" s="3"/>
      <c r="L98" s="3"/>
      <c r="M98" s="3"/>
      <c r="N98" s="3"/>
      <c r="O98" s="3"/>
      <c r="P98" s="3"/>
      <c r="Q98" s="3"/>
    </row>
    <row r="99" spans="1:17" ht="15">
      <c r="A99" s="3"/>
      <c r="B99" s="3"/>
      <c r="C99" s="3"/>
      <c r="D99" s="3"/>
      <c r="E99" s="3"/>
      <c r="F99" s="3"/>
      <c r="G99" s="3"/>
      <c r="H99" s="3"/>
      <c r="I99" s="3"/>
      <c r="J99" s="3"/>
      <c r="K99" s="3"/>
      <c r="L99" s="3"/>
      <c r="M99" s="3"/>
      <c r="N99" s="3"/>
      <c r="O99" s="3"/>
      <c r="P99" s="3"/>
      <c r="Q99" s="3"/>
    </row>
    <row r="100" spans="1:17" ht="15">
      <c r="A100" s="3"/>
      <c r="B100" s="3"/>
      <c r="C100" s="3"/>
      <c r="D100" s="3"/>
      <c r="E100" s="3"/>
      <c r="F100" s="3"/>
      <c r="G100" s="3"/>
      <c r="H100" s="3"/>
      <c r="I100" s="3"/>
      <c r="J100" s="3"/>
      <c r="K100" s="3"/>
      <c r="L100" s="3"/>
      <c r="M100" s="3"/>
      <c r="N100" s="3"/>
      <c r="O100" s="3"/>
      <c r="P100" s="3"/>
      <c r="Q100" s="3"/>
    </row>
    <row r="101" spans="1:17" ht="15">
      <c r="A101" s="3"/>
      <c r="B101" s="3"/>
      <c r="C101" s="3"/>
      <c r="D101" s="3"/>
      <c r="E101" s="3"/>
      <c r="F101" s="3"/>
      <c r="G101" s="3"/>
      <c r="H101" s="3"/>
      <c r="I101" s="3"/>
      <c r="J101" s="3"/>
      <c r="K101" s="3"/>
      <c r="L101" s="3"/>
      <c r="M101" s="3"/>
      <c r="N101" s="3"/>
      <c r="O101" s="3"/>
      <c r="P101" s="3"/>
      <c r="Q101" s="3"/>
    </row>
    <row r="102" spans="1:17" ht="15">
      <c r="A102" s="3"/>
      <c r="B102" s="3"/>
      <c r="C102" s="3"/>
      <c r="D102" s="3"/>
      <c r="E102" s="3"/>
      <c r="F102" s="3"/>
      <c r="G102" s="3"/>
      <c r="H102" s="3"/>
      <c r="I102" s="3"/>
      <c r="J102" s="3"/>
      <c r="K102" s="3"/>
      <c r="L102" s="3"/>
      <c r="M102" s="3"/>
      <c r="N102" s="3"/>
      <c r="O102" s="3"/>
      <c r="P102" s="3"/>
      <c r="Q102" s="3"/>
    </row>
    <row r="103" spans="1:17" ht="15">
      <c r="A103" s="3"/>
      <c r="B103" s="3"/>
      <c r="C103" s="3"/>
      <c r="D103" s="3"/>
      <c r="E103" s="3"/>
      <c r="F103" s="3"/>
      <c r="G103" s="3"/>
      <c r="H103" s="3"/>
      <c r="I103" s="3"/>
      <c r="J103" s="3"/>
      <c r="K103" s="3"/>
      <c r="L103" s="3"/>
      <c r="M103" s="3"/>
      <c r="N103" s="3"/>
      <c r="O103" s="3"/>
      <c r="P103" s="3"/>
      <c r="Q103" s="3"/>
    </row>
    <row r="104" spans="1:17" ht="15">
      <c r="A104" s="3"/>
      <c r="B104" s="3"/>
      <c r="C104" s="3"/>
      <c r="D104" s="3"/>
      <c r="E104" s="3"/>
      <c r="F104" s="3"/>
      <c r="G104" s="3"/>
      <c r="H104" s="3"/>
      <c r="I104" s="3"/>
      <c r="J104" s="3"/>
      <c r="K104" s="3"/>
      <c r="L104" s="3"/>
      <c r="M104" s="3"/>
      <c r="N104" s="3"/>
      <c r="O104" s="3"/>
      <c r="P104" s="3"/>
      <c r="Q104" s="3"/>
    </row>
    <row r="105" spans="1:17" ht="15">
      <c r="A105" s="3"/>
      <c r="B105" s="3"/>
      <c r="C105" s="3"/>
      <c r="D105" s="3"/>
      <c r="E105" s="3"/>
      <c r="F105" s="3"/>
      <c r="G105" s="3"/>
      <c r="H105" s="3"/>
      <c r="I105" s="3"/>
      <c r="J105" s="3"/>
      <c r="K105" s="3"/>
      <c r="L105" s="3"/>
      <c r="M105" s="3"/>
      <c r="N105" s="3"/>
      <c r="O105" s="3"/>
      <c r="P105" s="3"/>
      <c r="Q105" s="3"/>
    </row>
    <row r="106" spans="1:17" ht="15">
      <c r="A106" s="3"/>
      <c r="B106" s="3"/>
      <c r="C106" s="3"/>
      <c r="D106" s="3"/>
      <c r="E106" s="3"/>
      <c r="F106" s="3"/>
      <c r="G106" s="3"/>
      <c r="H106" s="3"/>
      <c r="I106" s="3"/>
      <c r="J106" s="3"/>
      <c r="K106" s="3"/>
      <c r="L106" s="3"/>
      <c r="M106" s="3"/>
      <c r="N106" s="3"/>
      <c r="O106" s="3"/>
      <c r="P106" s="3"/>
      <c r="Q106" s="3"/>
    </row>
    <row r="107" spans="1:17" ht="15">
      <c r="A107" s="3"/>
      <c r="B107" s="3"/>
      <c r="C107" s="3"/>
      <c r="D107" s="3"/>
      <c r="E107" s="3"/>
      <c r="F107" s="3"/>
      <c r="G107" s="3"/>
      <c r="H107" s="3"/>
      <c r="I107" s="3"/>
      <c r="J107" s="3"/>
      <c r="K107" s="3"/>
      <c r="L107" s="3"/>
      <c r="M107" s="3"/>
      <c r="N107" s="3"/>
      <c r="O107" s="3"/>
      <c r="P107" s="3"/>
      <c r="Q107" s="3"/>
    </row>
    <row r="108" spans="1:17" ht="15">
      <c r="A108" s="3"/>
      <c r="B108" s="3"/>
      <c r="C108" s="3"/>
      <c r="D108" s="3"/>
      <c r="E108" s="3"/>
      <c r="F108" s="3"/>
      <c r="G108" s="3"/>
      <c r="H108" s="3"/>
      <c r="I108" s="3"/>
      <c r="J108" s="3"/>
      <c r="K108" s="3"/>
      <c r="L108" s="3"/>
      <c r="M108" s="3"/>
      <c r="N108" s="3"/>
      <c r="O108" s="3"/>
      <c r="P108" s="3"/>
      <c r="Q108" s="3"/>
    </row>
    <row r="109" spans="1:17" ht="15">
      <c r="A109" s="3"/>
      <c r="B109" s="3"/>
      <c r="C109" s="3"/>
      <c r="D109" s="3"/>
      <c r="E109" s="3"/>
      <c r="F109" s="3"/>
      <c r="G109" s="3"/>
      <c r="H109" s="3"/>
      <c r="I109" s="3"/>
      <c r="J109" s="3"/>
      <c r="K109" s="3"/>
      <c r="L109" s="3"/>
      <c r="M109" s="3"/>
      <c r="N109" s="3"/>
      <c r="O109" s="3"/>
      <c r="P109" s="3"/>
      <c r="Q109" s="3"/>
    </row>
    <row r="110" spans="1:17" ht="15">
      <c r="A110" s="3"/>
      <c r="B110" s="3"/>
      <c r="C110" s="3"/>
      <c r="D110" s="3"/>
      <c r="E110" s="3"/>
      <c r="F110" s="3"/>
      <c r="G110" s="3"/>
      <c r="H110" s="3"/>
      <c r="I110" s="3"/>
      <c r="J110" s="3"/>
      <c r="K110" s="3"/>
      <c r="L110" s="3"/>
      <c r="M110" s="3"/>
      <c r="N110" s="3"/>
      <c r="O110" s="3"/>
      <c r="P110" s="3"/>
      <c r="Q110" s="3"/>
    </row>
    <row r="111" spans="1:17" ht="15">
      <c r="A111" s="3"/>
      <c r="B111" s="3"/>
      <c r="C111" s="3"/>
      <c r="D111" s="3"/>
      <c r="E111" s="3"/>
      <c r="F111" s="3"/>
      <c r="G111" s="3"/>
      <c r="H111" s="3"/>
      <c r="I111" s="3"/>
      <c r="J111" s="3"/>
      <c r="K111" s="3"/>
      <c r="L111" s="3"/>
      <c r="M111" s="3"/>
      <c r="N111" s="3"/>
      <c r="O111" s="3"/>
      <c r="P111" s="3"/>
      <c r="Q111" s="3"/>
    </row>
    <row r="112" spans="1:17" ht="15">
      <c r="A112" s="3"/>
      <c r="B112" s="3"/>
      <c r="C112" s="3"/>
      <c r="D112" s="3"/>
      <c r="E112" s="3"/>
      <c r="F112" s="3"/>
      <c r="G112" s="3"/>
      <c r="H112" s="3"/>
      <c r="I112" s="3"/>
      <c r="J112" s="3"/>
      <c r="K112" s="3"/>
      <c r="L112" s="3"/>
      <c r="M112" s="3"/>
      <c r="N112" s="3"/>
      <c r="O112" s="3"/>
      <c r="P112" s="3"/>
      <c r="Q112" s="3"/>
    </row>
    <row r="113" spans="1:17" ht="15">
      <c r="A113" s="3"/>
      <c r="B113" s="3"/>
      <c r="C113" s="3"/>
      <c r="D113" s="3"/>
      <c r="E113" s="3"/>
      <c r="F113" s="3"/>
      <c r="G113" s="3"/>
      <c r="H113" s="3"/>
      <c r="I113" s="3"/>
      <c r="J113" s="3"/>
      <c r="K113" s="3"/>
      <c r="L113" s="3"/>
      <c r="M113" s="3"/>
      <c r="N113" s="3"/>
      <c r="O113" s="3"/>
      <c r="P113" s="3"/>
      <c r="Q113" s="3"/>
    </row>
    <row r="114" spans="1:17" ht="15">
      <c r="A114" s="3"/>
      <c r="B114" s="3"/>
      <c r="C114" s="3"/>
      <c r="D114" s="3"/>
      <c r="E114" s="3"/>
      <c r="F114" s="3"/>
      <c r="G114" s="3"/>
      <c r="H114" s="3"/>
      <c r="I114" s="3"/>
      <c r="J114" s="3"/>
      <c r="K114" s="3"/>
      <c r="L114" s="3"/>
      <c r="M114" s="3"/>
      <c r="N114" s="3"/>
      <c r="O114" s="3"/>
      <c r="P114" s="3"/>
      <c r="Q114" s="3"/>
    </row>
    <row r="115" spans="1:17" ht="15">
      <c r="A115" s="3"/>
      <c r="B115" s="3"/>
      <c r="C115" s="3"/>
      <c r="D115" s="3"/>
      <c r="E115" s="3"/>
      <c r="F115" s="3"/>
      <c r="G115" s="3"/>
      <c r="H115" s="3"/>
      <c r="I115" s="3"/>
      <c r="J115" s="3"/>
      <c r="K115" s="3"/>
      <c r="L115" s="3"/>
      <c r="M115" s="3"/>
      <c r="N115" s="3"/>
      <c r="O115" s="3"/>
      <c r="P115" s="3"/>
      <c r="Q115" s="3"/>
    </row>
    <row r="116" spans="1:17" ht="15">
      <c r="A116" s="3"/>
      <c r="B116" s="3"/>
      <c r="C116" s="3"/>
      <c r="D116" s="3"/>
      <c r="E116" s="3"/>
      <c r="F116" s="3"/>
      <c r="G116" s="3"/>
      <c r="H116" s="3"/>
      <c r="I116" s="3"/>
      <c r="J116" s="3"/>
      <c r="K116" s="3"/>
      <c r="L116" s="3"/>
      <c r="M116" s="3"/>
      <c r="N116" s="3"/>
      <c r="O116" s="3"/>
      <c r="P116" s="3"/>
      <c r="Q116" s="3"/>
    </row>
    <row r="117" spans="1:17" ht="15">
      <c r="A117" s="3"/>
      <c r="B117" s="3"/>
      <c r="C117" s="3"/>
      <c r="D117" s="3"/>
      <c r="E117" s="3"/>
      <c r="F117" s="3"/>
      <c r="G117" s="3"/>
      <c r="H117" s="3"/>
      <c r="I117" s="3"/>
      <c r="J117" s="3"/>
      <c r="K117" s="3"/>
      <c r="L117" s="3"/>
      <c r="M117" s="3"/>
      <c r="N117" s="3"/>
      <c r="O117" s="3"/>
      <c r="P117" s="3"/>
      <c r="Q117" s="3"/>
    </row>
    <row r="118" spans="1:17" ht="15">
      <c r="A118" s="3"/>
      <c r="B118" s="3"/>
      <c r="C118" s="3"/>
      <c r="D118" s="3"/>
      <c r="E118" s="3"/>
      <c r="F118" s="3"/>
      <c r="G118" s="3"/>
      <c r="H118" s="3"/>
      <c r="I118" s="3"/>
      <c r="J118" s="3"/>
      <c r="K118" s="3"/>
      <c r="L118" s="3"/>
      <c r="M118" s="3"/>
      <c r="N118" s="3"/>
      <c r="O118" s="3"/>
      <c r="P118" s="3"/>
      <c r="Q118" s="3"/>
    </row>
    <row r="119" spans="1:17" ht="15">
      <c r="A119" s="3"/>
      <c r="B119" s="3"/>
      <c r="C119" s="3"/>
      <c r="D119" s="3"/>
      <c r="E119" s="3"/>
      <c r="F119" s="3"/>
      <c r="G119" s="3"/>
      <c r="H119" s="3"/>
      <c r="I119" s="3"/>
      <c r="J119" s="3"/>
      <c r="K119" s="3"/>
      <c r="L119" s="3"/>
      <c r="M119" s="3"/>
      <c r="N119" s="3"/>
      <c r="O119" s="3"/>
      <c r="P119" s="3"/>
      <c r="Q119" s="3"/>
    </row>
    <row r="120" spans="1:17" ht="15">
      <c r="A120" s="3"/>
      <c r="B120" s="3"/>
      <c r="C120" s="3"/>
      <c r="D120" s="3"/>
      <c r="E120" s="3"/>
      <c r="F120" s="3"/>
      <c r="G120" s="3"/>
      <c r="H120" s="3"/>
      <c r="I120" s="3"/>
      <c r="J120" s="3"/>
      <c r="K120" s="3"/>
      <c r="L120" s="3"/>
      <c r="M120" s="3"/>
      <c r="N120" s="3"/>
      <c r="O120" s="3"/>
      <c r="P120" s="3"/>
      <c r="Q120" s="3"/>
    </row>
    <row r="121" spans="1:17" ht="15">
      <c r="A121" s="3"/>
      <c r="B121" s="3"/>
      <c r="C121" s="3"/>
      <c r="D121" s="3"/>
      <c r="E121" s="3"/>
      <c r="F121" s="3"/>
      <c r="G121" s="3"/>
      <c r="H121" s="3"/>
      <c r="I121" s="3"/>
      <c r="J121" s="3"/>
      <c r="K121" s="3"/>
      <c r="L121" s="3"/>
      <c r="M121" s="3"/>
      <c r="N121" s="3"/>
      <c r="O121" s="3"/>
      <c r="P121" s="3"/>
      <c r="Q121" s="3"/>
    </row>
    <row r="122" spans="1:17" ht="15">
      <c r="A122" s="3"/>
      <c r="B122" s="3"/>
      <c r="C122" s="3"/>
      <c r="D122" s="3"/>
      <c r="E122" s="3"/>
      <c r="F122" s="3"/>
      <c r="G122" s="3"/>
      <c r="H122" s="3"/>
      <c r="I122" s="3"/>
      <c r="J122" s="3"/>
      <c r="K122" s="3"/>
      <c r="L122" s="3"/>
      <c r="M122" s="3"/>
      <c r="N122" s="3"/>
      <c r="O122" s="3"/>
      <c r="P122" s="3"/>
      <c r="Q122" s="3"/>
    </row>
    <row r="123" spans="1:17" ht="15">
      <c r="A123" s="3"/>
      <c r="B123" s="3"/>
      <c r="C123" s="3"/>
      <c r="D123" s="3"/>
      <c r="E123" s="3"/>
      <c r="F123" s="3"/>
      <c r="G123" s="3"/>
      <c r="H123" s="3"/>
      <c r="I123" s="3"/>
      <c r="J123" s="3"/>
      <c r="K123" s="3"/>
      <c r="L123" s="3"/>
      <c r="M123" s="3"/>
      <c r="N123" s="3"/>
      <c r="O123" s="3"/>
      <c r="P123" s="3"/>
      <c r="Q123" s="3"/>
    </row>
    <row r="124" spans="1:17" ht="15">
      <c r="A124" s="3"/>
      <c r="B124" s="3"/>
      <c r="C124" s="3"/>
      <c r="D124" s="3"/>
      <c r="E124" s="3"/>
      <c r="F124" s="3"/>
      <c r="G124" s="3"/>
      <c r="H124" s="3"/>
      <c r="I124" s="3"/>
      <c r="J124" s="3"/>
      <c r="K124" s="3"/>
      <c r="L124" s="3"/>
      <c r="M124" s="3"/>
      <c r="N124" s="3"/>
      <c r="O124" s="3"/>
      <c r="P124" s="3"/>
      <c r="Q124" s="3"/>
    </row>
    <row r="125" spans="1:17" ht="15">
      <c r="A125" s="3"/>
      <c r="B125" s="3"/>
      <c r="C125" s="3"/>
      <c r="D125" s="3"/>
      <c r="E125" s="3"/>
      <c r="F125" s="3"/>
      <c r="G125" s="3"/>
      <c r="H125" s="3"/>
      <c r="I125" s="3"/>
      <c r="J125" s="3"/>
      <c r="K125" s="3"/>
      <c r="L125" s="3"/>
      <c r="M125" s="3"/>
      <c r="N125" s="3"/>
      <c r="O125" s="3"/>
      <c r="P125" s="3"/>
      <c r="Q125" s="3"/>
    </row>
    <row r="126" spans="1:17" ht="15">
      <c r="A126" s="3"/>
      <c r="B126" s="3"/>
      <c r="C126" s="3"/>
      <c r="D126" s="3"/>
      <c r="E126" s="3"/>
      <c r="F126" s="3"/>
      <c r="G126" s="3"/>
      <c r="H126" s="3"/>
      <c r="I126" s="3"/>
      <c r="J126" s="3"/>
      <c r="K126" s="3"/>
      <c r="L126" s="3"/>
      <c r="M126" s="3"/>
      <c r="N126" s="3"/>
      <c r="O126" s="3"/>
      <c r="P126" s="3"/>
      <c r="Q126" s="3"/>
    </row>
    <row r="127" spans="1:17" ht="15">
      <c r="A127" s="3"/>
      <c r="B127" s="3"/>
      <c r="C127" s="3"/>
      <c r="D127" s="3"/>
      <c r="E127" s="3"/>
      <c r="F127" s="3"/>
      <c r="G127" s="3"/>
      <c r="H127" s="3"/>
      <c r="I127" s="3"/>
      <c r="J127" s="3"/>
      <c r="K127" s="3"/>
      <c r="L127" s="3"/>
      <c r="M127" s="3"/>
      <c r="N127" s="3"/>
      <c r="O127" s="3"/>
      <c r="P127" s="3"/>
      <c r="Q127" s="3"/>
    </row>
    <row r="128" spans="1:17" ht="15">
      <c r="A128" s="3"/>
      <c r="B128" s="3"/>
      <c r="C128" s="3"/>
      <c r="D128" s="3"/>
      <c r="E128" s="3"/>
      <c r="F128" s="3"/>
      <c r="G128" s="3"/>
      <c r="H128" s="3"/>
      <c r="I128" s="3"/>
      <c r="J128" s="3"/>
      <c r="K128" s="3"/>
      <c r="L128" s="3"/>
      <c r="M128" s="3"/>
      <c r="N128" s="3"/>
      <c r="O128" s="3"/>
      <c r="P128" s="3"/>
      <c r="Q128" s="3"/>
    </row>
    <row r="129" spans="1:17" ht="15">
      <c r="A129" s="3"/>
      <c r="B129" s="3"/>
      <c r="C129" s="3"/>
      <c r="D129" s="3"/>
      <c r="E129" s="3"/>
      <c r="F129" s="3"/>
      <c r="G129" s="3"/>
      <c r="H129" s="3"/>
      <c r="I129" s="3"/>
      <c r="J129" s="3"/>
      <c r="K129" s="3"/>
      <c r="L129" s="3"/>
      <c r="M129" s="3"/>
      <c r="N129" s="3"/>
      <c r="O129" s="3"/>
      <c r="P129" s="3"/>
      <c r="Q129" s="3"/>
    </row>
    <row r="130" spans="1:17" ht="15">
      <c r="A130" s="3"/>
      <c r="B130" s="3"/>
      <c r="C130" s="3"/>
      <c r="D130" s="3"/>
      <c r="E130" s="3"/>
      <c r="F130" s="3"/>
      <c r="G130" s="3"/>
      <c r="H130" s="3"/>
      <c r="I130" s="3"/>
      <c r="J130" s="3"/>
      <c r="K130" s="3"/>
      <c r="L130" s="3"/>
      <c r="M130" s="3"/>
      <c r="N130" s="3"/>
      <c r="O130" s="3"/>
      <c r="P130" s="3"/>
      <c r="Q130" s="3"/>
    </row>
    <row r="131" spans="1:17" ht="15">
      <c r="A131" s="3"/>
      <c r="B131" s="3"/>
      <c r="C131" s="3"/>
      <c r="D131" s="3"/>
      <c r="E131" s="3"/>
      <c r="F131" s="3"/>
      <c r="G131" s="3"/>
      <c r="H131" s="3"/>
      <c r="I131" s="3"/>
      <c r="J131" s="3"/>
      <c r="K131" s="3"/>
      <c r="L131" s="3"/>
      <c r="M131" s="3"/>
      <c r="N131" s="3"/>
      <c r="O131" s="3"/>
      <c r="P131" s="3"/>
      <c r="Q131" s="3"/>
    </row>
    <row r="132" spans="1:17" ht="15">
      <c r="A132" s="3"/>
      <c r="B132" s="3"/>
      <c r="C132" s="3"/>
      <c r="D132" s="3"/>
      <c r="E132" s="3"/>
      <c r="F132" s="3"/>
      <c r="G132" s="3"/>
      <c r="H132" s="3"/>
      <c r="I132" s="3"/>
      <c r="J132" s="3"/>
      <c r="K132" s="3"/>
      <c r="L132" s="3"/>
      <c r="M132" s="3"/>
      <c r="N132" s="3"/>
      <c r="O132" s="3"/>
      <c r="P132" s="3"/>
      <c r="Q132" s="3"/>
    </row>
    <row r="133" spans="1:17" ht="15">
      <c r="A133" s="3"/>
      <c r="B133" s="3"/>
      <c r="C133" s="3"/>
      <c r="D133" s="3"/>
      <c r="E133" s="3"/>
      <c r="F133" s="3"/>
      <c r="G133" s="3"/>
      <c r="H133" s="3"/>
      <c r="I133" s="3"/>
      <c r="J133" s="3"/>
      <c r="K133" s="3"/>
      <c r="L133" s="3"/>
      <c r="M133" s="3"/>
      <c r="N133" s="3"/>
      <c r="O133" s="3"/>
      <c r="P133" s="3"/>
      <c r="Q133" s="3"/>
    </row>
    <row r="134" spans="1:17" ht="15">
      <c r="A134" s="3"/>
      <c r="B134" s="3"/>
      <c r="C134" s="3"/>
      <c r="D134" s="3"/>
      <c r="E134" s="3"/>
      <c r="F134" s="3"/>
      <c r="G134" s="3"/>
      <c r="H134" s="3"/>
      <c r="I134" s="3"/>
      <c r="J134" s="3"/>
      <c r="K134" s="3"/>
      <c r="L134" s="3"/>
      <c r="M134" s="3"/>
      <c r="N134" s="3"/>
      <c r="O134" s="3"/>
      <c r="P134" s="3"/>
      <c r="Q134" s="3"/>
    </row>
    <row r="135" spans="1:17" ht="15">
      <c r="A135" s="3"/>
      <c r="B135" s="3"/>
      <c r="C135" s="3"/>
      <c r="D135" s="3"/>
      <c r="E135" s="3"/>
      <c r="F135" s="3"/>
      <c r="G135" s="3"/>
      <c r="H135" s="3"/>
      <c r="I135" s="3"/>
      <c r="J135" s="3"/>
      <c r="K135" s="3"/>
      <c r="L135" s="3"/>
      <c r="M135" s="3"/>
      <c r="N135" s="3"/>
      <c r="O135" s="3"/>
      <c r="P135" s="3"/>
      <c r="Q135" s="3"/>
    </row>
    <row r="136" spans="1:17" ht="15">
      <c r="A136" s="3"/>
      <c r="B136" s="3"/>
      <c r="C136" s="3"/>
      <c r="D136" s="3"/>
      <c r="E136" s="3"/>
      <c r="F136" s="3"/>
      <c r="G136" s="3"/>
      <c r="H136" s="3"/>
      <c r="I136" s="3"/>
      <c r="J136" s="3"/>
      <c r="K136" s="3"/>
      <c r="L136" s="3"/>
      <c r="M136" s="3"/>
      <c r="N136" s="3"/>
      <c r="O136" s="3"/>
      <c r="P136" s="3"/>
      <c r="Q136" s="3"/>
    </row>
    <row r="137" spans="1:17" ht="15">
      <c r="A137" s="3"/>
      <c r="B137" s="3"/>
      <c r="C137" s="3"/>
      <c r="D137" s="3"/>
      <c r="E137" s="3"/>
      <c r="F137" s="3"/>
      <c r="G137" s="3"/>
      <c r="H137" s="3"/>
      <c r="I137" s="3"/>
      <c r="J137" s="3"/>
      <c r="K137" s="3"/>
      <c r="L137" s="3"/>
      <c r="M137" s="3"/>
      <c r="N137" s="3"/>
      <c r="O137" s="3"/>
      <c r="P137" s="3"/>
      <c r="Q137" s="3"/>
    </row>
    <row r="138" spans="1:17" ht="15">
      <c r="A138" s="3"/>
      <c r="B138" s="3"/>
      <c r="C138" s="3"/>
      <c r="D138" s="3"/>
      <c r="E138" s="3"/>
      <c r="F138" s="3"/>
      <c r="G138" s="3"/>
      <c r="H138" s="3"/>
      <c r="I138" s="3"/>
      <c r="J138" s="3"/>
      <c r="K138" s="3"/>
      <c r="L138" s="3"/>
      <c r="M138" s="3"/>
      <c r="N138" s="3"/>
      <c r="O138" s="3"/>
      <c r="P138" s="3"/>
      <c r="Q138" s="3"/>
    </row>
    <row r="139" spans="1:17" ht="15">
      <c r="A139" s="3"/>
      <c r="B139" s="3"/>
      <c r="C139" s="3"/>
      <c r="D139" s="3"/>
      <c r="E139" s="3"/>
      <c r="F139" s="3"/>
      <c r="G139" s="3"/>
      <c r="H139" s="3"/>
      <c r="I139" s="3"/>
      <c r="J139" s="3"/>
      <c r="K139" s="3"/>
      <c r="L139" s="3"/>
      <c r="M139" s="3"/>
      <c r="N139" s="3"/>
      <c r="O139" s="3"/>
      <c r="P139" s="3"/>
      <c r="Q139" s="3"/>
    </row>
    <row r="140" spans="1:17" ht="15">
      <c r="A140" s="3"/>
      <c r="B140" s="3"/>
      <c r="C140" s="3"/>
      <c r="D140" s="3"/>
      <c r="E140" s="3"/>
      <c r="F140" s="3"/>
      <c r="G140" s="3"/>
      <c r="H140" s="3"/>
      <c r="I140" s="3"/>
      <c r="J140" s="3"/>
      <c r="K140" s="3"/>
      <c r="L140" s="3"/>
      <c r="M140" s="3"/>
      <c r="N140" s="3"/>
      <c r="O140" s="3"/>
      <c r="P140" s="3"/>
      <c r="Q140" s="3"/>
    </row>
    <row r="141" spans="1:17" ht="15">
      <c r="A141" s="3"/>
      <c r="B141" s="3"/>
      <c r="C141" s="3"/>
      <c r="D141" s="3"/>
      <c r="E141" s="3"/>
      <c r="F141" s="3"/>
      <c r="G141" s="3"/>
      <c r="H141" s="3"/>
      <c r="I141" s="3"/>
      <c r="J141" s="3"/>
      <c r="K141" s="3"/>
      <c r="L141" s="3"/>
      <c r="M141" s="3"/>
      <c r="N141" s="3"/>
      <c r="O141" s="3"/>
      <c r="P141" s="3"/>
      <c r="Q141" s="3"/>
    </row>
    <row r="142" spans="1:17" ht="15">
      <c r="A142" s="3"/>
      <c r="B142" s="3"/>
      <c r="C142" s="3"/>
      <c r="D142" s="3"/>
      <c r="E142" s="3"/>
      <c r="F142" s="3"/>
      <c r="G142" s="3"/>
      <c r="H142" s="3"/>
      <c r="I142" s="3"/>
      <c r="J142" s="3"/>
      <c r="K142" s="3"/>
      <c r="L142" s="3"/>
      <c r="M142" s="3"/>
      <c r="N142" s="3"/>
      <c r="O142" s="3"/>
      <c r="P142" s="3"/>
      <c r="Q142" s="3"/>
    </row>
    <row r="143" spans="1:17" ht="15">
      <c r="A143" s="3"/>
      <c r="B143" s="3"/>
      <c r="C143" s="3"/>
      <c r="D143" s="3"/>
      <c r="E143" s="3"/>
      <c r="F143" s="3"/>
      <c r="G143" s="3"/>
      <c r="H143" s="3"/>
      <c r="I143" s="3"/>
      <c r="J143" s="3"/>
      <c r="K143" s="3"/>
      <c r="L143" s="3"/>
      <c r="M143" s="3"/>
      <c r="N143" s="3"/>
      <c r="O143" s="3"/>
      <c r="P143" s="3"/>
      <c r="Q143" s="3"/>
    </row>
    <row r="144" spans="1:17" ht="15">
      <c r="A144" s="3"/>
      <c r="B144" s="3"/>
      <c r="C144" s="3"/>
      <c r="D144" s="3"/>
      <c r="E144" s="3"/>
      <c r="F144" s="3"/>
      <c r="G144" s="3"/>
      <c r="H144" s="3"/>
      <c r="I144" s="3"/>
      <c r="J144" s="3"/>
      <c r="K144" s="3"/>
      <c r="L144" s="3"/>
      <c r="M144" s="3"/>
      <c r="N144" s="3"/>
      <c r="O144" s="3"/>
      <c r="P144" s="3"/>
      <c r="Q144" s="3"/>
    </row>
    <row r="145" spans="1:17" ht="15">
      <c r="A145" s="3"/>
      <c r="B145" s="3"/>
      <c r="C145" s="3"/>
      <c r="D145" s="3"/>
      <c r="E145" s="3"/>
      <c r="F145" s="3"/>
      <c r="G145" s="3"/>
      <c r="H145" s="3"/>
      <c r="I145" s="3"/>
      <c r="J145" s="3"/>
      <c r="K145" s="3"/>
      <c r="L145" s="3"/>
      <c r="M145" s="3"/>
      <c r="N145" s="3"/>
      <c r="O145" s="3"/>
      <c r="P145" s="3"/>
      <c r="Q145" s="3"/>
    </row>
    <row r="146" spans="1:17" ht="15">
      <c r="A146" s="3"/>
      <c r="B146" s="3"/>
      <c r="C146" s="3"/>
      <c r="D146" s="3"/>
      <c r="E146" s="3"/>
      <c r="F146" s="3"/>
      <c r="G146" s="3"/>
      <c r="H146" s="3"/>
      <c r="I146" s="3"/>
      <c r="J146" s="3"/>
      <c r="K146" s="3"/>
      <c r="L146" s="3"/>
      <c r="M146" s="3"/>
      <c r="N146" s="3"/>
      <c r="O146" s="3"/>
      <c r="P146" s="3"/>
      <c r="Q146" s="3"/>
    </row>
    <row r="147" spans="1:17" ht="15">
      <c r="A147" s="3"/>
      <c r="B147" s="3"/>
      <c r="C147" s="3"/>
      <c r="D147" s="3"/>
      <c r="E147" s="3"/>
      <c r="F147" s="3"/>
      <c r="G147" s="3"/>
      <c r="H147" s="3"/>
      <c r="I147" s="3"/>
      <c r="J147" s="3"/>
      <c r="K147" s="3"/>
      <c r="L147" s="3"/>
      <c r="M147" s="3"/>
      <c r="N147" s="3"/>
      <c r="O147" s="3"/>
      <c r="P147" s="3"/>
      <c r="Q147" s="3"/>
    </row>
    <row r="148" spans="1:17" ht="15">
      <c r="A148" s="3"/>
      <c r="B148" s="3"/>
      <c r="C148" s="3"/>
      <c r="D148" s="3"/>
      <c r="E148" s="3"/>
      <c r="F148" s="3"/>
      <c r="G148" s="3"/>
      <c r="H148" s="3"/>
      <c r="I148" s="3"/>
      <c r="J148" s="3"/>
      <c r="K148" s="3"/>
      <c r="L148" s="3"/>
      <c r="M148" s="3"/>
      <c r="N148" s="3"/>
      <c r="O148" s="3"/>
      <c r="P148" s="3"/>
      <c r="Q148" s="3"/>
    </row>
    <row r="149" spans="1:17" ht="15">
      <c r="A149" s="3"/>
      <c r="B149" s="3"/>
      <c r="C149" s="3"/>
      <c r="D149" s="3"/>
      <c r="E149" s="3"/>
      <c r="F149" s="3"/>
      <c r="G149" s="3"/>
      <c r="H149" s="3"/>
      <c r="I149" s="3"/>
      <c r="J149" s="3"/>
      <c r="K149" s="3"/>
      <c r="L149" s="3"/>
      <c r="M149" s="3"/>
      <c r="N149" s="3"/>
      <c r="O149" s="3"/>
      <c r="P149" s="3"/>
      <c r="Q149" s="3"/>
    </row>
    <row r="150" spans="1:17" ht="15">
      <c r="A150" s="3"/>
      <c r="B150" s="3"/>
      <c r="C150" s="3"/>
      <c r="D150" s="3"/>
      <c r="E150" s="3"/>
      <c r="F150" s="3"/>
      <c r="G150" s="3"/>
      <c r="H150" s="3"/>
      <c r="I150" s="3"/>
      <c r="J150" s="3"/>
      <c r="K150" s="3"/>
      <c r="L150" s="3"/>
      <c r="M150" s="3"/>
      <c r="N150" s="3"/>
      <c r="O150" s="3"/>
      <c r="P150" s="3"/>
      <c r="Q150" s="3"/>
    </row>
    <row r="151" spans="1:17" ht="15">
      <c r="A151" s="3"/>
      <c r="B151" s="3"/>
      <c r="C151" s="3"/>
      <c r="D151" s="3"/>
      <c r="E151" s="3"/>
      <c r="F151" s="3"/>
      <c r="G151" s="3"/>
      <c r="H151" s="3"/>
      <c r="I151" s="3"/>
      <c r="J151" s="3"/>
      <c r="K151" s="3"/>
      <c r="L151" s="3"/>
      <c r="M151" s="3"/>
      <c r="N151" s="3"/>
      <c r="O151" s="3"/>
      <c r="P151" s="3"/>
      <c r="Q151" s="3"/>
    </row>
    <row r="152" spans="1:17" ht="15">
      <c r="A152" s="3"/>
      <c r="B152" s="3"/>
      <c r="C152" s="3"/>
      <c r="D152" s="3"/>
      <c r="E152" s="3"/>
      <c r="F152" s="3"/>
      <c r="G152" s="3"/>
      <c r="H152" s="3"/>
      <c r="I152" s="3"/>
      <c r="J152" s="3"/>
      <c r="K152" s="3"/>
      <c r="L152" s="3"/>
      <c r="M152" s="3"/>
      <c r="N152" s="3"/>
      <c r="O152" s="3"/>
      <c r="P152" s="3"/>
      <c r="Q152" s="3"/>
    </row>
    <row r="153" spans="1:17" ht="15">
      <c r="A153" s="3"/>
      <c r="B153" s="3"/>
      <c r="C153" s="3"/>
      <c r="D153" s="3"/>
      <c r="E153" s="3"/>
      <c r="F153" s="3"/>
      <c r="G153" s="3"/>
      <c r="H153" s="3"/>
      <c r="I153" s="3"/>
      <c r="J153" s="3"/>
      <c r="K153" s="3"/>
      <c r="L153" s="3"/>
      <c r="M153" s="3"/>
      <c r="N153" s="3"/>
      <c r="O153" s="3"/>
      <c r="P153" s="3"/>
      <c r="Q153" s="3"/>
    </row>
    <row r="154" spans="1:17" ht="15">
      <c r="A154" s="3"/>
      <c r="B154" s="3"/>
      <c r="C154" s="3"/>
      <c r="D154" s="3"/>
      <c r="E154" s="3"/>
      <c r="F154" s="3"/>
      <c r="G154" s="3"/>
      <c r="H154" s="3"/>
      <c r="I154" s="3"/>
      <c r="J154" s="3"/>
      <c r="K154" s="3"/>
      <c r="L154" s="3"/>
      <c r="M154" s="3"/>
      <c r="N154" s="3"/>
      <c r="O154" s="3"/>
      <c r="P154" s="3"/>
      <c r="Q154" s="3"/>
    </row>
    <row r="155" spans="1:17" ht="15">
      <c r="A155" s="3"/>
      <c r="B155" s="3"/>
      <c r="C155" s="3"/>
      <c r="D155" s="3"/>
      <c r="E155" s="3"/>
      <c r="F155" s="3"/>
      <c r="G155" s="3"/>
      <c r="H155" s="3"/>
      <c r="I155" s="3"/>
      <c r="J155" s="3"/>
      <c r="K155" s="3"/>
      <c r="L155" s="3"/>
      <c r="M155" s="3"/>
      <c r="N155" s="3"/>
      <c r="O155" s="3"/>
      <c r="P155" s="3"/>
      <c r="Q155" s="3"/>
    </row>
    <row r="156" spans="1:17" ht="15">
      <c r="A156" s="3"/>
      <c r="B156" s="3"/>
      <c r="C156" s="3"/>
      <c r="D156" s="3"/>
      <c r="E156" s="3"/>
      <c r="F156" s="3"/>
      <c r="G156" s="3"/>
      <c r="H156" s="3"/>
      <c r="I156" s="3"/>
      <c r="J156" s="3"/>
      <c r="K156" s="3"/>
      <c r="L156" s="3"/>
      <c r="M156" s="3"/>
      <c r="N156" s="3"/>
      <c r="O156" s="3"/>
      <c r="P156" s="3"/>
      <c r="Q156" s="3"/>
    </row>
    <row r="157" spans="1:17" ht="15">
      <c r="A157" s="3"/>
      <c r="B157" s="3"/>
      <c r="C157" s="3"/>
      <c r="D157" s="3"/>
      <c r="E157" s="3"/>
      <c r="F157" s="3"/>
      <c r="G157" s="3"/>
      <c r="H157" s="3"/>
      <c r="I157" s="3"/>
      <c r="J157" s="3"/>
      <c r="K157" s="3"/>
      <c r="L157" s="3"/>
      <c r="M157" s="3"/>
      <c r="N157" s="3"/>
      <c r="O157" s="3"/>
      <c r="P157" s="3"/>
      <c r="Q157" s="3"/>
    </row>
    <row r="158" spans="1:17" ht="15">
      <c r="A158" s="3"/>
      <c r="B158" s="3"/>
      <c r="C158" s="3"/>
      <c r="D158" s="3"/>
      <c r="E158" s="3"/>
      <c r="F158" s="3"/>
      <c r="G158" s="3"/>
      <c r="H158" s="3"/>
      <c r="I158" s="3"/>
      <c r="J158" s="3"/>
      <c r="K158" s="3"/>
      <c r="L158" s="3"/>
      <c r="M158" s="3"/>
      <c r="N158" s="3"/>
      <c r="O158" s="3"/>
      <c r="P158" s="3"/>
      <c r="Q158" s="3"/>
    </row>
    <row r="159" spans="1:17" ht="15">
      <c r="A159" s="3"/>
      <c r="B159" s="3"/>
      <c r="C159" s="3"/>
      <c r="D159" s="3"/>
      <c r="E159" s="3"/>
      <c r="F159" s="3"/>
      <c r="G159" s="3"/>
      <c r="H159" s="3"/>
      <c r="I159" s="3"/>
      <c r="J159" s="3"/>
      <c r="K159" s="3"/>
      <c r="L159" s="3"/>
      <c r="M159" s="3"/>
      <c r="N159" s="3"/>
      <c r="O159" s="3"/>
      <c r="P159" s="3"/>
      <c r="Q159" s="3"/>
    </row>
    <row r="160" spans="1:17" ht="15">
      <c r="A160" s="3"/>
      <c r="B160" s="3"/>
      <c r="C160" s="3"/>
      <c r="D160" s="3"/>
      <c r="E160" s="3"/>
      <c r="F160" s="3"/>
      <c r="G160" s="3"/>
      <c r="H160" s="3"/>
      <c r="I160" s="3"/>
      <c r="J160" s="3"/>
      <c r="K160" s="3"/>
      <c r="L160" s="3"/>
      <c r="M160" s="3"/>
      <c r="N160" s="3"/>
      <c r="O160" s="3"/>
      <c r="P160" s="3"/>
      <c r="Q160" s="3"/>
    </row>
    <row r="161" spans="1:17" ht="15">
      <c r="A161" s="3"/>
      <c r="B161" s="3"/>
      <c r="C161" s="3"/>
      <c r="D161" s="3"/>
      <c r="E161" s="3"/>
      <c r="F161" s="3"/>
      <c r="G161" s="3"/>
      <c r="H161" s="3"/>
      <c r="I161" s="3"/>
      <c r="J161" s="3"/>
      <c r="K161" s="3"/>
      <c r="L161" s="3"/>
      <c r="M161" s="3"/>
      <c r="N161" s="3"/>
      <c r="O161" s="3"/>
      <c r="P161" s="3"/>
      <c r="Q161" s="3"/>
    </row>
    <row r="162" spans="1:17" ht="15">
      <c r="A162" s="3"/>
      <c r="B162" s="3"/>
      <c r="C162" s="3"/>
      <c r="D162" s="3"/>
      <c r="E162" s="3"/>
      <c r="F162" s="3"/>
      <c r="G162" s="3"/>
      <c r="H162" s="3"/>
      <c r="I162" s="3"/>
      <c r="J162" s="3"/>
      <c r="K162" s="3"/>
      <c r="L162" s="3"/>
      <c r="M162" s="3"/>
      <c r="N162" s="3"/>
      <c r="O162" s="3"/>
      <c r="P162" s="3"/>
      <c r="Q162" s="3"/>
    </row>
    <row r="163" spans="1:17" ht="15">
      <c r="A163" s="3"/>
      <c r="B163" s="3"/>
      <c r="C163" s="3"/>
      <c r="D163" s="3"/>
      <c r="E163" s="3"/>
      <c r="F163" s="3"/>
      <c r="G163" s="3"/>
      <c r="H163" s="3"/>
      <c r="I163" s="3"/>
      <c r="J163" s="3"/>
      <c r="K163" s="3"/>
      <c r="L163" s="3"/>
      <c r="M163" s="3"/>
      <c r="N163" s="3"/>
      <c r="O163" s="3"/>
      <c r="P163" s="3"/>
      <c r="Q163" s="3"/>
    </row>
    <row r="164" spans="1:17" ht="15">
      <c r="A164" s="3"/>
      <c r="B164" s="3"/>
      <c r="C164" s="3"/>
      <c r="D164" s="3"/>
      <c r="E164" s="3"/>
      <c r="F164" s="3"/>
      <c r="G164" s="3"/>
      <c r="H164" s="3"/>
      <c r="I164" s="3"/>
      <c r="J164" s="3"/>
      <c r="K164" s="3"/>
      <c r="L164" s="3"/>
      <c r="M164" s="3"/>
      <c r="N164" s="3"/>
      <c r="O164" s="3"/>
      <c r="P164" s="3"/>
      <c r="Q164" s="3"/>
    </row>
    <row r="165" spans="1:17" ht="15">
      <c r="A165" s="3"/>
      <c r="B165" s="3"/>
      <c r="C165" s="3"/>
      <c r="D165" s="3"/>
      <c r="E165" s="3"/>
      <c r="F165" s="3"/>
      <c r="G165" s="3"/>
      <c r="H165" s="3"/>
      <c r="I165" s="3"/>
      <c r="J165" s="3"/>
      <c r="K165" s="3"/>
      <c r="L165" s="3"/>
      <c r="M165" s="3"/>
      <c r="N165" s="3"/>
      <c r="O165" s="3"/>
      <c r="P165" s="3"/>
      <c r="Q165" s="3"/>
    </row>
    <row r="166" spans="1:17" ht="15">
      <c r="A166" s="3"/>
      <c r="B166" s="3"/>
      <c r="C166" s="3"/>
      <c r="D166" s="3"/>
      <c r="E166" s="3"/>
      <c r="F166" s="3"/>
      <c r="G166" s="3"/>
      <c r="H166" s="3"/>
      <c r="I166" s="3"/>
      <c r="J166" s="3"/>
      <c r="K166" s="3"/>
      <c r="L166" s="3"/>
      <c r="M166" s="3"/>
      <c r="N166" s="3"/>
      <c r="O166" s="3"/>
      <c r="P166" s="3"/>
      <c r="Q166" s="3"/>
    </row>
    <row r="167" spans="1:17" ht="15">
      <c r="A167" s="3"/>
      <c r="B167" s="3"/>
      <c r="C167" s="3"/>
      <c r="D167" s="3"/>
      <c r="E167" s="3"/>
      <c r="F167" s="3"/>
      <c r="G167" s="3"/>
      <c r="H167" s="3"/>
      <c r="I167" s="3"/>
      <c r="J167" s="3"/>
      <c r="K167" s="3"/>
      <c r="L167" s="3"/>
      <c r="M167" s="3"/>
      <c r="N167" s="3"/>
      <c r="O167" s="3"/>
      <c r="P167" s="3"/>
      <c r="Q167" s="3"/>
    </row>
    <row r="168" spans="1:17" ht="15">
      <c r="A168" s="3"/>
      <c r="B168" s="3"/>
      <c r="C168" s="3"/>
      <c r="D168" s="3"/>
      <c r="E168" s="3"/>
      <c r="F168" s="3"/>
      <c r="G168" s="3"/>
      <c r="H168" s="3"/>
      <c r="I168" s="3"/>
      <c r="J168" s="3"/>
      <c r="K168" s="3"/>
      <c r="L168" s="3"/>
      <c r="M168" s="3"/>
      <c r="N168" s="3"/>
      <c r="O168" s="3"/>
      <c r="P168" s="3"/>
      <c r="Q168" s="3"/>
    </row>
    <row r="169" spans="1:17" ht="15">
      <c r="A169" s="3"/>
      <c r="B169" s="3"/>
      <c r="C169" s="3"/>
      <c r="D169" s="3"/>
      <c r="E169" s="3"/>
      <c r="F169" s="3"/>
      <c r="G169" s="3"/>
      <c r="H169" s="3"/>
      <c r="I169" s="3"/>
      <c r="J169" s="3"/>
      <c r="K169" s="3"/>
      <c r="L169" s="3"/>
      <c r="M169" s="3"/>
      <c r="N169" s="3"/>
      <c r="O169" s="3"/>
      <c r="P169" s="3"/>
      <c r="Q169" s="3"/>
    </row>
    <row r="170" spans="1:17" ht="15">
      <c r="A170" s="3"/>
      <c r="B170" s="3"/>
      <c r="C170" s="3"/>
      <c r="D170" s="3"/>
      <c r="E170" s="3"/>
      <c r="F170" s="3"/>
      <c r="G170" s="3"/>
      <c r="H170" s="3"/>
      <c r="I170" s="3"/>
      <c r="J170" s="3"/>
      <c r="K170" s="3"/>
      <c r="L170" s="3"/>
      <c r="M170" s="3"/>
      <c r="N170" s="3"/>
      <c r="O170" s="3"/>
      <c r="P170" s="3"/>
      <c r="Q170" s="3"/>
    </row>
    <row r="171" spans="1:17" ht="15">
      <c r="A171" s="3"/>
      <c r="B171" s="3"/>
      <c r="C171" s="3"/>
      <c r="D171" s="3"/>
      <c r="E171" s="3"/>
      <c r="F171" s="3"/>
      <c r="G171" s="3"/>
      <c r="H171" s="3"/>
      <c r="I171" s="3"/>
      <c r="J171" s="3"/>
      <c r="K171" s="3"/>
      <c r="L171" s="3"/>
      <c r="M171" s="3"/>
      <c r="N171" s="3"/>
      <c r="O171" s="3"/>
      <c r="P171" s="3"/>
      <c r="Q171" s="3"/>
    </row>
    <row r="172" spans="1:17" ht="15">
      <c r="A172" s="3"/>
      <c r="B172" s="3"/>
      <c r="C172" s="3"/>
      <c r="D172" s="3"/>
      <c r="E172" s="3"/>
      <c r="F172" s="3"/>
      <c r="G172" s="3"/>
      <c r="H172" s="3"/>
      <c r="I172" s="3"/>
      <c r="J172" s="3"/>
      <c r="K172" s="3"/>
      <c r="L172" s="3"/>
      <c r="M172" s="3"/>
      <c r="N172" s="3"/>
      <c r="O172" s="3"/>
      <c r="P172" s="3"/>
      <c r="Q172" s="3"/>
    </row>
    <row r="173" spans="1:17" ht="15">
      <c r="A173" s="3"/>
      <c r="B173" s="3"/>
      <c r="C173" s="3"/>
      <c r="D173" s="3"/>
      <c r="E173" s="3"/>
      <c r="F173" s="3"/>
      <c r="G173" s="3"/>
      <c r="H173" s="3"/>
      <c r="I173" s="3"/>
      <c r="J173" s="3"/>
      <c r="K173" s="3"/>
      <c r="L173" s="3"/>
      <c r="M173" s="3"/>
      <c r="N173" s="3"/>
      <c r="O173" s="3"/>
      <c r="P173" s="3"/>
      <c r="Q173" s="3"/>
    </row>
    <row r="174" spans="1:17" ht="15">
      <c r="A174" s="3"/>
      <c r="B174" s="3"/>
      <c r="C174" s="3"/>
      <c r="D174" s="3"/>
      <c r="E174" s="3"/>
      <c r="F174" s="3"/>
      <c r="G174" s="3"/>
      <c r="H174" s="3"/>
      <c r="I174" s="3"/>
      <c r="J174" s="3"/>
      <c r="K174" s="3"/>
      <c r="L174" s="3"/>
      <c r="M174" s="3"/>
      <c r="N174" s="3"/>
      <c r="O174" s="3"/>
      <c r="P174" s="3"/>
      <c r="Q174" s="3"/>
    </row>
    <row r="175" spans="1:17" ht="15">
      <c r="A175" s="3"/>
      <c r="B175" s="3"/>
      <c r="C175" s="3"/>
      <c r="D175" s="3"/>
      <c r="E175" s="3"/>
      <c r="F175" s="3"/>
      <c r="G175" s="3"/>
      <c r="H175" s="3"/>
      <c r="I175" s="3"/>
      <c r="J175" s="3"/>
      <c r="K175" s="3"/>
      <c r="L175" s="3"/>
      <c r="M175" s="3"/>
      <c r="N175" s="3"/>
      <c r="O175" s="3"/>
      <c r="P175" s="3"/>
      <c r="Q175" s="3"/>
    </row>
    <row r="176" spans="1:17" ht="15">
      <c r="A176" s="3"/>
      <c r="B176" s="3"/>
      <c r="C176" s="3"/>
      <c r="D176" s="3"/>
      <c r="E176" s="3"/>
      <c r="F176" s="3"/>
      <c r="G176" s="3"/>
      <c r="H176" s="3"/>
      <c r="I176" s="3"/>
      <c r="J176" s="3"/>
      <c r="K176" s="3"/>
      <c r="L176" s="3"/>
      <c r="M176" s="3"/>
      <c r="N176" s="3"/>
      <c r="O176" s="3"/>
      <c r="P176" s="3"/>
      <c r="Q176" s="3"/>
    </row>
    <row r="177" spans="1:17" ht="15">
      <c r="A177" s="3"/>
      <c r="B177" s="3"/>
      <c r="C177" s="3"/>
      <c r="D177" s="3"/>
      <c r="E177" s="3"/>
      <c r="F177" s="3"/>
      <c r="G177" s="3"/>
      <c r="H177" s="3"/>
      <c r="I177" s="3"/>
      <c r="J177" s="3"/>
      <c r="K177" s="3"/>
      <c r="L177" s="3"/>
      <c r="M177" s="3"/>
      <c r="N177" s="3"/>
      <c r="O177" s="3"/>
      <c r="P177" s="3"/>
      <c r="Q177" s="3"/>
    </row>
    <row r="178" spans="1:17" ht="15">
      <c r="A178" s="3"/>
      <c r="B178" s="3"/>
      <c r="C178" s="3"/>
      <c r="D178" s="3"/>
      <c r="E178" s="3"/>
      <c r="F178" s="3"/>
      <c r="G178" s="3"/>
      <c r="H178" s="3"/>
      <c r="I178" s="3"/>
      <c r="J178" s="3"/>
      <c r="K178" s="3"/>
      <c r="L178" s="3"/>
      <c r="M178" s="3"/>
      <c r="N178" s="3"/>
      <c r="O178" s="3"/>
      <c r="P178" s="3"/>
      <c r="Q178" s="3"/>
    </row>
    <row r="179" spans="1:17" ht="15">
      <c r="A179" s="3"/>
      <c r="B179" s="3"/>
      <c r="C179" s="3"/>
      <c r="D179" s="3"/>
      <c r="E179" s="3"/>
      <c r="F179" s="3"/>
      <c r="G179" s="3"/>
      <c r="H179" s="3"/>
      <c r="I179" s="3"/>
      <c r="J179" s="3"/>
      <c r="K179" s="3"/>
      <c r="L179" s="3"/>
      <c r="M179" s="3"/>
      <c r="N179" s="3"/>
      <c r="O179" s="3"/>
      <c r="P179" s="3"/>
      <c r="Q179" s="3"/>
    </row>
    <row r="180" spans="1:17" ht="15">
      <c r="A180" s="3"/>
      <c r="B180" s="3"/>
      <c r="C180" s="3"/>
      <c r="D180" s="3"/>
      <c r="E180" s="3"/>
      <c r="F180" s="3"/>
      <c r="G180" s="3"/>
      <c r="H180" s="3"/>
      <c r="I180" s="3"/>
      <c r="J180" s="3"/>
      <c r="K180" s="3"/>
      <c r="L180" s="3"/>
      <c r="M180" s="3"/>
      <c r="N180" s="3"/>
      <c r="O180" s="3"/>
      <c r="P180" s="3"/>
      <c r="Q180" s="3"/>
    </row>
    <row r="181" spans="1:17" ht="15">
      <c r="A181" s="3"/>
      <c r="B181" s="3"/>
      <c r="C181" s="3"/>
      <c r="D181" s="3"/>
      <c r="E181" s="3"/>
      <c r="F181" s="3"/>
      <c r="G181" s="3"/>
      <c r="H181" s="3"/>
      <c r="I181" s="3"/>
      <c r="J181" s="3"/>
      <c r="K181" s="3"/>
      <c r="L181" s="3"/>
      <c r="M181" s="3"/>
      <c r="N181" s="3"/>
      <c r="O181" s="3"/>
      <c r="P181" s="3"/>
      <c r="Q181" s="3"/>
    </row>
    <row r="182" spans="1:17" ht="15">
      <c r="A182" s="3"/>
      <c r="B182" s="3"/>
      <c r="C182" s="3"/>
      <c r="D182" s="3"/>
      <c r="E182" s="3"/>
      <c r="F182" s="3"/>
      <c r="G182" s="3"/>
      <c r="H182" s="3"/>
      <c r="I182" s="3"/>
      <c r="J182" s="3"/>
      <c r="K182" s="3"/>
      <c r="L182" s="3"/>
      <c r="M182" s="3"/>
      <c r="N182" s="3"/>
      <c r="O182" s="3"/>
      <c r="P182" s="3"/>
      <c r="Q182" s="3"/>
    </row>
    <row r="183" spans="1:17" ht="15">
      <c r="A183" s="3"/>
      <c r="B183" s="3"/>
      <c r="C183" s="3"/>
      <c r="D183" s="3"/>
      <c r="E183" s="3"/>
      <c r="F183" s="3"/>
      <c r="G183" s="3"/>
      <c r="H183" s="3"/>
      <c r="I183" s="3"/>
      <c r="J183" s="3"/>
      <c r="K183" s="3"/>
      <c r="L183" s="3"/>
      <c r="M183" s="3"/>
      <c r="N183" s="3"/>
      <c r="O183" s="3"/>
      <c r="P183" s="3"/>
      <c r="Q183" s="3"/>
    </row>
    <row r="184" spans="1:17" ht="15">
      <c r="A184" s="3"/>
      <c r="B184" s="3"/>
      <c r="C184" s="3"/>
      <c r="D184" s="3"/>
      <c r="E184" s="3"/>
      <c r="F184" s="3"/>
      <c r="G184" s="3"/>
      <c r="H184" s="3"/>
      <c r="I184" s="3"/>
      <c r="J184" s="3"/>
      <c r="K184" s="3"/>
      <c r="L184" s="3"/>
      <c r="M184" s="3"/>
      <c r="N184" s="3"/>
      <c r="O184" s="3"/>
      <c r="P184" s="3"/>
      <c r="Q184" s="3"/>
    </row>
    <row r="185" spans="1:17" ht="15">
      <c r="A185" s="3"/>
      <c r="B185" s="3"/>
      <c r="C185" s="3"/>
      <c r="D185" s="3"/>
      <c r="E185" s="3"/>
      <c r="F185" s="3"/>
      <c r="G185" s="3"/>
      <c r="H185" s="3"/>
      <c r="I185" s="3"/>
      <c r="J185" s="3"/>
      <c r="K185" s="3"/>
      <c r="L185" s="3"/>
      <c r="M185" s="3"/>
      <c r="N185" s="3"/>
      <c r="O185" s="3"/>
      <c r="P185" s="3"/>
      <c r="Q185" s="3"/>
    </row>
    <row r="186" spans="1:17" ht="15">
      <c r="A186" s="3"/>
      <c r="B186" s="3"/>
      <c r="C186" s="3"/>
      <c r="D186" s="3"/>
      <c r="E186" s="3"/>
      <c r="F186" s="3"/>
      <c r="G186" s="3"/>
      <c r="H186" s="3"/>
      <c r="I186" s="3"/>
      <c r="J186" s="3"/>
      <c r="K186" s="3"/>
      <c r="L186" s="3"/>
      <c r="M186" s="3"/>
      <c r="N186" s="3"/>
      <c r="O186" s="3"/>
      <c r="P186" s="3"/>
      <c r="Q186" s="3"/>
    </row>
    <row r="187" spans="1:17" ht="15">
      <c r="A187" s="3"/>
      <c r="B187" s="3"/>
      <c r="C187" s="3"/>
      <c r="D187" s="3"/>
      <c r="E187" s="3"/>
      <c r="F187" s="3"/>
      <c r="G187" s="3"/>
      <c r="H187" s="3"/>
      <c r="I187" s="3"/>
      <c r="J187" s="3"/>
      <c r="K187" s="3"/>
      <c r="L187" s="3"/>
      <c r="M187" s="3"/>
      <c r="N187" s="3"/>
      <c r="O187" s="3"/>
      <c r="P187" s="3"/>
      <c r="Q187" s="3"/>
    </row>
    <row r="188" spans="1:17" ht="15">
      <c r="A188" s="3"/>
      <c r="B188" s="3"/>
      <c r="C188" s="3"/>
      <c r="D188" s="3"/>
      <c r="E188" s="3"/>
      <c r="F188" s="3"/>
      <c r="G188" s="3"/>
      <c r="H188" s="3"/>
      <c r="I188" s="3"/>
      <c r="J188" s="3"/>
      <c r="K188" s="3"/>
      <c r="L188" s="3"/>
      <c r="M188" s="3"/>
      <c r="N188" s="3"/>
      <c r="O188" s="3"/>
      <c r="P188" s="3"/>
      <c r="Q188" s="3"/>
    </row>
    <row r="189" spans="1:17" ht="15">
      <c r="A189" s="3"/>
      <c r="B189" s="3"/>
      <c r="C189" s="3"/>
      <c r="D189" s="3"/>
      <c r="E189" s="3"/>
      <c r="F189" s="3"/>
      <c r="G189" s="3"/>
      <c r="H189" s="3"/>
      <c r="I189" s="3"/>
      <c r="J189" s="3"/>
      <c r="K189" s="3"/>
      <c r="L189" s="3"/>
      <c r="M189" s="3"/>
      <c r="N189" s="3"/>
      <c r="O189" s="3"/>
      <c r="P189" s="3"/>
      <c r="Q189" s="3"/>
    </row>
    <row r="190" spans="1:17" ht="15">
      <c r="A190" s="3"/>
      <c r="B190" s="3"/>
      <c r="C190" s="3"/>
      <c r="D190" s="3"/>
      <c r="E190" s="3"/>
      <c r="F190" s="3"/>
      <c r="G190" s="3"/>
      <c r="H190" s="3"/>
      <c r="I190" s="3"/>
      <c r="J190" s="3"/>
      <c r="K190" s="3"/>
      <c r="L190" s="3"/>
      <c r="M190" s="3"/>
      <c r="N190" s="3"/>
      <c r="O190" s="3"/>
      <c r="P190" s="3"/>
      <c r="Q190" s="3"/>
    </row>
    <row r="191" spans="1:17" ht="15">
      <c r="A191" s="3"/>
      <c r="B191" s="3"/>
      <c r="C191" s="3"/>
      <c r="D191" s="3"/>
      <c r="E191" s="3"/>
      <c r="F191" s="3"/>
      <c r="G191" s="3"/>
      <c r="H191" s="3"/>
      <c r="I191" s="3"/>
      <c r="J191" s="3"/>
      <c r="K191" s="3"/>
      <c r="L191" s="3"/>
      <c r="M191" s="3"/>
      <c r="N191" s="3"/>
      <c r="O191" s="3"/>
      <c r="P191" s="3"/>
      <c r="Q191" s="3"/>
    </row>
    <row r="192" spans="1:17" ht="15">
      <c r="A192" s="3"/>
      <c r="B192" s="3"/>
      <c r="C192" s="3"/>
      <c r="D192" s="3"/>
      <c r="E192" s="3"/>
      <c r="F192" s="3"/>
      <c r="G192" s="3"/>
      <c r="H192" s="3"/>
      <c r="I192" s="3"/>
      <c r="J192" s="3"/>
      <c r="K192" s="3"/>
      <c r="L192" s="3"/>
      <c r="M192" s="3"/>
      <c r="N192" s="3"/>
      <c r="O192" s="3"/>
      <c r="P192" s="3"/>
      <c r="Q192" s="3"/>
    </row>
    <row r="193" spans="1:17" ht="15">
      <c r="A193" s="3"/>
      <c r="B193" s="3"/>
      <c r="C193" s="3"/>
      <c r="D193" s="3"/>
      <c r="E193" s="3"/>
      <c r="F193" s="3"/>
      <c r="G193" s="3"/>
      <c r="H193" s="3"/>
      <c r="I193" s="3"/>
      <c r="J193" s="3"/>
      <c r="K193" s="3"/>
      <c r="L193" s="3"/>
      <c r="M193" s="3"/>
      <c r="N193" s="3"/>
      <c r="O193" s="3"/>
      <c r="P193" s="3"/>
      <c r="Q193" s="3"/>
    </row>
    <row r="194" spans="1:17" ht="15">
      <c r="A194" s="3"/>
      <c r="B194" s="3"/>
      <c r="C194" s="3"/>
      <c r="D194" s="3"/>
      <c r="E194" s="3"/>
      <c r="F194" s="3"/>
      <c r="G194" s="3"/>
      <c r="H194" s="3"/>
      <c r="I194" s="3"/>
      <c r="J194" s="3"/>
      <c r="K194" s="3"/>
      <c r="L194" s="3"/>
      <c r="M194" s="3"/>
      <c r="N194" s="3"/>
      <c r="O194" s="3"/>
      <c r="P194" s="3"/>
      <c r="Q194" s="3"/>
    </row>
    <row r="195" spans="1:17" ht="15">
      <c r="A195" s="3"/>
      <c r="B195" s="3"/>
      <c r="C195" s="3"/>
      <c r="D195" s="3"/>
      <c r="E195" s="3"/>
      <c r="F195" s="3"/>
      <c r="G195" s="3"/>
      <c r="H195" s="3"/>
      <c r="I195" s="3"/>
      <c r="J195" s="3"/>
      <c r="K195" s="3"/>
      <c r="L195" s="3"/>
      <c r="M195" s="3"/>
      <c r="N195" s="3"/>
      <c r="O195" s="3"/>
      <c r="P195" s="3"/>
      <c r="Q195" s="3"/>
    </row>
    <row r="196" spans="1:17" ht="15">
      <c r="A196" s="3"/>
      <c r="B196" s="3"/>
      <c r="C196" s="3"/>
      <c r="D196" s="3"/>
      <c r="E196" s="3"/>
      <c r="F196" s="3"/>
      <c r="G196" s="3"/>
      <c r="H196" s="3"/>
      <c r="I196" s="3"/>
      <c r="J196" s="3"/>
      <c r="K196" s="3"/>
      <c r="L196" s="3"/>
      <c r="M196" s="3"/>
      <c r="N196" s="3"/>
      <c r="O196" s="3"/>
      <c r="P196" s="3"/>
      <c r="Q196" s="3"/>
    </row>
    <row r="197" spans="1:17" ht="15">
      <c r="A197" s="3"/>
      <c r="B197" s="3"/>
      <c r="C197" s="3"/>
      <c r="D197" s="3"/>
      <c r="E197" s="3"/>
      <c r="F197" s="3"/>
      <c r="G197" s="3"/>
      <c r="H197" s="3"/>
      <c r="I197" s="3"/>
      <c r="J197" s="3"/>
      <c r="K197" s="3"/>
      <c r="L197" s="3"/>
      <c r="M197" s="3"/>
      <c r="N197" s="3"/>
      <c r="O197" s="3"/>
      <c r="P197" s="3"/>
      <c r="Q197" s="3"/>
    </row>
    <row r="198" spans="1:17" ht="15">
      <c r="A198" s="3"/>
      <c r="B198" s="3"/>
      <c r="C198" s="3"/>
      <c r="D198" s="3"/>
      <c r="E198" s="3"/>
      <c r="F198" s="3"/>
      <c r="G198" s="3"/>
      <c r="H198" s="3"/>
      <c r="I198" s="3"/>
      <c r="J198" s="3"/>
      <c r="K198" s="3"/>
      <c r="L198" s="3"/>
      <c r="M198" s="3"/>
      <c r="N198" s="3"/>
      <c r="O198" s="3"/>
      <c r="P198" s="3"/>
      <c r="Q198" s="3"/>
    </row>
    <row r="199" spans="1:17" ht="15">
      <c r="A199" s="3"/>
      <c r="B199" s="3"/>
      <c r="C199" s="3"/>
      <c r="D199" s="3"/>
      <c r="E199" s="3"/>
      <c r="F199" s="3"/>
      <c r="G199" s="3"/>
      <c r="H199" s="3"/>
      <c r="I199" s="3"/>
      <c r="J199" s="3"/>
      <c r="K199" s="3"/>
      <c r="L199" s="3"/>
      <c r="M199" s="3"/>
      <c r="N199" s="3"/>
      <c r="O199" s="3"/>
      <c r="P199" s="3"/>
      <c r="Q199" s="3"/>
    </row>
    <row r="200" spans="1:17" ht="15">
      <c r="A200" s="3"/>
      <c r="B200" s="3"/>
      <c r="C200" s="3"/>
      <c r="D200" s="3"/>
      <c r="E200" s="3"/>
      <c r="F200" s="3"/>
      <c r="G200" s="3"/>
      <c r="H200" s="3"/>
      <c r="I200" s="3"/>
      <c r="J200" s="3"/>
      <c r="K200" s="3"/>
      <c r="L200" s="3"/>
      <c r="M200" s="3"/>
      <c r="N200" s="3"/>
      <c r="O200" s="3"/>
      <c r="P200" s="3"/>
      <c r="Q200" s="3"/>
    </row>
    <row r="201" spans="1:17" ht="15">
      <c r="A201" s="3"/>
      <c r="B201" s="3"/>
      <c r="C201" s="3"/>
      <c r="D201" s="3"/>
      <c r="E201" s="3"/>
      <c r="F201" s="3"/>
      <c r="G201" s="3"/>
      <c r="H201" s="3"/>
      <c r="I201" s="3"/>
      <c r="J201" s="3"/>
      <c r="K201" s="3"/>
      <c r="L201" s="3"/>
      <c r="M201" s="3"/>
      <c r="N201" s="3"/>
      <c r="O201" s="3"/>
      <c r="P201" s="3"/>
      <c r="Q201" s="3"/>
    </row>
    <row r="202" spans="1:17" ht="15">
      <c r="A202" s="3"/>
      <c r="B202" s="3"/>
      <c r="C202" s="3"/>
      <c r="D202" s="3"/>
      <c r="E202" s="3"/>
      <c r="F202" s="3"/>
      <c r="G202" s="3"/>
      <c r="H202" s="3"/>
      <c r="I202" s="3"/>
      <c r="J202" s="3"/>
      <c r="K202" s="3"/>
      <c r="L202" s="3"/>
      <c r="M202" s="3"/>
      <c r="N202" s="3"/>
      <c r="O202" s="3"/>
      <c r="P202" s="3"/>
      <c r="Q202" s="3"/>
    </row>
    <row r="203" spans="1:17" ht="15">
      <c r="A203" s="3"/>
      <c r="B203" s="3"/>
      <c r="C203" s="3"/>
      <c r="D203" s="3"/>
      <c r="E203" s="3"/>
      <c r="F203" s="3"/>
      <c r="G203" s="3"/>
      <c r="H203" s="3"/>
      <c r="I203" s="3"/>
      <c r="J203" s="3"/>
      <c r="K203" s="3"/>
      <c r="L203" s="3"/>
      <c r="M203" s="3"/>
      <c r="N203" s="3"/>
      <c r="O203" s="3"/>
      <c r="P203" s="3"/>
      <c r="Q203" s="3"/>
    </row>
    <row r="204" spans="1:17" ht="15">
      <c r="A204" s="3"/>
      <c r="B204" s="3"/>
      <c r="C204" s="3"/>
      <c r="D204" s="3"/>
      <c r="E204" s="3"/>
      <c r="F204" s="3"/>
      <c r="G204" s="3"/>
      <c r="H204" s="3"/>
      <c r="I204" s="3"/>
      <c r="J204" s="3"/>
      <c r="K204" s="3"/>
      <c r="L204" s="3"/>
      <c r="M204" s="3"/>
      <c r="N204" s="3"/>
      <c r="O204" s="3"/>
      <c r="P204" s="3"/>
      <c r="Q204" s="3"/>
    </row>
    <row r="205" spans="1:17" ht="15">
      <c r="A205" s="3"/>
      <c r="B205" s="3"/>
      <c r="C205" s="3"/>
      <c r="D205" s="3"/>
      <c r="E205" s="3"/>
      <c r="F205" s="3"/>
      <c r="G205" s="3"/>
      <c r="H205" s="3"/>
      <c r="I205" s="3"/>
      <c r="J205" s="3"/>
      <c r="K205" s="3"/>
      <c r="L205" s="3"/>
      <c r="M205" s="3"/>
      <c r="N205" s="3"/>
      <c r="O205" s="3"/>
      <c r="P205" s="3"/>
      <c r="Q205" s="3"/>
    </row>
    <row r="206" spans="1:17" ht="15">
      <c r="A206" s="3"/>
      <c r="B206" s="3"/>
      <c r="C206" s="3"/>
      <c r="D206" s="3"/>
      <c r="E206" s="3"/>
      <c r="F206" s="3"/>
      <c r="G206" s="3"/>
      <c r="H206" s="3"/>
      <c r="I206" s="3"/>
      <c r="J206" s="3"/>
      <c r="K206" s="3"/>
      <c r="L206" s="3"/>
      <c r="M206" s="3"/>
      <c r="N206" s="3"/>
      <c r="O206" s="3"/>
      <c r="P206" s="3"/>
      <c r="Q206" s="3"/>
    </row>
    <row r="207" spans="1:17" ht="15">
      <c r="A207" s="3"/>
      <c r="B207" s="3"/>
      <c r="C207" s="3"/>
      <c r="D207" s="3"/>
      <c r="E207" s="3"/>
      <c r="F207" s="3"/>
      <c r="G207" s="3"/>
      <c r="H207" s="3"/>
      <c r="I207" s="3"/>
      <c r="J207" s="3"/>
      <c r="K207" s="3"/>
      <c r="L207" s="3"/>
      <c r="M207" s="3"/>
      <c r="N207" s="3"/>
      <c r="O207" s="3"/>
      <c r="P207" s="3"/>
      <c r="Q207" s="3"/>
    </row>
    <row r="208" spans="1:17" ht="15">
      <c r="A208" s="3"/>
      <c r="B208" s="3"/>
      <c r="C208" s="3"/>
      <c r="D208" s="3"/>
      <c r="E208" s="3"/>
      <c r="F208" s="3"/>
      <c r="G208" s="3"/>
      <c r="H208" s="3"/>
      <c r="I208" s="3"/>
      <c r="J208" s="3"/>
      <c r="K208" s="3"/>
      <c r="L208" s="3"/>
      <c r="M208" s="3"/>
      <c r="N208" s="3"/>
      <c r="O208" s="3"/>
      <c r="P208" s="3"/>
      <c r="Q208" s="3"/>
    </row>
    <row r="209" spans="1:17" ht="15">
      <c r="A209" s="3"/>
      <c r="B209" s="3"/>
      <c r="C209" s="3"/>
      <c r="D209" s="3"/>
      <c r="E209" s="3"/>
      <c r="F209" s="3"/>
      <c r="G209" s="3"/>
      <c r="H209" s="3"/>
      <c r="I209" s="3"/>
      <c r="J209" s="3"/>
      <c r="K209" s="3"/>
      <c r="L209" s="3"/>
      <c r="M209" s="3"/>
      <c r="N209" s="3"/>
      <c r="O209" s="3"/>
      <c r="P209" s="3"/>
      <c r="Q209" s="3"/>
    </row>
    <row r="210" spans="1:17" ht="15">
      <c r="A210" s="3"/>
      <c r="B210" s="3"/>
      <c r="C210" s="3"/>
      <c r="D210" s="3"/>
      <c r="E210" s="3"/>
      <c r="F210" s="3"/>
      <c r="G210" s="3"/>
      <c r="H210" s="3"/>
      <c r="I210" s="3"/>
      <c r="J210" s="3"/>
      <c r="K210" s="3"/>
      <c r="L210" s="3"/>
      <c r="M210" s="3"/>
      <c r="N210" s="3"/>
      <c r="O210" s="3"/>
      <c r="P210" s="3"/>
      <c r="Q210" s="3"/>
    </row>
    <row r="211" spans="1:17" ht="15">
      <c r="A211" s="3"/>
      <c r="B211" s="3"/>
      <c r="C211" s="3"/>
      <c r="D211" s="3"/>
      <c r="E211" s="3"/>
      <c r="F211" s="3"/>
      <c r="G211" s="3"/>
      <c r="H211" s="3"/>
      <c r="I211" s="3"/>
      <c r="J211" s="3"/>
      <c r="K211" s="3"/>
      <c r="L211" s="3"/>
      <c r="M211" s="3"/>
      <c r="N211" s="3"/>
      <c r="O211" s="3"/>
      <c r="P211" s="3"/>
      <c r="Q211" s="3"/>
    </row>
    <row r="212" spans="1:17" ht="15">
      <c r="A212" s="3"/>
      <c r="B212" s="3"/>
      <c r="C212" s="3"/>
      <c r="D212" s="3"/>
      <c r="E212" s="3"/>
      <c r="F212" s="3"/>
      <c r="G212" s="3"/>
      <c r="H212" s="3"/>
      <c r="I212" s="3"/>
      <c r="J212" s="3"/>
      <c r="K212" s="3"/>
      <c r="L212" s="3"/>
      <c r="M212" s="3"/>
      <c r="N212" s="3"/>
      <c r="O212" s="3"/>
      <c r="P212" s="3"/>
      <c r="Q212" s="3"/>
    </row>
    <row r="213" spans="1:17" ht="15">
      <c r="A213" s="3"/>
      <c r="B213" s="3"/>
      <c r="C213" s="3"/>
      <c r="D213" s="3"/>
      <c r="E213" s="3"/>
      <c r="F213" s="3"/>
      <c r="G213" s="3"/>
      <c r="H213" s="3"/>
      <c r="I213" s="3"/>
      <c r="J213" s="3"/>
      <c r="K213" s="3"/>
      <c r="L213" s="3"/>
      <c r="M213" s="3"/>
      <c r="N213" s="3"/>
      <c r="O213" s="3"/>
      <c r="P213" s="3"/>
      <c r="Q213" s="3"/>
    </row>
    <row r="214" spans="1:17" ht="15">
      <c r="A214" s="3"/>
      <c r="B214" s="3"/>
      <c r="C214" s="3"/>
      <c r="D214" s="3"/>
      <c r="E214" s="3"/>
      <c r="F214" s="3"/>
      <c r="G214" s="3"/>
      <c r="H214" s="3"/>
      <c r="I214" s="3"/>
      <c r="J214" s="3"/>
      <c r="K214" s="3"/>
      <c r="L214" s="3"/>
      <c r="M214" s="3"/>
      <c r="N214" s="3"/>
      <c r="O214" s="3"/>
      <c r="P214" s="3"/>
      <c r="Q214" s="3"/>
    </row>
    <row r="215" spans="1:17" ht="15">
      <c r="A215" s="3"/>
      <c r="B215" s="3"/>
      <c r="C215" s="3"/>
      <c r="D215" s="3"/>
      <c r="E215" s="3"/>
      <c r="F215" s="3"/>
      <c r="G215" s="3"/>
      <c r="H215" s="3"/>
      <c r="I215" s="3"/>
      <c r="J215" s="3"/>
      <c r="K215" s="3"/>
      <c r="L215" s="3"/>
      <c r="M215" s="3"/>
      <c r="N215" s="3"/>
      <c r="O215" s="3"/>
      <c r="P215" s="3"/>
      <c r="Q215" s="3"/>
    </row>
    <row r="216" spans="1:17" ht="15">
      <c r="A216" s="3"/>
      <c r="B216" s="3"/>
      <c r="C216" s="3"/>
      <c r="D216" s="3"/>
      <c r="E216" s="3"/>
      <c r="F216" s="3"/>
      <c r="G216" s="3"/>
      <c r="H216" s="3"/>
      <c r="I216" s="3"/>
      <c r="J216" s="3"/>
      <c r="K216" s="3"/>
      <c r="L216" s="3"/>
      <c r="M216" s="3"/>
      <c r="N216" s="3"/>
      <c r="O216" s="3"/>
      <c r="P216" s="3"/>
      <c r="Q216" s="3"/>
    </row>
    <row r="217" spans="1:17" ht="15">
      <c r="A217" s="3"/>
      <c r="B217" s="3"/>
      <c r="C217" s="3"/>
      <c r="D217" s="3"/>
      <c r="E217" s="3"/>
      <c r="F217" s="3"/>
      <c r="G217" s="3"/>
      <c r="H217" s="3"/>
      <c r="I217" s="3"/>
      <c r="J217" s="3"/>
      <c r="K217" s="3"/>
      <c r="L217" s="3"/>
      <c r="M217" s="3"/>
      <c r="N217" s="3"/>
      <c r="O217" s="3"/>
      <c r="P217" s="3"/>
      <c r="Q217" s="3"/>
    </row>
    <row r="218" spans="1:17" ht="15">
      <c r="A218" s="3"/>
      <c r="B218" s="3"/>
      <c r="C218" s="3"/>
      <c r="D218" s="3"/>
      <c r="E218" s="3"/>
      <c r="F218" s="3"/>
      <c r="G218" s="3"/>
      <c r="H218" s="3"/>
      <c r="I218" s="3"/>
      <c r="J218" s="3"/>
      <c r="K218" s="3"/>
      <c r="L218" s="3"/>
      <c r="M218" s="3"/>
      <c r="N218" s="3"/>
      <c r="O218" s="3"/>
      <c r="P218" s="3"/>
      <c r="Q218" s="3"/>
    </row>
    <row r="219" spans="1:17" ht="15">
      <c r="A219" s="3"/>
      <c r="B219" s="3"/>
      <c r="C219" s="3"/>
      <c r="D219" s="3"/>
      <c r="E219" s="3"/>
      <c r="F219" s="3"/>
      <c r="G219" s="3"/>
      <c r="H219" s="3"/>
      <c r="I219" s="3"/>
      <c r="J219" s="3"/>
      <c r="K219" s="3"/>
      <c r="L219" s="3"/>
      <c r="M219" s="3"/>
      <c r="N219" s="3"/>
      <c r="O219" s="3"/>
      <c r="P219" s="3"/>
      <c r="Q219" s="3"/>
    </row>
    <row r="220" spans="1:17" ht="15">
      <c r="A220" s="3"/>
      <c r="B220" s="3"/>
      <c r="C220" s="3"/>
      <c r="D220" s="3"/>
      <c r="E220" s="3"/>
      <c r="F220" s="3"/>
      <c r="G220" s="3"/>
      <c r="H220" s="3"/>
      <c r="I220" s="3"/>
      <c r="J220" s="3"/>
      <c r="K220" s="3"/>
      <c r="L220" s="3"/>
      <c r="M220" s="3"/>
      <c r="N220" s="3"/>
      <c r="O220" s="3"/>
      <c r="P220" s="3"/>
      <c r="Q220" s="3"/>
    </row>
    <row r="221" spans="1:17" ht="15">
      <c r="A221" s="3"/>
      <c r="B221" s="3"/>
      <c r="C221" s="3"/>
      <c r="D221" s="3"/>
      <c r="E221" s="3"/>
      <c r="F221" s="3"/>
      <c r="G221" s="3"/>
      <c r="H221" s="3"/>
      <c r="I221" s="3"/>
      <c r="J221" s="3"/>
      <c r="K221" s="3"/>
      <c r="L221" s="3"/>
      <c r="M221" s="3"/>
      <c r="N221" s="3"/>
      <c r="O221" s="3"/>
      <c r="P221" s="3"/>
      <c r="Q221" s="3"/>
    </row>
    <row r="222" spans="1:17" ht="15">
      <c r="A222" s="3"/>
      <c r="B222" s="3"/>
      <c r="C222" s="3"/>
      <c r="D222" s="3"/>
      <c r="E222" s="3"/>
      <c r="F222" s="3"/>
      <c r="G222" s="3"/>
      <c r="H222" s="3"/>
      <c r="I222" s="3"/>
      <c r="J222" s="3"/>
      <c r="K222" s="3"/>
      <c r="L222" s="3"/>
      <c r="M222" s="3"/>
      <c r="N222" s="3"/>
      <c r="O222" s="3"/>
      <c r="P222" s="3"/>
      <c r="Q222" s="3"/>
    </row>
    <row r="223" spans="1:17" ht="15">
      <c r="A223" s="3"/>
      <c r="B223" s="3"/>
      <c r="C223" s="3"/>
      <c r="D223" s="3"/>
      <c r="E223" s="3"/>
      <c r="F223" s="3"/>
      <c r="G223" s="3"/>
      <c r="H223" s="3"/>
      <c r="I223" s="3"/>
      <c r="J223" s="3"/>
      <c r="K223" s="3"/>
      <c r="L223" s="3"/>
      <c r="M223" s="3"/>
      <c r="N223" s="3"/>
      <c r="O223" s="3"/>
      <c r="P223" s="3"/>
      <c r="Q223" s="3"/>
    </row>
    <row r="224" spans="1:17" ht="15">
      <c r="A224" s="3"/>
      <c r="B224" s="3"/>
      <c r="C224" s="3"/>
      <c r="D224" s="3"/>
      <c r="E224" s="3"/>
      <c r="F224" s="3"/>
      <c r="G224" s="3"/>
      <c r="H224" s="3"/>
      <c r="I224" s="3"/>
      <c r="J224" s="3"/>
      <c r="K224" s="3"/>
      <c r="L224" s="3"/>
      <c r="M224" s="3"/>
      <c r="N224" s="3"/>
      <c r="O224" s="3"/>
      <c r="P224" s="3"/>
      <c r="Q224" s="3"/>
    </row>
    <row r="225" spans="1:17" ht="15">
      <c r="A225" s="3"/>
      <c r="B225" s="3"/>
      <c r="C225" s="3"/>
      <c r="D225" s="3"/>
      <c r="E225" s="3"/>
      <c r="F225" s="3"/>
      <c r="G225" s="3"/>
      <c r="H225" s="3"/>
      <c r="I225" s="3"/>
      <c r="J225" s="3"/>
      <c r="K225" s="3"/>
      <c r="L225" s="3"/>
      <c r="M225" s="3"/>
      <c r="N225" s="3"/>
      <c r="O225" s="3"/>
      <c r="P225" s="3"/>
      <c r="Q225" s="3"/>
    </row>
    <row r="226" spans="1:17" ht="15">
      <c r="A226" s="3"/>
      <c r="B226" s="3"/>
      <c r="C226" s="3"/>
      <c r="D226" s="3"/>
      <c r="E226" s="3"/>
      <c r="F226" s="3"/>
      <c r="G226" s="3"/>
      <c r="H226" s="3"/>
      <c r="I226" s="3"/>
      <c r="J226" s="3"/>
      <c r="K226" s="3"/>
      <c r="L226" s="3"/>
      <c r="M226" s="3"/>
      <c r="N226" s="3"/>
      <c r="O226" s="3"/>
      <c r="P226" s="3"/>
      <c r="Q226" s="3"/>
    </row>
    <row r="227" spans="1:17" ht="15">
      <c r="A227" s="3"/>
      <c r="B227" s="3"/>
      <c r="C227" s="3"/>
      <c r="D227" s="3"/>
      <c r="E227" s="3"/>
      <c r="F227" s="3"/>
      <c r="G227" s="3"/>
      <c r="H227" s="3"/>
      <c r="I227" s="3"/>
      <c r="J227" s="3"/>
      <c r="K227" s="3"/>
      <c r="L227" s="3"/>
      <c r="M227" s="3"/>
      <c r="N227" s="3"/>
      <c r="O227" s="3"/>
      <c r="P227" s="3"/>
      <c r="Q227" s="3"/>
    </row>
    <row r="228" spans="1:17" ht="15">
      <c r="A228" s="3"/>
      <c r="B228" s="3"/>
      <c r="C228" s="3"/>
      <c r="D228" s="3"/>
      <c r="E228" s="3"/>
      <c r="F228" s="3"/>
      <c r="G228" s="3"/>
      <c r="H228" s="3"/>
      <c r="I228" s="3"/>
      <c r="J228" s="3"/>
      <c r="K228" s="3"/>
      <c r="L228" s="3"/>
      <c r="M228" s="3"/>
      <c r="N228" s="3"/>
      <c r="O228" s="3"/>
      <c r="P228" s="3"/>
      <c r="Q228" s="3"/>
    </row>
    <row r="229" spans="1:17" ht="15">
      <c r="A229" s="3"/>
      <c r="B229" s="3"/>
      <c r="C229" s="3"/>
      <c r="D229" s="3"/>
      <c r="E229" s="3"/>
      <c r="F229" s="3"/>
      <c r="G229" s="3"/>
      <c r="H229" s="3"/>
      <c r="I229" s="3"/>
      <c r="J229" s="3"/>
      <c r="K229" s="3"/>
      <c r="L229" s="3"/>
      <c r="M229" s="3"/>
      <c r="N229" s="3"/>
      <c r="O229" s="3"/>
      <c r="P229" s="3"/>
      <c r="Q229" s="3"/>
    </row>
    <row r="230" spans="1:17" ht="15">
      <c r="A230" s="3"/>
      <c r="B230" s="3"/>
      <c r="C230" s="3"/>
      <c r="D230" s="3"/>
      <c r="E230" s="3"/>
      <c r="F230" s="3"/>
      <c r="G230" s="3"/>
      <c r="H230" s="3"/>
      <c r="I230" s="3"/>
      <c r="J230" s="3"/>
      <c r="K230" s="3"/>
      <c r="L230" s="3"/>
      <c r="M230" s="3"/>
      <c r="N230" s="3"/>
      <c r="O230" s="3"/>
      <c r="P230" s="3"/>
      <c r="Q230" s="3"/>
    </row>
    <row r="231" spans="1:17" ht="15">
      <c r="A231" s="3"/>
      <c r="B231" s="3"/>
      <c r="C231" s="3"/>
      <c r="D231" s="3"/>
      <c r="E231" s="3"/>
      <c r="F231" s="3"/>
      <c r="G231" s="3"/>
      <c r="H231" s="3"/>
      <c r="I231" s="3"/>
      <c r="J231" s="3"/>
      <c r="K231" s="3"/>
      <c r="L231" s="3"/>
      <c r="M231" s="3"/>
      <c r="N231" s="3"/>
      <c r="O231" s="3"/>
      <c r="P231" s="3"/>
      <c r="Q231" s="3"/>
    </row>
    <row r="232" spans="1:17" ht="15">
      <c r="A232" s="3"/>
      <c r="B232" s="3"/>
      <c r="C232" s="3"/>
      <c r="D232" s="3"/>
      <c r="E232" s="3"/>
      <c r="F232" s="3"/>
      <c r="G232" s="3"/>
      <c r="H232" s="3"/>
      <c r="I232" s="3"/>
      <c r="J232" s="3"/>
      <c r="K232" s="3"/>
      <c r="L232" s="3"/>
      <c r="M232" s="3"/>
      <c r="N232" s="3"/>
      <c r="O232" s="3"/>
      <c r="P232" s="3"/>
      <c r="Q232" s="3"/>
    </row>
    <row r="233" spans="1:17" ht="15">
      <c r="A233" s="3"/>
      <c r="B233" s="3"/>
      <c r="C233" s="3"/>
      <c r="D233" s="3"/>
      <c r="E233" s="3"/>
      <c r="F233" s="3"/>
      <c r="G233" s="3"/>
      <c r="H233" s="3"/>
      <c r="I233" s="3"/>
      <c r="J233" s="3"/>
      <c r="K233" s="3"/>
      <c r="L233" s="3"/>
      <c r="M233" s="3"/>
      <c r="N233" s="3"/>
      <c r="O233" s="3"/>
      <c r="P233" s="3"/>
      <c r="Q233" s="3"/>
    </row>
    <row r="234" spans="1:17" ht="15">
      <c r="A234" s="3"/>
      <c r="B234" s="3"/>
      <c r="C234" s="3"/>
      <c r="D234" s="3"/>
      <c r="E234" s="3"/>
      <c r="F234" s="3"/>
      <c r="G234" s="3"/>
      <c r="H234" s="3"/>
      <c r="I234" s="3"/>
      <c r="J234" s="3"/>
      <c r="K234" s="3"/>
      <c r="L234" s="3"/>
      <c r="M234" s="3"/>
      <c r="N234" s="3"/>
      <c r="O234" s="3"/>
      <c r="P234" s="3"/>
      <c r="Q234" s="3"/>
    </row>
    <row r="235" spans="1:17" ht="15">
      <c r="A235" s="3"/>
      <c r="B235" s="3"/>
      <c r="C235" s="3"/>
      <c r="D235" s="3"/>
      <c r="E235" s="3"/>
      <c r="F235" s="3"/>
      <c r="G235" s="3"/>
      <c r="H235" s="3"/>
      <c r="I235" s="3"/>
      <c r="J235" s="3"/>
      <c r="K235" s="3"/>
      <c r="L235" s="3"/>
      <c r="M235" s="3"/>
      <c r="N235" s="3"/>
      <c r="O235" s="3"/>
      <c r="P235" s="3"/>
      <c r="Q235" s="3"/>
    </row>
    <row r="236" spans="1:17" ht="15">
      <c r="A236" s="3"/>
      <c r="B236" s="3"/>
      <c r="C236" s="3"/>
      <c r="D236" s="3"/>
      <c r="E236" s="3"/>
      <c r="F236" s="3"/>
      <c r="G236" s="3"/>
      <c r="H236" s="3"/>
      <c r="I236" s="3"/>
      <c r="J236" s="3"/>
      <c r="K236" s="3"/>
      <c r="L236" s="3"/>
      <c r="M236" s="3"/>
      <c r="N236" s="3"/>
      <c r="O236" s="3"/>
      <c r="P236" s="3"/>
      <c r="Q236" s="3"/>
    </row>
    <row r="237" spans="1:17" ht="15">
      <c r="A237" s="3"/>
      <c r="B237" s="3"/>
      <c r="C237" s="3"/>
      <c r="D237" s="3"/>
      <c r="E237" s="3"/>
      <c r="F237" s="3"/>
      <c r="G237" s="3"/>
      <c r="H237" s="3"/>
      <c r="I237" s="3"/>
      <c r="J237" s="3"/>
      <c r="K237" s="3"/>
      <c r="L237" s="3"/>
      <c r="M237" s="3"/>
      <c r="N237" s="3"/>
      <c r="O237" s="3"/>
      <c r="P237" s="3"/>
      <c r="Q237" s="3"/>
    </row>
    <row r="238" spans="1:17" ht="15">
      <c r="A238" s="3"/>
      <c r="B238" s="3"/>
      <c r="C238" s="3"/>
      <c r="D238" s="3"/>
      <c r="E238" s="3"/>
      <c r="F238" s="3"/>
      <c r="G238" s="3"/>
      <c r="H238" s="3"/>
      <c r="I238" s="3"/>
      <c r="J238" s="3"/>
      <c r="K238" s="3"/>
      <c r="L238" s="3"/>
      <c r="M238" s="3"/>
      <c r="N238" s="3"/>
      <c r="O238" s="3"/>
      <c r="P238" s="3"/>
      <c r="Q238" s="3"/>
    </row>
    <row r="239" spans="1:17" ht="15">
      <c r="A239" s="3"/>
      <c r="B239" s="3"/>
      <c r="C239" s="3"/>
      <c r="D239" s="3"/>
      <c r="E239" s="3"/>
      <c r="F239" s="3"/>
      <c r="G239" s="3"/>
      <c r="H239" s="3"/>
      <c r="I239" s="3"/>
      <c r="J239" s="3"/>
      <c r="K239" s="3"/>
      <c r="L239" s="3"/>
      <c r="M239" s="3"/>
      <c r="N239" s="3"/>
      <c r="O239" s="3"/>
      <c r="P239" s="3"/>
      <c r="Q239" s="3"/>
    </row>
    <row r="240" spans="1:17" ht="15">
      <c r="A240" s="3"/>
      <c r="B240" s="3"/>
      <c r="C240" s="3"/>
      <c r="D240" s="3"/>
      <c r="E240" s="3"/>
      <c r="F240" s="3"/>
      <c r="G240" s="3"/>
      <c r="H240" s="3"/>
      <c r="I240" s="3"/>
      <c r="J240" s="3"/>
      <c r="K240" s="3"/>
      <c r="L240" s="3"/>
      <c r="M240" s="3"/>
      <c r="N240" s="3"/>
      <c r="O240" s="3"/>
      <c r="P240" s="3"/>
      <c r="Q240" s="3"/>
    </row>
    <row r="241" spans="1:17" ht="15">
      <c r="A241" s="3"/>
      <c r="B241" s="3"/>
      <c r="C241" s="3"/>
      <c r="D241" s="3"/>
      <c r="E241" s="3"/>
      <c r="F241" s="3"/>
      <c r="G241" s="3"/>
      <c r="H241" s="3"/>
      <c r="I241" s="3"/>
      <c r="J241" s="3"/>
      <c r="K241" s="3"/>
      <c r="L241" s="3"/>
      <c r="M241" s="3"/>
      <c r="N241" s="3"/>
      <c r="O241" s="3"/>
      <c r="P241" s="3"/>
      <c r="Q241" s="3"/>
    </row>
    <row r="242" spans="1:17" ht="15">
      <c r="A242" s="3"/>
      <c r="B242" s="3"/>
      <c r="C242" s="3"/>
      <c r="D242" s="3"/>
      <c r="E242" s="3"/>
      <c r="F242" s="3"/>
      <c r="G242" s="3"/>
      <c r="H242" s="3"/>
      <c r="I242" s="3"/>
      <c r="J242" s="3"/>
      <c r="K242" s="3"/>
      <c r="L242" s="3"/>
      <c r="M242" s="3"/>
      <c r="N242" s="3"/>
      <c r="O242" s="3"/>
      <c r="P242" s="3"/>
      <c r="Q242" s="3"/>
    </row>
    <row r="243" spans="1:17" ht="15">
      <c r="A243" s="3"/>
      <c r="B243" s="3"/>
      <c r="C243" s="3"/>
      <c r="D243" s="3"/>
      <c r="E243" s="3"/>
      <c r="F243" s="3"/>
      <c r="G243" s="3"/>
      <c r="H243" s="3"/>
      <c r="I243" s="3"/>
      <c r="J243" s="3"/>
      <c r="K243" s="3"/>
      <c r="L243" s="3"/>
      <c r="M243" s="3"/>
      <c r="N243" s="3"/>
      <c r="O243" s="3"/>
      <c r="P243" s="3"/>
      <c r="Q243" s="3"/>
    </row>
    <row r="244" spans="1:17" ht="15">
      <c r="A244" s="3"/>
      <c r="B244" s="3"/>
      <c r="C244" s="3"/>
      <c r="D244" s="3"/>
      <c r="E244" s="3"/>
      <c r="F244" s="3"/>
      <c r="G244" s="3"/>
      <c r="H244" s="3"/>
      <c r="I244" s="3"/>
      <c r="J244" s="3"/>
      <c r="K244" s="3"/>
      <c r="L244" s="3"/>
      <c r="M244" s="3"/>
      <c r="N244" s="3"/>
      <c r="O244" s="3"/>
      <c r="P244" s="3"/>
      <c r="Q244" s="3"/>
    </row>
    <row r="245" spans="1:17" ht="15">
      <c r="A245" s="3"/>
      <c r="B245" s="3"/>
      <c r="C245" s="3"/>
      <c r="D245" s="3"/>
      <c r="E245" s="3"/>
      <c r="F245" s="3"/>
      <c r="G245" s="3"/>
      <c r="H245" s="3"/>
      <c r="I245" s="3"/>
      <c r="J245" s="3"/>
      <c r="K245" s="3"/>
      <c r="L245" s="3"/>
      <c r="M245" s="3"/>
      <c r="N245" s="3"/>
      <c r="O245" s="3"/>
      <c r="P245" s="3"/>
      <c r="Q245" s="3"/>
    </row>
    <row r="246" spans="1:17" ht="15">
      <c r="A246" s="3"/>
      <c r="B246" s="3"/>
      <c r="C246" s="3"/>
      <c r="D246" s="3"/>
      <c r="E246" s="3"/>
      <c r="F246" s="3"/>
      <c r="G246" s="3"/>
      <c r="H246" s="3"/>
      <c r="I246" s="3"/>
      <c r="J246" s="3"/>
      <c r="K246" s="3"/>
      <c r="L246" s="3"/>
      <c r="M246" s="3"/>
      <c r="N246" s="3"/>
      <c r="O246" s="3"/>
      <c r="P246" s="3"/>
      <c r="Q246" s="3"/>
    </row>
    <row r="247" spans="1:17" ht="15">
      <c r="A247" s="3"/>
      <c r="B247" s="3"/>
      <c r="C247" s="3"/>
      <c r="D247" s="3"/>
      <c r="E247" s="3"/>
      <c r="F247" s="3"/>
      <c r="G247" s="3"/>
      <c r="H247" s="3"/>
      <c r="I247" s="3"/>
      <c r="J247" s="3"/>
      <c r="K247" s="3"/>
      <c r="L247" s="3"/>
      <c r="M247" s="3"/>
      <c r="N247" s="3"/>
      <c r="O247" s="3"/>
      <c r="P247" s="3"/>
      <c r="Q247" s="3"/>
    </row>
    <row r="248" spans="1:17" ht="15">
      <c r="A248" s="3"/>
      <c r="B248" s="3"/>
      <c r="C248" s="3"/>
      <c r="D248" s="3"/>
      <c r="E248" s="3"/>
      <c r="F248" s="3"/>
      <c r="G248" s="3"/>
      <c r="H248" s="3"/>
      <c r="I248" s="3"/>
      <c r="J248" s="3"/>
      <c r="K248" s="3"/>
      <c r="L248" s="3"/>
      <c r="M248" s="3"/>
      <c r="N248" s="3"/>
      <c r="O248" s="3"/>
      <c r="P248" s="3"/>
      <c r="Q248" s="3"/>
    </row>
    <row r="249" spans="1:17" ht="15">
      <c r="A249" s="3"/>
      <c r="B249" s="3"/>
      <c r="C249" s="3"/>
      <c r="D249" s="3"/>
      <c r="E249" s="3"/>
      <c r="F249" s="3"/>
      <c r="G249" s="3"/>
      <c r="H249" s="3"/>
      <c r="I249" s="3"/>
      <c r="J249" s="3"/>
      <c r="K249" s="3"/>
      <c r="L249" s="3"/>
      <c r="M249" s="3"/>
      <c r="N249" s="3"/>
      <c r="O249" s="3"/>
      <c r="P249" s="3"/>
      <c r="Q249" s="3"/>
    </row>
    <row r="250" spans="1:17" ht="15">
      <c r="A250" s="3"/>
      <c r="B250" s="3"/>
      <c r="C250" s="3"/>
      <c r="D250" s="3"/>
      <c r="E250" s="3"/>
      <c r="F250" s="3"/>
      <c r="G250" s="3"/>
      <c r="H250" s="3"/>
      <c r="I250" s="3"/>
      <c r="J250" s="3"/>
      <c r="K250" s="3"/>
      <c r="L250" s="3"/>
      <c r="M250" s="3"/>
      <c r="N250" s="3"/>
      <c r="O250" s="3"/>
      <c r="P250" s="3"/>
      <c r="Q250" s="3"/>
    </row>
  </sheetData>
  <mergeCells count="79">
    <mergeCell ref="J37:K38"/>
    <mergeCell ref="A40:K41"/>
    <mergeCell ref="A37:B38"/>
    <mergeCell ref="D35:E35"/>
    <mergeCell ref="D36:E36"/>
    <mergeCell ref="D37:E38"/>
    <mergeCell ref="G35:H35"/>
    <mergeCell ref="G36:H36"/>
    <mergeCell ref="G37:H38"/>
    <mergeCell ref="A31:K31"/>
    <mergeCell ref="A32:K32"/>
    <mergeCell ref="A34:K34"/>
    <mergeCell ref="A35:B35"/>
    <mergeCell ref="A36:B36"/>
    <mergeCell ref="J35:K35"/>
    <mergeCell ref="J36:K36"/>
    <mergeCell ref="A26:K26"/>
    <mergeCell ref="A27:K27"/>
    <mergeCell ref="A28:K28"/>
    <mergeCell ref="A29:K29"/>
    <mergeCell ref="A30:K30"/>
    <mergeCell ref="G21:I21"/>
    <mergeCell ref="J21:K21"/>
    <mergeCell ref="G22:I22"/>
    <mergeCell ref="J22:K22"/>
    <mergeCell ref="G23:I23"/>
    <mergeCell ref="J23:K23"/>
    <mergeCell ref="G18:K18"/>
    <mergeCell ref="G19:I19"/>
    <mergeCell ref="J19:K19"/>
    <mergeCell ref="G20:I20"/>
    <mergeCell ref="J20:K20"/>
    <mergeCell ref="A22:B22"/>
    <mergeCell ref="D22:E22"/>
    <mergeCell ref="A23:B23"/>
    <mergeCell ref="D23:E23"/>
    <mergeCell ref="A24:B24"/>
    <mergeCell ref="D24:E24"/>
    <mergeCell ref="A19:B19"/>
    <mergeCell ref="D19:E19"/>
    <mergeCell ref="A20:B20"/>
    <mergeCell ref="D20:E20"/>
    <mergeCell ref="A21:B21"/>
    <mergeCell ref="D21:E21"/>
    <mergeCell ref="G15:H15"/>
    <mergeCell ref="I15:K15"/>
    <mergeCell ref="G16:H16"/>
    <mergeCell ref="I16:K16"/>
    <mergeCell ref="A17:E17"/>
    <mergeCell ref="C14:E14"/>
    <mergeCell ref="G8:K8"/>
    <mergeCell ref="G9:H9"/>
    <mergeCell ref="I9:K9"/>
    <mergeCell ref="G10:H10"/>
    <mergeCell ref="I10:K10"/>
    <mergeCell ref="G11:H11"/>
    <mergeCell ref="I11:K11"/>
    <mergeCell ref="G12:H12"/>
    <mergeCell ref="I12:K12"/>
    <mergeCell ref="G13:H13"/>
    <mergeCell ref="I13:K13"/>
    <mergeCell ref="G14:H14"/>
    <mergeCell ref="I14:K14"/>
    <mergeCell ref="C9:E9"/>
    <mergeCell ref="C10:E10"/>
    <mergeCell ref="C11:E11"/>
    <mergeCell ref="C12:E12"/>
    <mergeCell ref="C13:E13"/>
    <mergeCell ref="A5:B6"/>
    <mergeCell ref="D5:E6"/>
    <mergeCell ref="G5:H6"/>
    <mergeCell ref="J5:K6"/>
    <mergeCell ref="A8:E8"/>
    <mergeCell ref="A1:K1"/>
    <mergeCell ref="A2:K2"/>
    <mergeCell ref="A4:B4"/>
    <mergeCell ref="D4:E4"/>
    <mergeCell ref="G4:H4"/>
    <mergeCell ref="J4:K4"/>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
  <sheetViews>
    <sheetView workbookViewId="0"/>
  </sheetViews>
  <sheetFormatPr defaultRowHeight="14.25"/>
  <cols>
    <col min="1" max="1" width="12.75" customWidth="1"/>
    <col min="2" max="2" width="12.875" customWidth="1"/>
    <col min="3" max="3" width="15.125" customWidth="1"/>
    <col min="4" max="4" width="21.875" customWidth="1"/>
    <col min="5" max="5" width="11.125" customWidth="1"/>
    <col min="6" max="6" width="10.375" customWidth="1"/>
    <col min="7" max="7" width="15.25" customWidth="1"/>
    <col min="8" max="8" width="14.625" customWidth="1"/>
    <col min="9" max="9" width="14.375" customWidth="1"/>
    <col min="10" max="10" width="6.875" customWidth="1"/>
    <col min="11" max="11" width="14.625" customWidth="1"/>
  </cols>
  <sheetData>
    <row r="1" spans="1:11" ht="30">
      <c r="A1" s="31" t="s">
        <v>1056</v>
      </c>
      <c r="B1" s="31" t="s">
        <v>1057</v>
      </c>
      <c r="C1" s="31" t="s">
        <v>897</v>
      </c>
      <c r="D1" s="31" t="s">
        <v>715</v>
      </c>
      <c r="E1" s="31" t="s">
        <v>781</v>
      </c>
      <c r="F1" s="31" t="s">
        <v>1058</v>
      </c>
      <c r="G1" s="31" t="s">
        <v>1059</v>
      </c>
      <c r="H1" s="31" t="s">
        <v>1060</v>
      </c>
      <c r="I1" s="31" t="s">
        <v>1061</v>
      </c>
      <c r="J1" s="31" t="s">
        <v>858</v>
      </c>
      <c r="K1" s="31" t="s">
        <v>1062</v>
      </c>
    </row>
    <row r="2" spans="1:11">
      <c r="A2" s="2" t="s">
        <v>443</v>
      </c>
      <c r="B2" s="2" t="s">
        <v>643</v>
      </c>
      <c r="C2" s="2" t="s">
        <v>325</v>
      </c>
      <c r="D2" s="2" t="s">
        <v>1063</v>
      </c>
      <c r="E2" s="2" t="s">
        <v>1063</v>
      </c>
      <c r="F2" s="2" t="s">
        <v>1064</v>
      </c>
      <c r="G2" s="2" t="s">
        <v>318</v>
      </c>
      <c r="H2" s="2" t="s">
        <v>443</v>
      </c>
      <c r="I2" s="2" t="s">
        <v>443</v>
      </c>
      <c r="J2" s="2" t="s">
        <v>341</v>
      </c>
      <c r="K2" s="2" t="s">
        <v>1065</v>
      </c>
    </row>
    <row r="3" spans="1:11" ht="28.5">
      <c r="A3" s="2" t="s">
        <v>143</v>
      </c>
      <c r="B3" s="2" t="s">
        <v>686</v>
      </c>
      <c r="C3" s="2" t="s">
        <v>334</v>
      </c>
      <c r="D3" s="2" t="s">
        <v>784</v>
      </c>
      <c r="E3" s="2" t="s">
        <v>589</v>
      </c>
      <c r="F3" s="2" t="s">
        <v>1066</v>
      </c>
      <c r="G3" s="2" t="s">
        <v>643</v>
      </c>
      <c r="H3" s="2" t="s">
        <v>143</v>
      </c>
      <c r="I3" s="2" t="s">
        <v>143</v>
      </c>
      <c r="J3" s="2" t="s">
        <v>334</v>
      </c>
      <c r="K3" s="2" t="s">
        <v>589</v>
      </c>
    </row>
    <row r="4" spans="1:11" ht="28.5">
      <c r="A4" s="2"/>
      <c r="B4" s="2" t="s">
        <v>644</v>
      </c>
      <c r="C4" s="2" t="s">
        <v>341</v>
      </c>
      <c r="D4" s="2" t="s">
        <v>787</v>
      </c>
      <c r="E4" s="2" t="s">
        <v>791</v>
      </c>
      <c r="F4" s="2" t="s">
        <v>1067</v>
      </c>
      <c r="G4" s="2" t="s">
        <v>582</v>
      </c>
      <c r="H4" s="2" t="s">
        <v>824</v>
      </c>
      <c r="I4" s="2" t="s">
        <v>824</v>
      </c>
      <c r="J4" s="2" t="s">
        <v>325</v>
      </c>
      <c r="K4" s="2" t="s">
        <v>1068</v>
      </c>
    </row>
    <row r="5" spans="1:11" ht="28.5">
      <c r="A5" s="2"/>
      <c r="B5" s="2" t="s">
        <v>1069</v>
      </c>
      <c r="C5" s="2" t="s">
        <v>696</v>
      </c>
      <c r="D5" s="2" t="s">
        <v>804</v>
      </c>
      <c r="E5" s="2" t="s">
        <v>644</v>
      </c>
      <c r="F5" s="2" t="s">
        <v>1070</v>
      </c>
      <c r="G5" s="2" t="s">
        <v>145</v>
      </c>
      <c r="H5" s="2" t="s">
        <v>589</v>
      </c>
      <c r="I5" s="2"/>
      <c r="J5" s="2"/>
      <c r="K5" s="2"/>
    </row>
    <row r="6" spans="1:11">
      <c r="A6" s="2"/>
      <c r="B6" s="2"/>
      <c r="C6" s="2" t="s">
        <v>901</v>
      </c>
      <c r="D6" s="2" t="s">
        <v>589</v>
      </c>
      <c r="E6" s="2"/>
      <c r="F6" s="2" t="s">
        <v>1071</v>
      </c>
      <c r="G6" s="2"/>
      <c r="H6" s="2" t="s">
        <v>1072</v>
      </c>
      <c r="I6" s="2"/>
      <c r="J6" s="2"/>
      <c r="K6" s="2"/>
    </row>
    <row r="7" spans="1:11">
      <c r="A7" s="2"/>
      <c r="B7" s="2"/>
      <c r="C7" s="2" t="s">
        <v>946</v>
      </c>
      <c r="D7" s="2" t="s">
        <v>318</v>
      </c>
      <c r="E7" s="2"/>
      <c r="F7" s="2"/>
      <c r="G7" s="2"/>
      <c r="H7" s="2"/>
      <c r="I7" s="2"/>
      <c r="J7" s="2"/>
      <c r="K7"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Business Rules</vt:lpstr>
      <vt:lpstr>00_CHANGE_LOG</vt:lpstr>
      <vt:lpstr>00_PLATFORM_INDEX</vt:lpstr>
      <vt:lpstr>INPUT_CONTROL_MAP</vt:lpstr>
      <vt:lpstr>STG_SOURCE_INTAKE</vt:lpstr>
      <vt:lpstr>MAP_FIELD_MAPPING</vt:lpstr>
      <vt:lpstr>DATA_PROPERTY_MASTER</vt:lpstr>
      <vt:lpstr>DATA_UNIT_MIX</vt:lpstr>
      <vt:lpstr>DATA_RENT_ROLL</vt:lpstr>
      <vt:lpstr>DATA_OPERATING_ACTUALS</vt:lpstr>
      <vt:lpstr>DATA_DEBT_MASTER</vt:lpstr>
      <vt:lpstr>DATA_CASH_RESERVES</vt:lpstr>
      <vt:lpstr>DATA_AGREEMENTS</vt:lpstr>
      <vt:lpstr>DATA_CAPITAL_NEEDS</vt:lpstr>
      <vt:lpstr>ASSUMPTIONS_FLAGS</vt:lpstr>
      <vt:lpstr>DATA_METRIC_LONG</vt:lpstr>
      <vt:lpstr>DATA_QUALITY_CHECKS</vt:lpstr>
      <vt:lpstr>OUT_STAGE1_READINESS_SNAPSHOT</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P. Lin</dc:creator>
  <cp:lastModifiedBy>Kelly P. Lin</cp:lastModifiedBy>
  <dcterms:created xsi:type="dcterms:W3CDTF">2026-07-10T19:29:44Z</dcterms:created>
  <dcterms:modified xsi:type="dcterms:W3CDTF">2026-07-10T19:29:45Z</dcterms:modified>
</cp:coreProperties>
</file>