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dcefc8a073b4338" /></Relationships>
</file>

<file path=xl/workbook.xml><?xml version="1.0" encoding="utf-8"?>
<x:workbook xmlns:x="http://schemas.openxmlformats.org/spreadsheetml/2006/main">
  <x:sheets>
    <x:sheet xmlns:r="http://schemas.openxmlformats.org/officeDocument/2006/relationships" name="Business Rules" sheetId="1" r:id="Rf0d47ec1ce134d3f"/>
    <x:sheet xmlns:r="http://schemas.openxmlformats.org/officeDocument/2006/relationships" name="00_CHANGE_LOG" sheetId="2" r:id="R109b607319414867"/>
    <x:sheet xmlns:r="http://schemas.openxmlformats.org/officeDocument/2006/relationships" name="00_PLATFORM_INDEX" sheetId="3" r:id="Rcbb67fdaeec94ea4"/>
    <x:sheet xmlns:r="http://schemas.openxmlformats.org/officeDocument/2006/relationships" name="INPUT_CONTROL_MAP" sheetId="4" r:id="R1029c34dc8084a06"/>
    <x:sheet xmlns:r="http://schemas.openxmlformats.org/officeDocument/2006/relationships" name="STG_SOURCE_INTAKE" sheetId="5" r:id="Rc6f35b4b27194947"/>
    <x:sheet xmlns:r="http://schemas.openxmlformats.org/officeDocument/2006/relationships" name="MAP_FIELD_MAPPING" sheetId="6" r:id="R59b20b7f205c4a12"/>
    <x:sheet xmlns:r="http://schemas.openxmlformats.org/officeDocument/2006/relationships" name="DATA_PROPERTY_MASTER" sheetId="7" r:id="R2974a1ccb71e46d9"/>
    <x:sheet xmlns:r="http://schemas.openxmlformats.org/officeDocument/2006/relationships" name="DATA_UNIT_MIX" sheetId="8" r:id="R3dcb51e8d81e4f76"/>
    <x:sheet xmlns:r="http://schemas.openxmlformats.org/officeDocument/2006/relationships" name="DATA_RENT_ROLL" sheetId="9" r:id="R0b8124bda16b4826"/>
    <x:sheet xmlns:r="http://schemas.openxmlformats.org/officeDocument/2006/relationships" name="DATA_OPERATING_ACTUALS" sheetId="10" r:id="R4f2d89f766bd4d52"/>
    <x:sheet xmlns:r="http://schemas.openxmlformats.org/officeDocument/2006/relationships" name="DATA_DEBT_MASTER" sheetId="11" r:id="R7726b8c5b522443d"/>
    <x:sheet xmlns:r="http://schemas.openxmlformats.org/officeDocument/2006/relationships" name="DATA_CASH_RESERVES" sheetId="12" r:id="Rbc4c8a4c434248c8"/>
    <x:sheet xmlns:r="http://schemas.openxmlformats.org/officeDocument/2006/relationships" name="DATA_AGREEMENTS" sheetId="13" r:id="R917d14c7f7954d55"/>
    <x:sheet xmlns:r="http://schemas.openxmlformats.org/officeDocument/2006/relationships" name="DATA_CAPITAL_NEEDS" sheetId="14" r:id="R8133cbd3acbe4548"/>
    <x:sheet xmlns:r="http://schemas.openxmlformats.org/officeDocument/2006/relationships" name="ASSUMPTIONS_FLAGS" sheetId="15" r:id="R064e210846d94c3b"/>
    <x:sheet xmlns:r="http://schemas.openxmlformats.org/officeDocument/2006/relationships" name="DATA_METRIC_LONG" sheetId="16" r:id="R5325673861644496"/>
    <x:sheet xmlns:r="http://schemas.openxmlformats.org/officeDocument/2006/relationships" name="DATA_QUALITY_CHECKS" sheetId="17" r:id="R7eb24c1961c549f8"/>
    <x:sheet xmlns:r="http://schemas.openxmlformats.org/officeDocument/2006/relationships" name="OUT_STAGE1_READINESS_SNAPSHOT" sheetId="18" r:id="Ra112e40ae3a84c98"/>
    <x:sheet xmlns:r="http://schemas.openxmlformats.org/officeDocument/2006/relationships" name="_LISTS" sheetId="19" r:id="R73334a44ba034ab0"/>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00%"/>
    <x:numFmt numFmtId="201" formatCode="$#,##0"/>
    <x:numFmt numFmtId="202" formatCode="0.00x"/>
    <x:numFmt numFmtId="203" formatCode="0.000%"/>
  </x:numFmts>
  <x:fonts count="18">
    <x:font>
      <x:sz val="11"/>
      <x:name val="Carlito"/>
    </x:font>
    <x:font>
      <x:b/>
      <x:sz val="14"/>
      <x:color rgb="FFFFFFFF"/>
      <x:name val="Carlito"/>
    </x:font>
    <x:font>
      <x:i/>
      <x:sz val="11"/>
      <x:color rgb="FF111827"/>
      <x:name val="Carlito"/>
    </x:font>
    <x:font>
      <x:b/>
      <x:sz val="11"/>
      <x:color rgb="FFFFFFFF"/>
      <x:name val="Carlito"/>
    </x:font>
    <x:font>
      <x:b/>
      <x:sz val="11"/>
      <x:name val="Carlito"/>
    </x:font>
    <x:font>
      <x:b/>
      <x:sz val="18"/>
      <x:color rgb="FFFFFFFF"/>
      <x:name val="Carlito"/>
    </x:font>
    <x:font>
      <x:b/>
      <x:sz val="12"/>
      <x:color rgb="FF006B6B"/>
      <x:name val="Carlito"/>
    </x:font>
    <x:font>
      <x:b/>
      <x:sz val="11"/>
      <x:color rgb="FF0B1F4D"/>
      <x:name val="Carlito"/>
    </x:font>
    <x:font>
      <x:b/>
      <x:sz val="20"/>
      <x:color rgb="FF008C8C"/>
      <x:name val="Carlito"/>
    </x:font>
    <x:font>
      <x:sz val="11"/>
      <x:color rgb="FF006B6B"/>
      <x:name val="Carlito"/>
    </x:font>
    <x:font>
      <x:sz val="11"/>
      <x:color rgb="FF7F1D1D"/>
      <x:name val="Carlito"/>
    </x:font>
    <x:font>
      <x:b/>
      <x:sz val="14"/>
      <x:color rgb="FFEA580C"/>
      <x:name val="Carlito"/>
    </x:font>
    <x:font>
      <x:i/>
      <x:sz val="11"/>
      <x:color rgb="FF0B1F4D"/>
      <x:name val="Carlito"/>
    </x:font>
    <x:font>
      <x:b/>
      <x:sz val="10"/>
      <x:color rgb="FF111827"/>
      <x:name val="Aptos"/>
    </x:font>
    <x:font>
      <x:sz val="10"/>
      <x:color rgb="FF111827"/>
      <x:name val="Aptos"/>
    </x:font>
    <x:font>
      <x:i/>
      <x:sz val="10"/>
      <x:color rgb="FF111827"/>
      <x:name val="Aptos"/>
    </x:font>
    <x:font>
      <x:b/>
      <x:sz val="14"/>
      <x:color rgb="FFFFFFFF"/>
      <x:name val="Aptos"/>
    </x:font>
    <x:font>
      <x:b/>
      <x:sz val="10"/>
      <x:color rgb="FFFFFFFF"/>
      <x:name val="Aptos"/>
    </x:font>
  </x:fonts>
  <x:fills count="20">
    <x:fill>
      <x:patternFill patternType="none"/>
    </x:fill>
    <x:fill>
      <x:patternFill patternType="gray125"/>
    </x:fill>
    <x:fill>
      <x:patternFill patternType="solid">
        <x:fgColor rgb="FF0B1F4D"/>
      </x:patternFill>
    </x:fill>
    <x:fill>
      <x:patternFill patternType="solid">
        <x:fgColor rgb="FFF3F4F6"/>
      </x:patternFill>
    </x:fill>
    <x:fill>
      <x:patternFill patternType="solid">
        <x:fgColor rgb="FF008C8C"/>
      </x:patternFill>
    </x:fill>
    <x:fill>
      <x:patternFill patternType="solid">
        <x:fgColor rgb="FFD9EAF7"/>
      </x:patternFill>
    </x:fill>
    <x:fill>
      <x:patternFill patternType="solid">
        <x:fgColor rgb="FFE9D5FF"/>
      </x:patternFill>
    </x:fill>
    <x:fill>
      <x:patternFill patternType="solid">
        <x:fgColor rgb="FFFFE8CC"/>
      </x:patternFill>
    </x:fill>
    <x:fill>
      <x:patternFill patternType="solid">
        <x:fgColor rgb="FFE5E7EB"/>
      </x:patternFill>
    </x:fill>
    <x:fill>
      <x:patternFill patternType="solid">
        <x:fgColor rgb="FFDCFCE7"/>
      </x:patternFill>
    </x:fill>
    <x:fill>
      <x:patternFill patternType="solid">
        <x:fgColor rgb="FFE7F6F6"/>
      </x:patternFill>
    </x:fill>
    <x:fill>
      <x:patternFill patternType="solid">
        <x:fgColor rgb="FFFFFFFF"/>
      </x:patternFill>
    </x:fill>
    <x:fill>
      <x:patternFill patternType="solid">
        <x:fgColor rgb="FFB91C1C"/>
      </x:patternFill>
    </x:fill>
    <x:fill>
      <x:patternFill patternType="solid">
        <x:fgColor rgb="FFFEE2E2"/>
      </x:patternFill>
    </x:fill>
    <x:fill>
      <x:patternFill patternType="solid">
        <x:fgColor rgb="FFE0F2FE"/>
      </x:patternFill>
    </x:fill>
    <x:fill>
      <x:patternFill patternType="solid">
        <x:fgColor rgb="FF0B1F4D"/>
      </x:patternFill>
    </x:fill>
    <x:fill>
      <x:patternFill patternType="solid">
        <x:fgColor rgb="FF003B5C"/>
      </x:patternFill>
    </x:fill>
    <x:fill>
      <x:patternFill patternType="solid">
        <x:fgColor rgb="FFD9EAF7"/>
      </x:patternFill>
    </x:fill>
    <x:fill>
      <x:patternFill patternType="solid">
        <x:fgColor rgb="FFE9D5FF"/>
      </x:patternFill>
    </x:fill>
    <x:fill>
      <x:patternFill patternType="solid">
        <x:fgColor rgb="FFFCE4D6"/>
      </x:patternFill>
    </x:fill>
  </x:fills>
  <x:borders count="2">
    <x:border/>
    <x:border/>
  </x:borders>
  <x:cellStyleXfs count="1">
    <x:xf numFmtId="0" fontId="0" fillId="0" borderId="0"/>
  </x:cellStyleXfs>
  <x:cellXfs count="227">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0" fillId="2" borderId="1" xfId="0" applyNumberFormat="1" applyFont="1" applyFill="1" applyBorder="1"/>
    <x:xf numFmtId="0" fontId="1" fillId="2" borderId="1"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horizontal="center" wrapText="1"/>
    </x:xf>
    <x:xf numFmtId="0" fontId="3" fillId="4" borderId="0" xfId="0" applyNumberFormat="1" applyFont="1" applyFill="1" applyBorder="1" applyAlignment="1">
      <x:alignment horizontal="center" vertical="center"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horizontal="center" wrapText="1"/>
    </x:xf>
    <x:xf numFmtId="0" fontId="3" fillId="4" borderId="1" xfId="0" applyNumberFormat="1" applyFont="1" applyFill="1" applyBorder="1" applyAlignment="1">
      <x:alignment horizontal="center" vertical="center" wrapText="1"/>
    </x:xf>
    <x:xf numFmtId="0" fontId="0" fillId="5" borderId="0" xfId="0" applyNumberFormat="1" applyFont="1" applyFill="1" applyBorder="1"/>
    <x:xf numFmtId="0" fontId="0" fillId="5" borderId="0" xfId="0" applyNumberFormat="1" applyFont="1" applyFill="1" applyBorder="1" applyAlignment="1">
      <x:alignment wrapText="1"/>
    </x:xf>
    <x:xf numFmtId="0" fontId="0" fillId="5" borderId="1" xfId="0" applyNumberFormat="1" applyFont="1" applyFill="1" applyBorder="1"/>
    <x:xf numFmtId="0" fontId="0" fillId="5" borderId="1" xfId="0" applyNumberFormat="1" applyFont="1" applyFill="1" applyBorder="1" applyAlignment="1">
      <x:alignment wrapText="1"/>
    </x:xf>
    <x:xf numFmtId="0" fontId="0" fillId="3" borderId="0" xfId="0" applyNumberFormat="1" applyFont="1" applyFill="1" applyBorder="1" applyAlignment="1">
      <x:alignment wrapText="1"/>
    </x:xf>
    <x:xf numFmtId="0" fontId="0" fillId="3" borderId="1" xfId="0" applyNumberFormat="1" applyFont="1" applyFill="1" applyBorder="1" applyAlignment="1">
      <x:alignment wrapText="1"/>
    </x:xf>
    <x:xf numFmtId="0" fontId="0" fillId="6" borderId="0" xfId="0" applyNumberFormat="1" applyFont="1" applyFill="1" applyBorder="1"/>
    <x:xf numFmtId="0" fontId="0" fillId="6" borderId="0" xfId="0" applyNumberFormat="1" applyFont="1" applyFill="1" applyBorder="1" applyAlignment="1">
      <x:alignment wrapText="1"/>
    </x:xf>
    <x:xf numFmtId="0" fontId="0" fillId="6" borderId="1" xfId="0" applyNumberFormat="1" applyFont="1" applyFill="1" applyBorder="1"/>
    <x:xf numFmtId="0" fontId="0" fillId="6" borderId="1" xfId="0" applyNumberFormat="1" applyFont="1" applyFill="1" applyBorder="1" applyAlignment="1">
      <x:alignment wrapText="1"/>
    </x:xf>
    <x:xf numFmtId="0" fontId="0" fillId="7" borderId="0" xfId="0" applyNumberFormat="1" applyFont="1" applyFill="1" applyBorder="1"/>
    <x:xf numFmtId="0" fontId="0" fillId="7" borderId="0" xfId="0" applyNumberFormat="1" applyFont="1" applyFill="1" applyBorder="1" applyAlignment="1">
      <x:alignment wrapText="1"/>
    </x:xf>
    <x:xf numFmtId="0" fontId="0" fillId="7" borderId="1" xfId="0" applyNumberFormat="1" applyFont="1" applyFill="1" applyBorder="1"/>
    <x:xf numFmtId="0" fontId="0" fillId="7" borderId="1" xfId="0" applyNumberFormat="1" applyFont="1" applyFill="1" applyBorder="1" applyAlignment="1">
      <x:alignment wrapText="1"/>
    </x:xf>
    <x:xf numFmtId="0" fontId="0" fillId="8" borderId="0" xfId="0" applyNumberFormat="1" applyFont="1" applyFill="1" applyBorder="1"/>
    <x:xf numFmtId="0" fontId="0" fillId="8" borderId="0" xfId="0" applyNumberFormat="1" applyFont="1" applyFill="1" applyBorder="1" applyAlignment="1">
      <x:alignment wrapText="1"/>
    </x:xf>
    <x:xf numFmtId="0" fontId="0" fillId="8" borderId="1" xfId="0" applyNumberFormat="1" applyFont="1" applyFill="1" applyBorder="1"/>
    <x:xf numFmtId="0" fontId="0" fillId="8" borderId="1" xfId="0" applyNumberFormat="1" applyFont="1" applyFill="1" applyBorder="1" applyAlignment="1">
      <x:alignment wrapText="1"/>
    </x:xf>
    <x:xf numFmtId="0" fontId="0" fillId="9" borderId="0" xfId="0" applyNumberFormat="1" applyFont="1" applyFill="1" applyBorder="1"/>
    <x:xf numFmtId="0" fontId="0" fillId="9" borderId="0" xfId="0" applyNumberFormat="1" applyFont="1" applyFill="1" applyBorder="1" applyAlignment="1">
      <x:alignment wrapText="1"/>
    </x:xf>
    <x:xf numFmtId="0" fontId="0" fillId="9" borderId="1" xfId="0" applyNumberFormat="1" applyFont="1" applyFill="1" applyBorder="1"/>
    <x:xf numFmtId="0" fontId="0" fillId="9" borderId="1"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4" fillId="8" borderId="0" xfId="0" applyNumberFormat="1" applyFont="1" applyFill="1" applyBorder="1"/>
    <x:xf numFmtId="0" fontId="4" fillId="8" borderId="1" xfId="0" applyNumberFormat="1" applyFont="1" applyFill="1" applyBorder="1"/>
    <x:xf numFmtId="200" fontId="0" fillId="5" borderId="0" xfId="0" applyNumberFormat="1" applyFont="1" applyFill="1" applyBorder="1"/>
    <x:xf numFmtId="200" fontId="0" fillId="0" borderId="0" xfId="0" applyNumberFormat="1" applyFont="1" applyFill="1" applyBorder="1"/>
    <x:xf numFmtId="200" fontId="0" fillId="5" borderId="1" xfId="0" applyNumberFormat="1" applyFont="1" applyFill="1" applyBorder="1"/>
    <x:xf numFmtId="200" fontId="0" fillId="0" borderId="1" xfId="0" applyNumberFormat="1" applyFont="1" applyFill="1" applyBorder="1"/>
    <x:xf numFmtId="201" fontId="0" fillId="5" borderId="0" xfId="0" applyNumberFormat="1" applyFont="1" applyFill="1" applyBorder="1"/>
    <x:xf numFmtId="201" fontId="0" fillId="0" borderId="0" xfId="0" applyNumberFormat="1" applyFont="1" applyFill="1" applyBorder="1"/>
    <x:xf numFmtId="201" fontId="0" fillId="5" borderId="1" xfId="0" applyNumberFormat="1" applyFont="1" applyFill="1" applyBorder="1"/>
    <x:xf numFmtId="201" fontId="0" fillId="0" borderId="1" xfId="0" applyNumberFormat="1" applyFont="1" applyFill="1" applyBorder="1"/>
    <x:xf numFmtId="201" fontId="0" fillId="6" borderId="0" xfId="0" applyNumberFormat="1" applyFont="1" applyFill="1" applyBorder="1"/>
    <x:xf numFmtId="201" fontId="0" fillId="6" borderId="1" xfId="0" applyNumberFormat="1" applyFont="1" applyFill="1" applyBorder="1"/>
    <x:xf numFmtId="201" fontId="0" fillId="5" borderId="0" xfId="0" applyNumberFormat="1" applyFont="1" applyFill="1" applyBorder="1" applyAlignment="1">
      <x:alignment wrapText="1"/>
    </x:xf>
    <x:xf numFmtId="200" fontId="0" fillId="5" borderId="0" xfId="0" applyNumberFormat="1" applyFont="1" applyFill="1" applyBorder="1" applyAlignment="1">
      <x:alignment wrapText="1"/>
    </x:xf>
    <x:xf numFmtId="201" fontId="0" fillId="6" borderId="0" xfId="0" applyNumberFormat="1" applyFont="1" applyFill="1" applyBorder="1" applyAlignment="1">
      <x:alignment wrapText="1"/>
    </x:xf>
    <x:xf numFmtId="201" fontId="0" fillId="0" borderId="0" xfId="0" applyNumberFormat="1" applyFont="1" applyFill="1" applyBorder="1" applyAlignment="1">
      <x:alignment wrapText="1"/>
    </x:xf>
    <x:xf numFmtId="200" fontId="0" fillId="0" borderId="0" xfId="0" applyNumberFormat="1" applyFont="1" applyFill="1" applyBorder="1" applyAlignment="1">
      <x:alignment wrapText="1"/>
    </x:xf>
    <x:xf numFmtId="201" fontId="0" fillId="5" borderId="1" xfId="0" applyNumberFormat="1" applyFont="1" applyFill="1" applyBorder="1" applyAlignment="1">
      <x:alignment wrapText="1"/>
    </x:xf>
    <x:xf numFmtId="200" fontId="0" fillId="5" borderId="1" xfId="0" applyNumberFormat="1" applyFont="1" applyFill="1" applyBorder="1" applyAlignment="1">
      <x:alignment wrapText="1"/>
    </x:xf>
    <x:xf numFmtId="201" fontId="0" fillId="6" borderId="1" xfId="0" applyNumberFormat="1" applyFont="1" applyFill="1" applyBorder="1" applyAlignment="1">
      <x:alignment wrapText="1"/>
    </x:xf>
    <x:xf numFmtId="201" fontId="0" fillId="0" borderId="1" xfId="0" applyNumberFormat="1" applyFont="1" applyFill="1" applyBorder="1" applyAlignment="1">
      <x:alignment wrapText="1"/>
    </x:xf>
    <x:xf numFmtId="200" fontId="0" fillId="0" borderId="1" xfId="0" applyNumberFormat="1" applyFont="1" applyFill="1" applyBorder="1" applyAlignment="1">
      <x:alignment wrapText="1"/>
    </x:xf>
    <x:xf numFmtId="202" fontId="0" fillId="6" borderId="0" xfId="0" applyNumberFormat="1" applyFont="1" applyFill="1" applyBorder="1"/>
    <x:xf numFmtId="202" fontId="0" fillId="6" borderId="1" xfId="0" applyNumberFormat="1" applyFont="1" applyFill="1" applyBorder="1"/>
    <x:xf numFmtId="202" fontId="0" fillId="6" borderId="0" xfId="0" applyNumberFormat="1" applyFont="1" applyFill="1" applyBorder="1" applyAlignment="1">
      <x:alignment wrapText="1"/>
    </x:xf>
    <x:xf numFmtId="202" fontId="0" fillId="6" borderId="1" xfId="0" applyNumberFormat="1" applyFont="1" applyFill="1" applyBorder="1" applyAlignment="1">
      <x:alignment wrapText="1"/>
    </x:xf>
    <x:xf numFmtId="0" fontId="5" fillId="2" borderId="0" xfId="0" applyNumberFormat="1" applyFont="1" applyFill="1" applyBorder="1"/>
    <x:xf numFmtId="0" fontId="5" fillId="2" borderId="1" xfId="0" applyNumberFormat="1" applyFont="1" applyFill="1" applyBorder="1"/>
    <x:xf numFmtId="0" fontId="0" fillId="10" borderId="0" xfId="0" applyNumberFormat="1" applyFont="1" applyFill="1" applyBorder="1"/>
    <x:xf numFmtId="0" fontId="6" fillId="10" borderId="0" xfId="0" applyNumberFormat="1" applyFont="1" applyFill="1" applyBorder="1"/>
    <x:xf numFmtId="0" fontId="0" fillId="10" borderId="1" xfId="0" applyNumberFormat="1" applyFont="1" applyFill="1" applyBorder="1"/>
    <x:xf numFmtId="0" fontId="6" fillId="10" borderId="1" xfId="0" applyNumberFormat="1" applyFont="1" applyFill="1" applyBorder="1"/>
    <x:xf numFmtId="0" fontId="7" fillId="3" borderId="0" xfId="0" applyNumberFormat="1" applyFont="1" applyFill="1" applyBorder="1"/>
    <x:xf numFmtId="0" fontId="7" fillId="3" borderId="0" xfId="0" applyNumberFormat="1" applyFont="1" applyFill="1" applyBorder="1" applyAlignment="1">
      <x:alignment horizontal="center"/>
    </x:xf>
    <x:xf numFmtId="0" fontId="7" fillId="3" borderId="1" xfId="0" applyNumberFormat="1" applyFont="1" applyFill="1" applyBorder="1"/>
    <x:xf numFmtId="0" fontId="7" fillId="3" borderId="1" xfId="0" applyNumberFormat="1" applyFont="1" applyFill="1" applyBorder="1" applyAlignment="1">
      <x:alignment horizontal="center"/>
    </x:xf>
    <x:xf numFmtId="0" fontId="0" fillId="11" borderId="0" xfId="0" applyNumberFormat="1" applyFont="1" applyFill="1" applyBorder="1"/>
    <x:xf numFmtId="0" fontId="8" fillId="11" borderId="0" xfId="0" applyNumberFormat="1" applyFont="1" applyFill="1" applyBorder="1"/>
    <x:xf numFmtId="0" fontId="8" fillId="11" borderId="0" xfId="0" applyNumberFormat="1" applyFont="1" applyFill="1" applyBorder="1" applyAlignment="1">
      <x:alignment horizontal="center"/>
    </x:xf>
    <x:xf numFmtId="0" fontId="8" fillId="11" borderId="0" xfId="0" applyNumberFormat="1" applyFont="1" applyFill="1" applyBorder="1" applyAlignment="1">
      <x:alignment horizontal="center" vertical="center"/>
    </x:xf>
    <x:xf numFmtId="0" fontId="0" fillId="11" borderId="1" xfId="0" applyNumberFormat="1" applyFont="1" applyFill="1" applyBorder="1"/>
    <x:xf numFmtId="0" fontId="8" fillId="11" borderId="1" xfId="0" applyNumberFormat="1" applyFont="1" applyFill="1" applyBorder="1"/>
    <x:xf numFmtId="0" fontId="8" fillId="11" borderId="1" xfId="0" applyNumberFormat="1" applyFont="1" applyFill="1" applyBorder="1" applyAlignment="1">
      <x:alignment horizontal="center"/>
    </x:xf>
    <x:xf numFmtId="0" fontId="8" fillId="11" borderId="1" xfId="0" applyNumberFormat="1" applyFont="1" applyFill="1" applyBorder="1" applyAlignment="1">
      <x:alignment horizontal="center" vertical="center"/>
    </x:xf>
    <x:xf numFmtId="0" fontId="0" fillId="11" borderId="0" xfId="0" applyNumberFormat="1" applyFont="1" applyFill="1" applyBorder="1" applyAlignment="1">
      <x:alignment wrapText="1"/>
    </x:xf>
    <x:xf numFmtId="0" fontId="0" fillId="11" borderId="1" xfId="0" applyNumberFormat="1" applyFont="1" applyFill="1" applyBorder="1" applyAlignment="1">
      <x:alignment wrapText="1"/>
    </x:xf>
    <x:xf numFmtId="0" fontId="4" fillId="3" borderId="0" xfId="0" applyNumberFormat="1" applyFont="1" applyFill="1" applyBorder="1" applyAlignment="1">
      <x:alignment wrapText="1"/>
    </x:xf>
    <x:xf numFmtId="0" fontId="4" fillId="3" borderId="1" xfId="0" applyNumberFormat="1" applyFont="1" applyFill="1" applyBorder="1" applyAlignment="1">
      <x:alignment wrapText="1"/>
    </x:xf>
    <x:xf numFmtId="0" fontId="4" fillId="3" borderId="0" xfId="0" applyNumberFormat="1" applyFont="1" applyFill="1" applyBorder="1"/>
    <x:xf numFmtId="0" fontId="4" fillId="3" borderId="1" xfId="0" applyNumberFormat="1" applyFont="1" applyFill="1" applyBorder="1"/>
    <x:xf numFmtId="0" fontId="9" fillId="11" borderId="0" xfId="0" applyNumberFormat="1" applyFont="1" applyFill="1" applyBorder="1"/>
    <x:xf numFmtId="0" fontId="9" fillId="11" borderId="1" xfId="0" applyNumberFormat="1" applyFont="1" applyFill="1" applyBorder="1"/>
    <x:xf numFmtId="202" fontId="0" fillId="0" borderId="0" xfId="0" applyNumberFormat="1" applyFont="1" applyFill="1" applyBorder="1"/>
    <x:xf numFmtId="202" fontId="0" fillId="0" borderId="1" xfId="0" applyNumberFormat="1" applyFont="1" applyFill="1" applyBorder="1"/>
    <x:xf numFmtId="0" fontId="0" fillId="12" borderId="0" xfId="0" applyNumberFormat="1" applyFont="1" applyFill="1" applyBorder="1"/>
    <x:xf numFmtId="0" fontId="3" fillId="12" borderId="0" xfId="0" applyNumberFormat="1" applyFont="1" applyFill="1" applyBorder="1"/>
    <x:xf numFmtId="0" fontId="0" fillId="12" borderId="1" xfId="0" applyNumberFormat="1" applyFont="1" applyFill="1" applyBorder="1"/>
    <x:xf numFmtId="0" fontId="3" fillId="12" borderId="1" xfId="0" applyNumberFormat="1" applyFont="1" applyFill="1" applyBorder="1"/>
    <x:xf numFmtId="0" fontId="0" fillId="13" borderId="0" xfId="0" applyNumberFormat="1" applyFont="1" applyFill="1" applyBorder="1"/>
    <x:xf numFmtId="0" fontId="10" fillId="13" borderId="0" xfId="0" applyNumberFormat="1" applyFont="1" applyFill="1" applyBorder="1"/>
    <x:xf numFmtId="0" fontId="10" fillId="13" borderId="0" xfId="0" applyNumberFormat="1" applyFont="1" applyFill="1" applyBorder="1" applyAlignment="1">
      <x:alignment wrapText="1"/>
    </x:xf>
    <x:xf numFmtId="0" fontId="0" fillId="13" borderId="1" xfId="0" applyNumberFormat="1" applyFont="1" applyFill="1" applyBorder="1"/>
    <x:xf numFmtId="0" fontId="10" fillId="13" borderId="1" xfId="0" applyNumberFormat="1" applyFont="1" applyFill="1" applyBorder="1"/>
    <x:xf numFmtId="0" fontId="10" fillId="13" borderId="1" xfId="0" applyNumberFormat="1" applyFont="1" applyFill="1" applyBorder="1" applyAlignment="1">
      <x:alignment wrapText="1"/>
    </x:xf>
    <x:xf numFmtId="0" fontId="3" fillId="2" borderId="0" xfId="0" applyNumberFormat="1" applyFont="1" applyFill="1" applyBorder="1"/>
    <x:xf numFmtId="0" fontId="3" fillId="2" borderId="1" xfId="0" applyNumberFormat="1" applyFont="1" applyFill="1" applyBorder="1"/>
    <x:xf numFmtId="0" fontId="0" fillId="11" borderId="0" xfId="0" applyNumberFormat="1" applyFont="1" applyFill="1" applyBorder="1" applyAlignment="1">
      <x:alignment horizontal="center" wrapText="1"/>
    </x:xf>
    <x:xf numFmtId="0" fontId="0" fillId="11" borderId="0" xfId="0" applyNumberFormat="1" applyFont="1" applyFill="1" applyBorder="1" applyAlignment="1">
      <x:alignment horizontal="center" vertical="center" wrapText="1"/>
    </x:xf>
    <x:xf numFmtId="0" fontId="0" fillId="11" borderId="1" xfId="0" applyNumberFormat="1" applyFont="1" applyFill="1" applyBorder="1" applyAlignment="1">
      <x:alignment horizontal="center" wrapText="1"/>
    </x:xf>
    <x:xf numFmtId="0" fontId="0" fillId="11" borderId="1" xfId="0" applyNumberFormat="1" applyFont="1" applyFill="1" applyBorder="1" applyAlignment="1">
      <x:alignment horizontal="center" vertical="center" wrapText="1"/>
    </x:xf>
    <x:xf numFmtId="0" fontId="11" fillId="11" borderId="0" xfId="0" applyNumberFormat="1" applyFont="1" applyFill="1" applyBorder="1" applyAlignment="1">
      <x:alignment horizontal="center" vertical="center" wrapText="1"/>
    </x:xf>
    <x:xf numFmtId="0" fontId="11" fillId="11" borderId="1" xfId="0" applyNumberFormat="1" applyFont="1" applyFill="1" applyBorder="1" applyAlignment="1">
      <x:alignment horizontal="center" vertical="center" wrapText="1"/>
    </x:xf>
    <x:xf numFmtId="0" fontId="0" fillId="14" borderId="0" xfId="0" applyNumberFormat="1" applyFont="1" applyFill="1" applyBorder="1"/>
    <x:xf numFmtId="0" fontId="12" fillId="14" borderId="0" xfId="0" applyNumberFormat="1" applyFont="1" applyFill="1" applyBorder="1"/>
    <x:xf numFmtId="0" fontId="12" fillId="14" borderId="0" xfId="0" applyNumberFormat="1" applyFont="1" applyFill="1" applyBorder="1" applyAlignment="1">
      <x:alignment wrapText="1"/>
    </x:xf>
    <x:xf numFmtId="0" fontId="0" fillId="14" borderId="1" xfId="0" applyNumberFormat="1" applyFont="1" applyFill="1" applyBorder="1"/>
    <x:xf numFmtId="0" fontId="12" fillId="14" borderId="1" xfId="0" applyNumberFormat="1" applyFont="1" applyFill="1" applyBorder="1"/>
    <x:xf numFmtId="0" fontId="12" fillId="14" borderId="1" xfId="0" applyNumberFormat="1" applyFont="1" applyFill="1" applyBorder="1" applyAlignment="1">
      <x:alignment wrapText="1"/>
    </x:xf>
    <x:xf numFmtId="0" fontId="13" fillId="2" borderId="0" xfId="0" applyNumberFormat="1" applyFont="1" applyFill="1" applyBorder="1"/>
    <x:xf numFmtId="0" fontId="14" fillId="0" borderId="0" xfId="0" applyNumberFormat="1" applyFont="1" applyFill="1" applyBorder="1"/>
    <x:xf numFmtId="0" fontId="15" fillId="3" borderId="0" xfId="0" applyNumberFormat="1" applyFont="1" applyFill="1" applyBorder="1" applyAlignment="1">
      <x:alignment wrapText="1"/>
    </x:xf>
    <x:xf numFmtId="0" fontId="13" fillId="4" borderId="0" xfId="0" applyNumberFormat="1" applyFont="1" applyFill="1" applyBorder="1" applyAlignment="1">
      <x:alignment horizontal="center" vertical="center" wrapText="1"/>
    </x:xf>
    <x:xf numFmtId="0" fontId="14" fillId="5" borderId="0" xfId="0" applyNumberFormat="1" applyFont="1" applyFill="1" applyBorder="1" applyAlignment="1">
      <x:alignment wrapText="1"/>
    </x:xf>
    <x:xf numFmtId="0" fontId="14" fillId="3" borderId="0" xfId="0" applyNumberFormat="1" applyFont="1" applyFill="1" applyBorder="1" applyAlignment="1">
      <x:alignment wrapText="1"/>
    </x:xf>
    <x:xf numFmtId="0" fontId="14" fillId="6" borderId="0" xfId="0" applyNumberFormat="1" applyFont="1" applyFill="1" applyBorder="1" applyAlignment="1">
      <x:alignment wrapText="1"/>
    </x:xf>
    <x:xf numFmtId="0" fontId="14" fillId="7" borderId="0" xfId="0" applyNumberFormat="1" applyFont="1" applyFill="1" applyBorder="1" applyAlignment="1">
      <x:alignment wrapText="1"/>
    </x:xf>
    <x:xf numFmtId="0" fontId="14" fillId="8" borderId="0" xfId="0" applyNumberFormat="1" applyFont="1" applyFill="1" applyBorder="1" applyAlignment="1">
      <x:alignment wrapText="1"/>
    </x:xf>
    <x:xf numFmtId="0" fontId="14" fillId="9" borderId="0" xfId="0" applyNumberFormat="1" applyFont="1" applyFill="1" applyBorder="1" applyAlignment="1">
      <x:alignment wrapText="1"/>
    </x:xf>
    <x:xf numFmtId="0" fontId="14" fillId="0" borderId="0" xfId="0" applyNumberFormat="1" applyFont="1" applyFill="1" applyBorder="1" applyAlignment="1">
      <x:alignment wrapText="1"/>
    </x:xf>
    <x:xf numFmtId="0" fontId="13" fillId="8" borderId="0" xfId="0" applyNumberFormat="1" applyFont="1" applyFill="1" applyBorder="1"/>
    <x:xf numFmtId="0" fontId="13" fillId="2" borderId="1" xfId="0" applyNumberFormat="1" applyFont="1" applyFill="1" applyBorder="1"/>
    <x:xf numFmtId="0" fontId="14" fillId="0" borderId="1" xfId="0" applyNumberFormat="1" applyFont="1" applyFill="1" applyBorder="1"/>
    <x:xf numFmtId="0" fontId="15" fillId="3" borderId="1" xfId="0" applyNumberFormat="1" applyFont="1" applyFill="1" applyBorder="1" applyAlignment="1">
      <x:alignment wrapText="1"/>
    </x:xf>
    <x:xf numFmtId="0" fontId="13" fillId="4" borderId="1" xfId="0" applyNumberFormat="1" applyFont="1" applyFill="1" applyBorder="1" applyAlignment="1">
      <x:alignment horizontal="center" vertical="center" wrapText="1"/>
    </x:xf>
    <x:xf numFmtId="0" fontId="14" fillId="5" borderId="1" xfId="0" applyNumberFormat="1" applyFont="1" applyFill="1" applyBorder="1" applyAlignment="1">
      <x:alignment wrapText="1"/>
    </x:xf>
    <x:xf numFmtId="0" fontId="14" fillId="3" borderId="1" xfId="0" applyNumberFormat="1" applyFont="1" applyFill="1" applyBorder="1" applyAlignment="1">
      <x:alignment wrapText="1"/>
    </x:xf>
    <x:xf numFmtId="0" fontId="14" fillId="6" borderId="1" xfId="0" applyNumberFormat="1" applyFont="1" applyFill="1" applyBorder="1" applyAlignment="1">
      <x:alignment wrapText="1"/>
    </x:xf>
    <x:xf numFmtId="0" fontId="14" fillId="7" borderId="1" xfId="0" applyNumberFormat="1" applyFont="1" applyFill="1" applyBorder="1" applyAlignment="1">
      <x:alignment wrapText="1"/>
    </x:xf>
    <x:xf numFmtId="0" fontId="14" fillId="8" borderId="1" xfId="0" applyNumberFormat="1" applyFont="1" applyFill="1" applyBorder="1" applyAlignment="1">
      <x:alignment wrapText="1"/>
    </x:xf>
    <x:xf numFmtId="0" fontId="14" fillId="9" borderId="1" xfId="0" applyNumberFormat="1" applyFont="1" applyFill="1" applyBorder="1" applyAlignment="1">
      <x:alignment wrapText="1"/>
    </x:xf>
    <x:xf numFmtId="0" fontId="14" fillId="0" borderId="1" xfId="0" applyNumberFormat="1" applyFont="1" applyFill="1" applyBorder="1" applyAlignment="1">
      <x:alignment wrapText="1"/>
    </x:xf>
    <x:xf numFmtId="0" fontId="13" fillId="8" borderId="1" xfId="0" applyNumberFormat="1" applyFont="1" applyFill="1" applyBorder="1"/>
    <x:xf numFmtId="0" fontId="14" fillId="5" borderId="0" xfId="0" applyNumberFormat="1" applyFont="1" applyFill="1" applyBorder="1"/>
    <x:xf numFmtId="0" fontId="14" fillId="5" borderId="1" xfId="0" applyNumberFormat="1" applyFont="1" applyFill="1" applyBorder="1"/>
    <x:xf numFmtId="201" fontId="14" fillId="5" borderId="0" xfId="0" applyNumberFormat="1" applyFont="1" applyFill="1" applyBorder="1" applyAlignment="1">
      <x:alignment wrapText="1"/>
    </x:xf>
    <x:xf numFmtId="200" fontId="14" fillId="5" borderId="0" xfId="0" applyNumberFormat="1" applyFont="1" applyFill="1" applyBorder="1" applyAlignment="1">
      <x:alignment wrapText="1"/>
    </x:xf>
    <x:xf numFmtId="201" fontId="14" fillId="6" borderId="0" xfId="0" applyNumberFormat="1" applyFont="1" applyFill="1" applyBorder="1" applyAlignment="1">
      <x:alignment wrapText="1"/>
    </x:xf>
    <x:xf numFmtId="201" fontId="14" fillId="0" borderId="0" xfId="0" applyNumberFormat="1" applyFont="1" applyFill="1" applyBorder="1" applyAlignment="1">
      <x:alignment wrapText="1"/>
    </x:xf>
    <x:xf numFmtId="200" fontId="14" fillId="0" borderId="0" xfId="0" applyNumberFormat="1" applyFont="1" applyFill="1" applyBorder="1" applyAlignment="1">
      <x:alignment wrapText="1"/>
    </x:xf>
    <x:xf numFmtId="201" fontId="14" fillId="5" borderId="1" xfId="0" applyNumberFormat="1" applyFont="1" applyFill="1" applyBorder="1" applyAlignment="1">
      <x:alignment wrapText="1"/>
    </x:xf>
    <x:xf numFmtId="200" fontId="14" fillId="5" borderId="1" xfId="0" applyNumberFormat="1" applyFont="1" applyFill="1" applyBorder="1" applyAlignment="1">
      <x:alignment wrapText="1"/>
    </x:xf>
    <x:xf numFmtId="201" fontId="14" fillId="6" borderId="1" xfId="0" applyNumberFormat="1" applyFont="1" applyFill="1" applyBorder="1" applyAlignment="1">
      <x:alignment wrapText="1"/>
    </x:xf>
    <x:xf numFmtId="201" fontId="14" fillId="0" borderId="1" xfId="0" applyNumberFormat="1" applyFont="1" applyFill="1" applyBorder="1" applyAlignment="1">
      <x:alignment wrapText="1"/>
    </x:xf>
    <x:xf numFmtId="200" fontId="14" fillId="0" borderId="1" xfId="0" applyNumberFormat="1" applyFont="1" applyFill="1" applyBorder="1" applyAlignment="1">
      <x:alignment wrapText="1"/>
    </x:xf>
    <x:xf numFmtId="201" fontId="14" fillId="5" borderId="0" xfId="0" applyNumberFormat="1" applyFont="1" applyFill="1" applyBorder="1"/>
    <x:xf numFmtId="201" fontId="14" fillId="5" borderId="1" xfId="0" applyNumberFormat="1" applyFont="1" applyFill="1" applyBorder="1"/>
    <x:xf numFmtId="201" fontId="14" fillId="6" borderId="0" xfId="0" applyNumberFormat="1" applyFont="1" applyFill="1" applyBorder="1"/>
    <x:xf numFmtId="201" fontId="14" fillId="6" borderId="1" xfId="0" applyNumberFormat="1" applyFont="1" applyFill="1" applyBorder="1"/>
    <x:xf numFmtId="202" fontId="14" fillId="6" borderId="0" xfId="0" applyNumberFormat="1" applyFont="1" applyFill="1" applyBorder="1" applyAlignment="1">
      <x:alignment wrapText="1"/>
    </x:xf>
    <x:xf numFmtId="202" fontId="14" fillId="6" borderId="1" xfId="0" applyNumberFormat="1" applyFont="1" applyFill="1" applyBorder="1" applyAlignment="1">
      <x:alignment wrapText="1"/>
    </x:xf>
    <x:xf numFmtId="0" fontId="13" fillId="10" borderId="0" xfId="0" applyNumberFormat="1" applyFont="1" applyFill="1" applyBorder="1"/>
    <x:xf numFmtId="0" fontId="13" fillId="3" borderId="0" xfId="0" applyNumberFormat="1" applyFont="1" applyFill="1" applyBorder="1" applyAlignment="1">
      <x:alignment horizontal="center"/>
    </x:xf>
    <x:xf numFmtId="0" fontId="13" fillId="11" borderId="0" xfId="0" applyNumberFormat="1" applyFont="1" applyFill="1" applyBorder="1" applyAlignment="1">
      <x:alignment horizontal="center" vertical="center"/>
    </x:xf>
    <x:xf numFmtId="0" fontId="13" fillId="4" borderId="0" xfId="0" applyNumberFormat="1" applyFont="1" applyFill="1" applyBorder="1"/>
    <x:xf numFmtId="0" fontId="13" fillId="3" borderId="0" xfId="0" applyNumberFormat="1" applyFont="1" applyFill="1" applyBorder="1" applyAlignment="1">
      <x:alignment wrapText="1"/>
    </x:xf>
    <x:xf numFmtId="0" fontId="14" fillId="11" borderId="0" xfId="0" applyNumberFormat="1" applyFont="1" applyFill="1" applyBorder="1" applyAlignment="1">
      <x:alignment wrapText="1"/>
    </x:xf>
    <x:xf numFmtId="0" fontId="13" fillId="3" borderId="0" xfId="0" applyNumberFormat="1" applyFont="1" applyFill="1" applyBorder="1"/>
    <x:xf numFmtId="0" fontId="14" fillId="11" borderId="0" xfId="0" applyNumberFormat="1" applyFont="1" applyFill="1" applyBorder="1"/>
    <x:xf numFmtId="0" fontId="14" fillId="3" borderId="0" xfId="0" applyNumberFormat="1" applyFont="1" applyFill="1" applyBorder="1"/>
    <x:xf numFmtId="201" fontId="14" fillId="0" borderId="0" xfId="0" applyNumberFormat="1" applyFont="1" applyFill="1" applyBorder="1"/>
    <x:xf numFmtId="202" fontId="14" fillId="0" borderId="0" xfId="0" applyNumberFormat="1" applyFont="1" applyFill="1" applyBorder="1"/>
    <x:xf numFmtId="0" fontId="13" fillId="12" borderId="0" xfId="0" applyNumberFormat="1" applyFont="1" applyFill="1" applyBorder="1"/>
    <x:xf numFmtId="0" fontId="14" fillId="13" borderId="0" xfId="0" applyNumberFormat="1" applyFont="1" applyFill="1" applyBorder="1" applyAlignment="1">
      <x:alignment wrapText="1"/>
    </x:xf>
    <x:xf numFmtId="0" fontId="14" fillId="11" borderId="0" xfId="0" applyNumberFormat="1" applyFont="1" applyFill="1" applyBorder="1" applyAlignment="1">
      <x:alignment horizontal="center" vertical="center" wrapText="1"/>
    </x:xf>
    <x:xf numFmtId="0" fontId="13" fillId="11" borderId="0" xfId="0" applyNumberFormat="1" applyFont="1" applyFill="1" applyBorder="1" applyAlignment="1">
      <x:alignment horizontal="center" vertical="center" wrapText="1"/>
    </x:xf>
    <x:xf numFmtId="0" fontId="15" fillId="14" borderId="0" xfId="0" applyNumberFormat="1" applyFont="1" applyFill="1" applyBorder="1" applyAlignment="1">
      <x:alignment wrapText="1"/>
    </x:xf>
    <x:xf numFmtId="0" fontId="13" fillId="10" borderId="1" xfId="0" applyNumberFormat="1" applyFont="1" applyFill="1" applyBorder="1"/>
    <x:xf numFmtId="0" fontId="13" fillId="3" borderId="1" xfId="0" applyNumberFormat="1" applyFont="1" applyFill="1" applyBorder="1" applyAlignment="1">
      <x:alignment horizontal="center"/>
    </x:xf>
    <x:xf numFmtId="0" fontId="13" fillId="11" borderId="1" xfId="0" applyNumberFormat="1" applyFont="1" applyFill="1" applyBorder="1" applyAlignment="1">
      <x:alignment horizontal="center" vertical="center"/>
    </x:xf>
    <x:xf numFmtId="0" fontId="13" fillId="4" borderId="1" xfId="0" applyNumberFormat="1" applyFont="1" applyFill="1" applyBorder="1"/>
    <x:xf numFmtId="0" fontId="13" fillId="3" borderId="1" xfId="0" applyNumberFormat="1" applyFont="1" applyFill="1" applyBorder="1" applyAlignment="1">
      <x:alignment wrapText="1"/>
    </x:xf>
    <x:xf numFmtId="0" fontId="14" fillId="11" borderId="1" xfId="0" applyNumberFormat="1" applyFont="1" applyFill="1" applyBorder="1" applyAlignment="1">
      <x:alignment wrapText="1"/>
    </x:xf>
    <x:xf numFmtId="0" fontId="13" fillId="3" borderId="1" xfId="0" applyNumberFormat="1" applyFont="1" applyFill="1" applyBorder="1"/>
    <x:xf numFmtId="0" fontId="14" fillId="11" borderId="1" xfId="0" applyNumberFormat="1" applyFont="1" applyFill="1" applyBorder="1"/>
    <x:xf numFmtId="0" fontId="14" fillId="3" borderId="1" xfId="0" applyNumberFormat="1" applyFont="1" applyFill="1" applyBorder="1"/>
    <x:xf numFmtId="201" fontId="14" fillId="0" borderId="1" xfId="0" applyNumberFormat="1" applyFont="1" applyFill="1" applyBorder="1"/>
    <x:xf numFmtId="202" fontId="14" fillId="0" borderId="1" xfId="0" applyNumberFormat="1" applyFont="1" applyFill="1" applyBorder="1"/>
    <x:xf numFmtId="0" fontId="13" fillId="12" borderId="1" xfId="0" applyNumberFormat="1" applyFont="1" applyFill="1" applyBorder="1"/>
    <x:xf numFmtId="0" fontId="14" fillId="13" borderId="1" xfId="0" applyNumberFormat="1" applyFont="1" applyFill="1" applyBorder="1" applyAlignment="1">
      <x:alignment wrapText="1"/>
    </x:xf>
    <x:xf numFmtId="0" fontId="14" fillId="11" borderId="1" xfId="0" applyNumberFormat="1" applyFont="1" applyFill="1" applyBorder="1" applyAlignment="1">
      <x:alignment horizontal="center" vertical="center" wrapText="1"/>
    </x:xf>
    <x:xf numFmtId="0" fontId="13" fillId="11" borderId="1" xfId="0" applyNumberFormat="1" applyFont="1" applyFill="1" applyBorder="1" applyAlignment="1">
      <x:alignment horizontal="center" vertical="center" wrapText="1"/>
    </x:xf>
    <x:xf numFmtId="0" fontId="15" fillId="14" borderId="1" xfId="0" applyNumberFormat="1" applyFont="1" applyFill="1" applyBorder="1" applyAlignment="1">
      <x:alignment wrapText="1"/>
    </x:xf>
    <x:xf numFmtId="0" fontId="14" fillId="2" borderId="0" xfId="0" applyNumberFormat="1" applyFont="1" applyFill="1" applyBorder="1"/>
    <x:xf numFmtId="0" fontId="14" fillId="2" borderId="1" xfId="0" applyNumberFormat="1" applyFont="1" applyFill="1" applyBorder="1"/>
    <x:xf numFmtId="0" fontId="16" fillId="2" borderId="0" xfId="0" applyNumberFormat="1" applyFont="1" applyFill="1" applyBorder="1"/>
    <x:xf numFmtId="0" fontId="16" fillId="2" borderId="1" xfId="0" applyNumberFormat="1" applyFont="1" applyFill="1" applyBorder="1"/>
    <x:xf numFmtId="0" fontId="0" fillId="0" borderId="0" xfId="0" applyNumberFormat="1" applyFont="1" applyFill="1" applyBorder="1"/>
    <x:xf numFmtId="0" fontId="16" fillId="15" borderId="0" xfId="0" applyNumberFormat="1" applyFont="1" applyFill="1" applyBorder="1"/>
    <x:xf numFmtId="0" fontId="14" fillId="15" borderId="0" xfId="0" applyNumberFormat="1" applyFont="1" applyFill="1" applyBorder="1"/>
    <x:xf numFmtId="0" fontId="0" fillId="15" borderId="0" xfId="0" applyNumberFormat="1" applyFont="1" applyFill="1" applyBorder="1"/>
    <x:xf numFmtId="0" fontId="1" fillId="15" borderId="0" xfId="0" applyNumberFormat="1" applyFont="1" applyFill="1" applyBorder="1"/>
    <x:xf numFmtId="0" fontId="16" fillId="15" borderId="0" xfId="0" applyNumberFormat="1" applyFont="1" applyFill="1" applyBorder="1" applyAlignment="1">
      <x:alignment horizontal="left"/>
    </x:xf>
    <x:xf numFmtId="0" fontId="1" fillId="15" borderId="0" xfId="0" applyNumberFormat="1" applyFont="1" applyFill="1" applyBorder="1" applyAlignment="1">
      <x:alignment horizontal="left"/>
    </x:xf>
    <x:xf numFmtId="0" fontId="13" fillId="16" borderId="0" xfId="0" applyNumberFormat="1" applyFont="1" applyFill="1" applyBorder="1" applyAlignment="1">
      <x:alignment horizontal="center" vertical="center" wrapText="1"/>
    </x:xf>
    <x:xf numFmtId="0" fontId="0" fillId="16" borderId="0" xfId="0" applyNumberFormat="1" applyFont="1" applyFill="1" applyBorder="1"/>
    <x:xf numFmtId="0" fontId="17" fillId="16" borderId="0" xfId="0" applyNumberFormat="1" applyFont="1" applyFill="1" applyBorder="1" applyAlignment="1">
      <x:alignment horizontal="center" vertical="center" wrapText="1"/>
    </x:xf>
    <x:xf numFmtId="0" fontId="3" fillId="16" borderId="0" xfId="0" applyNumberFormat="1" applyFont="1" applyFill="1" applyBorder="1"/>
    <x:xf numFmtId="0" fontId="3" fillId="16" borderId="0" xfId="0" applyNumberFormat="1" applyFont="1" applyFill="1" applyBorder="1" applyAlignment="1">
      <x:alignment horizontal="center"/>
    </x:xf>
    <x:xf numFmtId="0" fontId="3" fillId="16" borderId="0" xfId="0" applyNumberFormat="1" applyFont="1" applyFill="1" applyBorder="1" applyAlignment="1">
      <x:alignment horizontal="center" vertical="center"/>
    </x:xf>
    <x:xf numFmtId="0" fontId="14" fillId="17" borderId="0" xfId="0" applyNumberFormat="1" applyFont="1" applyFill="1" applyBorder="1" applyAlignment="1">
      <x:alignment wrapText="1"/>
    </x:xf>
    <x:xf numFmtId="201" fontId="14" fillId="17" borderId="0" xfId="0" applyNumberFormat="1" applyFont="1" applyFill="1" applyBorder="1" applyAlignment="1">
      <x:alignment wrapText="1"/>
    </x:xf>
    <x:xf numFmtId="200" fontId="14" fillId="17" borderId="0" xfId="0" applyNumberFormat="1" applyFont="1" applyFill="1" applyBorder="1" applyAlignment="1">
      <x:alignment wrapText="1"/>
    </x:xf>
    <x:xf numFmtId="201" fontId="14" borderId="0" xfId="0" applyNumberFormat="1" applyFont="1" applyFill="0" applyBorder="1" applyAlignment="1">
      <x:alignment wrapText="1"/>
    </x:xf>
    <x:xf numFmtId="0" fontId="14" fillId="18" borderId="0" xfId="0" applyNumberFormat="1" applyFont="1" applyFill="1" applyBorder="1" applyAlignment="1">
      <x:alignment wrapText="1"/>
    </x:xf>
    <x:xf numFmtId="0" fontId="0" fillId="19" borderId="0" xfId="0" applyNumberFormat="1" applyFont="1" applyFill="1" applyBorder="1"/>
    <x:xf numFmtId="203" fontId="14" fillId="17" borderId="0" xfId="0" applyNumberFormat="1" applyFont="1" applyFill="1" applyBorder="1" applyAlignment="1">
      <x:alignment wrapText="1"/>
    </x:xf>
    <x:xf numFmtId="0" fontId="3" fillId="16" borderId="0" xfId="0" applyNumberFormat="1" applyFont="1" applyFill="1" applyBorder="1" applyAlignment="1">
      <x:alignment horizontal="center" vertical="center" wrapText="1"/>
    </x:xf>
    <x:xf numFmtId="0" fontId="0" fillId="19" borderId="0" xfId="0" applyNumberFormat="1" applyFont="1" applyFill="1" applyBorder="1" applyAlignment="1">
      <x:alignment wrapText="1"/>
    </x:xf>
    <x:xf numFmtId="0" fontId="14" fillId="19" borderId="0" xfId="0" applyNumberFormat="1" applyFont="1" applyFill="1" applyBorder="1"/>
    <x:xf numFmtId="0" fontId="14" fillId="19" borderId="0" xfId="0" applyNumberFormat="1" applyFont="1" applyFill="1" applyBorder="1" applyAlignment="1">
      <x:alignment wrapText="1"/>
    </x:xf>
    <x:xf numFmtId="0" fontId="3" fillId="16" borderId="0" xfId="0" applyNumberFormat="1" applyFont="1" applyFill="1" applyBorder="1" applyAlignment="1">
      <x:alignment horizont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0654c99d5d8b4555" /><Relationship Type="http://schemas.openxmlformats.org/officeDocument/2006/relationships/theme" Target="/xl/theme/theme1.xml" Id="Ra782ade5469c4de9" /><Relationship Type="http://schemas.openxmlformats.org/officeDocument/2006/relationships/sharedStrings" Target="/xl/sharedStrings.xml" Id="R73ba7871797e482c" /><Relationship Type="http://schemas.openxmlformats.org/officeDocument/2006/relationships/worksheet" Target="/xl/worksheets/sheet1.xml" Id="Rf0d47ec1ce134d3f" /><Relationship Type="http://schemas.openxmlformats.org/officeDocument/2006/relationships/worksheet" Target="/xl/worksheets/sheet2.xml" Id="R109b607319414867" /><Relationship Type="http://schemas.openxmlformats.org/officeDocument/2006/relationships/worksheet" Target="/xl/worksheets/sheet3.xml" Id="Rcbb67fdaeec94ea4" /><Relationship Type="http://schemas.openxmlformats.org/officeDocument/2006/relationships/worksheet" Target="/xl/worksheets/sheet4.xml" Id="R1029c34dc8084a06" /><Relationship Type="http://schemas.openxmlformats.org/officeDocument/2006/relationships/worksheet" Target="/xl/worksheets/sheet5.xml" Id="Rc6f35b4b27194947" /><Relationship Type="http://schemas.openxmlformats.org/officeDocument/2006/relationships/worksheet" Target="/xl/worksheets/sheet6.xml" Id="R59b20b7f205c4a12" /><Relationship Type="http://schemas.openxmlformats.org/officeDocument/2006/relationships/worksheet" Target="/xl/worksheets/sheet7.xml" Id="R2974a1ccb71e46d9" /><Relationship Type="http://schemas.openxmlformats.org/officeDocument/2006/relationships/worksheet" Target="/xl/worksheets/sheet8.xml" Id="R3dcb51e8d81e4f76" /><Relationship Type="http://schemas.openxmlformats.org/officeDocument/2006/relationships/worksheet" Target="/xl/worksheets/sheet9.xml" Id="R0b8124bda16b4826" /><Relationship Type="http://schemas.openxmlformats.org/officeDocument/2006/relationships/worksheet" Target="/xl/worksheets/sheet10.xml" Id="R4f2d89f766bd4d52" /><Relationship Type="http://schemas.openxmlformats.org/officeDocument/2006/relationships/worksheet" Target="/xl/worksheets/sheet11.xml" Id="R7726b8c5b522443d" /><Relationship Type="http://schemas.openxmlformats.org/officeDocument/2006/relationships/worksheet" Target="/xl/worksheets/sheet12.xml" Id="Rbc4c8a4c434248c8" /><Relationship Type="http://schemas.openxmlformats.org/officeDocument/2006/relationships/worksheet" Target="/xl/worksheets/sheet13.xml" Id="R917d14c7f7954d55" /><Relationship Type="http://schemas.openxmlformats.org/officeDocument/2006/relationships/worksheet" Target="/xl/worksheets/sheet14.xml" Id="R8133cbd3acbe4548" /><Relationship Type="http://schemas.openxmlformats.org/officeDocument/2006/relationships/worksheet" Target="/xl/worksheets/sheet15.xml" Id="R064e210846d94c3b" /><Relationship Type="http://schemas.openxmlformats.org/officeDocument/2006/relationships/worksheet" Target="/xl/worksheets/sheet16.xml" Id="R5325673861644496" /><Relationship Type="http://schemas.openxmlformats.org/officeDocument/2006/relationships/worksheet" Target="/xl/worksheets/sheet17.xml" Id="R7eb24c1961c549f8" /><Relationship Type="http://schemas.openxmlformats.org/officeDocument/2006/relationships/worksheet" Target="/xl/worksheets/sheet18.xml" Id="Ra112e40ae3a84c98" /><Relationship Type="http://schemas.openxmlformats.org/officeDocument/2006/relationships/worksheet" Target="/xl/worksheets/sheet19.xml" Id="R73334a44ba034ab0"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14" hidden="0" customWidth="1"/>
    <x:col min="2" max="2" width="70" hidden="0" customWidth="1"/>
    <x:col min="3" max="3" width="70" hidden="0" customWidth="1"/>
    <x:col min="4" max="4" width="70" hidden="0" customWidth="1"/>
    <x:col min="5" max="5" width="24" hidden="0" customWidth="1"/>
    <x:col min="6" max="6" width="36" hidden="0" customWidth="1"/>
  </x:cols>
  <x:sheetData>
    <x:row r="1" ht="24" customHeight="1">
      <x:c r="A1" s="200" t="str">
        <x:v>IREI MVP Blank Template — Business Rules</x:v>
      </x:c>
      <x:c r="B1" s="198"/>
      <x:c r="C1" s="198"/>
      <x:c r="D1" s="198"/>
      <x:c r="E1" s="198"/>
      <x:c r="F1" s="198"/>
      <x:c r="G1" s="198"/>
      <x:c r="H1" s="198"/>
      <x:c r="I1" s="198"/>
      <x:c r="J1" s="198"/>
      <x:c r="K1" s="198"/>
      <x:c r="L1" s="125"/>
      <x:c r="M1" s="125"/>
      <x:c r="N1" s="125"/>
      <x:c r="O1" s="125"/>
      <x:c r="P1" s="125"/>
      <x:c r="Q1" s="125"/>
    </x:row>
    <x:row r="2" ht="34" customHeight="1">
      <x:c r="A2" s="126" t="str">
        <x:v>This is the clean reusable MVP v1 template for Uygar to build from. It preserves the NGO B v12 logic pattern and colour coding, but contains no NGO B / ENF demo rows. Use the separate ENF Demo workbook to see a populated example. Colour coding follows v12: blue=input, black=formula, purple=generated, orange=review, grey=legacy/reference, green=output.</x:v>
      </x:c>
      <x:c r="B2" s="125"/>
      <x:c r="C2" s="125"/>
      <x:c r="D2" s="125"/>
      <x:c r="E2" s="125"/>
      <x:c r="F2" s="125"/>
      <x:c r="G2" s="125"/>
      <x:c r="H2" s="125"/>
      <x:c r="I2" s="125"/>
      <x:c r="J2" s="125"/>
      <x:c r="K2" s="125"/>
      <x:c r="L2" s="125"/>
      <x:c r="M2" s="125"/>
      <x:c r="N2" s="125"/>
      <x:c r="O2" s="125"/>
      <x:c r="P2" s="125"/>
      <x:c r="Q2" s="125"/>
    </x:row>
    <x:row r="3">
      <x:c r="A3" s="125"/>
      <x:c r="B3" s="125"/>
      <x:c r="C3" s="125"/>
      <x:c r="D3" s="125"/>
      <x:c r="E3" s="125"/>
      <x:c r="F3" s="125"/>
      <x:c r="G3" s="125"/>
      <x:c r="H3" s="125"/>
      <x:c r="I3" s="125"/>
      <x:c r="J3" s="125"/>
      <x:c r="K3" s="125"/>
      <x:c r="L3" s="125"/>
      <x:c r="M3" s="125"/>
      <x:c r="N3" s="125"/>
      <x:c r="O3" s="125"/>
      <x:c r="P3" s="125"/>
      <x:c r="Q3" s="125"/>
    </x:row>
    <x:row r="4" ht="26" customHeight="1">
      <x:c r="A4" s="127" t="str">
        <x:v>Colour</x:v>
      </x:c>
      <x:c r="B4" s="127" t="str">
        <x:v>Meaning</x:v>
      </x:c>
      <x:c r="C4" s="127" t="str">
        <x:v>Who may edit?</x:v>
      </x:c>
      <x:c r="D4" s="127" t="str">
        <x:v>MVP v1 treatment</x:v>
      </x:c>
      <x:c r="E4" s="127" t="str">
        <x:v>Example tabs</x:v>
      </x:c>
      <x:c r="F4" s="127" t="str">
        <x:v>Rule</x:v>
      </x:c>
      <x:c r="G4" s="125"/>
      <x:c r="H4" s="125"/>
      <x:c r="I4" s="125"/>
      <x:c r="J4" s="125"/>
      <x:c r="K4" s="125"/>
      <x:c r="L4" s="125"/>
      <x:c r="M4" s="125"/>
      <x:c r="N4" s="125"/>
      <x:c r="O4" s="125"/>
      <x:c r="P4" s="125"/>
      <x:c r="Q4" s="125"/>
    </x:row>
    <x:row r="5">
      <x:c r="A5" s="128" t="str">
        <x:v>Blue</x:v>
      </x:c>
      <x:c r="B5" s="128" t="str">
        <x:v>Writable input zones</x:v>
      </x:c>
      <x:c r="C5" s="128" t="str">
        <x:v>Human / AI / analyst</x:v>
      </x:c>
      <x:c r="D5" s="128" t="str">
        <x:v>Manual or import data entry</x:v>
      </x:c>
      <x:c r="E5" s="128" t="str">
        <x:v>DATA_* input tabs</x:v>
      </x:c>
      <x:c r="F5" s="128" t="str">
        <x:v>Only blue cells are user-write zones.</x:v>
      </x:c>
      <x:c r="G5" s="125"/>
      <x:c r="H5" s="125"/>
      <x:c r="I5" s="125"/>
      <x:c r="J5" s="125"/>
      <x:c r="K5" s="125"/>
      <x:c r="L5" s="125"/>
      <x:c r="M5" s="125"/>
      <x:c r="N5" s="125"/>
      <x:c r="O5" s="125"/>
      <x:c r="P5" s="125"/>
      <x:c r="Q5" s="125"/>
    </x:row>
    <x:row r="6">
      <x:c r="A6" s="129" t="str">
        <x:v>Black / no fill</x:v>
      </x:c>
      <x:c r="B6" s="129" t="str">
        <x:v>Live formula cells</x:v>
      </x:c>
      <x:c r="C6" s="129" t="str">
        <x:v>No direct edit</x:v>
      </x:c>
      <x:c r="D6" s="129" t="str">
        <x:v>Keep formulas live</x:v>
      </x:c>
      <x:c r="E6" s="129" t="str">
        <x:v>DATA_METRIC_LONG, DATA_QUALITY_CHECKS</x:v>
      </x:c>
      <x:c r="F6" s="129" t="str">
        <x:v>Do not overwrite formulas.</x:v>
      </x:c>
      <x:c r="G6" s="125"/>
      <x:c r="H6" s="125"/>
      <x:c r="I6" s="125"/>
      <x:c r="J6" s="125"/>
      <x:c r="K6" s="125"/>
      <x:c r="L6" s="125"/>
      <x:c r="M6" s="125"/>
      <x:c r="N6" s="125"/>
      <x:c r="O6" s="125"/>
      <x:c r="P6" s="125"/>
      <x:c r="Q6" s="125"/>
    </x:row>
    <x:row r="7">
      <x:c r="A7" s="130" t="str">
        <x:v>Purple</x:v>
      </x:c>
      <x:c r="B7" s="130" t="str">
        <x:v>Generated bridge data</x:v>
      </x:c>
      <x:c r="C7" s="130" t="str">
        <x:v>No direct edit unless documented</x:v>
      </x:c>
      <x:c r="D7" s="130" t="str">
        <x:v>Formula-generated from inputs</x:v>
      </x:c>
      <x:c r="E7" s="130" t="str">
        <x:v>DATA_PROPERTY_MASTER, DATA_DEBT_MASTER</x:v>
      </x:c>
      <x:c r="F7" s="130" t="str">
        <x:v>Can be generated by future digital engine.</x:v>
      </x:c>
      <x:c r="G7" s="125"/>
      <x:c r="H7" s="125"/>
      <x:c r="I7" s="125"/>
      <x:c r="J7" s="125"/>
      <x:c r="K7" s="125"/>
      <x:c r="L7" s="125"/>
      <x:c r="M7" s="125"/>
      <x:c r="N7" s="125"/>
      <x:c r="O7" s="125"/>
      <x:c r="P7" s="125"/>
      <x:c r="Q7" s="125"/>
    </x:row>
    <x:row r="8">
      <x:c r="A8" s="131" t="str">
        <x:v>Orange</x:v>
      </x:c>
      <x:c r="B8" s="131" t="str">
        <x:v>Review / unresolved / assumptions</x:v>
      </x:c>
      <x:c r="C8" s="131" t="str">
        <x:v>Analyst may update status/note</x:v>
      </x:c>
      <x:c r="D8" s="131" t="str">
        <x:v>Used for assumptions and flags</x:v>
      </x:c>
      <x:c r="E8" s="131" t="str">
        <x:v>ASSUMPTIONS_FLAGS</x:v>
      </x:c>
      <x:c r="F8" s="131" t="str">
        <x:v>Must include reviewer rationale.</x:v>
      </x:c>
      <x:c r="G8" s="125"/>
      <x:c r="H8" s="125"/>
      <x:c r="I8" s="125"/>
      <x:c r="J8" s="125"/>
      <x:c r="K8" s="125"/>
      <x:c r="L8" s="125"/>
      <x:c r="M8" s="125"/>
      <x:c r="N8" s="125"/>
      <x:c r="O8" s="125"/>
      <x:c r="P8" s="125"/>
      <x:c r="Q8" s="125"/>
    </x:row>
    <x:row r="9">
      <x:c r="A9" s="132" t="str">
        <x:v>Grey</x:v>
      </x:c>
      <x:c r="B9" s="132" t="str">
        <x:v>Legacy / reference</x:v>
      </x:c>
      <x:c r="C9" s="132" t="str">
        <x:v>Reference only</x:v>
      </x:c>
      <x:c r="D9" s="132" t="str">
        <x:v>Not MVP engine</x:v>
      </x:c>
      <x:c r="E9" s="132" t="str">
        <x:v>NGO B v12 source workbook</x:v>
      </x:c>
      <x:c r="F9" s="132" t="str">
        <x:v>Do not build software from legacy tabs directly.</x:v>
      </x:c>
      <x:c r="G9" s="125"/>
      <x:c r="H9" s="125"/>
      <x:c r="I9" s="125"/>
      <x:c r="J9" s="125"/>
      <x:c r="K9" s="125"/>
      <x:c r="L9" s="125"/>
      <x:c r="M9" s="125"/>
      <x:c r="N9" s="125"/>
      <x:c r="O9" s="125"/>
      <x:c r="P9" s="125"/>
      <x:c r="Q9" s="125"/>
    </x:row>
    <x:row r="10">
      <x:c r="A10" s="133" t="str">
        <x:v>Green</x:v>
      </x:c>
      <x:c r="B10" s="133" t="str">
        <x:v>Output</x:v>
      </x:c>
      <x:c r="C10" s="133" t="str">
        <x:v>No direct edit to formulas</x:v>
      </x:c>
      <x:c r="D10" s="133" t="str">
        <x:v>Dashboard/readiness output</x:v>
      </x:c>
      <x:c r="E10" s="133" t="str">
        <x:v>OUT_STAGE1_READINESS_SNAPSHOT</x:v>
      </x:c>
      <x:c r="F10" s="133" t="str">
        <x:v>Output pulls from data and checks.</x:v>
      </x:c>
      <x:c r="G10" s="125"/>
      <x:c r="H10" s="125"/>
      <x:c r="I10" s="125"/>
      <x:c r="J10" s="125"/>
      <x:c r="K10" s="125"/>
      <x:c r="L10" s="125"/>
      <x:c r="M10" s="125"/>
      <x:c r="N10" s="125"/>
      <x:c r="O10" s="125"/>
      <x:c r="P10" s="125"/>
      <x:c r="Q10" s="125"/>
    </x:row>
    <x:row r="11">
      <x:c r="A11" s="125"/>
      <x:c r="B11" s="125"/>
      <x:c r="C11" s="125"/>
      <x:c r="D11" s="125"/>
      <x:c r="E11" s="125"/>
      <x:c r="F11" s="125"/>
      <x:c r="G11" s="125"/>
      <x:c r="H11" s="125"/>
      <x:c r="I11" s="125"/>
      <x:c r="J11" s="125"/>
      <x:c r="K11" s="125"/>
      <x:c r="L11" s="125"/>
      <x:c r="M11" s="125"/>
      <x:c r="N11" s="125"/>
      <x:c r="O11" s="125"/>
      <x:c r="P11" s="125"/>
      <x:c r="Q11" s="125"/>
    </x:row>
    <x:row r="12">
      <x:c r="A12" s="125"/>
      <x:c r="B12" s="125"/>
      <x:c r="C12" s="125"/>
      <x:c r="D12" s="125"/>
      <x:c r="E12" s="125"/>
      <x:c r="F12" s="125"/>
      <x:c r="G12" s="125"/>
      <x:c r="H12" s="125"/>
      <x:c r="I12" s="125"/>
      <x:c r="J12" s="125"/>
      <x:c r="K12" s="125"/>
      <x:c r="L12" s="125"/>
      <x:c r="M12" s="125"/>
      <x:c r="N12" s="125"/>
      <x:c r="O12" s="125"/>
      <x:c r="P12" s="125"/>
      <x:c r="Q12" s="125"/>
    </x:row>
    <x:row r="13" ht="26" customHeight="1">
      <x:c r="A13" s="127" t="str">
        <x:v>Rule ID</x:v>
      </x:c>
      <x:c r="B13" s="127" t="str">
        <x:v>Area</x:v>
      </x:c>
      <x:c r="C13" s="127" t="str">
        <x:v>Business Rule</x:v>
      </x:c>
      <x:c r="D13" s="127" t="str">
        <x:v>MVP v1 implementation</x:v>
      </x:c>
      <x:c r="E13" s="125"/>
      <x:c r="F13" s="125"/>
      <x:c r="G13" s="125"/>
      <x:c r="H13" s="125"/>
      <x:c r="I13" s="125"/>
      <x:c r="J13" s="125"/>
      <x:c r="K13" s="125"/>
      <x:c r="L13" s="125"/>
      <x:c r="M13" s="125"/>
      <x:c r="N13" s="125"/>
      <x:c r="O13" s="125"/>
      <x:c r="P13" s="125"/>
      <x:c r="Q13" s="125"/>
    </x:row>
    <x:row r="14">
      <x:c r="A14" s="134" t="str">
        <x:v>BR-MVP-001</x:v>
      </x:c>
      <x:c r="B14" s="134" t="str">
        <x:v>Purpose</x:v>
      </x:c>
      <x:c r="C14" s="134" t="str">
        <x:v>MVP v1 is a one-time, semi-manual demonstration product using NGO B / ENF as the pilot case.</x:v>
      </x:c>
      <x:c r="D14" s="134" t="str">
        <x:v>Keep scope narrow; do not build a full investor dashboard or SaaS product yet.</x:v>
      </x:c>
      <x:c r="E14" s="125"/>
      <x:c r="F14" s="125"/>
      <x:c r="G14" s="125"/>
      <x:c r="H14" s="125"/>
      <x:c r="I14" s="125"/>
      <x:c r="J14" s="125"/>
      <x:c r="K14" s="125"/>
      <x:c r="L14" s="125"/>
      <x:c r="M14" s="125"/>
      <x:c r="N14" s="125"/>
      <x:c r="O14" s="125"/>
      <x:c r="P14" s="125"/>
      <x:c r="Q14" s="125"/>
    </x:row>
    <x:row r="15">
      <x:c r="A15" s="134" t="str">
        <x:v>BR-MVP-002</x:v>
      </x:c>
      <x:c r="B15" s="134" t="str">
        <x:v>Source hierarchy</x:v>
      </x:c>
      <x:c r="C15" s="134" t="str">
        <x:v>NGO B v12 is the business-logic prototype. The blank template keeps SRC-001 as a standing architecture reference; each organization's own source package should be logged starting at SRC-002. Tapestry / ENF July 7 belongs in the separate ENF Demo workbook, not the blank template.</x:v>
      </x:c>
      <x:c r="D15" s="134" t="str">
        <x:v>Blank template logs only the standing architecture reference; demo/client source files are added per organization.</x:v>
      </x:c>
      <x:c r="E15" s="125"/>
      <x:c r="F15" s="125"/>
      <x:c r="G15" s="125"/>
      <x:c r="H15" s="125"/>
      <x:c r="I15" s="125"/>
      <x:c r="J15" s="125"/>
      <x:c r="K15" s="125"/>
      <x:c r="L15" s="125"/>
      <x:c r="M15" s="125"/>
      <x:c r="N15" s="125"/>
      <x:c r="O15" s="125"/>
      <x:c r="P15" s="125"/>
      <x:c r="Q15" s="125"/>
    </x:row>
    <x:row r="16">
      <x:c r="A16" s="134" t="str">
        <x:v>BR-MVP-003</x:v>
      </x:c>
      <x:c r="B16" s="134" t="str">
        <x:v>Build principle</x:v>
      </x:c>
      <x:c r="C16" s="134" t="str">
        <x:v>Build the clean template from the MVP-ready parts of v12; do not ask Uygar to rebuild the full legacy workbook.</x:v>
      </x:c>
      <x:c r="D16" s="134" t="str">
        <x:v>This template is the build abstraction.</x:v>
      </x:c>
      <x:c r="E16" s="125"/>
      <x:c r="F16" s="125"/>
      <x:c r="G16" s="125"/>
      <x:c r="H16" s="125"/>
      <x:c r="I16" s="125"/>
      <x:c r="J16" s="125"/>
      <x:c r="K16" s="125"/>
      <x:c r="L16" s="125"/>
      <x:c r="M16" s="125"/>
      <x:c r="N16" s="125"/>
      <x:c r="O16" s="125"/>
      <x:c r="P16" s="125"/>
      <x:c r="Q16" s="125"/>
    </x:row>
    <x:row r="17">
      <x:c r="A17" s="134" t="str">
        <x:v>BR-MVP-004</x:v>
      </x:c>
      <x:c r="B17" s="134" t="str">
        <x:v>Input control</x:v>
      </x:c>
      <x:c r="C17" s="134" t="str">
        <x:v>Human / AI / analyst may write only in blue input cells or orange assumption-review cells.</x:v>
      </x:c>
      <x:c r="D17" s="134" t="str">
        <x:v>Formula cells remain black/no fill; generated bridge fields use purple.</x:v>
      </x:c>
      <x:c r="E17" s="125"/>
      <x:c r="F17" s="125"/>
      <x:c r="G17" s="125"/>
      <x:c r="H17" s="125"/>
      <x:c r="I17" s="125"/>
      <x:c r="J17" s="125"/>
      <x:c r="K17" s="125"/>
      <x:c r="L17" s="125"/>
      <x:c r="M17" s="125"/>
      <x:c r="N17" s="125"/>
      <x:c r="O17" s="125"/>
      <x:c r="P17" s="125"/>
      <x:c r="Q17" s="125"/>
    </x:row>
    <x:row r="18">
      <x:c r="A18" s="134" t="str">
        <x:v>BR-MVP-005</x:v>
      </x:c>
      <x:c r="B18" s="134" t="str">
        <x:v>Live calculations</x:v>
      </x:c>
      <x:c r="C18" s="134" t="str">
        <x:v>Metric rows, quality checks, and readiness snapshot must use formulas pulling from data tabs.</x:v>
      </x:c>
      <x:c r="D18" s="134" t="str">
        <x:v>No hardcoded output values unless clearly marked as demonstration input.</x:v>
      </x:c>
      <x:c r="E18" s="125"/>
      <x:c r="F18" s="125"/>
      <x:c r="G18" s="125"/>
      <x:c r="H18" s="125"/>
      <x:c r="I18" s="125"/>
      <x:c r="J18" s="125"/>
      <x:c r="K18" s="125"/>
      <x:c r="L18" s="125"/>
      <x:c r="M18" s="125"/>
      <x:c r="N18" s="125"/>
      <x:c r="O18" s="125"/>
      <x:c r="P18" s="125"/>
      <x:c r="Q18" s="125"/>
    </x:row>
    <x:row r="19">
      <x:c r="A19" s="134" t="str">
        <x:v>BR-MVP-006</x:v>
      </x:c>
      <x:c r="B19" s="134" t="str">
        <x:v>Original logic, simplified</x:v>
      </x:c>
      <x:c r="C19" s="134" t="str">
        <x:v>Preserve v12 logic pattern: input/source log → canonical DATA tables → checks/metrics → OUT readiness output.</x:v>
      </x:c>
      <x:c r="D19" s="134" t="str">
        <x:v>Investor distribution, NAV, IRR, and Stage 2/3 capital pathway logic are deferred.</x:v>
      </x:c>
      <x:c r="E19" s="125"/>
      <x:c r="F19" s="125"/>
      <x:c r="G19" s="125"/>
      <x:c r="H19" s="125"/>
      <x:c r="I19" s="125"/>
      <x:c r="J19" s="125"/>
      <x:c r="K19" s="125"/>
      <x:c r="L19" s="125"/>
      <x:c r="M19" s="125"/>
      <x:c r="N19" s="125"/>
      <x:c r="O19" s="125"/>
      <x:c r="P19" s="125"/>
      <x:c r="Q19" s="125"/>
    </x:row>
    <x:row r="20">
      <x:c r="A20" s="134" t="str">
        <x:v>BR-MVP-007</x:v>
      </x:c>
      <x:c r="B20" s="134" t="str">
        <x:v>Auditability</x:v>
      </x:c>
      <x:c r="C20" s="134" t="str">
        <x:v>Every source conflict or manual override must be recorded in ASSUMPTIONS_FLAGS.</x:v>
      </x:c>
      <x:c r="D20" s="134" t="str">
        <x:v>Port Moody 245 vs 328 remains a visible flag.</x:v>
      </x:c>
      <x:c r="E20" s="125"/>
      <x:c r="F20" s="125"/>
      <x:c r="G20" s="125"/>
      <x:c r="H20" s="125"/>
      <x:c r="I20" s="125"/>
      <x:c r="J20" s="125"/>
      <x:c r="K20" s="125"/>
      <x:c r="L20" s="125"/>
      <x:c r="M20" s="125"/>
      <x:c r="N20" s="125"/>
      <x:c r="O20" s="125"/>
      <x:c r="P20" s="125"/>
      <x:c r="Q20" s="125"/>
    </x:row>
    <x:row r="21">
      <x:c r="A21" s="134" t="str">
        <x:v>BR-MVP-008</x:v>
      </x:c>
      <x:c r="B21" s="134" t="str">
        <x:v>Outcome</x:v>
      </x:c>
      <x:c r="C21" s="134" t="str">
        <x:v>The MVP outcome is OUT_STAGE1_READINESS_SNAPSHOT, not a polished investor summary.</x:v>
      </x:c>
      <x:c r="D21" s="134" t="str">
        <x:v>Investor pages may be later presentation layer.</x:v>
      </x:c>
      <x:c r="E21" s="125"/>
      <x:c r="F21" s="125"/>
      <x:c r="G21" s="125"/>
      <x:c r="H21" s="125"/>
      <x:c r="I21" s="125"/>
      <x:c r="J21" s="125"/>
      <x:c r="K21" s="125"/>
      <x:c r="L21" s="125"/>
      <x:c r="M21" s="125"/>
      <x:c r="N21" s="125"/>
      <x:c r="O21" s="125"/>
      <x:c r="P21" s="125"/>
      <x:c r="Q21" s="125"/>
    </x:row>
    <x:row r="22">
      <x:c r="A22" s="225" t="str">
        <x:v>BR-MVP-009</x:v>
      </x:c>
      <x:c r="B22" s="225" t="str">
        <x:v>Template/demo structure</x:v>
      </x:c>
      <x:c r="C22" s="225" t="str">
        <x:v>This blank workbook is Build 1 only: the reusable MVP template structure. Do not treat any blank row count as a fixed future platform shape.</x:v>
      </x:c>
      <x:c r="D22" s="225" t="str">
        <x:v>Digital build should support multiple organizations/properties using the same DATA_* structure. NGO B / ENF demo data is in the separate demo workbook.</x:v>
      </x:c>
      <x:c r="E22" s="125"/>
      <x:c r="F22" s="125"/>
      <x:c r="G22" s="125"/>
      <x:c r="H22" s="125"/>
      <x:c r="I22" s="125"/>
      <x:c r="J22" s="125"/>
      <x:c r="K22" s="125"/>
      <x:c r="L22" s="125"/>
      <x:c r="M22" s="125"/>
      <x:c r="N22" s="125"/>
      <x:c r="O22" s="125"/>
      <x:c r="P22" s="125"/>
      <x:c r="Q22" s="125"/>
    </x:row>
    <x:row r="23">
      <x:c r="A23" s="135" t="str">
        <x:v>Preserved NGO B v12 business-rule excerpt</x:v>
      </x:c>
      <x:c r="B23" s="125"/>
      <x:c r="C23" s="125"/>
      <x:c r="D23" s="125"/>
      <x:c r="E23" s="125"/>
      <x:c r="F23" s="125"/>
      <x:c r="G23" s="125"/>
      <x:c r="H23" s="125"/>
      <x:c r="I23" s="125"/>
      <x:c r="J23" s="125"/>
      <x:c r="K23" s="125"/>
      <x:c r="L23" s="125"/>
      <x:c r="M23" s="125"/>
      <x:c r="N23" s="125"/>
      <x:c r="O23" s="125"/>
      <x:c r="P23" s="125"/>
      <x:c r="Q23" s="125"/>
    </x:row>
    <x:row r="24" ht="26" customHeight="1">
      <x:c r="A24" s="127" t="str">
        <x:v>Original row</x:v>
      </x:c>
      <x:c r="B24" s="127" t="str">
        <x:v>Original Business Rules text</x:v>
      </x:c>
      <x:c r="C24" s="125"/>
      <x:c r="D24" s="125"/>
      <x:c r="E24" s="125"/>
      <x:c r="F24" s="125"/>
      <x:c r="G24" s="125"/>
      <x:c r="H24" s="125"/>
      <x:c r="I24" s="125"/>
      <x:c r="J24" s="125"/>
      <x:c r="K24" s="125"/>
      <x:c r="L24" s="125"/>
      <x:c r="M24" s="125"/>
      <x:c r="N24" s="125"/>
      <x:c r="O24" s="125"/>
      <x:c r="P24" s="125"/>
      <x:c r="Q24" s="125"/>
    </x:row>
    <x:row r="25">
      <x:c r="A25" s="125" t="n">
        <x:v>1</x:v>
      </x:c>
      <x:c r="B25" s="125" t="str">
        <x:v>IREI Underwriting Template Prototype</x:v>
      </x:c>
      <x:c r="C25" s="125"/>
      <x:c r="D25" s="125"/>
      <x:c r="E25" s="125"/>
      <x:c r="F25" s="125"/>
      <x:c r="G25" s="125"/>
      <x:c r="H25" s="125"/>
      <x:c r="I25" s="125"/>
      <x:c r="J25" s="125"/>
      <x:c r="K25" s="125"/>
      <x:c r="L25" s="125"/>
      <x:c r="M25" s="125"/>
      <x:c r="N25" s="125"/>
      <x:c r="O25" s="125"/>
      <x:c r="P25" s="125"/>
      <x:c r="Q25" s="125"/>
    </x:row>
    <x:row r="26">
      <x:c r="A26" s="125" t="n">
        <x:v>3</x:v>
      </x:c>
      <x:c r="B26" s="125" t="str">
        <x:v>Business Rules Organized by Epics and User Stories</x:v>
      </x:c>
      <x:c r="C26" s="125"/>
      <x:c r="D26" s="125"/>
      <x:c r="E26" s="125"/>
      <x:c r="F26" s="125"/>
      <x:c r="G26" s="125"/>
      <x:c r="H26" s="125"/>
      <x:c r="I26" s="125"/>
      <x:c r="J26" s="125"/>
      <x:c r="K26" s="125"/>
      <x:c r="L26" s="125"/>
      <x:c r="M26" s="125"/>
      <x:c r="N26" s="125"/>
      <x:c r="O26" s="125"/>
      <x:c r="P26" s="125"/>
      <x:c r="Q26" s="125"/>
    </x:row>
    <x:row r="27">
      <x:c r="A27" s="125" t="n">
        <x:v>5</x:v>
      </x:c>
      <x:c r="B27" s="125" t="str">
        <x:v>1. Purpose of the Model</x:v>
      </x:c>
      <x:c r="C27" s="125"/>
      <x:c r="D27" s="125"/>
      <x:c r="E27" s="125"/>
      <x:c r="F27" s="125"/>
      <x:c r="G27" s="125"/>
      <x:c r="H27" s="125"/>
      <x:c r="I27" s="125"/>
      <x:c r="J27" s="125"/>
      <x:c r="K27" s="125"/>
      <x:c r="L27" s="125"/>
      <x:c r="M27" s="125"/>
      <x:c r="N27" s="125"/>
      <x:c r="O27" s="125"/>
      <x:c r="P27" s="125"/>
      <x:c r="Q27" s="125"/>
    </x:row>
    <x:row r="28">
      <x:c r="A28" s="125" t="n">
        <x:v>7</x:v>
      </x:c>
      <x:c r="B28" s="125" t="str">
        <x:v>The model is designed to convert non-profit / Indigenous / mission-driven housing organization data into a standardized, auditable underwriting structure.</x:v>
      </x:c>
      <x:c r="C28" s="125"/>
      <x:c r="D28" s="125"/>
      <x:c r="E28" s="125"/>
      <x:c r="F28" s="125"/>
      <x:c r="G28" s="125"/>
      <x:c r="H28" s="125"/>
      <x:c r="I28" s="125"/>
      <x:c r="J28" s="125"/>
      <x:c r="K28" s="125"/>
      <x:c r="L28" s="125"/>
      <x:c r="M28" s="125"/>
      <x:c r="N28" s="125"/>
      <x:c r="O28" s="125"/>
      <x:c r="P28" s="125"/>
      <x:c r="Q28" s="125"/>
    </x:row>
    <x:row r="29">
      <x:c r="A29" s="125" t="n">
        <x:v>9</x:v>
      </x:c>
      <x:c r="B29" s="125" t="str">
        <x:v>It has two purposes:</x:v>
      </x:c>
      <x:c r="C29" s="125"/>
      <x:c r="D29" s="125"/>
      <x:c r="E29" s="125"/>
      <x:c r="F29" s="125"/>
      <x:c r="G29" s="125"/>
      <x:c r="H29" s="125"/>
      <x:c r="I29" s="125"/>
      <x:c r="J29" s="125"/>
      <x:c r="K29" s="125"/>
      <x:c r="L29" s="125"/>
      <x:c r="M29" s="125"/>
      <x:c r="N29" s="125"/>
      <x:c r="O29" s="125"/>
      <x:c r="P29" s="125"/>
      <x:c r="Q29" s="125"/>
    </x:row>
    <x:row r="30">
      <x:c r="A30" s="125" t="n">
        <x:v>11</x:v>
      </x:c>
      <x:c r="B30" s="125" t="str">
        <x:v>1. Current use: underwrite NGO B’s portfolio using the existing live Excel calculation engine.</x:v>
      </x:c>
      <x:c r="C30" s="125"/>
      <x:c r="D30" s="125"/>
      <x:c r="E30" s="125"/>
      <x:c r="F30" s="125"/>
      <x:c r="G30" s="125"/>
      <x:c r="H30" s="125"/>
      <x:c r="I30" s="125"/>
      <x:c r="J30" s="125"/>
      <x:c r="K30" s="125"/>
      <x:c r="L30" s="125"/>
      <x:c r="M30" s="125"/>
      <x:c r="N30" s="125"/>
      <x:c r="O30" s="125"/>
      <x:c r="P30" s="125"/>
      <x:c r="Q30" s="125"/>
    </x:row>
    <x:row r="31">
      <x:c r="A31" s="125" t="n">
        <x:v>13</x:v>
      </x:c>
      <x:c r="B31" s="125" t="str">
        <x:v>2. Future platform use: establish the data architecture and business rules for an AI / analyst-assisted IREI underwriting platform.</x:v>
      </x:c>
      <x:c r="C31" s="125"/>
      <x:c r="D31" s="125"/>
      <x:c r="E31" s="125"/>
      <x:c r="F31" s="125"/>
      <x:c r="G31" s="125"/>
      <x:c r="H31" s="125"/>
      <x:c r="I31" s="125"/>
      <x:c r="J31" s="125"/>
      <x:c r="K31" s="125"/>
      <x:c r="L31" s="125"/>
      <x:c r="M31" s="125"/>
      <x:c r="N31" s="125"/>
      <x:c r="O31" s="125"/>
      <x:c r="P31" s="125"/>
      <x:c r="Q31" s="125"/>
    </x:row>
    <x:row r="32">
      <x:c r="A32" s="125" t="n">
        <x:v>15</x:v>
      </x:c>
      <x:c r="B32" s="125" t="str">
        <x:v>The model is not yet a fully automated platform engine. The current financial calculations still rely on legacy NGO B tabs, while the new DATA and OUT layers define the future standardized model structure.</x:v>
      </x:c>
      <x:c r="C32" s="125"/>
      <x:c r="D32" s="125"/>
      <x:c r="E32" s="125"/>
      <x:c r="F32" s="125"/>
      <x:c r="G32" s="125"/>
      <x:c r="H32" s="125"/>
      <x:c r="I32" s="125"/>
      <x:c r="J32" s="125"/>
      <x:c r="K32" s="125"/>
      <x:c r="L32" s="125"/>
      <x:c r="M32" s="125"/>
      <x:c r="N32" s="125"/>
      <x:c r="O32" s="125"/>
      <x:c r="P32" s="125"/>
      <x:c r="Q32" s="125"/>
    </x:row>
    <x:row r="33">
      <x:c r="A33" s="125" t="n">
        <x:v>19</x:v>
      </x:c>
      <x:c r="B33" s="125" t="str">
        <x:v>Epic 1 — Workbook Navigation and User Control</x:v>
      </x:c>
      <x:c r="C33" s="125"/>
      <x:c r="D33" s="125"/>
      <x:c r="E33" s="125"/>
      <x:c r="F33" s="125"/>
      <x:c r="G33" s="125"/>
      <x:c r="H33" s="125"/>
      <x:c r="I33" s="125"/>
      <x:c r="J33" s="125"/>
      <x:c r="K33" s="125"/>
      <x:c r="L33" s="125"/>
      <x:c r="M33" s="125"/>
      <x:c r="N33" s="125"/>
      <x:c r="O33" s="125"/>
      <x:c r="P33" s="125"/>
      <x:c r="Q33" s="125"/>
    </x:row>
    <x:row r="34">
      <x:c r="A34" s="125" t="n">
        <x:v>21</x:v>
      </x:c>
      <x:c r="B34" s="125" t="str">
        <x:v>Business Objective</x:v>
      </x:c>
      <x:c r="C34" s="125"/>
      <x:c r="D34" s="125"/>
      <x:c r="E34" s="125"/>
      <x:c r="F34" s="125"/>
      <x:c r="G34" s="125"/>
      <x:c r="H34" s="125"/>
      <x:c r="I34" s="125"/>
      <x:c r="J34" s="125"/>
      <x:c r="K34" s="125"/>
      <x:c r="L34" s="125"/>
      <x:c r="M34" s="125"/>
      <x:c r="N34" s="125"/>
      <x:c r="O34" s="125"/>
      <x:c r="P34" s="125"/>
      <x:c r="Q34" s="125"/>
    </x:row>
    <x:row r="35">
      <x:c r="A35" s="125" t="n">
        <x:v>23</x:v>
      </x:c>
      <x:c r="B35" s="125" t="str">
        <x:v>Ensure analysts and AI agents understand where to enter data, where formulas live, what not to overwrite, and how to follow the workbook structure.</x:v>
      </x:c>
      <x:c r="C35" s="125"/>
      <x:c r="D35" s="125"/>
      <x:c r="E35" s="125"/>
      <x:c r="F35" s="125"/>
      <x:c r="G35" s="125"/>
      <x:c r="H35" s="125"/>
      <x:c r="I35" s="125"/>
      <x:c r="J35" s="125"/>
      <x:c r="K35" s="125"/>
      <x:c r="L35" s="125"/>
      <x:c r="M35" s="125"/>
      <x:c r="N35" s="125"/>
      <x:c r="O35" s="125"/>
      <x:c r="P35" s="125"/>
      <x:c r="Q35" s="125"/>
    </x:row>
    <x:row r="36">
      <x:c r="A36" s="125" t="n">
        <x:v>25</x:v>
      </x:c>
      <x:c r="B36" s="125" t="str">
        <x:v>Key Tabs</x:v>
      </x:c>
      <x:c r="C36" s="125"/>
      <x:c r="D36" s="125"/>
      <x:c r="E36" s="125"/>
      <x:c r="F36" s="125"/>
      <x:c r="G36" s="125"/>
      <x:c r="H36" s="125"/>
      <x:c r="I36" s="125"/>
      <x:c r="J36" s="125"/>
      <x:c r="K36" s="125"/>
      <x:c r="L36" s="125"/>
      <x:c r="M36" s="125"/>
      <x:c r="N36" s="125"/>
      <x:c r="O36" s="125"/>
      <x:c r="P36" s="125"/>
      <x:c r="Q36" s="125"/>
    </x:row>
    <x:row r="37">
      <x:c r="A37" s="125" t="n">
        <x:v>27</x:v>
      </x:c>
      <x:c r="B37" s="125" t="str">
        <x:v>00_PLATFORM_INDEX</x:v>
      </x:c>
      <x:c r="C37" s="125"/>
      <x:c r="D37" s="125"/>
      <x:c r="E37" s="125"/>
      <x:c r="F37" s="125"/>
      <x:c r="G37" s="125"/>
      <x:c r="H37" s="125"/>
      <x:c r="I37" s="125"/>
      <x:c r="J37" s="125"/>
      <x:c r="K37" s="125"/>
      <x:c r="L37" s="125"/>
      <x:c r="M37" s="125"/>
      <x:c r="N37" s="125"/>
      <x:c r="O37" s="125"/>
      <x:c r="P37" s="125"/>
      <x:c r="Q37" s="125"/>
    </x:row>
    <x:row r="38">
      <x:c r="A38" s="125" t="n">
        <x:v>29</x:v>
      </x:c>
      <x:c r="B38" s="125" t="str">
        <x:v>INPUT_CONTROL_MAP</x:v>
      </x:c>
      <x:c r="C38" s="125"/>
      <x:c r="D38" s="125"/>
      <x:c r="E38" s="125"/>
      <x:c r="F38" s="125"/>
      <x:c r="G38" s="125"/>
      <x:c r="H38" s="125"/>
      <x:c r="I38" s="125"/>
      <x:c r="J38" s="125"/>
      <x:c r="K38" s="125"/>
      <x:c r="L38" s="125"/>
      <x:c r="M38" s="125"/>
      <x:c r="N38" s="125"/>
      <x:c r="O38" s="125"/>
      <x:c r="P38" s="125"/>
      <x:c r="Q38" s="125"/>
    </x:row>
    <x:row r="39">
      <x:c r="A39" s="125" t="n">
        <x:v>31</x:v>
      </x:c>
      <x:c r="B39" s="125" t="str">
        <x:v>00_CHANGE_LOG</x:v>
      </x:c>
      <x:c r="C39" s="125"/>
      <x:c r="D39" s="125"/>
      <x:c r="E39" s="125"/>
      <x:c r="F39" s="125"/>
      <x:c r="G39" s="125"/>
      <x:c r="H39" s="125"/>
      <x:c r="I39" s="125"/>
      <x:c r="J39" s="125"/>
      <x:c r="K39" s="125"/>
      <x:c r="L39" s="125"/>
      <x:c r="M39" s="125"/>
      <x:c r="N39" s="125"/>
      <x:c r="O39" s="125"/>
      <x:c r="P39" s="125"/>
      <x:c r="Q39" s="125"/>
    </x:row>
    <x:row r="40">
      <x:c r="A40" s="125" t="n">
        <x:v>33</x:v>
      </x:c>
      <x:c r="B40" s="125" t="str">
        <x:v>DATA_QUALITY_CHECKS</x:v>
      </x:c>
      <x:c r="C40" s="125"/>
      <x:c r="D40" s="125"/>
      <x:c r="E40" s="125"/>
      <x:c r="F40" s="125"/>
      <x:c r="G40" s="125"/>
      <x:c r="H40" s="125"/>
      <x:c r="I40" s="125"/>
      <x:c r="J40" s="125"/>
      <x:c r="K40" s="125"/>
      <x:c r="L40" s="125"/>
      <x:c r="M40" s="125"/>
      <x:c r="N40" s="125"/>
      <x:c r="O40" s="125"/>
      <x:c r="P40" s="125"/>
      <x:c r="Q40" s="125"/>
    </x:row>
    <x:row r="41">
      <x:c r="A41" s="125" t="n">
        <x:v>35</x:v>
      </x:c>
      <x:c r="B41" s="125" t="str">
        <x:v>00_MODEL_CHECKS</x:v>
      </x:c>
      <x:c r="C41" s="125"/>
      <x:c r="D41" s="125"/>
      <x:c r="E41" s="125"/>
      <x:c r="F41" s="125"/>
      <x:c r="G41" s="125"/>
      <x:c r="H41" s="125"/>
      <x:c r="I41" s="125"/>
      <x:c r="J41" s="125"/>
      <x:c r="K41" s="125"/>
      <x:c r="L41" s="125"/>
      <x:c r="M41" s="125"/>
      <x:c r="N41" s="125"/>
      <x:c r="O41" s="125"/>
      <x:c r="P41" s="125"/>
      <x:c r="Q41" s="125"/>
    </x:row>
    <x:row r="42">
      <x:c r="A42" s="125" t="n">
        <x:v>37</x:v>
      </x:c>
      <x:c r="B42" s="125" t="str">
        <x:v>Business Rules</x:v>
      </x:c>
      <x:c r="C42" s="125"/>
      <x:c r="D42" s="125"/>
      <x:c r="E42" s="125"/>
      <x:c r="F42" s="125"/>
      <x:c r="G42" s="125"/>
      <x:c r="H42" s="125"/>
      <x:c r="I42" s="125"/>
      <x:c r="J42" s="125"/>
      <x:c r="K42" s="125"/>
      <x:c r="L42" s="125"/>
      <x:c r="M42" s="125"/>
      <x:c r="N42" s="125"/>
      <x:c r="O42" s="125"/>
      <x:c r="P42" s="125"/>
      <x:c r="Q42" s="125"/>
    </x:row>
    <x:row r="43">
      <x:c r="A43" s="125" t="n">
        <x:v>39</x:v>
      </x:c>
      <x:c r="B43" s="125" t="str">
        <x:v>BR-1.1 — Users must start with the platform index</x:v>
      </x:c>
      <x:c r="C43" s="125"/>
      <x:c r="D43" s="125"/>
      <x:c r="E43" s="125"/>
      <x:c r="F43" s="125"/>
      <x:c r="G43" s="125"/>
      <x:c r="H43" s="125"/>
      <x:c r="I43" s="125"/>
      <x:c r="J43" s="125"/>
      <x:c r="K43" s="125"/>
      <x:c r="L43" s="125"/>
      <x:c r="M43" s="125"/>
      <x:c r="N43" s="125"/>
      <x:c r="O43" s="125"/>
      <x:c r="P43" s="125"/>
      <x:c r="Q43" s="125"/>
    </x:row>
    <x:row r="44">
      <x:c r="A44" s="125" t="n">
        <x:v>41</x:v>
      </x:c>
      <x:c r="B44" s="125" t="str">
        <x:v>All users should begin with 00_PLATFORM_INDEX to understand the workbook zones, colour code, and navigation structure.</x:v>
      </x:c>
      <x:c r="C44" s="125"/>
      <x:c r="D44" s="125"/>
      <x:c r="E44" s="125"/>
      <x:c r="F44" s="125"/>
      <x:c r="G44" s="125"/>
      <x:c r="H44" s="125"/>
      <x:c r="I44" s="125"/>
      <x:c r="J44" s="125"/>
      <x:c r="K44" s="125"/>
      <x:c r="L44" s="125"/>
      <x:c r="M44" s="125"/>
      <x:c r="N44" s="125"/>
      <x:c r="O44" s="125"/>
      <x:c r="P44" s="125"/>
      <x:c r="Q44" s="125"/>
    </x:row>
    <x:row r="45">
      <x:c r="A45" s="125" t="n">
        <x:v>43</x:v>
      </x:c>
      <x:c r="B45" s="125" t="str">
        <x:v>BR-1.2 — INPUT_CONTROL_MAP is the operating manual</x:v>
      </x:c>
      <x:c r="C45" s="125"/>
      <x:c r="D45" s="125"/>
      <x:c r="E45" s="125"/>
      <x:c r="F45" s="125"/>
      <x:c r="G45" s="125"/>
      <x:c r="H45" s="125"/>
      <x:c r="I45" s="125"/>
      <x:c r="J45" s="125"/>
      <x:c r="K45" s="125"/>
      <x:c r="L45" s="125"/>
      <x:c r="M45" s="125"/>
      <x:c r="N45" s="125"/>
      <x:c r="O45" s="125"/>
      <x:c r="P45" s="125"/>
      <x:c r="Q45" s="125"/>
    </x:row>
    <x:row r="46">
      <x:c r="A46" s="125" t="n">
        <x:v>45</x:v>
      </x:c>
      <x:c r="B46" s="125" t="str">
        <x:v>INPUT_CONTROL_MAP defines which tabs and ranges can be edited and which tabs are generated, calculated, output-only, or legacy.</x:v>
      </x:c>
      <x:c r="C46" s="125"/>
      <x:c r="D46" s="125"/>
      <x:c r="E46" s="125"/>
      <x:c r="F46" s="125"/>
      <x:c r="G46" s="125"/>
      <x:c r="H46" s="125"/>
      <x:c r="I46" s="125"/>
      <x:c r="J46" s="125"/>
      <x:c r="K46" s="125"/>
      <x:c r="L46" s="125"/>
      <x:c r="M46" s="125"/>
      <x:c r="N46" s="125"/>
      <x:c r="O46" s="125"/>
      <x:c r="P46" s="125"/>
      <x:c r="Q46" s="125"/>
    </x:row>
    <x:row r="47">
      <x:c r="A47" s="125" t="n">
        <x:v>47</x:v>
      </x:c>
      <x:c r="B47" s="125" t="str">
        <x:v>BR-1.3 — Only blue cells are intended for analyst / AI entry</x:v>
      </x:c>
      <x:c r="C47" s="125"/>
      <x:c r="D47" s="125"/>
      <x:c r="E47" s="125"/>
      <x:c r="F47" s="125"/>
      <x:c r="G47" s="125"/>
      <x:c r="H47" s="125"/>
      <x:c r="I47" s="125"/>
      <x:c r="J47" s="125"/>
      <x:c r="K47" s="125"/>
      <x:c r="L47" s="125"/>
      <x:c r="M47" s="125"/>
      <x:c r="N47" s="125"/>
      <x:c r="O47" s="125"/>
      <x:c r="P47" s="125"/>
      <x:c r="Q47" s="125"/>
    </x:row>
    <x:row r="48">
      <x:c r="A48" s="125" t="n">
        <x:v>49</x:v>
      </x:c>
      <x:c r="B48" s="125" t="str">
        <x:v>Blue cells represent approved input areas. Users should not write into black formula cells, green output cells, purple normalized data cells unless marked as writable, orange warning cells, or grey legacy-engine cells unless specifically instructed.</x:v>
      </x:c>
      <x:c r="C48" s="125"/>
      <x:c r="D48" s="125"/>
      <x:c r="E48" s="125"/>
      <x:c r="F48" s="125"/>
      <x:c r="G48" s="125"/>
      <x:c r="H48" s="125"/>
      <x:c r="I48" s="125"/>
      <x:c r="J48" s="125"/>
      <x:c r="K48" s="125"/>
      <x:c r="L48" s="125"/>
      <x:c r="M48" s="125"/>
      <x:c r="N48" s="125"/>
      <x:c r="O48" s="125"/>
      <x:c r="P48" s="125"/>
      <x:c r="Q48" s="125"/>
    </x:row>
    <x:row r="49">
      <x:c r="A49" s="125" t="n">
        <x:v>51</x:v>
      </x:c>
      <x:c r="B49" s="125" t="str">
        <x:v>BR-1.4 — Formula cells must remain live</x:v>
      </x:c>
      <x:c r="C49" s="125"/>
      <x:c r="D49" s="125"/>
      <x:c r="E49" s="125"/>
      <x:c r="F49" s="125"/>
      <x:c r="G49" s="125"/>
      <x:c r="H49" s="125"/>
      <x:c r="I49" s="125"/>
      <x:c r="J49" s="125"/>
      <x:c r="K49" s="125"/>
      <x:c r="L49" s="125"/>
      <x:c r="M49" s="125"/>
      <x:c r="N49" s="125"/>
      <x:c r="O49" s="125"/>
      <x:c r="P49" s="125"/>
      <x:c r="Q49" s="125"/>
    </x:row>
    <x:row r="50">
      <x:c r="A50" s="125" t="n">
        <x:v>53</x:v>
      </x:c>
      <x:c r="B50" s="125" t="str">
        <x:v>Formula-driven cells must not be overwritten. If a formula is changed, the change must be logged in 00_CHANGE_LOG.</x:v>
      </x:c>
      <x:c r="C50" s="125"/>
      <x:c r="D50" s="125"/>
      <x:c r="E50" s="125"/>
      <x:c r="F50" s="125"/>
      <x:c r="G50" s="125"/>
      <x:c r="H50" s="125"/>
      <x:c r="I50" s="125"/>
      <x:c r="J50" s="125"/>
      <x:c r="K50" s="125"/>
      <x:c r="L50" s="125"/>
      <x:c r="M50" s="125"/>
      <x:c r="N50" s="125"/>
      <x:c r="O50" s="125"/>
      <x:c r="P50" s="125"/>
      <x:c r="Q50" s="125"/>
    </x:row>
    <x:row r="51">
      <x:c r="A51" s="125" t="n">
        <x:v>55</x:v>
      </x:c>
      <x:c r="B51" s="125" t="str">
        <x:v>BR-1.5 — Change log is mandatory</x:v>
      </x:c>
      <x:c r="C51" s="125"/>
      <x:c r="D51" s="125"/>
      <x:c r="E51" s="125"/>
      <x:c r="F51" s="125"/>
      <x:c r="G51" s="125"/>
      <x:c r="H51" s="125"/>
      <x:c r="I51" s="125"/>
      <x:c r="J51" s="125"/>
      <x:c r="K51" s="125"/>
      <x:c r="L51" s="125"/>
      <x:c r="M51" s="125"/>
      <x:c r="N51" s="125"/>
      <x:c r="O51" s="125"/>
      <x:c r="P51" s="125"/>
      <x:c r="Q51" s="125"/>
    </x:row>
    <x:row r="52">
      <x:c r="A52" s="125" t="n">
        <x:v>57</x:v>
      </x:c>
      <x:c r="B52" s="125" t="str">
        <x:v>Every structural, formula, mapping, documentation, control, or output change must be recorded in 00_CHANGE_LOG.</x:v>
      </x:c>
      <x:c r="C52" s="125"/>
      <x:c r="D52" s="125"/>
      <x:c r="E52" s="125"/>
      <x:c r="F52" s="125"/>
      <x:c r="G52" s="125"/>
      <x:c r="H52" s="125"/>
      <x:c r="I52" s="125"/>
      <x:c r="J52" s="125"/>
      <x:c r="K52" s="125"/>
      <x:c r="L52" s="125"/>
      <x:c r="M52" s="125"/>
      <x:c r="N52" s="125"/>
      <x:c r="O52" s="125"/>
      <x:c r="P52" s="125"/>
      <x:c r="Q52" s="125"/>
    </x:row>
    <x:row r="53">
      <x:c r="A53" s="125" t="n">
        <x:v>59</x:v>
      </x:c>
      <x:c r="B53" s="125" t="str">
        <x:v>User Stories</x:v>
      </x:c>
      <x:c r="C53" s="125"/>
      <x:c r="D53" s="125"/>
      <x:c r="E53" s="125"/>
      <x:c r="F53" s="125"/>
      <x:c r="G53" s="125"/>
      <x:c r="H53" s="125"/>
      <x:c r="I53" s="125"/>
      <x:c r="J53" s="125"/>
      <x:c r="K53" s="125"/>
      <x:c r="L53" s="125"/>
      <x:c r="M53" s="125"/>
      <x:c r="N53" s="125"/>
      <x:c r="O53" s="125"/>
      <x:c r="P53" s="125"/>
      <x:c r="Q53" s="125"/>
    </x:row>
    <x:row r="54">
      <x:c r="A54" s="125" t="n">
        <x:v>61</x:v>
      </x:c>
      <x:c r="B54" s="125" t="str">
        <x:v>Story 1.1 — Analyst starts the model</x:v>
      </x:c>
      <x:c r="C54" s="125"/>
      <x:c r="D54" s="125"/>
      <x:c r="E54" s="125"/>
      <x:c r="F54" s="125"/>
      <x:c r="G54" s="125"/>
      <x:c r="H54" s="125"/>
      <x:c r="I54" s="125"/>
      <x:c r="J54" s="125"/>
      <x:c r="K54" s="125"/>
      <x:c r="L54" s="125"/>
      <x:c r="M54" s="125"/>
      <x:c r="N54" s="125"/>
      <x:c r="O54" s="125"/>
      <x:c r="P54" s="125"/>
      <x:c r="Q54" s="125"/>
    </x:row>
    <x:row r="55">
      <x:c r="A55" s="125" t="n">
        <x:v>63</x:v>
      </x:c>
      <x:c r="B55" s="125" t="str">
        <x:v>As an analyst, I want a clear starting tab so I can understand how the workbook is structured before entering or reviewing data.</x:v>
      </x:c>
      <x:c r="C55" s="125"/>
      <x:c r="D55" s="125"/>
      <x:c r="E55" s="125"/>
      <x:c r="F55" s="125"/>
      <x:c r="G55" s="125"/>
      <x:c r="H55" s="125"/>
      <x:c r="I55" s="125"/>
      <x:c r="J55" s="125"/>
      <x:c r="K55" s="125"/>
      <x:c r="L55" s="125"/>
      <x:c r="M55" s="125"/>
      <x:c r="N55" s="125"/>
      <x:c r="O55" s="125"/>
      <x:c r="P55" s="125"/>
      <x:c r="Q55" s="125"/>
    </x:row>
    <x:row r="56">
      <x:c r="A56" s="125" t="n">
        <x:v>65</x:v>
      </x:c>
      <x:c r="B56" s="125" t="str">
        <x:v>Acceptance Criteria</x:v>
      </x:c>
      <x:c r="C56" s="125"/>
      <x:c r="D56" s="125"/>
      <x:c r="E56" s="125"/>
      <x:c r="F56" s="125"/>
      <x:c r="G56" s="125"/>
      <x:c r="H56" s="125"/>
      <x:c r="I56" s="125"/>
      <x:c r="J56" s="125"/>
      <x:c r="K56" s="125"/>
      <x:c r="L56" s="125"/>
      <x:c r="M56" s="125"/>
      <x:c r="N56" s="125"/>
      <x:c r="O56" s="125"/>
      <x:c r="P56" s="125"/>
      <x:c r="Q56" s="125"/>
    </x:row>
    <x:row r="57">
      <x:c r="A57" s="125" t="n">
        <x:v>67</x:v>
      </x:c>
      <x:c r="B57" s="125" t="str">
        <x:v>00_PLATFORM_INDEX explains model zones.</x:v>
      </x:c>
      <x:c r="C57" s="125"/>
      <x:c r="D57" s="125"/>
      <x:c r="E57" s="125"/>
      <x:c r="F57" s="125"/>
      <x:c r="G57" s="125"/>
      <x:c r="H57" s="125"/>
      <x:c r="I57" s="125"/>
      <x:c r="J57" s="125"/>
      <x:c r="K57" s="125"/>
      <x:c r="L57" s="125"/>
      <x:c r="M57" s="125"/>
      <x:c r="N57" s="125"/>
      <x:c r="O57" s="125"/>
      <x:c r="P57" s="125"/>
      <x:c r="Q57" s="125"/>
    </x:row>
    <x:row r="58">
      <x:c r="A58" s="125" t="n">
        <x:v>69</x:v>
      </x:c>
      <x:c r="B58" s="125" t="str">
        <x:v>Colour-code legend is visible.</x:v>
      </x:c>
      <x:c r="C58" s="125"/>
      <x:c r="D58" s="125"/>
      <x:c r="E58" s="125"/>
      <x:c r="F58" s="125"/>
      <x:c r="G58" s="125"/>
      <x:c r="H58" s="125"/>
      <x:c r="I58" s="125"/>
      <x:c r="J58" s="125"/>
      <x:c r="K58" s="125"/>
      <x:c r="L58" s="125"/>
      <x:c r="M58" s="125"/>
      <x:c r="N58" s="125"/>
      <x:c r="O58" s="125"/>
      <x:c r="P58" s="125"/>
      <x:c r="Q58" s="125"/>
    </x:row>
    <x:row r="59">
      <x:c r="A59" s="125" t="n">
        <x:v>71</x:v>
      </x:c>
      <x:c r="B59" s="125" t="str">
        <x:v>Key tabs are listed with purpose and status.</x:v>
      </x:c>
      <x:c r="C59" s="125"/>
      <x:c r="D59" s="125"/>
      <x:c r="E59" s="125"/>
      <x:c r="F59" s="125"/>
      <x:c r="G59" s="125"/>
      <x:c r="H59" s="125"/>
      <x:c r="I59" s="125"/>
      <x:c r="J59" s="125"/>
      <x:c r="K59" s="125"/>
      <x:c r="L59" s="125"/>
      <x:c r="M59" s="125"/>
      <x:c r="N59" s="125"/>
      <x:c r="O59" s="125"/>
      <x:c r="P59" s="125"/>
      <x:c r="Q59" s="125"/>
    </x:row>
    <x:row r="60">
      <x:c r="A60" s="125" t="n">
        <x:v>73</x:v>
      </x:c>
      <x:c r="B60" s="125" t="str">
        <x:v>Story 1.2 — AI agent knows where to write</x:v>
      </x:c>
      <x:c r="C60" s="125"/>
      <x:c r="D60" s="125"/>
      <x:c r="E60" s="125"/>
      <x:c r="F60" s="125"/>
      <x:c r="G60" s="125"/>
      <x:c r="H60" s="125"/>
      <x:c r="I60" s="125"/>
      <x:c r="J60" s="125"/>
      <x:c r="K60" s="125"/>
      <x:c r="L60" s="125"/>
      <x:c r="M60" s="125"/>
      <x:c r="N60" s="125"/>
      <x:c r="O60" s="125"/>
      <x:c r="P60" s="125"/>
      <x:c r="Q60" s="125"/>
    </x:row>
    <x:row r="61">
      <x:c r="A61" s="125" t="n">
        <x:v>75</x:v>
      </x:c>
      <x:c r="B61" s="125" t="str">
        <x:v>As an AI agent, I want a single control map so I know which tabs and ranges are approved for data entry.</x:v>
      </x:c>
      <x:c r="C61" s="125"/>
      <x:c r="D61" s="125"/>
      <x:c r="E61" s="125"/>
      <x:c r="F61" s="125"/>
      <x:c r="G61" s="125"/>
      <x:c r="H61" s="125"/>
      <x:c r="I61" s="125"/>
      <x:c r="J61" s="125"/>
      <x:c r="K61" s="125"/>
      <x:c r="L61" s="125"/>
      <x:c r="M61" s="125"/>
      <x:c r="N61" s="125"/>
      <x:c r="O61" s="125"/>
      <x:c r="P61" s="125"/>
      <x:c r="Q61" s="125"/>
    </x:row>
    <x:row r="62">
      <x:c r="A62" s="125" t="n">
        <x:v>77</x:v>
      </x:c>
      <x:c r="B62" s="125" t="str">
        <x:v>Acceptance Criteria</x:v>
      </x:c>
      <x:c r="C62" s="125"/>
      <x:c r="D62" s="125"/>
      <x:c r="E62" s="125"/>
      <x:c r="F62" s="125"/>
      <x:c r="G62" s="125"/>
      <x:c r="H62" s="125"/>
      <x:c r="I62" s="125"/>
      <x:c r="J62" s="125"/>
      <x:c r="K62" s="125"/>
      <x:c r="L62" s="125"/>
      <x:c r="M62" s="125"/>
      <x:c r="N62" s="125"/>
      <x:c r="O62" s="125"/>
      <x:c r="P62" s="125"/>
      <x:c r="Q62" s="125"/>
    </x:row>
    <x:row r="63">
      <x:c r="A63" s="125" t="n">
        <x:v>79</x:v>
      </x:c>
      <x:c r="B63" s="125" t="str">
        <x:v>INPUT_CONTROL_MAP identifies editable blue ranges.</x:v>
      </x:c>
      <x:c r="C63" s="125"/>
      <x:c r="D63" s="125"/>
      <x:c r="E63" s="125"/>
      <x:c r="F63" s="125"/>
      <x:c r="G63" s="125"/>
      <x:c r="H63" s="125"/>
      <x:c r="I63" s="125"/>
      <x:c r="J63" s="125"/>
      <x:c r="K63" s="125"/>
      <x:c r="L63" s="125"/>
      <x:c r="M63" s="125"/>
      <x:c r="N63" s="125"/>
      <x:c r="O63" s="125"/>
      <x:c r="P63" s="125"/>
      <x:c r="Q63" s="125"/>
    </x:row>
    <x:row r="64">
      <x:c r="A64" s="125" t="n">
        <x:v>81</x:v>
      </x:c>
      <x:c r="B64" s="125" t="str">
        <x:v>Formula and output areas are clearly marked as non-editable.</x:v>
      </x:c>
      <x:c r="C64" s="125"/>
      <x:c r="D64" s="125"/>
      <x:c r="E64" s="125"/>
      <x:c r="F64" s="125"/>
      <x:c r="G64" s="125"/>
      <x:c r="H64" s="125"/>
      <x:c r="I64" s="125"/>
      <x:c r="J64" s="125"/>
      <x:c r="K64" s="125"/>
      <x:c r="L64" s="125"/>
      <x:c r="M64" s="125"/>
      <x:c r="N64" s="125"/>
      <x:c r="O64" s="125"/>
      <x:c r="P64" s="125"/>
      <x:c r="Q64" s="125"/>
    </x:row>
    <x:row r="65">
      <x:c r="A65" s="125"/>
      <x:c r="B65" s="125"/>
      <x:c r="C65" s="125"/>
      <x:c r="D65" s="125"/>
      <x:c r="E65" s="125"/>
      <x:c r="F65" s="125"/>
      <x:c r="G65" s="125"/>
      <x:c r="H65" s="125"/>
      <x:c r="I65" s="125"/>
      <x:c r="J65" s="125"/>
      <x:c r="K65" s="125"/>
      <x:c r="L65" s="125"/>
      <x:c r="M65" s="125"/>
      <x:c r="N65" s="125"/>
      <x:c r="O65" s="125"/>
      <x:c r="P65" s="125"/>
      <x:c r="Q65" s="125"/>
    </x:row>
    <x:row r="66">
      <x:c r="A66" s="125"/>
      <x:c r="B66" s="125"/>
      <x:c r="C66" s="125"/>
      <x:c r="D66" s="125"/>
      <x:c r="E66" s="125"/>
      <x:c r="F66" s="125"/>
      <x:c r="G66" s="125"/>
      <x:c r="H66" s="125"/>
      <x:c r="I66" s="125"/>
      <x:c r="J66" s="125"/>
      <x:c r="K66" s="125"/>
      <x:c r="L66" s="125"/>
      <x:c r="M66" s="125"/>
      <x:c r="N66" s="125"/>
      <x:c r="O66" s="125"/>
      <x:c r="P66" s="125"/>
      <x:c r="Q66" s="125"/>
    </x:row>
    <x:row r="67">
      <x:c r="A67" s="125"/>
      <x:c r="B67" s="125"/>
      <x:c r="C67" s="125"/>
      <x:c r="D67" s="125"/>
      <x:c r="E67" s="125"/>
      <x:c r="F67" s="125"/>
      <x:c r="G67" s="125"/>
      <x:c r="H67" s="125"/>
      <x:c r="I67" s="125"/>
      <x:c r="J67" s="125"/>
      <x:c r="K67" s="125"/>
      <x:c r="L67" s="125"/>
      <x:c r="M67" s="125"/>
      <x:c r="N67" s="125"/>
      <x:c r="O67" s="125"/>
      <x:c r="P67" s="125"/>
      <x:c r="Q67" s="125"/>
    </x:row>
    <x:row r="68">
      <x:c r="A68" s="125"/>
      <x:c r="B68" s="125"/>
      <x:c r="C68" s="125"/>
      <x:c r="D68" s="125"/>
      <x:c r="E68" s="125"/>
      <x:c r="F68" s="125"/>
      <x:c r="G68" s="125"/>
      <x:c r="H68" s="125"/>
      <x:c r="I68" s="125"/>
      <x:c r="J68" s="125"/>
      <x:c r="K68" s="125"/>
      <x:c r="L68" s="125"/>
      <x:c r="M68" s="125"/>
      <x:c r="N68" s="125"/>
      <x:c r="O68" s="125"/>
      <x:c r="P68" s="125"/>
      <x:c r="Q68" s="125"/>
    </x:row>
    <x:row r="69">
      <x:c r="A69" s="125"/>
      <x:c r="B69" s="125"/>
      <x:c r="C69" s="125"/>
      <x:c r="D69" s="125"/>
      <x:c r="E69" s="125"/>
      <x:c r="F69" s="125"/>
      <x:c r="G69" s="125"/>
      <x:c r="H69" s="125"/>
      <x:c r="I69" s="125"/>
      <x:c r="J69" s="125"/>
      <x:c r="K69" s="125"/>
      <x:c r="L69" s="125"/>
      <x:c r="M69" s="125"/>
      <x:c r="N69" s="125"/>
      <x:c r="O69" s="125"/>
      <x:c r="P69" s="125"/>
      <x:c r="Q69" s="125"/>
    </x:row>
    <x:row r="70">
      <x:c r="A70" s="125"/>
      <x:c r="B70" s="125"/>
      <x:c r="C70" s="125"/>
      <x:c r="D70" s="125"/>
      <x:c r="E70" s="125"/>
      <x:c r="F70" s="125"/>
      <x:c r="G70" s="125"/>
      <x:c r="H70" s="125"/>
      <x:c r="I70" s="125"/>
      <x:c r="J70" s="125"/>
      <x:c r="K70" s="125"/>
      <x:c r="L70" s="125"/>
      <x:c r="M70" s="125"/>
      <x:c r="N70" s="125"/>
      <x:c r="O70" s="125"/>
      <x:c r="P70" s="125"/>
      <x:c r="Q70" s="125"/>
    </x:row>
    <x:row r="71">
      <x:c r="A71" s="125"/>
      <x:c r="B71" s="125"/>
      <x:c r="C71" s="125"/>
      <x:c r="D71" s="125"/>
      <x:c r="E71" s="125"/>
      <x:c r="F71" s="125"/>
      <x:c r="G71" s="125"/>
      <x:c r="H71" s="125"/>
      <x:c r="I71" s="125"/>
      <x:c r="J71" s="125"/>
      <x:c r="K71" s="125"/>
      <x:c r="L71" s="125"/>
      <x:c r="M71" s="125"/>
      <x:c r="N71" s="125"/>
      <x:c r="O71" s="125"/>
      <x:c r="P71" s="125"/>
      <x:c r="Q71" s="125"/>
    </x:row>
    <x:row r="72">
      <x:c r="A72" s="125"/>
      <x:c r="B72" s="125"/>
      <x:c r="C72" s="125"/>
      <x:c r="D72" s="125"/>
      <x:c r="E72" s="125"/>
      <x:c r="F72" s="125"/>
      <x:c r="G72" s="125"/>
      <x:c r="H72" s="125"/>
      <x:c r="I72" s="125"/>
      <x:c r="J72" s="125"/>
      <x:c r="K72" s="125"/>
      <x:c r="L72" s="125"/>
      <x:c r="M72" s="125"/>
      <x:c r="N72" s="125"/>
      <x:c r="O72" s="125"/>
      <x:c r="P72" s="125"/>
      <x:c r="Q72" s="125"/>
    </x:row>
    <x:row r="73">
      <x:c r="A73" s="125"/>
      <x:c r="B73" s="125"/>
      <x:c r="C73" s="125"/>
      <x:c r="D73" s="125"/>
      <x:c r="E73" s="125"/>
      <x:c r="F73" s="125"/>
      <x:c r="G73" s="125"/>
      <x:c r="H73" s="125"/>
      <x:c r="I73" s="125"/>
      <x:c r="J73" s="125"/>
      <x:c r="K73" s="125"/>
      <x:c r="L73" s="125"/>
      <x:c r="M73" s="125"/>
      <x:c r="N73" s="125"/>
      <x:c r="O73" s="125"/>
      <x:c r="P73" s="125"/>
      <x:c r="Q73" s="125"/>
    </x:row>
    <x:row r="74">
      <x:c r="A74" s="125"/>
      <x:c r="B74" s="125"/>
      <x:c r="C74" s="125"/>
      <x:c r="D74" s="125"/>
      <x:c r="E74" s="125"/>
      <x:c r="F74" s="125"/>
      <x:c r="G74" s="125"/>
      <x:c r="H74" s="125"/>
      <x:c r="I74" s="125"/>
      <x:c r="J74" s="125"/>
      <x:c r="K74" s="125"/>
      <x:c r="L74" s="125"/>
      <x:c r="M74" s="125"/>
      <x:c r="N74" s="125"/>
      <x:c r="O74" s="125"/>
      <x:c r="P74" s="125"/>
      <x:c r="Q74" s="125"/>
    </x:row>
    <x:row r="75">
      <x:c r="A75" s="125"/>
      <x:c r="B75" s="125"/>
      <x:c r="C75" s="125"/>
      <x:c r="D75" s="125"/>
      <x:c r="E75" s="125"/>
      <x:c r="F75" s="125"/>
      <x:c r="G75" s="125"/>
      <x:c r="H75" s="125"/>
      <x:c r="I75" s="125"/>
      <x:c r="J75" s="125"/>
      <x:c r="K75" s="125"/>
      <x:c r="L75" s="125"/>
      <x:c r="M75" s="125"/>
      <x:c r="N75" s="125"/>
      <x:c r="O75" s="125"/>
      <x:c r="P75" s="125"/>
      <x:c r="Q75" s="125"/>
    </x:row>
    <x:row r="76">
      <x:c r="A76" s="125"/>
      <x:c r="B76" s="125"/>
      <x:c r="C76" s="125"/>
      <x:c r="D76" s="125"/>
      <x:c r="E76" s="125"/>
      <x:c r="F76" s="125"/>
      <x:c r="G76" s="125"/>
      <x:c r="H76" s="125"/>
      <x:c r="I76" s="125"/>
      <x:c r="J76" s="125"/>
      <x:c r="K76" s="125"/>
      <x:c r="L76" s="125"/>
      <x:c r="M76" s="125"/>
      <x:c r="N76" s="125"/>
      <x:c r="O76" s="125"/>
      <x:c r="P76" s="125"/>
      <x:c r="Q76" s="125"/>
    </x:row>
    <x:row r="77">
      <x:c r="A77" s="125"/>
      <x:c r="B77" s="125"/>
      <x:c r="C77" s="125"/>
      <x:c r="D77" s="125"/>
      <x:c r="E77" s="125"/>
      <x:c r="F77" s="125"/>
      <x:c r="G77" s="125"/>
      <x:c r="H77" s="125"/>
      <x:c r="I77" s="125"/>
      <x:c r="J77" s="125"/>
      <x:c r="K77" s="125"/>
      <x:c r="L77" s="125"/>
      <x:c r="M77" s="125"/>
      <x:c r="N77" s="125"/>
      <x:c r="O77" s="125"/>
      <x:c r="P77" s="125"/>
      <x:c r="Q77" s="125"/>
    </x:row>
    <x:row r="78">
      <x:c r="A78" s="125"/>
      <x:c r="B78" s="125"/>
      <x:c r="C78" s="125"/>
      <x:c r="D78" s="125"/>
      <x:c r="E78" s="125"/>
      <x:c r="F78" s="125"/>
      <x:c r="G78" s="125"/>
      <x:c r="H78" s="125"/>
      <x:c r="I78" s="125"/>
      <x:c r="J78" s="125"/>
      <x:c r="K78" s="125"/>
      <x:c r="L78" s="125"/>
      <x:c r="M78" s="125"/>
      <x:c r="N78" s="125"/>
      <x:c r="O78" s="125"/>
      <x:c r="P78" s="125"/>
      <x:c r="Q78" s="125"/>
    </x:row>
    <x:row r="79">
      <x:c r="A79" s="125"/>
      <x:c r="B79" s="125"/>
      <x:c r="C79" s="125"/>
      <x:c r="D79" s="125"/>
      <x:c r="E79" s="125"/>
      <x:c r="F79" s="125"/>
      <x:c r="G79" s="125"/>
      <x:c r="H79" s="125"/>
      <x:c r="I79" s="125"/>
      <x:c r="J79" s="125"/>
      <x:c r="K79" s="125"/>
      <x:c r="L79" s="125"/>
      <x:c r="M79" s="125"/>
      <x:c r="N79" s="125"/>
      <x:c r="O79" s="125"/>
      <x:c r="P79" s="125"/>
      <x:c r="Q79" s="125"/>
    </x:row>
    <x:row r="80">
      <x:c r="A80" s="125"/>
      <x:c r="B80" s="125"/>
      <x:c r="C80" s="125"/>
      <x:c r="D80" s="125"/>
      <x:c r="E80" s="125"/>
      <x:c r="F80" s="125"/>
      <x:c r="G80" s="125"/>
      <x:c r="H80" s="125"/>
      <x:c r="I80" s="125"/>
      <x:c r="J80" s="125"/>
      <x:c r="K80" s="125"/>
      <x:c r="L80" s="125"/>
      <x:c r="M80" s="125"/>
      <x:c r="N80" s="125"/>
      <x:c r="O80" s="125"/>
      <x:c r="P80" s="125"/>
      <x:c r="Q80" s="125"/>
    </x:row>
    <x:row r="81">
      <x:c r="A81" s="125"/>
      <x:c r="B81" s="125"/>
      <x:c r="C81" s="125"/>
      <x:c r="D81" s="125"/>
      <x:c r="E81" s="125"/>
      <x:c r="F81" s="125"/>
      <x:c r="G81" s="125"/>
      <x:c r="H81" s="125"/>
      <x:c r="I81" s="125"/>
      <x:c r="J81" s="125"/>
      <x:c r="K81" s="125"/>
      <x:c r="L81" s="125"/>
      <x:c r="M81" s="125"/>
      <x:c r="N81" s="125"/>
      <x:c r="O81" s="125"/>
      <x:c r="P81" s="125"/>
      <x:c r="Q81" s="125"/>
    </x:row>
    <x:row r="82">
      <x:c r="A82" s="125"/>
      <x:c r="B82" s="125"/>
      <x:c r="C82" s="125"/>
      <x:c r="D82" s="125"/>
      <x:c r="E82" s="125"/>
      <x:c r="F82" s="125"/>
      <x:c r="G82" s="125"/>
      <x:c r="H82" s="125"/>
      <x:c r="I82" s="125"/>
      <x:c r="J82" s="125"/>
      <x:c r="K82" s="125"/>
      <x:c r="L82" s="125"/>
      <x:c r="M82" s="125"/>
      <x:c r="N82" s="125"/>
      <x:c r="O82" s="125"/>
      <x:c r="P82" s="125"/>
      <x:c r="Q82" s="125"/>
    </x:row>
    <x:row r="83">
      <x:c r="A83" s="125"/>
      <x:c r="B83" s="125"/>
      <x:c r="C83" s="125"/>
      <x:c r="D83" s="125"/>
      <x:c r="E83" s="125"/>
      <x:c r="F83" s="125"/>
      <x:c r="G83" s="125"/>
      <x:c r="H83" s="125"/>
      <x:c r="I83" s="125"/>
      <x:c r="J83" s="125"/>
      <x:c r="K83" s="125"/>
      <x:c r="L83" s="125"/>
      <x:c r="M83" s="125"/>
      <x:c r="N83" s="125"/>
      <x:c r="O83" s="125"/>
      <x:c r="P83" s="125"/>
      <x:c r="Q83" s="125"/>
    </x:row>
    <x:row r="84">
      <x:c r="A84" s="125"/>
      <x:c r="B84" s="125"/>
      <x:c r="C84" s="125"/>
      <x:c r="D84" s="125"/>
      <x:c r="E84" s="125"/>
      <x:c r="F84" s="125"/>
      <x:c r="G84" s="125"/>
      <x:c r="H84" s="125"/>
      <x:c r="I84" s="125"/>
      <x:c r="J84" s="125"/>
      <x:c r="K84" s="125"/>
      <x:c r="L84" s="125"/>
      <x:c r="M84" s="125"/>
      <x:c r="N84" s="125"/>
      <x:c r="O84" s="125"/>
      <x:c r="P84" s="125"/>
      <x:c r="Q84" s="125"/>
    </x:row>
    <x:row r="85">
      <x:c r="A85" s="125"/>
      <x:c r="B85" s="125"/>
      <x:c r="C85" s="125"/>
      <x:c r="D85" s="125"/>
      <x:c r="E85" s="125"/>
      <x:c r="F85" s="125"/>
      <x:c r="G85" s="125"/>
      <x:c r="H85" s="125"/>
      <x:c r="I85" s="125"/>
      <x:c r="J85" s="125"/>
      <x:c r="K85" s="125"/>
      <x:c r="L85" s="125"/>
      <x:c r="M85" s="125"/>
      <x:c r="N85" s="125"/>
      <x:c r="O85" s="125"/>
      <x:c r="P85" s="125"/>
      <x:c r="Q85" s="125"/>
    </x:row>
    <x:row r="86">
      <x:c r="A86" s="125"/>
      <x:c r="B86" s="125"/>
      <x:c r="C86" s="125"/>
      <x:c r="D86" s="125"/>
      <x:c r="E86" s="125"/>
      <x:c r="F86" s="125"/>
      <x:c r="G86" s="125"/>
      <x:c r="H86" s="125"/>
      <x:c r="I86" s="125"/>
      <x:c r="J86" s="125"/>
      <x:c r="K86" s="125"/>
      <x:c r="L86" s="125"/>
      <x:c r="M86" s="125"/>
      <x:c r="N86" s="125"/>
      <x:c r="O86" s="125"/>
      <x:c r="P86" s="125"/>
      <x:c r="Q86" s="125"/>
    </x:row>
    <x:row r="87">
      <x:c r="A87" s="125"/>
      <x:c r="B87" s="125"/>
      <x:c r="C87" s="125"/>
      <x:c r="D87" s="125"/>
      <x:c r="E87" s="125"/>
      <x:c r="F87" s="125"/>
      <x:c r="G87" s="125"/>
      <x:c r="H87" s="125"/>
      <x:c r="I87" s="125"/>
      <x:c r="J87" s="125"/>
      <x:c r="K87" s="125"/>
      <x:c r="L87" s="125"/>
      <x:c r="M87" s="125"/>
      <x:c r="N87" s="125"/>
      <x:c r="O87" s="125"/>
      <x:c r="P87" s="125"/>
      <x:c r="Q87" s="125"/>
    </x:row>
    <x:row r="88">
      <x:c r="A88" s="125"/>
      <x:c r="B88" s="125"/>
      <x:c r="C88" s="125"/>
      <x:c r="D88" s="125"/>
      <x:c r="E88" s="125"/>
      <x:c r="F88" s="125"/>
      <x:c r="G88" s="125"/>
      <x:c r="H88" s="125"/>
      <x:c r="I88" s="125"/>
      <x:c r="J88" s="125"/>
      <x:c r="K88" s="125"/>
      <x:c r="L88" s="125"/>
      <x:c r="M88" s="125"/>
      <x:c r="N88" s="125"/>
      <x:c r="O88" s="125"/>
      <x:c r="P88" s="125"/>
      <x:c r="Q88" s="125"/>
    </x:row>
    <x:row r="89">
      <x:c r="A89" s="125"/>
      <x:c r="B89" s="125"/>
      <x:c r="C89" s="125"/>
      <x:c r="D89" s="125"/>
      <x:c r="E89" s="125"/>
      <x:c r="F89" s="125"/>
      <x:c r="G89" s="125"/>
      <x:c r="H89" s="125"/>
      <x:c r="I89" s="125"/>
      <x:c r="J89" s="125"/>
      <x:c r="K89" s="125"/>
      <x:c r="L89" s="125"/>
      <x:c r="M89" s="125"/>
      <x:c r="N89" s="125"/>
      <x:c r="O89" s="125"/>
      <x:c r="P89" s="125"/>
      <x:c r="Q89" s="125"/>
    </x:row>
    <x:row r="90">
      <x:c r="A90" s="125"/>
      <x:c r="B90" s="125"/>
      <x:c r="C90" s="125"/>
      <x:c r="D90" s="125"/>
      <x:c r="E90" s="125"/>
      <x:c r="F90" s="125"/>
      <x:c r="G90" s="125"/>
      <x:c r="H90" s="125"/>
      <x:c r="I90" s="125"/>
      <x:c r="J90" s="125"/>
      <x:c r="K90" s="125"/>
      <x:c r="L90" s="125"/>
      <x:c r="M90" s="125"/>
      <x:c r="N90" s="125"/>
      <x:c r="O90" s="125"/>
      <x:c r="P90" s="125"/>
      <x:c r="Q90" s="125"/>
    </x:row>
    <x:row r="91">
      <x:c r="A91" s="125"/>
      <x:c r="B91" s="125"/>
      <x:c r="C91" s="125"/>
      <x:c r="D91" s="125"/>
      <x:c r="E91" s="125"/>
      <x:c r="F91" s="125"/>
      <x:c r="G91" s="125"/>
      <x:c r="H91" s="125"/>
      <x:c r="I91" s="125"/>
      <x:c r="J91" s="125"/>
      <x:c r="K91" s="125"/>
      <x:c r="L91" s="125"/>
      <x:c r="M91" s="125"/>
      <x:c r="N91" s="125"/>
      <x:c r="O91" s="125"/>
      <x:c r="P91" s="125"/>
      <x:c r="Q91" s="125"/>
    </x:row>
    <x:row r="92">
      <x:c r="A92" s="125"/>
      <x:c r="B92" s="125"/>
      <x:c r="C92" s="125"/>
      <x:c r="D92" s="125"/>
      <x:c r="E92" s="125"/>
      <x:c r="F92" s="125"/>
      <x:c r="G92" s="125"/>
      <x:c r="H92" s="125"/>
      <x:c r="I92" s="125"/>
      <x:c r="J92" s="125"/>
      <x:c r="K92" s="125"/>
      <x:c r="L92" s="125"/>
      <x:c r="M92" s="125"/>
      <x:c r="N92" s="125"/>
      <x:c r="O92" s="125"/>
      <x:c r="P92" s="125"/>
      <x:c r="Q92" s="125"/>
    </x:row>
    <x:row r="93">
      <x:c r="A93" s="125"/>
      <x:c r="B93" s="125"/>
      <x:c r="C93" s="125"/>
      <x:c r="D93" s="125"/>
      <x:c r="E93" s="125"/>
      <x:c r="F93" s="125"/>
      <x:c r="G93" s="125"/>
      <x:c r="H93" s="125"/>
      <x:c r="I93" s="125"/>
      <x:c r="J93" s="125"/>
      <x:c r="K93" s="125"/>
      <x:c r="L93" s="125"/>
      <x:c r="M93" s="125"/>
      <x:c r="N93" s="125"/>
      <x:c r="O93" s="125"/>
      <x:c r="P93" s="125"/>
      <x:c r="Q93" s="125"/>
    </x:row>
    <x:row r="94">
      <x:c r="A94" s="125"/>
      <x:c r="B94" s="125"/>
      <x:c r="C94" s="125"/>
      <x:c r="D94" s="125"/>
      <x:c r="E94" s="125"/>
      <x:c r="F94" s="125"/>
      <x:c r="G94" s="125"/>
      <x:c r="H94" s="125"/>
      <x:c r="I94" s="125"/>
      <x:c r="J94" s="125"/>
      <x:c r="K94" s="125"/>
      <x:c r="L94" s="125"/>
      <x:c r="M94" s="125"/>
      <x:c r="N94" s="125"/>
      <x:c r="O94" s="125"/>
      <x:c r="P94" s="125"/>
      <x:c r="Q94" s="125"/>
    </x:row>
    <x:row r="95">
      <x:c r="A95" s="125"/>
      <x:c r="B95" s="125"/>
      <x:c r="C95" s="125"/>
      <x:c r="D95" s="125"/>
      <x:c r="E95" s="125"/>
      <x:c r="F95" s="125"/>
      <x:c r="G95" s="125"/>
      <x:c r="H95" s="125"/>
      <x:c r="I95" s="125"/>
      <x:c r="J95" s="125"/>
      <x:c r="K95" s="125"/>
      <x:c r="L95" s="125"/>
      <x:c r="M95" s="125"/>
      <x:c r="N95" s="125"/>
      <x:c r="O95" s="125"/>
      <x:c r="P95" s="125"/>
      <x:c r="Q95" s="125"/>
    </x:row>
    <x:row r="96">
      <x:c r="A96" s="125"/>
      <x:c r="B96" s="125"/>
      <x:c r="C96" s="125"/>
      <x:c r="D96" s="125"/>
      <x:c r="E96" s="125"/>
      <x:c r="F96" s="125"/>
      <x:c r="G96" s="125"/>
      <x:c r="H96" s="125"/>
      <x:c r="I96" s="125"/>
      <x:c r="J96" s="125"/>
      <x:c r="K96" s="125"/>
      <x:c r="L96" s="125"/>
      <x:c r="M96" s="125"/>
      <x:c r="N96" s="125"/>
      <x:c r="O96" s="125"/>
      <x:c r="P96" s="125"/>
      <x:c r="Q96" s="125"/>
    </x:row>
    <x:row r="97">
      <x:c r="A97" s="125"/>
      <x:c r="B97" s="125"/>
      <x:c r="C97" s="125"/>
      <x:c r="D97" s="125"/>
      <x:c r="E97" s="125"/>
      <x:c r="F97" s="125"/>
      <x:c r="G97" s="125"/>
      <x:c r="H97" s="125"/>
      <x:c r="I97" s="125"/>
      <x:c r="J97" s="125"/>
      <x:c r="K97" s="125"/>
      <x:c r="L97" s="125"/>
      <x:c r="M97" s="125"/>
      <x:c r="N97" s="125"/>
      <x:c r="O97" s="125"/>
      <x:c r="P97" s="125"/>
      <x:c r="Q97" s="125"/>
    </x:row>
    <x:row r="98">
      <x:c r="A98" s="125"/>
      <x:c r="B98" s="125"/>
      <x:c r="C98" s="125"/>
      <x:c r="D98" s="125"/>
      <x:c r="E98" s="125"/>
      <x:c r="F98" s="125"/>
      <x:c r="G98" s="125"/>
      <x:c r="H98" s="125"/>
      <x:c r="I98" s="125"/>
      <x:c r="J98" s="125"/>
      <x:c r="K98" s="125"/>
      <x:c r="L98" s="125"/>
      <x:c r="M98" s="125"/>
      <x:c r="N98" s="125"/>
      <x:c r="O98" s="125"/>
      <x:c r="P98" s="125"/>
      <x:c r="Q98" s="125"/>
    </x:row>
    <x:row r="99">
      <x:c r="A99" s="125"/>
      <x:c r="B99" s="125"/>
      <x:c r="C99" s="125"/>
      <x:c r="D99" s="125"/>
      <x:c r="E99" s="125"/>
      <x:c r="F99" s="125"/>
      <x:c r="G99" s="125"/>
      <x:c r="H99" s="125"/>
      <x:c r="I99" s="125"/>
      <x:c r="J99" s="125"/>
      <x:c r="K99" s="125"/>
      <x:c r="L99" s="125"/>
      <x:c r="M99" s="125"/>
      <x:c r="N99" s="125"/>
      <x:c r="O99" s="125"/>
      <x:c r="P99" s="125"/>
      <x:c r="Q99" s="125"/>
    </x:row>
    <x:row r="100">
      <x:c r="A100" s="125"/>
      <x:c r="B100" s="125"/>
      <x:c r="C100" s="125"/>
      <x:c r="D100" s="125"/>
      <x:c r="E100" s="125"/>
      <x:c r="F100" s="125"/>
      <x:c r="G100" s="125"/>
      <x:c r="H100" s="125"/>
      <x:c r="I100" s="125"/>
      <x:c r="J100" s="125"/>
      <x:c r="K100" s="125"/>
      <x:c r="L100" s="125"/>
      <x:c r="M100" s="125"/>
      <x:c r="N100" s="125"/>
      <x:c r="O100" s="125"/>
      <x:c r="P100" s="125"/>
      <x:c r="Q100" s="125"/>
    </x:row>
    <x:row r="101">
      <x:c r="A101" s="125"/>
      <x:c r="B101" s="125"/>
      <x:c r="C101" s="125"/>
      <x:c r="D101" s="125"/>
      <x:c r="E101" s="125"/>
      <x:c r="F101" s="125"/>
      <x:c r="G101" s="125"/>
      <x:c r="H101" s="125"/>
      <x:c r="I101" s="125"/>
      <x:c r="J101" s="125"/>
      <x:c r="K101" s="125"/>
      <x:c r="L101" s="125"/>
      <x:c r="M101" s="125"/>
      <x:c r="N101" s="125"/>
      <x:c r="O101" s="125"/>
      <x:c r="P101" s="125"/>
      <x:c r="Q101" s="125"/>
    </x:row>
    <x:row r="102">
      <x:c r="A102" s="125"/>
      <x:c r="B102" s="125"/>
      <x:c r="C102" s="125"/>
      <x:c r="D102" s="125"/>
      <x:c r="E102" s="125"/>
      <x:c r="F102" s="125"/>
      <x:c r="G102" s="125"/>
      <x:c r="H102" s="125"/>
      <x:c r="I102" s="125"/>
      <x:c r="J102" s="125"/>
      <x:c r="K102" s="125"/>
      <x:c r="L102" s="125"/>
      <x:c r="M102" s="125"/>
      <x:c r="N102" s="125"/>
      <x:c r="O102" s="125"/>
      <x:c r="P102" s="125"/>
      <x:c r="Q102" s="125"/>
    </x:row>
    <x:row r="103">
      <x:c r="A103" s="125"/>
      <x:c r="B103" s="125"/>
      <x:c r="C103" s="125"/>
      <x:c r="D103" s="125"/>
      <x:c r="E103" s="125"/>
      <x:c r="F103" s="125"/>
      <x:c r="G103" s="125"/>
      <x:c r="H103" s="125"/>
      <x:c r="I103" s="125"/>
      <x:c r="J103" s="125"/>
      <x:c r="K103" s="125"/>
      <x:c r="L103" s="125"/>
      <x:c r="M103" s="125"/>
      <x:c r="N103" s="125"/>
      <x:c r="O103" s="125"/>
      <x:c r="P103" s="125"/>
      <x:c r="Q103" s="125"/>
    </x:row>
    <x:row r="104">
      <x:c r="A104" s="125"/>
      <x:c r="B104" s="125"/>
      <x:c r="C104" s="125"/>
      <x:c r="D104" s="125"/>
      <x:c r="E104" s="125"/>
      <x:c r="F104" s="125"/>
      <x:c r="G104" s="125"/>
      <x:c r="H104" s="125"/>
      <x:c r="I104" s="125"/>
      <x:c r="J104" s="125"/>
      <x:c r="K104" s="125"/>
      <x:c r="L104" s="125"/>
      <x:c r="M104" s="125"/>
      <x:c r="N104" s="125"/>
      <x:c r="O104" s="125"/>
      <x:c r="P104" s="125"/>
      <x:c r="Q104" s="125"/>
    </x:row>
    <x:row r="105">
      <x:c r="A105" s="125"/>
      <x:c r="B105" s="125"/>
      <x:c r="C105" s="125"/>
      <x:c r="D105" s="125"/>
      <x:c r="E105" s="125"/>
      <x:c r="F105" s="125"/>
      <x:c r="G105" s="125"/>
      <x:c r="H105" s="125"/>
      <x:c r="I105" s="125"/>
      <x:c r="J105" s="125"/>
      <x:c r="K105" s="125"/>
      <x:c r="L105" s="125"/>
      <x:c r="M105" s="125"/>
      <x:c r="N105" s="125"/>
      <x:c r="O105" s="125"/>
      <x:c r="P105" s="125"/>
      <x:c r="Q105" s="125"/>
    </x:row>
    <x:row r="106">
      <x:c r="A106" s="125"/>
      <x:c r="B106" s="125"/>
      <x:c r="C106" s="125"/>
      <x:c r="D106" s="125"/>
      <x:c r="E106" s="125"/>
      <x:c r="F106" s="125"/>
      <x:c r="G106" s="125"/>
      <x:c r="H106" s="125"/>
      <x:c r="I106" s="125"/>
      <x:c r="J106" s="125"/>
      <x:c r="K106" s="125"/>
      <x:c r="L106" s="125"/>
      <x:c r="M106" s="125"/>
      <x:c r="N106" s="125"/>
      <x:c r="O106" s="125"/>
      <x:c r="P106" s="125"/>
      <x:c r="Q106" s="125"/>
    </x:row>
    <x:row r="107">
      <x:c r="A107" s="125"/>
      <x:c r="B107" s="125"/>
      <x:c r="C107" s="125"/>
      <x:c r="D107" s="125"/>
      <x:c r="E107" s="125"/>
      <x:c r="F107" s="125"/>
      <x:c r="G107" s="125"/>
      <x:c r="H107" s="125"/>
      <x:c r="I107" s="125"/>
      <x:c r="J107" s="125"/>
      <x:c r="K107" s="125"/>
      <x:c r="L107" s="125"/>
      <x:c r="M107" s="125"/>
      <x:c r="N107" s="125"/>
      <x:c r="O107" s="125"/>
      <x:c r="P107" s="125"/>
      <x:c r="Q107" s="125"/>
    </x:row>
    <x:row r="108">
      <x:c r="A108" s="125"/>
      <x:c r="B108" s="125"/>
      <x:c r="C108" s="125"/>
      <x:c r="D108" s="125"/>
      <x:c r="E108" s="125"/>
      <x:c r="F108" s="125"/>
      <x:c r="G108" s="125"/>
      <x:c r="H108" s="125"/>
      <x:c r="I108" s="125"/>
      <x:c r="J108" s="125"/>
      <x:c r="K108" s="125"/>
      <x:c r="L108" s="125"/>
      <x:c r="M108" s="125"/>
      <x:c r="N108" s="125"/>
      <x:c r="O108" s="125"/>
      <x:c r="P108" s="125"/>
      <x:c r="Q108" s="125"/>
    </x:row>
    <x:row r="109">
      <x:c r="A109" s="125"/>
      <x:c r="B109" s="125"/>
      <x:c r="C109" s="125"/>
      <x:c r="D109" s="125"/>
      <x:c r="E109" s="125"/>
      <x:c r="F109" s="125"/>
      <x:c r="G109" s="125"/>
      <x:c r="H109" s="125"/>
      <x:c r="I109" s="125"/>
      <x:c r="J109" s="125"/>
      <x:c r="K109" s="125"/>
      <x:c r="L109" s="125"/>
      <x:c r="M109" s="125"/>
      <x:c r="N109" s="125"/>
      <x:c r="O109" s="125"/>
      <x:c r="P109" s="125"/>
      <x:c r="Q109" s="125"/>
    </x:row>
    <x:row r="110">
      <x:c r="A110" s="125"/>
      <x:c r="B110" s="125"/>
      <x:c r="C110" s="125"/>
      <x:c r="D110" s="125"/>
      <x:c r="E110" s="125"/>
      <x:c r="F110" s="125"/>
      <x:c r="G110" s="125"/>
      <x:c r="H110" s="125"/>
      <x:c r="I110" s="125"/>
      <x:c r="J110" s="125"/>
      <x:c r="K110" s="125"/>
      <x:c r="L110" s="125"/>
      <x:c r="M110" s="125"/>
      <x:c r="N110" s="125"/>
      <x:c r="O110" s="125"/>
      <x:c r="P110" s="125"/>
      <x:c r="Q110" s="125"/>
    </x:row>
    <x:row r="111">
      <x:c r="A111" s="125"/>
      <x:c r="B111" s="125"/>
      <x:c r="C111" s="125"/>
      <x:c r="D111" s="125"/>
      <x:c r="E111" s="125"/>
      <x:c r="F111" s="125"/>
      <x:c r="G111" s="125"/>
      <x:c r="H111" s="125"/>
      <x:c r="I111" s="125"/>
      <x:c r="J111" s="125"/>
      <x:c r="K111" s="125"/>
      <x:c r="L111" s="125"/>
      <x:c r="M111" s="125"/>
      <x:c r="N111" s="125"/>
      <x:c r="O111" s="125"/>
      <x:c r="P111" s="125"/>
      <x:c r="Q111" s="125"/>
    </x:row>
    <x:row r="112">
      <x:c r="A112" s="125"/>
      <x:c r="B112" s="125"/>
      <x:c r="C112" s="125"/>
      <x:c r="D112" s="125"/>
      <x:c r="E112" s="125"/>
      <x:c r="F112" s="125"/>
      <x:c r="G112" s="125"/>
      <x:c r="H112" s="125"/>
      <x:c r="I112" s="125"/>
      <x:c r="J112" s="125"/>
      <x:c r="K112" s="125"/>
      <x:c r="L112" s="125"/>
      <x:c r="M112" s="125"/>
      <x:c r="N112" s="125"/>
      <x:c r="O112" s="125"/>
      <x:c r="P112" s="125"/>
      <x:c r="Q112" s="125"/>
    </x:row>
    <x:row r="113">
      <x:c r="A113" s="125"/>
      <x:c r="B113" s="125"/>
      <x:c r="C113" s="125"/>
      <x:c r="D113" s="125"/>
      <x:c r="E113" s="125"/>
      <x:c r="F113" s="125"/>
      <x:c r="G113" s="125"/>
      <x:c r="H113" s="125"/>
      <x:c r="I113" s="125"/>
      <x:c r="J113" s="125"/>
      <x:c r="K113" s="125"/>
      <x:c r="L113" s="125"/>
      <x:c r="M113" s="125"/>
      <x:c r="N113" s="125"/>
      <x:c r="O113" s="125"/>
      <x:c r="P113" s="125"/>
      <x:c r="Q113" s="125"/>
    </x:row>
    <x:row r="114">
      <x:c r="A114" s="125"/>
      <x:c r="B114" s="125"/>
      <x:c r="C114" s="125"/>
      <x:c r="D114" s="125"/>
      <x:c r="E114" s="125"/>
      <x:c r="F114" s="125"/>
      <x:c r="G114" s="125"/>
      <x:c r="H114" s="125"/>
      <x:c r="I114" s="125"/>
      <x:c r="J114" s="125"/>
      <x:c r="K114" s="125"/>
      <x:c r="L114" s="125"/>
      <x:c r="M114" s="125"/>
      <x:c r="N114" s="125"/>
      <x:c r="O114" s="125"/>
      <x:c r="P114" s="125"/>
      <x:c r="Q114" s="125"/>
    </x:row>
    <x:row r="115">
      <x:c r="A115" s="125"/>
      <x:c r="B115" s="125"/>
      <x:c r="C115" s="125"/>
      <x:c r="D115" s="125"/>
      <x:c r="E115" s="125"/>
      <x:c r="F115" s="125"/>
      <x:c r="G115" s="125"/>
      <x:c r="H115" s="125"/>
      <x:c r="I115" s="125"/>
      <x:c r="J115" s="125"/>
      <x:c r="K115" s="125"/>
      <x:c r="L115" s="125"/>
      <x:c r="M115" s="125"/>
      <x:c r="N115" s="125"/>
      <x:c r="O115" s="125"/>
      <x:c r="P115" s="125"/>
      <x:c r="Q115" s="125"/>
    </x:row>
    <x:row r="116">
      <x:c r="A116" s="125"/>
      <x:c r="B116" s="125"/>
      <x:c r="C116" s="125"/>
      <x:c r="D116" s="125"/>
      <x:c r="E116" s="125"/>
      <x:c r="F116" s="125"/>
      <x:c r="G116" s="125"/>
      <x:c r="H116" s="125"/>
      <x:c r="I116" s="125"/>
      <x:c r="J116" s="125"/>
      <x:c r="K116" s="125"/>
      <x:c r="L116" s="125"/>
      <x:c r="M116" s="125"/>
      <x:c r="N116" s="125"/>
      <x:c r="O116" s="125"/>
      <x:c r="P116" s="125"/>
      <x:c r="Q116" s="125"/>
    </x:row>
    <x:row r="117">
      <x:c r="A117" s="125"/>
      <x:c r="B117" s="125"/>
      <x:c r="C117" s="125"/>
      <x:c r="D117" s="125"/>
      <x:c r="E117" s="125"/>
      <x:c r="F117" s="125"/>
      <x:c r="G117" s="125"/>
      <x:c r="H117" s="125"/>
      <x:c r="I117" s="125"/>
      <x:c r="J117" s="125"/>
      <x:c r="K117" s="125"/>
      <x:c r="L117" s="125"/>
      <x:c r="M117" s="125"/>
      <x:c r="N117" s="125"/>
      <x:c r="O117" s="125"/>
      <x:c r="P117" s="125"/>
      <x:c r="Q117" s="125"/>
    </x:row>
    <x:row r="118">
      <x:c r="A118" s="125"/>
      <x:c r="B118" s="125"/>
      <x:c r="C118" s="125"/>
      <x:c r="D118" s="125"/>
      <x:c r="E118" s="125"/>
      <x:c r="F118" s="125"/>
      <x:c r="G118" s="125"/>
      <x:c r="H118" s="125"/>
      <x:c r="I118" s="125"/>
      <x:c r="J118" s="125"/>
      <x:c r="K118" s="125"/>
      <x:c r="L118" s="125"/>
      <x:c r="M118" s="125"/>
      <x:c r="N118" s="125"/>
      <x:c r="O118" s="125"/>
      <x:c r="P118" s="125"/>
      <x:c r="Q118" s="125"/>
    </x:row>
    <x:row r="119">
      <x:c r="A119" s="125"/>
      <x:c r="B119" s="125"/>
      <x:c r="C119" s="125"/>
      <x:c r="D119" s="125"/>
      <x:c r="E119" s="125"/>
      <x:c r="F119" s="125"/>
      <x:c r="G119" s="125"/>
      <x:c r="H119" s="125"/>
      <x:c r="I119" s="125"/>
      <x:c r="J119" s="125"/>
      <x:c r="K119" s="125"/>
      <x:c r="L119" s="125"/>
      <x:c r="M119" s="125"/>
      <x:c r="N119" s="125"/>
      <x:c r="O119" s="125"/>
      <x:c r="P119" s="125"/>
      <x:c r="Q119" s="125"/>
    </x:row>
    <x:row r="120">
      <x:c r="A120" s="125"/>
      <x:c r="B120" s="125"/>
      <x:c r="C120" s="125"/>
      <x:c r="D120" s="125"/>
      <x:c r="E120" s="125"/>
      <x:c r="F120" s="125"/>
      <x:c r="G120" s="125"/>
      <x:c r="H120" s="125"/>
      <x:c r="I120" s="125"/>
      <x:c r="J120" s="125"/>
      <x:c r="K120" s="125"/>
      <x:c r="L120" s="125"/>
      <x:c r="M120" s="125"/>
      <x:c r="N120" s="125"/>
      <x:c r="O120" s="125"/>
      <x:c r="P120" s="125"/>
      <x:c r="Q120" s="125"/>
    </x:row>
    <x:row r="121">
      <x:c r="A121" s="125"/>
      <x:c r="B121" s="125"/>
      <x:c r="C121" s="125"/>
      <x:c r="D121" s="125"/>
      <x:c r="E121" s="125"/>
      <x:c r="F121" s="125"/>
      <x:c r="G121" s="125"/>
      <x:c r="H121" s="125"/>
      <x:c r="I121" s="125"/>
      <x:c r="J121" s="125"/>
      <x:c r="K121" s="125"/>
      <x:c r="L121" s="125"/>
      <x:c r="M121" s="125"/>
      <x:c r="N121" s="125"/>
      <x:c r="O121" s="125"/>
      <x:c r="P121" s="125"/>
      <x:c r="Q121" s="125"/>
    </x:row>
    <x:row r="122">
      <x:c r="A122" s="125"/>
      <x:c r="B122" s="125"/>
      <x:c r="C122" s="125"/>
      <x:c r="D122" s="125"/>
      <x:c r="E122" s="125"/>
      <x:c r="F122" s="125"/>
      <x:c r="G122" s="125"/>
      <x:c r="H122" s="125"/>
      <x:c r="I122" s="125"/>
      <x:c r="J122" s="125"/>
      <x:c r="K122" s="125"/>
      <x:c r="L122" s="125"/>
      <x:c r="M122" s="125"/>
      <x:c r="N122" s="125"/>
      <x:c r="O122" s="125"/>
      <x:c r="P122" s="125"/>
      <x:c r="Q122" s="125"/>
    </x:row>
    <x:row r="123">
      <x:c r="A123" s="125"/>
      <x:c r="B123" s="125"/>
      <x:c r="C123" s="125"/>
      <x:c r="D123" s="125"/>
      <x:c r="E123" s="125"/>
      <x:c r="F123" s="125"/>
      <x:c r="G123" s="125"/>
      <x:c r="H123" s="125"/>
      <x:c r="I123" s="125"/>
      <x:c r="J123" s="125"/>
      <x:c r="K123" s="125"/>
      <x:c r="L123" s="125"/>
      <x:c r="M123" s="125"/>
      <x:c r="N123" s="125"/>
      <x:c r="O123" s="125"/>
      <x:c r="P123" s="125"/>
      <x:c r="Q123" s="125"/>
    </x:row>
    <x:row r="124">
      <x:c r="A124" s="125"/>
      <x:c r="B124" s="125"/>
      <x:c r="C124" s="125"/>
      <x:c r="D124" s="125"/>
      <x:c r="E124" s="125"/>
      <x:c r="F124" s="125"/>
      <x:c r="G124" s="125"/>
      <x:c r="H124" s="125"/>
      <x:c r="I124" s="125"/>
      <x:c r="J124" s="125"/>
      <x:c r="K124" s="125"/>
      <x:c r="L124" s="125"/>
      <x:c r="M124" s="125"/>
      <x:c r="N124" s="125"/>
      <x:c r="O124" s="125"/>
      <x:c r="P124" s="125"/>
      <x:c r="Q124" s="125"/>
    </x:row>
    <x:row r="125">
      <x:c r="A125" s="125"/>
      <x:c r="B125" s="125"/>
      <x:c r="C125" s="125"/>
      <x:c r="D125" s="125"/>
      <x:c r="E125" s="125"/>
      <x:c r="F125" s="125"/>
      <x:c r="G125" s="125"/>
      <x:c r="H125" s="125"/>
      <x:c r="I125" s="125"/>
      <x:c r="J125" s="125"/>
      <x:c r="K125" s="125"/>
      <x:c r="L125" s="125"/>
      <x:c r="M125" s="125"/>
      <x:c r="N125" s="125"/>
      <x:c r="O125" s="125"/>
      <x:c r="P125" s="125"/>
      <x:c r="Q125" s="125"/>
    </x:row>
    <x:row r="126">
      <x:c r="A126" s="125"/>
      <x:c r="B126" s="125"/>
      <x:c r="C126" s="125"/>
      <x:c r="D126" s="125"/>
      <x:c r="E126" s="125"/>
      <x:c r="F126" s="125"/>
      <x:c r="G126" s="125"/>
      <x:c r="H126" s="125"/>
      <x:c r="I126" s="125"/>
      <x:c r="J126" s="125"/>
      <x:c r="K126" s="125"/>
      <x:c r="L126" s="125"/>
      <x:c r="M126" s="125"/>
      <x:c r="N126" s="125"/>
      <x:c r="O126" s="125"/>
      <x:c r="P126" s="125"/>
      <x:c r="Q126" s="125"/>
    </x:row>
    <x:row r="127">
      <x:c r="A127" s="125"/>
      <x:c r="B127" s="125"/>
      <x:c r="C127" s="125"/>
      <x:c r="D127" s="125"/>
      <x:c r="E127" s="125"/>
      <x:c r="F127" s="125"/>
      <x:c r="G127" s="125"/>
      <x:c r="H127" s="125"/>
      <x:c r="I127" s="125"/>
      <x:c r="J127" s="125"/>
      <x:c r="K127" s="125"/>
      <x:c r="L127" s="125"/>
      <x:c r="M127" s="125"/>
      <x:c r="N127" s="125"/>
      <x:c r="O127" s="125"/>
      <x:c r="P127" s="125"/>
      <x:c r="Q127" s="125"/>
    </x:row>
    <x:row r="128">
      <x:c r="A128" s="125"/>
      <x:c r="B128" s="125"/>
      <x:c r="C128" s="125"/>
      <x:c r="D128" s="125"/>
      <x:c r="E128" s="125"/>
      <x:c r="F128" s="125"/>
      <x:c r="G128" s="125"/>
      <x:c r="H128" s="125"/>
      <x:c r="I128" s="125"/>
      <x:c r="J128" s="125"/>
      <x:c r="K128" s="125"/>
      <x:c r="L128" s="125"/>
      <x:c r="M128" s="125"/>
      <x:c r="N128" s="125"/>
      <x:c r="O128" s="125"/>
      <x:c r="P128" s="125"/>
      <x:c r="Q128" s="125"/>
    </x:row>
    <x:row r="129">
      <x:c r="A129" s="125"/>
      <x:c r="B129" s="125"/>
      <x:c r="C129" s="125"/>
      <x:c r="D129" s="125"/>
      <x:c r="E129" s="125"/>
      <x:c r="F129" s="125"/>
      <x:c r="G129" s="125"/>
      <x:c r="H129" s="125"/>
      <x:c r="I129" s="125"/>
      <x:c r="J129" s="125"/>
      <x:c r="K129" s="125"/>
      <x:c r="L129" s="125"/>
      <x:c r="M129" s="125"/>
      <x:c r="N129" s="125"/>
      <x:c r="O129" s="125"/>
      <x:c r="P129" s="125"/>
      <x:c r="Q129" s="125"/>
    </x:row>
    <x:row r="130">
      <x:c r="A130" s="125"/>
      <x:c r="B130" s="125"/>
      <x:c r="C130" s="125"/>
      <x:c r="D130" s="125"/>
      <x:c r="E130" s="125"/>
      <x:c r="F130" s="125"/>
      <x:c r="G130" s="125"/>
      <x:c r="H130" s="125"/>
      <x:c r="I130" s="125"/>
      <x:c r="J130" s="125"/>
      <x:c r="K130" s="125"/>
      <x:c r="L130" s="125"/>
      <x:c r="M130" s="125"/>
      <x:c r="N130" s="125"/>
      <x:c r="O130" s="125"/>
      <x:c r="P130" s="125"/>
      <x:c r="Q130" s="125"/>
    </x:row>
    <x:row r="131">
      <x:c r="A131" s="125"/>
      <x:c r="B131" s="125"/>
      <x:c r="C131" s="125"/>
      <x:c r="D131" s="125"/>
      <x:c r="E131" s="125"/>
      <x:c r="F131" s="125"/>
      <x:c r="G131" s="125"/>
      <x:c r="H131" s="125"/>
      <x:c r="I131" s="125"/>
      <x:c r="J131" s="125"/>
      <x:c r="K131" s="125"/>
      <x:c r="L131" s="125"/>
      <x:c r="M131" s="125"/>
      <x:c r="N131" s="125"/>
      <x:c r="O131" s="125"/>
      <x:c r="P131" s="125"/>
      <x:c r="Q131" s="125"/>
    </x:row>
    <x:row r="132">
      <x:c r="A132" s="125"/>
      <x:c r="B132" s="125"/>
      <x:c r="C132" s="125"/>
      <x:c r="D132" s="125"/>
      <x:c r="E132" s="125"/>
      <x:c r="F132" s="125"/>
      <x:c r="G132" s="125"/>
      <x:c r="H132" s="125"/>
      <x:c r="I132" s="125"/>
      <x:c r="J132" s="125"/>
      <x:c r="K132" s="125"/>
      <x:c r="L132" s="125"/>
      <x:c r="M132" s="125"/>
      <x:c r="N132" s="125"/>
      <x:c r="O132" s="125"/>
      <x:c r="P132" s="125"/>
      <x:c r="Q132" s="125"/>
    </x:row>
    <x:row r="133">
      <x:c r="A133" s="125"/>
      <x:c r="B133" s="125"/>
      <x:c r="C133" s="125"/>
      <x:c r="D133" s="125"/>
      <x:c r="E133" s="125"/>
      <x:c r="F133" s="125"/>
      <x:c r="G133" s="125"/>
      <x:c r="H133" s="125"/>
      <x:c r="I133" s="125"/>
      <x:c r="J133" s="125"/>
      <x:c r="K133" s="125"/>
      <x:c r="L133" s="125"/>
      <x:c r="M133" s="125"/>
      <x:c r="N133" s="125"/>
      <x:c r="O133" s="125"/>
      <x:c r="P133" s="125"/>
      <x:c r="Q133" s="125"/>
    </x:row>
    <x:row r="134">
      <x:c r="A134" s="125"/>
      <x:c r="B134" s="125"/>
      <x:c r="C134" s="125"/>
      <x:c r="D134" s="125"/>
      <x:c r="E134" s="125"/>
      <x:c r="F134" s="125"/>
      <x:c r="G134" s="125"/>
      <x:c r="H134" s="125"/>
      <x:c r="I134" s="125"/>
      <x:c r="J134" s="125"/>
      <x:c r="K134" s="125"/>
      <x:c r="L134" s="125"/>
      <x:c r="M134" s="125"/>
      <x:c r="N134" s="125"/>
      <x:c r="O134" s="125"/>
      <x:c r="P134" s="125"/>
      <x:c r="Q134" s="125"/>
    </x:row>
    <x:row r="135">
      <x:c r="A135" s="125"/>
      <x:c r="B135" s="125"/>
      <x:c r="C135" s="125"/>
      <x:c r="D135" s="125"/>
      <x:c r="E135" s="125"/>
      <x:c r="F135" s="125"/>
      <x:c r="G135" s="125"/>
      <x:c r="H135" s="125"/>
      <x:c r="I135" s="125"/>
      <x:c r="J135" s="125"/>
      <x:c r="K135" s="125"/>
      <x:c r="L135" s="125"/>
      <x:c r="M135" s="125"/>
      <x:c r="N135" s="125"/>
      <x:c r="O135" s="125"/>
      <x:c r="P135" s="125"/>
      <x:c r="Q135" s="125"/>
    </x:row>
    <x:row r="136">
      <x:c r="A136" s="125"/>
      <x:c r="B136" s="125"/>
      <x:c r="C136" s="125"/>
      <x:c r="D136" s="125"/>
      <x:c r="E136" s="125"/>
      <x:c r="F136" s="125"/>
      <x:c r="G136" s="125"/>
      <x:c r="H136" s="125"/>
      <x:c r="I136" s="125"/>
      <x:c r="J136" s="125"/>
      <x:c r="K136" s="125"/>
      <x:c r="L136" s="125"/>
      <x:c r="M136" s="125"/>
      <x:c r="N136" s="125"/>
      <x:c r="O136" s="125"/>
      <x:c r="P136" s="125"/>
      <x:c r="Q136" s="125"/>
    </x:row>
    <x:row r="137">
      <x:c r="A137" s="125"/>
      <x:c r="B137" s="125"/>
      <x:c r="C137" s="125"/>
      <x:c r="D137" s="125"/>
      <x:c r="E137" s="125"/>
      <x:c r="F137" s="125"/>
      <x:c r="G137" s="125"/>
      <x:c r="H137" s="125"/>
      <x:c r="I137" s="125"/>
      <x:c r="J137" s="125"/>
      <x:c r="K137" s="125"/>
      <x:c r="L137" s="125"/>
      <x:c r="M137" s="125"/>
      <x:c r="N137" s="125"/>
      <x:c r="O137" s="125"/>
      <x:c r="P137" s="125"/>
      <x:c r="Q137" s="125"/>
    </x:row>
    <x:row r="138">
      <x:c r="A138" s="125"/>
      <x:c r="B138" s="125"/>
      <x:c r="C138" s="125"/>
      <x:c r="D138" s="125"/>
      <x:c r="E138" s="125"/>
      <x:c r="F138" s="125"/>
      <x:c r="G138" s="125"/>
      <x:c r="H138" s="125"/>
      <x:c r="I138" s="125"/>
      <x:c r="J138" s="125"/>
      <x:c r="K138" s="125"/>
      <x:c r="L138" s="125"/>
      <x:c r="M138" s="125"/>
      <x:c r="N138" s="125"/>
      <x:c r="O138" s="125"/>
      <x:c r="P138" s="125"/>
      <x:c r="Q138" s="125"/>
    </x:row>
    <x:row r="139">
      <x:c r="A139" s="125"/>
      <x:c r="B139" s="125"/>
      <x:c r="C139" s="125"/>
      <x:c r="D139" s="125"/>
      <x:c r="E139" s="125"/>
      <x:c r="F139" s="125"/>
      <x:c r="G139" s="125"/>
      <x:c r="H139" s="125"/>
      <x:c r="I139" s="125"/>
      <x:c r="J139" s="125"/>
      <x:c r="K139" s="125"/>
      <x:c r="L139" s="125"/>
      <x:c r="M139" s="125"/>
      <x:c r="N139" s="125"/>
      <x:c r="O139" s="125"/>
      <x:c r="P139" s="125"/>
      <x:c r="Q139" s="125"/>
    </x:row>
    <x:row r="140">
      <x:c r="A140" s="125"/>
      <x:c r="B140" s="125"/>
      <x:c r="C140" s="125"/>
      <x:c r="D140" s="125"/>
      <x:c r="E140" s="125"/>
      <x:c r="F140" s="125"/>
      <x:c r="G140" s="125"/>
      <x:c r="H140" s="125"/>
      <x:c r="I140" s="125"/>
      <x:c r="J140" s="125"/>
      <x:c r="K140" s="125"/>
      <x:c r="L140" s="125"/>
      <x:c r="M140" s="125"/>
      <x:c r="N140" s="125"/>
      <x:c r="O140" s="125"/>
      <x:c r="P140" s="125"/>
      <x:c r="Q140" s="125"/>
    </x:row>
    <x:row r="141">
      <x:c r="A141" s="125"/>
      <x:c r="B141" s="125"/>
      <x:c r="C141" s="125"/>
      <x:c r="D141" s="125"/>
      <x:c r="E141" s="125"/>
      <x:c r="F141" s="125"/>
      <x:c r="G141" s="125"/>
      <x:c r="H141" s="125"/>
      <x:c r="I141" s="125"/>
      <x:c r="J141" s="125"/>
      <x:c r="K141" s="125"/>
      <x:c r="L141" s="125"/>
      <x:c r="M141" s="125"/>
      <x:c r="N141" s="125"/>
      <x:c r="O141" s="125"/>
      <x:c r="P141" s="125"/>
      <x:c r="Q141" s="125"/>
    </x:row>
    <x:row r="142">
      <x:c r="A142" s="125"/>
      <x:c r="B142" s="125"/>
      <x:c r="C142" s="125"/>
      <x:c r="D142" s="125"/>
      <x:c r="E142" s="125"/>
      <x:c r="F142" s="125"/>
      <x:c r="G142" s="125"/>
      <x:c r="H142" s="125"/>
      <x:c r="I142" s="125"/>
      <x:c r="J142" s="125"/>
      <x:c r="K142" s="125"/>
      <x:c r="L142" s="125"/>
      <x:c r="M142" s="125"/>
      <x:c r="N142" s="125"/>
      <x:c r="O142" s="125"/>
      <x:c r="P142" s="125"/>
      <x:c r="Q142" s="125"/>
    </x:row>
    <x:row r="143">
      <x:c r="A143" s="125"/>
      <x:c r="B143" s="125"/>
      <x:c r="C143" s="125"/>
      <x:c r="D143" s="125"/>
      <x:c r="E143" s="125"/>
      <x:c r="F143" s="125"/>
      <x:c r="G143" s="125"/>
      <x:c r="H143" s="125"/>
      <x:c r="I143" s="125"/>
      <x:c r="J143" s="125"/>
      <x:c r="K143" s="125"/>
      <x:c r="L143" s="125"/>
      <x:c r="M143" s="125"/>
      <x:c r="N143" s="125"/>
      <x:c r="O143" s="125"/>
      <x:c r="P143" s="125"/>
      <x:c r="Q143" s="125"/>
    </x:row>
    <x:row r="144">
      <x:c r="A144" s="125"/>
      <x:c r="B144" s="125"/>
      <x:c r="C144" s="125"/>
      <x:c r="D144" s="125"/>
      <x:c r="E144" s="125"/>
      <x:c r="F144" s="125"/>
      <x:c r="G144" s="125"/>
      <x:c r="H144" s="125"/>
      <x:c r="I144" s="125"/>
      <x:c r="J144" s="125"/>
      <x:c r="K144" s="125"/>
      <x:c r="L144" s="125"/>
      <x:c r="M144" s="125"/>
      <x:c r="N144" s="125"/>
      <x:c r="O144" s="125"/>
      <x:c r="P144" s="125"/>
      <x:c r="Q144" s="125"/>
    </x:row>
    <x:row r="145">
      <x:c r="A145" s="125"/>
      <x:c r="B145" s="125"/>
      <x:c r="C145" s="125"/>
      <x:c r="D145" s="125"/>
      <x:c r="E145" s="125"/>
      <x:c r="F145" s="125"/>
      <x:c r="G145" s="125"/>
      <x:c r="H145" s="125"/>
      <x:c r="I145" s="125"/>
      <x:c r="J145" s="125"/>
      <x:c r="K145" s="125"/>
      <x:c r="L145" s="125"/>
      <x:c r="M145" s="125"/>
      <x:c r="N145" s="125"/>
      <x:c r="O145" s="125"/>
      <x:c r="P145" s="125"/>
      <x:c r="Q145" s="125"/>
    </x:row>
    <x:row r="146">
      <x:c r="A146" s="125"/>
      <x:c r="B146" s="125"/>
      <x:c r="C146" s="125"/>
      <x:c r="D146" s="125"/>
      <x:c r="E146" s="125"/>
      <x:c r="F146" s="125"/>
      <x:c r="G146" s="125"/>
      <x:c r="H146" s="125"/>
      <x:c r="I146" s="125"/>
      <x:c r="J146" s="125"/>
      <x:c r="K146" s="125"/>
      <x:c r="L146" s="125"/>
      <x:c r="M146" s="125"/>
      <x:c r="N146" s="125"/>
      <x:c r="O146" s="125"/>
      <x:c r="P146" s="125"/>
      <x:c r="Q146" s="125"/>
    </x:row>
    <x:row r="147">
      <x:c r="A147" s="125"/>
      <x:c r="B147" s="125"/>
      <x:c r="C147" s="125"/>
      <x:c r="D147" s="125"/>
      <x:c r="E147" s="125"/>
      <x:c r="F147" s="125"/>
      <x:c r="G147" s="125"/>
      <x:c r="H147" s="125"/>
      <x:c r="I147" s="125"/>
      <x:c r="J147" s="125"/>
      <x:c r="K147" s="125"/>
      <x:c r="L147" s="125"/>
      <x:c r="M147" s="125"/>
      <x:c r="N147" s="125"/>
      <x:c r="O147" s="125"/>
      <x:c r="P147" s="125"/>
      <x:c r="Q147" s="125"/>
    </x:row>
    <x:row r="148">
      <x:c r="A148" s="125"/>
      <x:c r="B148" s="125"/>
      <x:c r="C148" s="125"/>
      <x:c r="D148" s="125"/>
      <x:c r="E148" s="125"/>
      <x:c r="F148" s="125"/>
      <x:c r="G148" s="125"/>
      <x:c r="H148" s="125"/>
      <x:c r="I148" s="125"/>
      <x:c r="J148" s="125"/>
      <x:c r="K148" s="125"/>
      <x:c r="L148" s="125"/>
      <x:c r="M148" s="125"/>
      <x:c r="N148" s="125"/>
      <x:c r="O148" s="125"/>
      <x:c r="P148" s="125"/>
      <x:c r="Q148" s="125"/>
    </x:row>
    <x:row r="149">
      <x:c r="A149" s="125"/>
      <x:c r="B149" s="125"/>
      <x:c r="C149" s="125"/>
      <x:c r="D149" s="125"/>
      <x:c r="E149" s="125"/>
      <x:c r="F149" s="125"/>
      <x:c r="G149" s="125"/>
      <x:c r="H149" s="125"/>
      <x:c r="I149" s="125"/>
      <x:c r="J149" s="125"/>
      <x:c r="K149" s="125"/>
      <x:c r="L149" s="125"/>
      <x:c r="M149" s="125"/>
      <x:c r="N149" s="125"/>
      <x:c r="O149" s="125"/>
      <x:c r="P149" s="125"/>
      <x:c r="Q149" s="125"/>
    </x:row>
    <x:row r="150">
      <x:c r="A150" s="125"/>
      <x:c r="B150" s="125"/>
      <x:c r="C150" s="125"/>
      <x:c r="D150" s="125"/>
      <x:c r="E150" s="125"/>
      <x:c r="F150" s="125"/>
      <x:c r="G150" s="125"/>
      <x:c r="H150" s="125"/>
      <x:c r="I150" s="125"/>
      <x:c r="J150" s="125"/>
      <x:c r="K150" s="125"/>
      <x:c r="L150" s="125"/>
      <x:c r="M150" s="125"/>
      <x:c r="N150" s="125"/>
      <x:c r="O150" s="125"/>
      <x:c r="P150" s="125"/>
      <x:c r="Q150" s="125"/>
    </x:row>
    <x:row r="151">
      <x:c r="A151" s="125"/>
      <x:c r="B151" s="125"/>
      <x:c r="C151" s="125"/>
      <x:c r="D151" s="125"/>
      <x:c r="E151" s="125"/>
      <x:c r="F151" s="125"/>
      <x:c r="G151" s="125"/>
      <x:c r="H151" s="125"/>
      <x:c r="I151" s="125"/>
      <x:c r="J151" s="125"/>
      <x:c r="K151" s="125"/>
      <x:c r="L151" s="125"/>
      <x:c r="M151" s="125"/>
      <x:c r="N151" s="125"/>
      <x:c r="O151" s="125"/>
      <x:c r="P151" s="125"/>
      <x:c r="Q151" s="125"/>
    </x:row>
    <x:row r="152">
      <x:c r="A152" s="125"/>
      <x:c r="B152" s="125"/>
      <x:c r="C152" s="125"/>
      <x:c r="D152" s="125"/>
      <x:c r="E152" s="125"/>
      <x:c r="F152" s="125"/>
      <x:c r="G152" s="125"/>
      <x:c r="H152" s="125"/>
      <x:c r="I152" s="125"/>
      <x:c r="J152" s="125"/>
      <x:c r="K152" s="125"/>
      <x:c r="L152" s="125"/>
      <x:c r="M152" s="125"/>
      <x:c r="N152" s="125"/>
      <x:c r="O152" s="125"/>
      <x:c r="P152" s="125"/>
      <x:c r="Q152" s="125"/>
    </x:row>
    <x:row r="153">
      <x:c r="A153" s="125"/>
      <x:c r="B153" s="125"/>
      <x:c r="C153" s="125"/>
      <x:c r="D153" s="125"/>
      <x:c r="E153" s="125"/>
      <x:c r="F153" s="125"/>
      <x:c r="G153" s="125"/>
      <x:c r="H153" s="125"/>
      <x:c r="I153" s="125"/>
      <x:c r="J153" s="125"/>
      <x:c r="K153" s="125"/>
      <x:c r="L153" s="125"/>
      <x:c r="M153" s="125"/>
      <x:c r="N153" s="125"/>
      <x:c r="O153" s="125"/>
      <x:c r="P153" s="125"/>
      <x:c r="Q153" s="125"/>
    </x:row>
    <x:row r="154">
      <x:c r="A154" s="125"/>
      <x:c r="B154" s="125"/>
      <x:c r="C154" s="125"/>
      <x:c r="D154" s="125"/>
      <x:c r="E154" s="125"/>
      <x:c r="F154" s="125"/>
      <x:c r="G154" s="125"/>
      <x:c r="H154" s="125"/>
      <x:c r="I154" s="125"/>
      <x:c r="J154" s="125"/>
      <x:c r="K154" s="125"/>
      <x:c r="L154" s="125"/>
      <x:c r="M154" s="125"/>
      <x:c r="N154" s="125"/>
      <x:c r="O154" s="125"/>
      <x:c r="P154" s="125"/>
      <x:c r="Q154" s="125"/>
    </x:row>
    <x:row r="155">
      <x:c r="A155" s="125"/>
      <x:c r="B155" s="125"/>
      <x:c r="C155" s="125"/>
      <x:c r="D155" s="125"/>
      <x:c r="E155" s="125"/>
      <x:c r="F155" s="125"/>
      <x:c r="G155" s="125"/>
      <x:c r="H155" s="125"/>
      <x:c r="I155" s="125"/>
      <x:c r="J155" s="125"/>
      <x:c r="K155" s="125"/>
      <x:c r="L155" s="125"/>
      <x:c r="M155" s="125"/>
      <x:c r="N155" s="125"/>
      <x:c r="O155" s="125"/>
      <x:c r="P155" s="125"/>
      <x:c r="Q155" s="125"/>
    </x:row>
    <x:row r="156">
      <x:c r="A156" s="125"/>
      <x:c r="B156" s="125"/>
      <x:c r="C156" s="125"/>
      <x:c r="D156" s="125"/>
      <x:c r="E156" s="125"/>
      <x:c r="F156" s="125"/>
      <x:c r="G156" s="125"/>
      <x:c r="H156" s="125"/>
      <x:c r="I156" s="125"/>
      <x:c r="J156" s="125"/>
      <x:c r="K156" s="125"/>
      <x:c r="L156" s="125"/>
      <x:c r="M156" s="125"/>
      <x:c r="N156" s="125"/>
      <x:c r="O156" s="125"/>
      <x:c r="P156" s="125"/>
      <x:c r="Q156" s="125"/>
    </x:row>
    <x:row r="157">
      <x:c r="A157" s="125"/>
      <x:c r="B157" s="125"/>
      <x:c r="C157" s="125"/>
      <x:c r="D157" s="125"/>
      <x:c r="E157" s="125"/>
      <x:c r="F157" s="125"/>
      <x:c r="G157" s="125"/>
      <x:c r="H157" s="125"/>
      <x:c r="I157" s="125"/>
      <x:c r="J157" s="125"/>
      <x:c r="K157" s="125"/>
      <x:c r="L157" s="125"/>
      <x:c r="M157" s="125"/>
      <x:c r="N157" s="125"/>
      <x:c r="O157" s="125"/>
      <x:c r="P157" s="125"/>
      <x:c r="Q157" s="125"/>
    </x:row>
    <x:row r="158">
      <x:c r="A158" s="125"/>
      <x:c r="B158" s="125"/>
      <x:c r="C158" s="125"/>
      <x:c r="D158" s="125"/>
      <x:c r="E158" s="125"/>
      <x:c r="F158" s="125"/>
      <x:c r="G158" s="125"/>
      <x:c r="H158" s="125"/>
      <x:c r="I158" s="125"/>
      <x:c r="J158" s="125"/>
      <x:c r="K158" s="125"/>
      <x:c r="L158" s="125"/>
      <x:c r="M158" s="125"/>
      <x:c r="N158" s="125"/>
      <x:c r="O158" s="125"/>
      <x:c r="P158" s="125"/>
      <x:c r="Q158" s="125"/>
    </x:row>
    <x:row r="159">
      <x:c r="A159" s="125"/>
      <x:c r="B159" s="125"/>
      <x:c r="C159" s="125"/>
      <x:c r="D159" s="125"/>
      <x:c r="E159" s="125"/>
      <x:c r="F159" s="125"/>
      <x:c r="G159" s="125"/>
      <x:c r="H159" s="125"/>
      <x:c r="I159" s="125"/>
      <x:c r="J159" s="125"/>
      <x:c r="K159" s="125"/>
      <x:c r="L159" s="125"/>
      <x:c r="M159" s="125"/>
      <x:c r="N159" s="125"/>
      <x:c r="O159" s="125"/>
      <x:c r="P159" s="125"/>
      <x:c r="Q159" s="125"/>
    </x:row>
    <x:row r="160">
      <x:c r="A160" s="125"/>
      <x:c r="B160" s="125"/>
      <x:c r="C160" s="125"/>
      <x:c r="D160" s="125"/>
      <x:c r="E160" s="125"/>
      <x:c r="F160" s="125"/>
      <x:c r="G160" s="125"/>
      <x:c r="H160" s="125"/>
      <x:c r="I160" s="125"/>
      <x:c r="J160" s="125"/>
      <x:c r="K160" s="125"/>
      <x:c r="L160" s="125"/>
      <x:c r="M160" s="125"/>
      <x:c r="N160" s="125"/>
      <x:c r="O160" s="125"/>
      <x:c r="P160" s="125"/>
      <x:c r="Q160" s="125"/>
    </x:row>
    <x:row r="161">
      <x:c r="A161" s="125"/>
      <x:c r="B161" s="125"/>
      <x:c r="C161" s="125"/>
      <x:c r="D161" s="125"/>
      <x:c r="E161" s="125"/>
      <x:c r="F161" s="125"/>
      <x:c r="G161" s="125"/>
      <x:c r="H161" s="125"/>
      <x:c r="I161" s="125"/>
      <x:c r="J161" s="125"/>
      <x:c r="K161" s="125"/>
      <x:c r="L161" s="125"/>
      <x:c r="M161" s="125"/>
      <x:c r="N161" s="125"/>
      <x:c r="O161" s="125"/>
      <x:c r="P161" s="125"/>
      <x:c r="Q161" s="125"/>
    </x:row>
    <x:row r="162">
      <x:c r="A162" s="125"/>
      <x:c r="B162" s="125"/>
      <x:c r="C162" s="125"/>
      <x:c r="D162" s="125"/>
      <x:c r="E162" s="125"/>
      <x:c r="F162" s="125"/>
      <x:c r="G162" s="125"/>
      <x:c r="H162" s="125"/>
      <x:c r="I162" s="125"/>
      <x:c r="J162" s="125"/>
      <x:c r="K162" s="125"/>
      <x:c r="L162" s="125"/>
      <x:c r="M162" s="125"/>
      <x:c r="N162" s="125"/>
      <x:c r="O162" s="125"/>
      <x:c r="P162" s="125"/>
      <x:c r="Q162" s="125"/>
    </x:row>
    <x:row r="163">
      <x:c r="A163" s="125"/>
      <x:c r="B163" s="125"/>
      <x:c r="C163" s="125"/>
      <x:c r="D163" s="125"/>
      <x:c r="E163" s="125"/>
      <x:c r="F163" s="125"/>
      <x:c r="G163" s="125"/>
      <x:c r="H163" s="125"/>
      <x:c r="I163" s="125"/>
      <x:c r="J163" s="125"/>
      <x:c r="K163" s="125"/>
      <x:c r="L163" s="125"/>
      <x:c r="M163" s="125"/>
      <x:c r="N163" s="125"/>
      <x:c r="O163" s="125"/>
      <x:c r="P163" s="125"/>
      <x:c r="Q163" s="125"/>
    </x:row>
    <x:row r="164">
      <x:c r="A164" s="125"/>
      <x:c r="B164" s="125"/>
      <x:c r="C164" s="125"/>
      <x:c r="D164" s="125"/>
      <x:c r="E164" s="125"/>
      <x:c r="F164" s="125"/>
      <x:c r="G164" s="125"/>
      <x:c r="H164" s="125"/>
      <x:c r="I164" s="125"/>
      <x:c r="J164" s="125"/>
      <x:c r="K164" s="125"/>
      <x:c r="L164" s="125"/>
      <x:c r="M164" s="125"/>
      <x:c r="N164" s="125"/>
      <x:c r="O164" s="125"/>
      <x:c r="P164" s="125"/>
      <x:c r="Q164" s="125"/>
    </x:row>
    <x:row r="165">
      <x:c r="A165" s="125"/>
      <x:c r="B165" s="125"/>
      <x:c r="C165" s="125"/>
      <x:c r="D165" s="125"/>
      <x:c r="E165" s="125"/>
      <x:c r="F165" s="125"/>
      <x:c r="G165" s="125"/>
      <x:c r="H165" s="125"/>
      <x:c r="I165" s="125"/>
      <x:c r="J165" s="125"/>
      <x:c r="K165" s="125"/>
      <x:c r="L165" s="125"/>
      <x:c r="M165" s="125"/>
      <x:c r="N165" s="125"/>
      <x:c r="O165" s="125"/>
      <x:c r="P165" s="125"/>
      <x:c r="Q165" s="125"/>
    </x:row>
    <x:row r="166">
      <x:c r="A166" s="125"/>
      <x:c r="B166" s="125"/>
      <x:c r="C166" s="125"/>
      <x:c r="D166" s="125"/>
      <x:c r="E166" s="125"/>
      <x:c r="F166" s="125"/>
      <x:c r="G166" s="125"/>
      <x:c r="H166" s="125"/>
      <x:c r="I166" s="125"/>
      <x:c r="J166" s="125"/>
      <x:c r="K166" s="125"/>
      <x:c r="L166" s="125"/>
      <x:c r="M166" s="125"/>
      <x:c r="N166" s="125"/>
      <x:c r="O166" s="125"/>
      <x:c r="P166" s="125"/>
      <x:c r="Q166" s="125"/>
    </x:row>
    <x:row r="167">
      <x:c r="A167" s="125"/>
      <x:c r="B167" s="125"/>
      <x:c r="C167" s="125"/>
      <x:c r="D167" s="125"/>
      <x:c r="E167" s="125"/>
      <x:c r="F167" s="125"/>
      <x:c r="G167" s="125"/>
      <x:c r="H167" s="125"/>
      <x:c r="I167" s="125"/>
      <x:c r="J167" s="125"/>
      <x:c r="K167" s="125"/>
      <x:c r="L167" s="125"/>
      <x:c r="M167" s="125"/>
      <x:c r="N167" s="125"/>
      <x:c r="O167" s="125"/>
      <x:c r="P167" s="125"/>
      <x:c r="Q167" s="125"/>
    </x:row>
    <x:row r="168">
      <x:c r="A168" s="125"/>
      <x:c r="B168" s="125"/>
      <x:c r="C168" s="125"/>
      <x:c r="D168" s="125"/>
      <x:c r="E168" s="125"/>
      <x:c r="F168" s="125"/>
      <x:c r="G168" s="125"/>
      <x:c r="H168" s="125"/>
      <x:c r="I168" s="125"/>
      <x:c r="J168" s="125"/>
      <x:c r="K168" s="125"/>
      <x:c r="L168" s="125"/>
      <x:c r="M168" s="125"/>
      <x:c r="N168" s="125"/>
      <x:c r="O168" s="125"/>
      <x:c r="P168" s="125"/>
      <x:c r="Q168" s="125"/>
    </x:row>
    <x:row r="169">
      <x:c r="A169" s="125"/>
      <x:c r="B169" s="125"/>
      <x:c r="C169" s="125"/>
      <x:c r="D169" s="125"/>
      <x:c r="E169" s="125"/>
      <x:c r="F169" s="125"/>
      <x:c r="G169" s="125"/>
      <x:c r="H169" s="125"/>
      <x:c r="I169" s="125"/>
      <x:c r="J169" s="125"/>
      <x:c r="K169" s="125"/>
      <x:c r="L169" s="125"/>
      <x:c r="M169" s="125"/>
      <x:c r="N169" s="125"/>
      <x:c r="O169" s="125"/>
      <x:c r="P169" s="125"/>
      <x:c r="Q169" s="125"/>
    </x:row>
    <x:row r="170">
      <x:c r="A170" s="125"/>
      <x:c r="B170" s="125"/>
      <x:c r="C170" s="125"/>
      <x:c r="D170" s="125"/>
      <x:c r="E170" s="125"/>
      <x:c r="F170" s="125"/>
      <x:c r="G170" s="125"/>
      <x:c r="H170" s="125"/>
      <x:c r="I170" s="125"/>
      <x:c r="J170" s="125"/>
      <x:c r="K170" s="125"/>
      <x:c r="L170" s="125"/>
      <x:c r="M170" s="125"/>
      <x:c r="N170" s="125"/>
      <x:c r="O170" s="125"/>
      <x:c r="P170" s="125"/>
      <x:c r="Q170" s="125"/>
    </x:row>
    <x:row r="171">
      <x:c r="A171" s="125"/>
      <x:c r="B171" s="125"/>
      <x:c r="C171" s="125"/>
      <x:c r="D171" s="125"/>
      <x:c r="E171" s="125"/>
      <x:c r="F171" s="125"/>
      <x:c r="G171" s="125"/>
      <x:c r="H171" s="125"/>
      <x:c r="I171" s="125"/>
      <x:c r="J171" s="125"/>
      <x:c r="K171" s="125"/>
      <x:c r="L171" s="125"/>
      <x:c r="M171" s="125"/>
      <x:c r="N171" s="125"/>
      <x:c r="O171" s="125"/>
      <x:c r="P171" s="125"/>
      <x:c r="Q171" s="125"/>
    </x:row>
    <x:row r="172">
      <x:c r="A172" s="125"/>
      <x:c r="B172" s="125"/>
      <x:c r="C172" s="125"/>
      <x:c r="D172" s="125"/>
      <x:c r="E172" s="125"/>
      <x:c r="F172" s="125"/>
      <x:c r="G172" s="125"/>
      <x:c r="H172" s="125"/>
      <x:c r="I172" s="125"/>
      <x:c r="J172" s="125"/>
      <x:c r="K172" s="125"/>
      <x:c r="L172" s="125"/>
      <x:c r="M172" s="125"/>
      <x:c r="N172" s="125"/>
      <x:c r="O172" s="125"/>
      <x:c r="P172" s="125"/>
      <x:c r="Q172" s="125"/>
    </x:row>
    <x:row r="173">
      <x:c r="A173" s="125"/>
      <x:c r="B173" s="125"/>
      <x:c r="C173" s="125"/>
      <x:c r="D173" s="125"/>
      <x:c r="E173" s="125"/>
      <x:c r="F173" s="125"/>
      <x:c r="G173" s="125"/>
      <x:c r="H173" s="125"/>
      <x:c r="I173" s="125"/>
      <x:c r="J173" s="125"/>
      <x:c r="K173" s="125"/>
      <x:c r="L173" s="125"/>
      <x:c r="M173" s="125"/>
      <x:c r="N173" s="125"/>
      <x:c r="O173" s="125"/>
      <x:c r="P173" s="125"/>
      <x:c r="Q173" s="125"/>
    </x:row>
    <x:row r="174">
      <x:c r="A174" s="125"/>
      <x:c r="B174" s="125"/>
      <x:c r="C174" s="125"/>
      <x:c r="D174" s="125"/>
      <x:c r="E174" s="125"/>
      <x:c r="F174" s="125"/>
      <x:c r="G174" s="125"/>
      <x:c r="H174" s="125"/>
      <x:c r="I174" s="125"/>
      <x:c r="J174" s="125"/>
      <x:c r="K174" s="125"/>
      <x:c r="L174" s="125"/>
      <x:c r="M174" s="125"/>
      <x:c r="N174" s="125"/>
      <x:c r="O174" s="125"/>
      <x:c r="P174" s="125"/>
      <x:c r="Q174" s="125"/>
    </x:row>
    <x:row r="175">
      <x:c r="A175" s="125"/>
      <x:c r="B175" s="125"/>
      <x:c r="C175" s="125"/>
      <x:c r="D175" s="125"/>
      <x:c r="E175" s="125"/>
      <x:c r="F175" s="125"/>
      <x:c r="G175" s="125"/>
      <x:c r="H175" s="125"/>
      <x:c r="I175" s="125"/>
      <x:c r="J175" s="125"/>
      <x:c r="K175" s="125"/>
      <x:c r="L175" s="125"/>
      <x:c r="M175" s="125"/>
      <x:c r="N175" s="125"/>
      <x:c r="O175" s="125"/>
      <x:c r="P175" s="125"/>
      <x:c r="Q175" s="125"/>
    </x:row>
    <x:row r="176">
      <x:c r="A176" s="125"/>
      <x:c r="B176" s="125"/>
      <x:c r="C176" s="125"/>
      <x:c r="D176" s="125"/>
      <x:c r="E176" s="125"/>
      <x:c r="F176" s="125"/>
      <x:c r="G176" s="125"/>
      <x:c r="H176" s="125"/>
      <x:c r="I176" s="125"/>
      <x:c r="J176" s="125"/>
      <x:c r="K176" s="125"/>
      <x:c r="L176" s="125"/>
      <x:c r="M176" s="125"/>
      <x:c r="N176" s="125"/>
      <x:c r="O176" s="125"/>
      <x:c r="P176" s="125"/>
      <x:c r="Q176" s="125"/>
    </x:row>
    <x:row r="177">
      <x:c r="A177" s="125"/>
      <x:c r="B177" s="125"/>
      <x:c r="C177" s="125"/>
      <x:c r="D177" s="125"/>
      <x:c r="E177" s="125"/>
      <x:c r="F177" s="125"/>
      <x:c r="G177" s="125"/>
      <x:c r="H177" s="125"/>
      <x:c r="I177" s="125"/>
      <x:c r="J177" s="125"/>
      <x:c r="K177" s="125"/>
      <x:c r="L177" s="125"/>
      <x:c r="M177" s="125"/>
      <x:c r="N177" s="125"/>
      <x:c r="O177" s="125"/>
      <x:c r="P177" s="125"/>
      <x:c r="Q177" s="125"/>
    </x:row>
    <x:row r="178">
      <x:c r="A178" s="125"/>
      <x:c r="B178" s="125"/>
      <x:c r="C178" s="125"/>
      <x:c r="D178" s="125"/>
      <x:c r="E178" s="125"/>
      <x:c r="F178" s="125"/>
      <x:c r="G178" s="125"/>
      <x:c r="H178" s="125"/>
      <x:c r="I178" s="125"/>
      <x:c r="J178" s="125"/>
      <x:c r="K178" s="125"/>
      <x:c r="L178" s="125"/>
      <x:c r="M178" s="125"/>
      <x:c r="N178" s="125"/>
      <x:c r="O178" s="125"/>
      <x:c r="P178" s="125"/>
      <x:c r="Q178" s="125"/>
    </x:row>
    <x:row r="179">
      <x:c r="A179" s="125"/>
      <x:c r="B179" s="125"/>
      <x:c r="C179" s="125"/>
      <x:c r="D179" s="125"/>
      <x:c r="E179" s="125"/>
      <x:c r="F179" s="125"/>
      <x:c r="G179" s="125"/>
      <x:c r="H179" s="125"/>
      <x:c r="I179" s="125"/>
      <x:c r="J179" s="125"/>
      <x:c r="K179" s="125"/>
      <x:c r="L179" s="125"/>
      <x:c r="M179" s="125"/>
      <x:c r="N179" s="125"/>
      <x:c r="O179" s="125"/>
      <x:c r="P179" s="125"/>
      <x:c r="Q179" s="125"/>
    </x:row>
    <x:row r="180">
      <x:c r="A180" s="125"/>
      <x:c r="B180" s="125"/>
      <x:c r="C180" s="125"/>
      <x:c r="D180" s="125"/>
      <x:c r="E180" s="125"/>
      <x:c r="F180" s="125"/>
      <x:c r="G180" s="125"/>
      <x:c r="H180" s="125"/>
      <x:c r="I180" s="125"/>
      <x:c r="J180" s="125"/>
      <x:c r="K180" s="125"/>
      <x:c r="L180" s="125"/>
      <x:c r="M180" s="125"/>
      <x:c r="N180" s="125"/>
      <x:c r="O180" s="125"/>
      <x:c r="P180" s="125"/>
      <x:c r="Q180" s="125"/>
    </x:row>
    <x:row r="181">
      <x:c r="A181" s="125"/>
      <x:c r="B181" s="125"/>
      <x:c r="C181" s="125"/>
      <x:c r="D181" s="125"/>
      <x:c r="E181" s="125"/>
      <x:c r="F181" s="125"/>
      <x:c r="G181" s="125"/>
      <x:c r="H181" s="125"/>
      <x:c r="I181" s="125"/>
      <x:c r="J181" s="125"/>
      <x:c r="K181" s="125"/>
      <x:c r="L181" s="125"/>
      <x:c r="M181" s="125"/>
      <x:c r="N181" s="125"/>
      <x:c r="O181" s="125"/>
      <x:c r="P181" s="125"/>
      <x:c r="Q181" s="125"/>
    </x:row>
    <x:row r="182">
      <x:c r="A182" s="125"/>
      <x:c r="B182" s="125"/>
      <x:c r="C182" s="125"/>
      <x:c r="D182" s="125"/>
      <x:c r="E182" s="125"/>
      <x:c r="F182" s="125"/>
      <x:c r="G182" s="125"/>
      <x:c r="H182" s="125"/>
      <x:c r="I182" s="125"/>
      <x:c r="J182" s="125"/>
      <x:c r="K182" s="125"/>
      <x:c r="L182" s="125"/>
      <x:c r="M182" s="125"/>
      <x:c r="N182" s="125"/>
      <x:c r="O182" s="125"/>
      <x:c r="P182" s="125"/>
      <x:c r="Q182" s="125"/>
    </x:row>
    <x:row r="183">
      <x:c r="A183" s="125"/>
      <x:c r="B183" s="125"/>
      <x:c r="C183" s="125"/>
      <x:c r="D183" s="125"/>
      <x:c r="E183" s="125"/>
      <x:c r="F183" s="125"/>
      <x:c r="G183" s="125"/>
      <x:c r="H183" s="125"/>
      <x:c r="I183" s="125"/>
      <x:c r="J183" s="125"/>
      <x:c r="K183" s="125"/>
      <x:c r="L183" s="125"/>
      <x:c r="M183" s="125"/>
      <x:c r="N183" s="125"/>
      <x:c r="O183" s="125"/>
      <x:c r="P183" s="125"/>
      <x:c r="Q183" s="125"/>
    </x:row>
    <x:row r="184">
      <x:c r="A184" s="125"/>
      <x:c r="B184" s="125"/>
      <x:c r="C184" s="125"/>
      <x:c r="D184" s="125"/>
      <x:c r="E184" s="125"/>
      <x:c r="F184" s="125"/>
      <x:c r="G184" s="125"/>
      <x:c r="H184" s="125"/>
      <x:c r="I184" s="125"/>
      <x:c r="J184" s="125"/>
      <x:c r="K184" s="125"/>
      <x:c r="L184" s="125"/>
      <x:c r="M184" s="125"/>
      <x:c r="N184" s="125"/>
      <x:c r="O184" s="125"/>
      <x:c r="P184" s="125"/>
      <x:c r="Q184" s="125"/>
    </x:row>
    <x:row r="185">
      <x:c r="A185" s="125"/>
      <x:c r="B185" s="125"/>
      <x:c r="C185" s="125"/>
      <x:c r="D185" s="125"/>
      <x:c r="E185" s="125"/>
      <x:c r="F185" s="125"/>
      <x:c r="G185" s="125"/>
      <x:c r="H185" s="125"/>
      <x:c r="I185" s="125"/>
      <x:c r="J185" s="125"/>
      <x:c r="K185" s="125"/>
      <x:c r="L185" s="125"/>
      <x:c r="M185" s="125"/>
      <x:c r="N185" s="125"/>
      <x:c r="O185" s="125"/>
      <x:c r="P185" s="125"/>
      <x:c r="Q185" s="125"/>
    </x:row>
    <x:row r="186">
      <x:c r="A186" s="125"/>
      <x:c r="B186" s="125"/>
      <x:c r="C186" s="125"/>
      <x:c r="D186" s="125"/>
      <x:c r="E186" s="125"/>
      <x:c r="F186" s="125"/>
      <x:c r="G186" s="125"/>
      <x:c r="H186" s="125"/>
      <x:c r="I186" s="125"/>
      <x:c r="J186" s="125"/>
      <x:c r="K186" s="125"/>
      <x:c r="L186" s="125"/>
      <x:c r="M186" s="125"/>
      <x:c r="N186" s="125"/>
      <x:c r="O186" s="125"/>
      <x:c r="P186" s="125"/>
      <x:c r="Q186" s="125"/>
    </x:row>
    <x:row r="187">
      <x:c r="A187" s="125"/>
      <x:c r="B187" s="125"/>
      <x:c r="C187" s="125"/>
      <x:c r="D187" s="125"/>
      <x:c r="E187" s="125"/>
      <x:c r="F187" s="125"/>
      <x:c r="G187" s="125"/>
      <x:c r="H187" s="125"/>
      <x:c r="I187" s="125"/>
      <x:c r="J187" s="125"/>
      <x:c r="K187" s="125"/>
      <x:c r="L187" s="125"/>
      <x:c r="M187" s="125"/>
      <x:c r="N187" s="125"/>
      <x:c r="O187" s="125"/>
      <x:c r="P187" s="125"/>
      <x:c r="Q187" s="125"/>
    </x:row>
    <x:row r="188">
      <x:c r="A188" s="125"/>
      <x:c r="B188" s="125"/>
      <x:c r="C188" s="125"/>
      <x:c r="D188" s="125"/>
      <x:c r="E188" s="125"/>
      <x:c r="F188" s="125"/>
      <x:c r="G188" s="125"/>
      <x:c r="H188" s="125"/>
      <x:c r="I188" s="125"/>
      <x:c r="J188" s="125"/>
      <x:c r="K188" s="125"/>
      <x:c r="L188" s="125"/>
      <x:c r="M188" s="125"/>
      <x:c r="N188" s="125"/>
      <x:c r="O188" s="125"/>
      <x:c r="P188" s="125"/>
      <x:c r="Q188" s="125"/>
    </x:row>
    <x:row r="189">
      <x:c r="A189" s="125"/>
      <x:c r="B189" s="125"/>
      <x:c r="C189" s="125"/>
      <x:c r="D189" s="125"/>
      <x:c r="E189" s="125"/>
      <x:c r="F189" s="125"/>
      <x:c r="G189" s="125"/>
      <x:c r="H189" s="125"/>
      <x:c r="I189" s="125"/>
      <x:c r="J189" s="125"/>
      <x:c r="K189" s="125"/>
      <x:c r="L189" s="125"/>
      <x:c r="M189" s="125"/>
      <x:c r="N189" s="125"/>
      <x:c r="O189" s="125"/>
      <x:c r="P189" s="125"/>
      <x:c r="Q189" s="125"/>
    </x:row>
    <x:row r="190">
      <x:c r="A190" s="125"/>
      <x:c r="B190" s="125"/>
      <x:c r="C190" s="125"/>
      <x:c r="D190" s="125"/>
      <x:c r="E190" s="125"/>
      <x:c r="F190" s="125"/>
      <x:c r="G190" s="125"/>
      <x:c r="H190" s="125"/>
      <x:c r="I190" s="125"/>
      <x:c r="J190" s="125"/>
      <x:c r="K190" s="125"/>
      <x:c r="L190" s="125"/>
      <x:c r="M190" s="125"/>
      <x:c r="N190" s="125"/>
      <x:c r="O190" s="125"/>
      <x:c r="P190" s="125"/>
      <x:c r="Q190" s="125"/>
    </x:row>
    <x:row r="191">
      <x:c r="A191" s="125"/>
      <x:c r="B191" s="125"/>
      <x:c r="C191" s="125"/>
      <x:c r="D191" s="125"/>
      <x:c r="E191" s="125"/>
      <x:c r="F191" s="125"/>
      <x:c r="G191" s="125"/>
      <x:c r="H191" s="125"/>
      <x:c r="I191" s="125"/>
      <x:c r="J191" s="125"/>
      <x:c r="K191" s="125"/>
      <x:c r="L191" s="125"/>
      <x:c r="M191" s="125"/>
      <x:c r="N191" s="125"/>
      <x:c r="O191" s="125"/>
      <x:c r="P191" s="125"/>
      <x:c r="Q191" s="125"/>
    </x:row>
    <x:row r="192">
      <x:c r="A192" s="125"/>
      <x:c r="B192" s="125"/>
      <x:c r="C192" s="125"/>
      <x:c r="D192" s="125"/>
      <x:c r="E192" s="125"/>
      <x:c r="F192" s="125"/>
      <x:c r="G192" s="125"/>
      <x:c r="H192" s="125"/>
      <x:c r="I192" s="125"/>
      <x:c r="J192" s="125"/>
      <x:c r="K192" s="125"/>
      <x:c r="L192" s="125"/>
      <x:c r="M192" s="125"/>
      <x:c r="N192" s="125"/>
      <x:c r="O192" s="125"/>
      <x:c r="P192" s="125"/>
      <x:c r="Q192" s="125"/>
    </x:row>
    <x:row r="193">
      <x:c r="A193" s="125"/>
      <x:c r="B193" s="125"/>
      <x:c r="C193" s="125"/>
      <x:c r="D193" s="125"/>
      <x:c r="E193" s="125"/>
      <x:c r="F193" s="125"/>
      <x:c r="G193" s="125"/>
      <x:c r="H193" s="125"/>
      <x:c r="I193" s="125"/>
      <x:c r="J193" s="125"/>
      <x:c r="K193" s="125"/>
      <x:c r="L193" s="125"/>
      <x:c r="M193" s="125"/>
      <x:c r="N193" s="125"/>
      <x:c r="O193" s="125"/>
      <x:c r="P193" s="125"/>
      <x:c r="Q193" s="125"/>
    </x:row>
    <x:row r="194">
      <x:c r="A194" s="125"/>
      <x:c r="B194" s="125"/>
      <x:c r="C194" s="125"/>
      <x:c r="D194" s="125"/>
      <x:c r="E194" s="125"/>
      <x:c r="F194" s="125"/>
      <x:c r="G194" s="125"/>
      <x:c r="H194" s="125"/>
      <x:c r="I194" s="125"/>
      <x:c r="J194" s="125"/>
      <x:c r="K194" s="125"/>
      <x:c r="L194" s="125"/>
      <x:c r="M194" s="125"/>
      <x:c r="N194" s="125"/>
      <x:c r="O194" s="125"/>
      <x:c r="P194" s="125"/>
      <x:c r="Q194" s="125"/>
    </x:row>
    <x:row r="195">
      <x:c r="A195" s="125"/>
      <x:c r="B195" s="125"/>
      <x:c r="C195" s="125"/>
      <x:c r="D195" s="125"/>
      <x:c r="E195" s="125"/>
      <x:c r="F195" s="125"/>
      <x:c r="G195" s="125"/>
      <x:c r="H195" s="125"/>
      <x:c r="I195" s="125"/>
      <x:c r="J195" s="125"/>
      <x:c r="K195" s="125"/>
      <x:c r="L195" s="125"/>
      <x:c r="M195" s="125"/>
      <x:c r="N195" s="125"/>
      <x:c r="O195" s="125"/>
      <x:c r="P195" s="125"/>
      <x:c r="Q195" s="125"/>
    </x:row>
    <x:row r="196">
      <x:c r="A196" s="125"/>
      <x:c r="B196" s="125"/>
      <x:c r="C196" s="125"/>
      <x:c r="D196" s="125"/>
      <x:c r="E196" s="125"/>
      <x:c r="F196" s="125"/>
      <x:c r="G196" s="125"/>
      <x:c r="H196" s="125"/>
      <x:c r="I196" s="125"/>
      <x:c r="J196" s="125"/>
      <x:c r="K196" s="125"/>
      <x:c r="L196" s="125"/>
      <x:c r="M196" s="125"/>
      <x:c r="N196" s="125"/>
      <x:c r="O196" s="125"/>
      <x:c r="P196" s="125"/>
      <x:c r="Q196" s="125"/>
    </x:row>
    <x:row r="197">
      <x:c r="A197" s="125"/>
      <x:c r="B197" s="125"/>
      <x:c r="C197" s="125"/>
      <x:c r="D197" s="125"/>
      <x:c r="E197" s="125"/>
      <x:c r="F197" s="125"/>
      <x:c r="G197" s="125"/>
      <x:c r="H197" s="125"/>
      <x:c r="I197" s="125"/>
      <x:c r="J197" s="125"/>
      <x:c r="K197" s="125"/>
      <x:c r="L197" s="125"/>
      <x:c r="M197" s="125"/>
      <x:c r="N197" s="125"/>
      <x:c r="O197" s="125"/>
      <x:c r="P197" s="125"/>
      <x:c r="Q197" s="125"/>
    </x:row>
    <x:row r="198">
      <x:c r="A198" s="125"/>
      <x:c r="B198" s="125"/>
      <x:c r="C198" s="125"/>
      <x:c r="D198" s="125"/>
      <x:c r="E198" s="125"/>
      <x:c r="F198" s="125"/>
      <x:c r="G198" s="125"/>
      <x:c r="H198" s="125"/>
      <x:c r="I198" s="125"/>
      <x:c r="J198" s="125"/>
      <x:c r="K198" s="125"/>
      <x:c r="L198" s="125"/>
      <x:c r="M198" s="125"/>
      <x:c r="N198" s="125"/>
      <x:c r="O198" s="125"/>
      <x:c r="P198" s="125"/>
      <x:c r="Q198" s="125"/>
    </x:row>
    <x:row r="199">
      <x:c r="A199" s="125"/>
      <x:c r="B199" s="125"/>
      <x:c r="C199" s="125"/>
      <x:c r="D199" s="125"/>
      <x:c r="E199" s="125"/>
      <x:c r="F199" s="125"/>
      <x:c r="G199" s="125"/>
      <x:c r="H199" s="125"/>
      <x:c r="I199" s="125"/>
      <x:c r="J199" s="125"/>
      <x:c r="K199" s="125"/>
      <x:c r="L199" s="125"/>
      <x:c r="M199" s="125"/>
      <x:c r="N199" s="125"/>
      <x:c r="O199" s="125"/>
      <x:c r="P199" s="125"/>
      <x:c r="Q199" s="125"/>
    </x:row>
    <x:row r="200">
      <x:c r="A200" s="125"/>
      <x:c r="B200" s="125"/>
      <x:c r="C200" s="125"/>
      <x:c r="D200" s="125"/>
      <x:c r="E200" s="125"/>
      <x:c r="F200" s="125"/>
      <x:c r="G200" s="125"/>
      <x:c r="H200" s="125"/>
      <x:c r="I200" s="125"/>
      <x:c r="J200" s="125"/>
      <x:c r="K200" s="125"/>
      <x:c r="L200" s="125"/>
      <x:c r="M200" s="125"/>
      <x:c r="N200" s="125"/>
      <x:c r="O200" s="125"/>
      <x:c r="P200" s="125"/>
      <x:c r="Q200" s="125"/>
    </x:row>
    <x:row r="201">
      <x:c r="A201" s="125"/>
      <x:c r="B201" s="125"/>
      <x:c r="C201" s="125"/>
      <x:c r="D201" s="125"/>
      <x:c r="E201" s="125"/>
      <x:c r="F201" s="125"/>
      <x:c r="G201" s="125"/>
      <x:c r="H201" s="125"/>
      <x:c r="I201" s="125"/>
      <x:c r="J201" s="125"/>
      <x:c r="K201" s="125"/>
      <x:c r="L201" s="125"/>
      <x:c r="M201" s="125"/>
      <x:c r="N201" s="125"/>
      <x:c r="O201" s="125"/>
      <x:c r="P201" s="125"/>
      <x:c r="Q201" s="125"/>
    </x:row>
    <x:row r="202">
      <x:c r="A202" s="125"/>
      <x:c r="B202" s="125"/>
      <x:c r="C202" s="125"/>
      <x:c r="D202" s="125"/>
      <x:c r="E202" s="125"/>
      <x:c r="F202" s="125"/>
      <x:c r="G202" s="125"/>
      <x:c r="H202" s="125"/>
      <x:c r="I202" s="125"/>
      <x:c r="J202" s="125"/>
      <x:c r="K202" s="125"/>
      <x:c r="L202" s="125"/>
      <x:c r="M202" s="125"/>
      <x:c r="N202" s="125"/>
      <x:c r="O202" s="125"/>
      <x:c r="P202" s="125"/>
      <x:c r="Q202" s="125"/>
    </x:row>
    <x:row r="203">
      <x:c r="A203" s="125"/>
      <x:c r="B203" s="125"/>
      <x:c r="C203" s="125"/>
      <x:c r="D203" s="125"/>
      <x:c r="E203" s="125"/>
      <x:c r="F203" s="125"/>
      <x:c r="G203" s="125"/>
      <x:c r="H203" s="125"/>
      <x:c r="I203" s="125"/>
      <x:c r="J203" s="125"/>
      <x:c r="K203" s="125"/>
      <x:c r="L203" s="125"/>
      <x:c r="M203" s="125"/>
      <x:c r="N203" s="125"/>
      <x:c r="O203" s="125"/>
      <x:c r="P203" s="125"/>
      <x:c r="Q203" s="125"/>
    </x:row>
    <x:row r="204">
      <x:c r="A204" s="125"/>
      <x:c r="B204" s="125"/>
      <x:c r="C204" s="125"/>
      <x:c r="D204" s="125"/>
      <x:c r="E204" s="125"/>
      <x:c r="F204" s="125"/>
      <x:c r="G204" s="125"/>
      <x:c r="H204" s="125"/>
      <x:c r="I204" s="125"/>
      <x:c r="J204" s="125"/>
      <x:c r="K204" s="125"/>
      <x:c r="L204" s="125"/>
      <x:c r="M204" s="125"/>
      <x:c r="N204" s="125"/>
      <x:c r="O204" s="125"/>
      <x:c r="P204" s="125"/>
      <x:c r="Q204" s="125"/>
    </x:row>
    <x:row r="205">
      <x:c r="A205" s="125"/>
      <x:c r="B205" s="125"/>
      <x:c r="C205" s="125"/>
      <x:c r="D205" s="125"/>
      <x:c r="E205" s="125"/>
      <x:c r="F205" s="125"/>
      <x:c r="G205" s="125"/>
      <x:c r="H205" s="125"/>
      <x:c r="I205" s="125"/>
      <x:c r="J205" s="125"/>
      <x:c r="K205" s="125"/>
      <x:c r="L205" s="125"/>
      <x:c r="M205" s="125"/>
      <x:c r="N205" s="125"/>
      <x:c r="O205" s="125"/>
      <x:c r="P205" s="125"/>
      <x:c r="Q205" s="125"/>
    </x:row>
    <x:row r="206">
      <x:c r="A206" s="125"/>
      <x:c r="B206" s="125"/>
      <x:c r="C206" s="125"/>
      <x:c r="D206" s="125"/>
      <x:c r="E206" s="125"/>
      <x:c r="F206" s="125"/>
      <x:c r="G206" s="125"/>
      <x:c r="H206" s="125"/>
      <x:c r="I206" s="125"/>
      <x:c r="J206" s="125"/>
      <x:c r="K206" s="125"/>
      <x:c r="L206" s="125"/>
      <x:c r="M206" s="125"/>
      <x:c r="N206" s="125"/>
      <x:c r="O206" s="125"/>
      <x:c r="P206" s="125"/>
      <x:c r="Q206" s="125"/>
    </x:row>
    <x:row r="207">
      <x:c r="A207" s="125"/>
      <x:c r="B207" s="125"/>
      <x:c r="C207" s="125"/>
      <x:c r="D207" s="125"/>
      <x:c r="E207" s="125"/>
      <x:c r="F207" s="125"/>
      <x:c r="G207" s="125"/>
      <x:c r="H207" s="125"/>
      <x:c r="I207" s="125"/>
      <x:c r="J207" s="125"/>
      <x:c r="K207" s="125"/>
      <x:c r="L207" s="125"/>
      <x:c r="M207" s="125"/>
      <x:c r="N207" s="125"/>
      <x:c r="O207" s="125"/>
      <x:c r="P207" s="125"/>
      <x:c r="Q207" s="125"/>
    </x:row>
    <x:row r="208">
      <x:c r="A208" s="125"/>
      <x:c r="B208" s="125"/>
      <x:c r="C208" s="125"/>
      <x:c r="D208" s="125"/>
      <x:c r="E208" s="125"/>
      <x:c r="F208" s="125"/>
      <x:c r="G208" s="125"/>
      <x:c r="H208" s="125"/>
      <x:c r="I208" s="125"/>
      <x:c r="J208" s="125"/>
      <x:c r="K208" s="125"/>
      <x:c r="L208" s="125"/>
      <x:c r="M208" s="125"/>
      <x:c r="N208" s="125"/>
      <x:c r="O208" s="125"/>
      <x:c r="P208" s="125"/>
      <x:c r="Q208" s="125"/>
    </x:row>
    <x:row r="209">
      <x:c r="A209" s="125"/>
      <x:c r="B209" s="125"/>
      <x:c r="C209" s="125"/>
      <x:c r="D209" s="125"/>
      <x:c r="E209" s="125"/>
      <x:c r="F209" s="125"/>
      <x:c r="G209" s="125"/>
      <x:c r="H209" s="125"/>
      <x:c r="I209" s="125"/>
      <x:c r="J209" s="125"/>
      <x:c r="K209" s="125"/>
      <x:c r="L209" s="125"/>
      <x:c r="M209" s="125"/>
      <x:c r="N209" s="125"/>
      <x:c r="O209" s="125"/>
      <x:c r="P209" s="125"/>
      <x:c r="Q209" s="125"/>
    </x:row>
    <x:row r="210">
      <x:c r="A210" s="125"/>
      <x:c r="B210" s="125"/>
      <x:c r="C210" s="125"/>
      <x:c r="D210" s="125"/>
      <x:c r="E210" s="125"/>
      <x:c r="F210" s="125"/>
      <x:c r="G210" s="125"/>
      <x:c r="H210" s="125"/>
      <x:c r="I210" s="125"/>
      <x:c r="J210" s="125"/>
      <x:c r="K210" s="125"/>
      <x:c r="L210" s="125"/>
      <x:c r="M210" s="125"/>
      <x:c r="N210" s="125"/>
      <x:c r="O210" s="125"/>
      <x:c r="P210" s="125"/>
      <x:c r="Q210" s="125"/>
    </x:row>
    <x:row r="211">
      <x:c r="A211" s="125"/>
      <x:c r="B211" s="125"/>
      <x:c r="C211" s="125"/>
      <x:c r="D211" s="125"/>
      <x:c r="E211" s="125"/>
      <x:c r="F211" s="125"/>
      <x:c r="G211" s="125"/>
      <x:c r="H211" s="125"/>
      <x:c r="I211" s="125"/>
      <x:c r="J211" s="125"/>
      <x:c r="K211" s="125"/>
      <x:c r="L211" s="125"/>
      <x:c r="M211" s="125"/>
      <x:c r="N211" s="125"/>
      <x:c r="O211" s="125"/>
      <x:c r="P211" s="125"/>
      <x:c r="Q211" s="125"/>
    </x:row>
    <x:row r="212">
      <x:c r="A212" s="125"/>
      <x:c r="B212" s="125"/>
      <x:c r="C212" s="125"/>
      <x:c r="D212" s="125"/>
      <x:c r="E212" s="125"/>
      <x:c r="F212" s="125"/>
      <x:c r="G212" s="125"/>
      <x:c r="H212" s="125"/>
      <x:c r="I212" s="125"/>
      <x:c r="J212" s="125"/>
      <x:c r="K212" s="125"/>
      <x:c r="L212" s="125"/>
      <x:c r="M212" s="125"/>
      <x:c r="N212" s="125"/>
      <x:c r="O212" s="125"/>
      <x:c r="P212" s="125"/>
      <x:c r="Q212" s="125"/>
    </x:row>
    <x:row r="213">
      <x:c r="A213" s="125"/>
      <x:c r="B213" s="125"/>
      <x:c r="C213" s="125"/>
      <x:c r="D213" s="125"/>
      <x:c r="E213" s="125"/>
      <x:c r="F213" s="125"/>
      <x:c r="G213" s="125"/>
      <x:c r="H213" s="125"/>
      <x:c r="I213" s="125"/>
      <x:c r="J213" s="125"/>
      <x:c r="K213" s="125"/>
      <x:c r="L213" s="125"/>
      <x:c r="M213" s="125"/>
      <x:c r="N213" s="125"/>
      <x:c r="O213" s="125"/>
      <x:c r="P213" s="125"/>
      <x:c r="Q213" s="125"/>
    </x:row>
    <x:row r="214">
      <x:c r="A214" s="125"/>
      <x:c r="B214" s="125"/>
      <x:c r="C214" s="125"/>
      <x:c r="D214" s="125"/>
      <x:c r="E214" s="125"/>
      <x:c r="F214" s="125"/>
      <x:c r="G214" s="125"/>
      <x:c r="H214" s="125"/>
      <x:c r="I214" s="125"/>
      <x:c r="J214" s="125"/>
      <x:c r="K214" s="125"/>
      <x:c r="L214" s="125"/>
      <x:c r="M214" s="125"/>
      <x:c r="N214" s="125"/>
      <x:c r="O214" s="125"/>
      <x:c r="P214" s="125"/>
      <x:c r="Q214" s="125"/>
    </x:row>
    <x:row r="215">
      <x:c r="A215" s="125"/>
      <x:c r="B215" s="125"/>
      <x:c r="C215" s="125"/>
      <x:c r="D215" s="125"/>
      <x:c r="E215" s="125"/>
      <x:c r="F215" s="125"/>
      <x:c r="G215" s="125"/>
      <x:c r="H215" s="125"/>
      <x:c r="I215" s="125"/>
      <x:c r="J215" s="125"/>
      <x:c r="K215" s="125"/>
      <x:c r="L215" s="125"/>
      <x:c r="M215" s="125"/>
      <x:c r="N215" s="125"/>
      <x:c r="O215" s="125"/>
      <x:c r="P215" s="125"/>
      <x:c r="Q215" s="125"/>
    </x:row>
    <x:row r="216">
      <x:c r="A216" s="125"/>
      <x:c r="B216" s="125"/>
      <x:c r="C216" s="125"/>
      <x:c r="D216" s="125"/>
      <x:c r="E216" s="125"/>
      <x:c r="F216" s="125"/>
      <x:c r="G216" s="125"/>
      <x:c r="H216" s="125"/>
      <x:c r="I216" s="125"/>
      <x:c r="J216" s="125"/>
      <x:c r="K216" s="125"/>
      <x:c r="L216" s="125"/>
      <x:c r="M216" s="125"/>
      <x:c r="N216" s="125"/>
      <x:c r="O216" s="125"/>
      <x:c r="P216" s="125"/>
      <x:c r="Q216" s="125"/>
    </x:row>
    <x:row r="217">
      <x:c r="A217" s="125"/>
      <x:c r="B217" s="125"/>
      <x:c r="C217" s="125"/>
      <x:c r="D217" s="125"/>
      <x:c r="E217" s="125"/>
      <x:c r="F217" s="125"/>
      <x:c r="G217" s="125"/>
      <x:c r="H217" s="125"/>
      <x:c r="I217" s="125"/>
      <x:c r="J217" s="125"/>
      <x:c r="K217" s="125"/>
      <x:c r="L217" s="125"/>
      <x:c r="M217" s="125"/>
      <x:c r="N217" s="125"/>
      <x:c r="O217" s="125"/>
      <x:c r="P217" s="125"/>
      <x:c r="Q217" s="125"/>
    </x:row>
    <x:row r="218">
      <x:c r="A218" s="125"/>
      <x:c r="B218" s="125"/>
      <x:c r="C218" s="125"/>
      <x:c r="D218" s="125"/>
      <x:c r="E218" s="125"/>
      <x:c r="F218" s="125"/>
      <x:c r="G218" s="125"/>
      <x:c r="H218" s="125"/>
      <x:c r="I218" s="125"/>
      <x:c r="J218" s="125"/>
      <x:c r="K218" s="125"/>
      <x:c r="L218" s="125"/>
      <x:c r="M218" s="125"/>
      <x:c r="N218" s="125"/>
      <x:c r="O218" s="125"/>
      <x:c r="P218" s="125"/>
      <x:c r="Q218" s="125"/>
    </x:row>
    <x:row r="219">
      <x:c r="A219" s="125"/>
      <x:c r="B219" s="125"/>
      <x:c r="C219" s="125"/>
      <x:c r="D219" s="125"/>
      <x:c r="E219" s="125"/>
      <x:c r="F219" s="125"/>
      <x:c r="G219" s="125"/>
      <x:c r="H219" s="125"/>
      <x:c r="I219" s="125"/>
      <x:c r="J219" s="125"/>
      <x:c r="K219" s="125"/>
      <x:c r="L219" s="125"/>
      <x:c r="M219" s="125"/>
      <x:c r="N219" s="125"/>
      <x:c r="O219" s="125"/>
      <x:c r="P219" s="125"/>
      <x:c r="Q219" s="125"/>
    </x:row>
    <x:row r="220">
      <x:c r="A220" s="125"/>
      <x:c r="B220" s="125"/>
      <x:c r="C220" s="125"/>
      <x:c r="D220" s="125"/>
      <x:c r="E220" s="125"/>
      <x:c r="F220" s="125"/>
      <x:c r="G220" s="125"/>
      <x:c r="H220" s="125"/>
      <x:c r="I220" s="125"/>
      <x:c r="J220" s="125"/>
      <x:c r="K220" s="125"/>
      <x:c r="L220" s="125"/>
      <x:c r="M220" s="125"/>
      <x:c r="N220" s="125"/>
      <x:c r="O220" s="125"/>
      <x:c r="P220" s="125"/>
      <x:c r="Q220" s="125"/>
    </x:row>
    <x:row r="221">
      <x:c r="A221" s="125"/>
      <x:c r="B221" s="125"/>
      <x:c r="C221" s="125"/>
      <x:c r="D221" s="125"/>
      <x:c r="E221" s="125"/>
      <x:c r="F221" s="125"/>
      <x:c r="G221" s="125"/>
      <x:c r="H221" s="125"/>
      <x:c r="I221" s="125"/>
      <x:c r="J221" s="125"/>
      <x:c r="K221" s="125"/>
      <x:c r="L221" s="125"/>
      <x:c r="M221" s="125"/>
      <x:c r="N221" s="125"/>
      <x:c r="O221" s="125"/>
      <x:c r="P221" s="125"/>
      <x:c r="Q221" s="125"/>
    </x:row>
    <x:row r="222">
      <x:c r="A222" s="125"/>
      <x:c r="B222" s="125"/>
      <x:c r="C222" s="125"/>
      <x:c r="D222" s="125"/>
      <x:c r="E222" s="125"/>
      <x:c r="F222" s="125"/>
      <x:c r="G222" s="125"/>
      <x:c r="H222" s="125"/>
      <x:c r="I222" s="125"/>
      <x:c r="J222" s="125"/>
      <x:c r="K222" s="125"/>
      <x:c r="L222" s="125"/>
      <x:c r="M222" s="125"/>
      <x:c r="N222" s="125"/>
      <x:c r="O222" s="125"/>
      <x:c r="P222" s="125"/>
      <x:c r="Q222" s="125"/>
    </x:row>
    <x:row r="223">
      <x:c r="A223" s="125"/>
      <x:c r="B223" s="125"/>
      <x:c r="C223" s="125"/>
      <x:c r="D223" s="125"/>
      <x:c r="E223" s="125"/>
      <x:c r="F223" s="125"/>
      <x:c r="G223" s="125"/>
      <x:c r="H223" s="125"/>
      <x:c r="I223" s="125"/>
      <x:c r="J223" s="125"/>
      <x:c r="K223" s="125"/>
      <x:c r="L223" s="125"/>
      <x:c r="M223" s="125"/>
      <x:c r="N223" s="125"/>
      <x:c r="O223" s="125"/>
      <x:c r="P223" s="125"/>
      <x:c r="Q223" s="125"/>
    </x:row>
    <x:row r="224">
      <x:c r="A224" s="125"/>
      <x:c r="B224" s="125"/>
      <x:c r="C224" s="125"/>
      <x:c r="D224" s="125"/>
      <x:c r="E224" s="125"/>
      <x:c r="F224" s="125"/>
      <x:c r="G224" s="125"/>
      <x:c r="H224" s="125"/>
      <x:c r="I224" s="125"/>
      <x:c r="J224" s="125"/>
      <x:c r="K224" s="125"/>
      <x:c r="L224" s="125"/>
      <x:c r="M224" s="125"/>
      <x:c r="N224" s="125"/>
      <x:c r="O224" s="125"/>
      <x:c r="P224" s="125"/>
      <x:c r="Q224" s="125"/>
    </x:row>
    <x:row r="225">
      <x:c r="A225" s="125"/>
      <x:c r="B225" s="125"/>
      <x:c r="C225" s="125"/>
      <x:c r="D225" s="125"/>
      <x:c r="E225" s="125"/>
      <x:c r="F225" s="125"/>
      <x:c r="G225" s="125"/>
      <x:c r="H225" s="125"/>
      <x:c r="I225" s="125"/>
      <x:c r="J225" s="125"/>
      <x:c r="K225" s="125"/>
      <x:c r="L225" s="125"/>
      <x:c r="M225" s="125"/>
      <x:c r="N225" s="125"/>
      <x:c r="O225" s="125"/>
      <x:c r="P225" s="125"/>
      <x:c r="Q225" s="125"/>
    </x:row>
    <x:row r="226">
      <x:c r="A226" s="125"/>
      <x:c r="B226" s="125"/>
      <x:c r="C226" s="125"/>
      <x:c r="D226" s="125"/>
      <x:c r="E226" s="125"/>
      <x:c r="F226" s="125"/>
      <x:c r="G226" s="125"/>
      <x:c r="H226" s="125"/>
      <x:c r="I226" s="125"/>
      <x:c r="J226" s="125"/>
      <x:c r="K226" s="125"/>
      <x:c r="L226" s="125"/>
      <x:c r="M226" s="125"/>
      <x:c r="N226" s="125"/>
      <x:c r="O226" s="125"/>
      <x:c r="P226" s="125"/>
      <x:c r="Q226" s="125"/>
    </x:row>
    <x:row r="227">
      <x:c r="A227" s="125"/>
      <x:c r="B227" s="125"/>
      <x:c r="C227" s="125"/>
      <x:c r="D227" s="125"/>
      <x:c r="E227" s="125"/>
      <x:c r="F227" s="125"/>
      <x:c r="G227" s="125"/>
      <x:c r="H227" s="125"/>
      <x:c r="I227" s="125"/>
      <x:c r="J227" s="125"/>
      <x:c r="K227" s="125"/>
      <x:c r="L227" s="125"/>
      <x:c r="M227" s="125"/>
      <x:c r="N227" s="125"/>
      <x:c r="O227" s="125"/>
      <x:c r="P227" s="125"/>
      <x:c r="Q227" s="125"/>
    </x:row>
    <x:row r="228">
      <x:c r="A228" s="125"/>
      <x:c r="B228" s="125"/>
      <x:c r="C228" s="125"/>
      <x:c r="D228" s="125"/>
      <x:c r="E228" s="125"/>
      <x:c r="F228" s="125"/>
      <x:c r="G228" s="125"/>
      <x:c r="H228" s="125"/>
      <x:c r="I228" s="125"/>
      <x:c r="J228" s="125"/>
      <x:c r="K228" s="125"/>
      <x:c r="L228" s="125"/>
      <x:c r="M228" s="125"/>
      <x:c r="N228" s="125"/>
      <x:c r="O228" s="125"/>
      <x:c r="P228" s="125"/>
      <x:c r="Q228" s="125"/>
    </x:row>
    <x:row r="229">
      <x:c r="A229" s="125"/>
      <x:c r="B229" s="125"/>
      <x:c r="C229" s="125"/>
      <x:c r="D229" s="125"/>
      <x:c r="E229" s="125"/>
      <x:c r="F229" s="125"/>
      <x:c r="G229" s="125"/>
      <x:c r="H229" s="125"/>
      <x:c r="I229" s="125"/>
      <x:c r="J229" s="125"/>
      <x:c r="K229" s="125"/>
      <x:c r="L229" s="125"/>
      <x:c r="M229" s="125"/>
      <x:c r="N229" s="125"/>
      <x:c r="O229" s="125"/>
      <x:c r="P229" s="125"/>
      <x:c r="Q229" s="125"/>
    </x:row>
    <x:row r="230">
      <x:c r="A230" s="125"/>
      <x:c r="B230" s="125"/>
      <x:c r="C230" s="125"/>
      <x:c r="D230" s="125"/>
      <x:c r="E230" s="125"/>
      <x:c r="F230" s="125"/>
      <x:c r="G230" s="125"/>
      <x:c r="H230" s="125"/>
      <x:c r="I230" s="125"/>
      <x:c r="J230" s="125"/>
      <x:c r="K230" s="125"/>
      <x:c r="L230" s="125"/>
      <x:c r="M230" s="125"/>
      <x:c r="N230" s="125"/>
      <x:c r="O230" s="125"/>
      <x:c r="P230" s="125"/>
      <x:c r="Q230" s="125"/>
    </x:row>
    <x:row r="231">
      <x:c r="A231" s="125"/>
      <x:c r="B231" s="125"/>
      <x:c r="C231" s="125"/>
      <x:c r="D231" s="125"/>
      <x:c r="E231" s="125"/>
      <x:c r="F231" s="125"/>
      <x:c r="G231" s="125"/>
      <x:c r="H231" s="125"/>
      <x:c r="I231" s="125"/>
      <x:c r="J231" s="125"/>
      <x:c r="K231" s="125"/>
      <x:c r="L231" s="125"/>
      <x:c r="M231" s="125"/>
      <x:c r="N231" s="125"/>
      <x:c r="O231" s="125"/>
      <x:c r="P231" s="125"/>
      <x:c r="Q231" s="125"/>
    </x:row>
    <x:row r="232">
      <x:c r="A232" s="125"/>
      <x:c r="B232" s="125"/>
      <x:c r="C232" s="125"/>
      <x:c r="D232" s="125"/>
      <x:c r="E232" s="125"/>
      <x:c r="F232" s="125"/>
      <x:c r="G232" s="125"/>
      <x:c r="H232" s="125"/>
      <x:c r="I232" s="125"/>
      <x:c r="J232" s="125"/>
      <x:c r="K232" s="125"/>
      <x:c r="L232" s="125"/>
      <x:c r="M232" s="125"/>
      <x:c r="N232" s="125"/>
      <x:c r="O232" s="125"/>
      <x:c r="P232" s="125"/>
      <x:c r="Q232" s="125"/>
    </x:row>
    <x:row r="233">
      <x:c r="A233" s="125"/>
      <x:c r="B233" s="125"/>
      <x:c r="C233" s="125"/>
      <x:c r="D233" s="125"/>
      <x:c r="E233" s="125"/>
      <x:c r="F233" s="125"/>
      <x:c r="G233" s="125"/>
      <x:c r="H233" s="125"/>
      <x:c r="I233" s="125"/>
      <x:c r="J233" s="125"/>
      <x:c r="K233" s="125"/>
      <x:c r="L233" s="125"/>
      <x:c r="M233" s="125"/>
      <x:c r="N233" s="125"/>
      <x:c r="O233" s="125"/>
      <x:c r="P233" s="125"/>
      <x:c r="Q233" s="125"/>
    </x:row>
    <x:row r="234">
      <x:c r="A234" s="125"/>
      <x:c r="B234" s="125"/>
      <x:c r="C234" s="125"/>
      <x:c r="D234" s="125"/>
      <x:c r="E234" s="125"/>
      <x:c r="F234" s="125"/>
      <x:c r="G234" s="125"/>
      <x:c r="H234" s="125"/>
      <x:c r="I234" s="125"/>
      <x:c r="J234" s="125"/>
      <x:c r="K234" s="125"/>
      <x:c r="L234" s="125"/>
      <x:c r="M234" s="125"/>
      <x:c r="N234" s="125"/>
      <x:c r="O234" s="125"/>
      <x:c r="P234" s="125"/>
      <x:c r="Q234" s="125"/>
    </x:row>
    <x:row r="235">
      <x:c r="A235" s="125"/>
      <x:c r="B235" s="125"/>
      <x:c r="C235" s="125"/>
      <x:c r="D235" s="125"/>
      <x:c r="E235" s="125"/>
      <x:c r="F235" s="125"/>
      <x:c r="G235" s="125"/>
      <x:c r="H235" s="125"/>
      <x:c r="I235" s="125"/>
      <x:c r="J235" s="125"/>
      <x:c r="K235" s="125"/>
      <x:c r="L235" s="125"/>
      <x:c r="M235" s="125"/>
      <x:c r="N235" s="125"/>
      <x:c r="O235" s="125"/>
      <x:c r="P235" s="125"/>
      <x:c r="Q235" s="125"/>
    </x:row>
    <x:row r="236">
      <x:c r="A236" s="125"/>
      <x:c r="B236" s="125"/>
      <x:c r="C236" s="125"/>
      <x:c r="D236" s="125"/>
      <x:c r="E236" s="125"/>
      <x:c r="F236" s="125"/>
      <x:c r="G236" s="125"/>
      <x:c r="H236" s="125"/>
      <x:c r="I236" s="125"/>
      <x:c r="J236" s="125"/>
      <x:c r="K236" s="125"/>
      <x:c r="L236" s="125"/>
      <x:c r="M236" s="125"/>
      <x:c r="N236" s="125"/>
      <x:c r="O236" s="125"/>
      <x:c r="P236" s="125"/>
      <x:c r="Q236" s="125"/>
    </x:row>
    <x:row r="237">
      <x:c r="A237" s="125"/>
      <x:c r="B237" s="125"/>
      <x:c r="C237" s="125"/>
      <x:c r="D237" s="125"/>
      <x:c r="E237" s="125"/>
      <x:c r="F237" s="125"/>
      <x:c r="G237" s="125"/>
      <x:c r="H237" s="125"/>
      <x:c r="I237" s="125"/>
      <x:c r="J237" s="125"/>
      <x:c r="K237" s="125"/>
      <x:c r="L237" s="125"/>
      <x:c r="M237" s="125"/>
      <x:c r="N237" s="125"/>
      <x:c r="O237" s="125"/>
      <x:c r="P237" s="125"/>
      <x:c r="Q237" s="125"/>
    </x:row>
    <x:row r="238">
      <x:c r="A238" s="125"/>
      <x:c r="B238" s="125"/>
      <x:c r="C238" s="125"/>
      <x:c r="D238" s="125"/>
      <x:c r="E238" s="125"/>
      <x:c r="F238" s="125"/>
      <x:c r="G238" s="125"/>
      <x:c r="H238" s="125"/>
      <x:c r="I238" s="125"/>
      <x:c r="J238" s="125"/>
      <x:c r="K238" s="125"/>
      <x:c r="L238" s="125"/>
      <x:c r="M238" s="125"/>
      <x:c r="N238" s="125"/>
      <x:c r="O238" s="125"/>
      <x:c r="P238" s="125"/>
      <x:c r="Q238" s="125"/>
    </x:row>
    <x:row r="239">
      <x:c r="A239" s="125"/>
      <x:c r="B239" s="125"/>
      <x:c r="C239" s="125"/>
      <x:c r="D239" s="125"/>
      <x:c r="E239" s="125"/>
      <x:c r="F239" s="125"/>
      <x:c r="G239" s="125"/>
      <x:c r="H239" s="125"/>
      <x:c r="I239" s="125"/>
      <x:c r="J239" s="125"/>
      <x:c r="K239" s="125"/>
      <x:c r="L239" s="125"/>
      <x:c r="M239" s="125"/>
      <x:c r="N239" s="125"/>
      <x:c r="O239" s="125"/>
      <x:c r="P239" s="125"/>
      <x:c r="Q239" s="125"/>
    </x:row>
    <x:row r="240">
      <x:c r="A240" s="125"/>
      <x:c r="B240" s="125"/>
      <x:c r="C240" s="125"/>
      <x:c r="D240" s="125"/>
      <x:c r="E240" s="125"/>
      <x:c r="F240" s="125"/>
      <x:c r="G240" s="125"/>
      <x:c r="H240" s="125"/>
      <x:c r="I240" s="125"/>
      <x:c r="J240" s="125"/>
      <x:c r="K240" s="125"/>
      <x:c r="L240" s="125"/>
      <x:c r="M240" s="125"/>
      <x:c r="N240" s="125"/>
      <x:c r="O240" s="125"/>
      <x:c r="P240" s="125"/>
      <x:c r="Q240" s="125"/>
    </x:row>
    <x:row r="241">
      <x:c r="A241" s="125"/>
      <x:c r="B241" s="125"/>
      <x:c r="C241" s="125"/>
      <x:c r="D241" s="125"/>
      <x:c r="E241" s="125"/>
      <x:c r="F241" s="125"/>
      <x:c r="G241" s="125"/>
      <x:c r="H241" s="125"/>
      <x:c r="I241" s="125"/>
      <x:c r="J241" s="125"/>
      <x:c r="K241" s="125"/>
      <x:c r="L241" s="125"/>
      <x:c r="M241" s="125"/>
      <x:c r="N241" s="125"/>
      <x:c r="O241" s="125"/>
      <x:c r="P241" s="125"/>
      <x:c r="Q241" s="125"/>
    </x:row>
    <x:row r="242">
      <x:c r="A242" s="125"/>
      <x:c r="B242" s="125"/>
      <x:c r="C242" s="125"/>
      <x:c r="D242" s="125"/>
      <x:c r="E242" s="125"/>
      <x:c r="F242" s="125"/>
      <x:c r="G242" s="125"/>
      <x:c r="H242" s="125"/>
      <x:c r="I242" s="125"/>
      <x:c r="J242" s="125"/>
      <x:c r="K242" s="125"/>
      <x:c r="L242" s="125"/>
      <x:c r="M242" s="125"/>
      <x:c r="N242" s="125"/>
      <x:c r="O242" s="125"/>
      <x:c r="P242" s="125"/>
      <x:c r="Q242" s="125"/>
    </x:row>
    <x:row r="243">
      <x:c r="A243" s="125"/>
      <x:c r="B243" s="125"/>
      <x:c r="C243" s="125"/>
      <x:c r="D243" s="125"/>
      <x:c r="E243" s="125"/>
      <x:c r="F243" s="125"/>
      <x:c r="G243" s="125"/>
      <x:c r="H243" s="125"/>
      <x:c r="I243" s="125"/>
      <x:c r="J243" s="125"/>
      <x:c r="K243" s="125"/>
      <x:c r="L243" s="125"/>
      <x:c r="M243" s="125"/>
      <x:c r="N243" s="125"/>
      <x:c r="O243" s="125"/>
      <x:c r="P243" s="125"/>
      <x:c r="Q243" s="125"/>
    </x:row>
    <x:row r="244">
      <x:c r="A244" s="125"/>
      <x:c r="B244" s="125"/>
      <x:c r="C244" s="125"/>
      <x:c r="D244" s="125"/>
      <x:c r="E244" s="125"/>
      <x:c r="F244" s="125"/>
      <x:c r="G244" s="125"/>
      <x:c r="H244" s="125"/>
      <x:c r="I244" s="125"/>
      <x:c r="J244" s="125"/>
      <x:c r="K244" s="125"/>
      <x:c r="L244" s="125"/>
      <x:c r="M244" s="125"/>
      <x:c r="N244" s="125"/>
      <x:c r="O244" s="125"/>
      <x:c r="P244" s="125"/>
      <x:c r="Q244" s="125"/>
    </x:row>
    <x:row r="245">
      <x:c r="A245" s="125"/>
      <x:c r="B245" s="125"/>
      <x:c r="C245" s="125"/>
      <x:c r="D245" s="125"/>
      <x:c r="E245" s="125"/>
      <x:c r="F245" s="125"/>
      <x:c r="G245" s="125"/>
      <x:c r="H245" s="125"/>
      <x:c r="I245" s="125"/>
      <x:c r="J245" s="125"/>
      <x:c r="K245" s="125"/>
      <x:c r="L245" s="125"/>
      <x:c r="M245" s="125"/>
      <x:c r="N245" s="125"/>
      <x:c r="O245" s="125"/>
      <x:c r="P245" s="125"/>
      <x:c r="Q245" s="125"/>
    </x:row>
    <x:row r="246">
      <x:c r="A246" s="125"/>
      <x:c r="B246" s="125"/>
      <x:c r="C246" s="125"/>
      <x:c r="D246" s="125"/>
      <x:c r="E246" s="125"/>
      <x:c r="F246" s="125"/>
      <x:c r="G246" s="125"/>
      <x:c r="H246" s="125"/>
      <x:c r="I246" s="125"/>
      <x:c r="J246" s="125"/>
      <x:c r="K246" s="125"/>
      <x:c r="L246" s="125"/>
      <x:c r="M246" s="125"/>
      <x:c r="N246" s="125"/>
      <x:c r="O246" s="125"/>
      <x:c r="P246" s="125"/>
      <x:c r="Q246" s="125"/>
    </x:row>
    <x:row r="247">
      <x:c r="A247" s="125"/>
      <x:c r="B247" s="125"/>
      <x:c r="C247" s="125"/>
      <x:c r="D247" s="125"/>
      <x:c r="E247" s="125"/>
      <x:c r="F247" s="125"/>
      <x:c r="G247" s="125"/>
      <x:c r="H247" s="125"/>
      <x:c r="I247" s="125"/>
      <x:c r="J247" s="125"/>
      <x:c r="K247" s="125"/>
      <x:c r="L247" s="125"/>
      <x:c r="M247" s="125"/>
      <x:c r="N247" s="125"/>
      <x:c r="O247" s="125"/>
      <x:c r="P247" s="125"/>
      <x:c r="Q247" s="125"/>
    </x:row>
    <x:row r="248">
      <x:c r="A248" s="125"/>
      <x:c r="B248" s="125"/>
      <x:c r="C248" s="125"/>
      <x:c r="D248" s="125"/>
      <x:c r="E248" s="125"/>
      <x:c r="F248" s="125"/>
      <x:c r="G248" s="125"/>
      <x:c r="H248" s="125"/>
      <x:c r="I248" s="125"/>
      <x:c r="J248" s="125"/>
      <x:c r="K248" s="125"/>
      <x:c r="L248" s="125"/>
      <x:c r="M248" s="125"/>
      <x:c r="N248" s="125"/>
      <x:c r="O248" s="125"/>
      <x:c r="P248" s="125"/>
      <x:c r="Q248" s="125"/>
    </x:row>
    <x:row r="249">
      <x:c r="A249" s="125"/>
      <x:c r="B249" s="125"/>
      <x:c r="C249" s="125"/>
      <x:c r="D249" s="125"/>
      <x:c r="E249" s="125"/>
      <x:c r="F249" s="125"/>
      <x:c r="G249" s="125"/>
      <x:c r="H249" s="125"/>
      <x:c r="I249" s="125"/>
      <x:c r="J249" s="125"/>
      <x:c r="K249" s="125"/>
      <x:c r="L249" s="125"/>
      <x:c r="M249" s="125"/>
      <x:c r="N249" s="125"/>
      <x:c r="O249" s="125"/>
      <x:c r="P249" s="125"/>
      <x:c r="Q249" s="125"/>
    </x:row>
    <x:row r="250">
      <x:c r="A250" s="125"/>
      <x:c r="B250" s="125"/>
      <x:c r="C250" s="125"/>
      <x:c r="D250" s="125"/>
      <x:c r="E250" s="125"/>
      <x:c r="F250" s="125"/>
      <x:c r="G250" s="125"/>
      <x:c r="H250" s="125"/>
      <x:c r="I250" s="125"/>
      <x:c r="J250" s="125"/>
      <x:c r="K250" s="125"/>
      <x:c r="L250" s="125"/>
      <x:c r="M250" s="125"/>
      <x:c r="N250" s="125"/>
      <x:c r="O250" s="125"/>
      <x:c r="P250" s="125"/>
      <x:c r="Q250" s="125"/>
    </x:row>
  </x:sheetData>
  <x:mergeCells>
    <x:mergeCell ref="A1:K1"/>
    <x:mergeCell ref="A2:K2"/>
    <x:mergeCell ref="A23:D23"/>
  </x:mergeCells>
  <x:pageMargins left="0.7" right="0.7" top="0.75" bottom="0.75" header="0.3" footer="0.3"/>
</x:worksheet>
</file>

<file path=xl/worksheets/sheet2.xml><?xml version="1.0" encoding="utf-8"?>
<x:worksheet xmlns:x="http://schemas.openxmlformats.org/spreadsheetml/2006/main">
  <x:sheetFormatPr defaultRowHeight="15"/>
  <x:cols>
    <x:col min="1" max="1" width="14" hidden="0" customWidth="1"/>
    <x:col min="2" max="2" width="12" hidden="0" customWidth="1"/>
    <x:col min="3" max="3" width="18" hidden="0" customWidth="1"/>
    <x:col min="4" max="4" width="28" hidden="0" customWidth="1"/>
    <x:col min="5" max="5" width="42" hidden="0" customWidth="1"/>
    <x:col min="6" max="6" width="46" hidden="0" customWidth="1"/>
    <x:col min="7" max="7" width="18" hidden="0" customWidth="1"/>
    <x:col min="8" max="8" width="34" hidden="0" customWidth="1"/>
    <x:col min="9" max="9" width="12" hidden="0" customWidth="1"/>
    <x:col min="10" max="10" width="34" hidden="0" customWidth="1"/>
  </x:cols>
  <x:sheetData>
    <x:row r="1" ht="24" customHeight="1">
      <x:c r="A1" s="200" t="str">
        <x:v>CHANGE LOG — IREI MVP Build Template</x:v>
      </x:c>
      <x:c r="B1" s="198"/>
      <x:c r="C1" s="198"/>
      <x:c r="D1" s="198"/>
      <x:c r="E1" s="198"/>
      <x:c r="F1" s="198"/>
      <x:c r="G1" s="198"/>
      <x:c r="H1" s="198"/>
      <x:c r="I1" s="198"/>
      <x:c r="J1" s="198"/>
      <x:c r="K1" s="198"/>
      <x:c r="L1" s="125"/>
      <x:c r="M1" s="125"/>
      <x:c r="N1" s="125"/>
      <x:c r="O1" s="125"/>
      <x:c r="P1" s="125"/>
      <x:c r="Q1" s="125"/>
    </x:row>
    <x:row r="2" ht="34" customHeight="1">
      <x:c r="A2" s="126" t="str">
        <x:v>Audit trail for extracting/simplifying NGO B v12 into the MVP v1 build template. Keep this sheet current with every workbook revision.</x:v>
      </x:c>
      <x:c r="B2" s="125"/>
      <x:c r="C2" s="125"/>
      <x:c r="D2" s="125"/>
      <x:c r="E2" s="125"/>
      <x:c r="F2" s="125"/>
      <x:c r="G2" s="125"/>
      <x:c r="H2" s="125"/>
      <x:c r="I2" s="125"/>
      <x:c r="J2" s="125"/>
      <x:c r="K2" s="125"/>
      <x:c r="L2" s="125"/>
      <x:c r="M2" s="125"/>
      <x:c r="N2" s="125"/>
      <x:c r="O2" s="125"/>
      <x:c r="P2" s="125"/>
      <x:c r="Q2" s="125"/>
    </x:row>
    <x:row r="3">
      <x:c r="A3" s="125"/>
      <x:c r="B3" s="125"/>
      <x:c r="C3" s="125"/>
      <x:c r="D3" s="125"/>
      <x:c r="E3" s="125"/>
      <x:c r="F3" s="125"/>
      <x:c r="G3" s="125"/>
      <x:c r="H3" s="125"/>
      <x:c r="I3" s="125"/>
      <x:c r="J3" s="125"/>
      <x:c r="K3" s="125"/>
      <x:c r="L3" s="125"/>
      <x:c r="M3" s="125"/>
      <x:c r="N3" s="125"/>
      <x:c r="O3" s="125"/>
      <x:c r="P3" s="125"/>
      <x:c r="Q3" s="125"/>
    </x:row>
    <x:row r="4" ht="26" customHeight="1">
      <x:c r="A4" s="127" t="str">
        <x:v>Change ID</x:v>
      </x:c>
      <x:c r="B4" s="127" t="str">
        <x:v>Date</x:v>
      </x:c>
      <x:c r="C4" s="127" t="str">
        <x:v>Type</x:v>
      </x:c>
      <x:c r="D4" s="127" t="str">
        <x:v>Sheet / Range</x:v>
      </x:c>
      <x:c r="E4" s="127" t="str">
        <x:v>Issue</x:v>
      </x:c>
      <x:c r="F4" s="127" t="str">
        <x:v>Change Made</x:v>
      </x:c>
      <x:c r="G4" s="127" t="str">
        <x:v>Assumption Changed?</x:v>
      </x:c>
      <x:c r="H4" s="127" t="str">
        <x:v>Calculation Impact</x:v>
      </x:c>
      <x:c r="I4" s="127" t="str">
        <x:v>Status</x:v>
      </x:c>
      <x:c r="J4" s="127" t="str">
        <x:v>Next Step</x:v>
      </x:c>
      <x:c r="K4" s="125"/>
      <x:c r="L4" s="125"/>
      <x:c r="M4" s="125"/>
      <x:c r="N4" s="125"/>
      <x:c r="O4" s="125"/>
      <x:c r="P4" s="125"/>
      <x:c r="Q4" s="125"/>
    </x:row>
    <x:row r="5">
      <x:c r="A5" s="134" t="str">
        <x:v>CL-001</x:v>
      </x:c>
      <x:c r="B5" s="134" t="str">
        <x:v>2026-07-07</x:v>
      </x:c>
      <x:c r="C5" s="134" t="str">
        <x:v>Governance</x:v>
      </x:c>
      <x:c r="D5" s="134" t="str">
        <x:v>00_CHANGE_LOG</x:v>
      </x:c>
      <x:c r="E5" s="134" t="str">
        <x:v>No workbook-level audit trail existed.</x:v>
      </x:c>
      <x:c r="F5" s="134" t="str">
        <x:v>Added change log sheet with change IDs and affected ranges.</x:v>
      </x:c>
      <x:c r="G5" s="134" t="str">
        <x:v>No</x:v>
      </x:c>
      <x:c r="H5" s="134" t="str">
        <x:v>None; documentation only.</x:v>
      </x:c>
      <x:c r="I5" s="134" t="str">
        <x:v>Complete</x:v>
      </x:c>
      <x:c r="J5" s="134" t="str">
        <x:v>Use for every future model revision.</x:v>
      </x:c>
      <x:c r="K5" s="125"/>
      <x:c r="L5" s="125"/>
      <x:c r="M5" s="125"/>
      <x:c r="N5" s="125"/>
      <x:c r="O5" s="125"/>
      <x:c r="P5" s="125"/>
      <x:c r="Q5" s="125"/>
    </x:row>
    <x:row r="6">
      <x:c r="A6" s="134" t="str">
        <x:v>CL-002</x:v>
      </x:c>
      <x:c r="B6" s="134" t="str">
        <x:v>2026-07-07</x:v>
      </x:c>
      <x:c r="C6" s="134" t="str">
        <x:v>Governance</x:v>
      </x:c>
      <x:c r="D6" s="134" t="str">
        <x:v>00_MODEL_CONTROL</x:v>
      </x:c>
      <x:c r="E6" s="134" t="str">
        <x:v>Portfolio inclusion logic was embedded in rollup row 8 only.</x:v>
      </x:c>
      <x:c r="F6" s="134" t="str">
        <x:v>Added central scope-control sheet and linked rollup toggles to it.</x:v>
      </x:c>
      <x:c r="G6" s="134" t="str">
        <x:v>No</x:v>
      </x:c>
      <x:c r="H6" s="134" t="str">
        <x:v>No intended output change; BLD_AB remains excluded and all other assets remain included.</x:v>
      </x:c>
      <x:c r="I6" s="134" t="str">
        <x:v>Complete</x:v>
      </x:c>
      <x:c r="J6" s="134" t="str">
        <x:v>Use this tab for future include/exclude decisions.</x:v>
      </x:c>
      <x:c r="K6" s="125"/>
      <x:c r="L6" s="125"/>
      <x:c r="M6" s="125"/>
      <x:c r="N6" s="125"/>
      <x:c r="O6" s="125"/>
      <x:c r="P6" s="125"/>
      <x:c r="Q6" s="125"/>
    </x:row>
    <x:row r="7">
      <x:c r="A7" s="134" t="str">
        <x:v>CL-003</x:v>
      </x:c>
      <x:c r="B7" s="134" t="str">
        <x:v>2026-07-07</x:v>
      </x:c>
      <x:c r="C7" s="134" t="str">
        <x:v>Governance</x:v>
      </x:c>
      <x:c r="D7" s="134" t="str">
        <x:v>00_MODEL_CHECKS</x:v>
      </x:c>
      <x:c r="E7" s="134" t="str">
        <x:v>No live structural checks tab existed.</x:v>
      </x:c>
      <x:c r="F7" s="134" t="str">
        <x:v>Added live checks for scope, register totals, label references, and bucket reconciliation.</x:v>
      </x:c>
      <x:c r="G7" s="134" t="str">
        <x:v>No</x:v>
      </x:c>
      <x:c r="H7" s="134" t="str">
        <x:v>None; documentation/checking only.</x:v>
      </x:c>
      <x:c r="I7" s="134" t="str">
        <x:v>Complete</x:v>
      </x:c>
      <x:c r="J7" s="134" t="str">
        <x:v>Expand with debt and development checks in next pass.</x:v>
      </x:c>
      <x:c r="K7" s="125"/>
      <x:c r="L7" s="125"/>
      <x:c r="M7" s="125"/>
      <x:c r="N7" s="125"/>
      <x:c r="O7" s="125"/>
      <x:c r="P7" s="125"/>
      <x:c r="Q7" s="125"/>
    </x:row>
    <x:row r="8">
      <x:c r="A8" s="134" t="str">
        <x:v>CL-004</x:v>
      </x:c>
      <x:c r="B8" s="134" t="str">
        <x:v>2026-07-07</x:v>
      </x:c>
      <x:c r="C8" s="134" t="str">
        <x:v>Formula Fix</x:v>
      </x:c>
      <x:c r="D8" s="134" t="str">
        <x:v>00_PORTFOLIO_REGISTER!C5:C21</x:v>
      </x:c>
      <x:c r="E8" s="134" t="str">
        <x:v>City lookup matched BLD_ID against property name, causing #N/A results.</x:v>
      </x:c>
      <x:c r="F8" s="134" t="str">
        <x:v>Changed lookup to match BLD_ID against Property Summary Tab ID.</x:v>
      </x:c>
      <x:c r="G8" s="134" t="str">
        <x:v>No</x:v>
      </x:c>
      <x:c r="H8" s="134" t="str">
        <x:v>Register city field now calculates live from Property Summary.</x:v>
      </x:c>
      <x:c r="I8" s="134" t="str">
        <x:v>Complete</x:v>
      </x:c>
      <x:c r="J8" s="134" t="str">
        <x:v>Review other register columns for full institutionalization.</x:v>
      </x:c>
      <x:c r="K8" s="125"/>
      <x:c r="L8" s="125"/>
      <x:c r="M8" s="125"/>
      <x:c r="N8" s="125"/>
      <x:c r="O8" s="125"/>
      <x:c r="P8" s="125"/>
      <x:c r="Q8" s="125"/>
    </x:row>
    <x:row r="9">
      <x:c r="A9" s="134" t="str">
        <x:v>CL-005</x:v>
      </x:c>
      <x:c r="B9" s="134" t="str">
        <x:v>2026-07-07</x:v>
      </x:c>
      <x:c r="C9" s="134" t="str">
        <x:v>Formula Addition</x:v>
      </x:c>
      <x:c r="D9" s="134" t="str">
        <x:v>00_PORTFOLIO_REGISTER!D5:I21</x:v>
      </x:c>
      <x:c r="E9" s="134" t="str">
        <x:v>Register had blank units, NOI, lender, and debt-term fields.</x:v>
      </x:c>
      <x:c r="F9" s="134" t="str">
        <x:v>Added live formulas for units, 2025/2029/2035 NOI, lender/program, and debt term.</x:v>
      </x:c>
      <x:c r="G9" s="134" t="str">
        <x:v>No</x:v>
      </x:c>
      <x:c r="H9" s="134" t="str">
        <x:v>Register now ties to Property Summary, property tabs, and Debt Engine.</x:v>
      </x:c>
      <x:c r="I9" s="134" t="str">
        <x:v>Complete</x:v>
      </x:c>
      <x:c r="J9" s="134" t="str">
        <x:v>Later replace hardcoded bucket and issue narrative with formula-controlled classification.</x:v>
      </x:c>
      <x:c r="K9" s="125"/>
      <x:c r="L9" s="125"/>
      <x:c r="M9" s="125"/>
      <x:c r="N9" s="125"/>
      <x:c r="O9" s="125"/>
      <x:c r="P9" s="125"/>
      <x:c r="Q9" s="125"/>
    </x:row>
    <x:row r="10">
      <x:c r="A10" s="134" t="str">
        <x:v>CL-006</x:v>
      </x:c>
      <x:c r="B10" s="134" t="str">
        <x:v>2026-07-07</x:v>
      </x:c>
      <x:c r="C10" s="134" t="str">
        <x:v>Formula Fix</x:v>
      </x:c>
      <x:c r="D10" s="134" t="str">
        <x:v>00_PORTFOLIO_REGISTER!E23:G23</x:v>
      </x:c>
      <x:c r="E10" s="134" t="str">
        <x:v>Portfolio total formulas contained #REF!.</x:v>
      </x:c>
      <x:c r="F10" s="134" t="str">
        <x:v>Replaced with SUM formulas over live NOI detail rows.</x:v>
      </x:c>
      <x:c r="G10" s="134" t="str">
        <x:v>No</x:v>
      </x:c>
      <x:c r="H10" s="134" t="str">
        <x:v>Register totals now calculate live.</x:v>
      </x:c>
      <x:c r="I10" s="134" t="str">
        <x:v>Complete</x:v>
      </x:c>
      <x:c r="J10" s="134" t="str">
        <x:v>Cross-check against portfolio rollup inclusion logic if the register is meant to be scoped.</x:v>
      </x:c>
      <x:c r="K10" s="125"/>
      <x:c r="L10" s="125"/>
      <x:c r="M10" s="125"/>
      <x:c r="N10" s="125"/>
      <x:c r="O10" s="125"/>
      <x:c r="P10" s="125"/>
      <x:c r="Q10" s="125"/>
    </x:row>
    <x:row r="11">
      <x:c r="A11" s="134" t="str">
        <x:v>CL-007</x:v>
      </x:c>
      <x:c r="B11" s="134" t="str">
        <x:v>2026-07-07</x:v>
      </x:c>
      <x:c r="C11" s="134" t="str">
        <x:v>Formatting Fix</x:v>
      </x:c>
      <x:c r="D11" s="134" t="str">
        <x:v>00_PORTFOLIO SUMMARY!C5</x:v>
      </x:c>
      <x:c r="E11" s="134" t="str">
        <x:v>Current year formula displayed as an Excel serial date.</x:v>
      </x:c>
      <x:c r="F11" s="134" t="str">
        <x:v>Changed number format to year/number display.</x:v>
      </x:c>
      <x:c r="G11" s="134" t="str">
        <x:v>No</x:v>
      </x:c>
      <x:c r="H11" s="134" t="str">
        <x:v>Presentation only.</x:v>
      </x:c>
      <x:c r="I11" s="134" t="str">
        <x:v>Complete</x:v>
      </x:c>
      <x:c r="J11" s="134" t="str">
        <x:v>None.</x:v>
      </x:c>
      <x:c r="K11" s="125"/>
      <x:c r="L11" s="125"/>
      <x:c r="M11" s="125"/>
      <x:c r="N11" s="125"/>
      <x:c r="O11" s="125"/>
      <x:c r="P11" s="125"/>
      <x:c r="Q11" s="125"/>
    </x:row>
    <x:row r="12">
      <x:c r="A12" s="134" t="str">
        <x:v>CL-008</x:v>
      </x:c>
      <x:c r="B12" s="134" t="str">
        <x:v>2026-07-07</x:v>
      </x:c>
      <x:c r="C12" s="134" t="str">
        <x:v>Formula Fix</x:v>
      </x:c>
      <x:c r="D12" s="134" t="str">
        <x:v>00_PORTFOLIO ROLLUP!C72</x:v>
      </x:c>
      <x:c r="E12" s="134" t="str">
        <x:v>GAV label referenced rollup toggle instead of cap-rate assumption.</x:v>
      </x:c>
      <x:c r="F12" s="134" t="str">
        <x:v>Changed label to reference Exit Cap Rate and format as %.</x:v>
      </x:c>
      <x:c r="G12" s="134" t="str">
        <x:v>No</x:v>
      </x:c>
      <x:c r="H12" s="134" t="str">
        <x:v>Presentation only; GAV formulas unchanged.</x:v>
      </x:c>
      <x:c r="I12" s="134" t="str">
        <x:v>Complete</x:v>
      </x:c>
      <x:c r="J12" s="134" t="str">
        <x:v>None.</x:v>
      </x:c>
      <x:c r="K12" s="125"/>
      <x:c r="L12" s="125"/>
      <x:c r="M12" s="125"/>
      <x:c r="N12" s="125"/>
      <x:c r="O12" s="125"/>
      <x:c r="P12" s="125"/>
      <x:c r="Q12" s="125"/>
    </x:row>
    <x:row r="13">
      <x:c r="A13" s="134" t="str">
        <x:v>CL-009</x:v>
      </x:c>
      <x:c r="B13" s="134" t="str">
        <x:v>2026-07-07</x:v>
      </x:c>
      <x:c r="C13" s="134" t="str">
        <x:v>Formula Fix</x:v>
      </x:c>
      <x:c r="D13" s="134" t="str">
        <x:v>00_PORTFOLIO ROLLUP!C79,E79:Y79,C86,E86:Y86</x:v>
      </x:c>
      <x:c r="E13" s="134" t="str">
        <x:v>Yield labels/markers referenced wrong cells.</x:v>
      </x:c>
      <x:c r="F13" s="134" t="str">
        <x:v>Changed labels and STAB. YR. markers to reference stabilization year assumption.</x:v>
      </x:c>
      <x:c r="G13" s="134" t="str">
        <x:v>No</x:v>
      </x:c>
      <x:c r="H13" s="134" t="str">
        <x:v>Presentation only; yield formulas unchanged.</x:v>
      </x:c>
      <x:c r="I13" s="134" t="str">
        <x:v>Complete</x:v>
      </x:c>
      <x:c r="J13" s="134" t="str">
        <x:v>None.</x:v>
      </x:c>
      <x:c r="K13" s="125"/>
      <x:c r="L13" s="125"/>
      <x:c r="M13" s="125"/>
      <x:c r="N13" s="125"/>
      <x:c r="O13" s="125"/>
      <x:c r="P13" s="125"/>
      <x:c r="Q13" s="125"/>
    </x:row>
    <x:row r="14">
      <x:c r="A14" s="134" t="str">
        <x:v>CL-010</x:v>
      </x:c>
      <x:c r="B14" s="134" t="str">
        <x:v>2026-07-07</x:v>
      </x:c>
      <x:c r="C14" s="134" t="str">
        <x:v>Formula Fix</x:v>
      </x:c>
      <x:c r="D14" s="134" t="str">
        <x:v>00_PORTFOLIO ROLLUP!E60:Y60,E75:Y75</x:v>
      </x:c>
      <x:c r="E14" s="134" t="str">
        <x:v>Refi marker rows referenced payout ratio instead of actual event rows.</x:v>
      </x:c>
      <x:c r="F14" s="134" t="str">
        <x:v>Changed markers to flag when balloon, loan proceeds, or net refi/gap rows are non-zero.</x:v>
      </x:c>
      <x:c r="G14" s="134" t="str">
        <x:v>No</x:v>
      </x:c>
      <x:c r="H14" s="134" t="str">
        <x:v>Presentation only; underlying refi rows unchanged.</x:v>
      </x:c>
      <x:c r="I14" s="134" t="str">
        <x:v>Complete</x:v>
      </x:c>
      <x:c r="J14" s="134" t="str">
        <x:v>Later separate residual funding gaps from equity-return language.</x:v>
      </x:c>
      <x:c r="K14" s="125"/>
      <x:c r="L14" s="125"/>
      <x:c r="M14" s="125"/>
      <x:c r="N14" s="125"/>
      <x:c r="O14" s="125"/>
      <x:c r="P14" s="125"/>
      <x:c r="Q14" s="125"/>
    </x:row>
    <x:row r="15">
      <x:c r="A15" s="134" t="str">
        <x:v>CL-011</x:v>
      </x:c>
      <x:c r="B15" s="134" t="str">
        <x:v>2026-07-07</x:v>
      </x:c>
      <x:c r="C15" s="134" t="str">
        <x:v>Control Fix</x:v>
      </x:c>
      <x:c r="D15" s="134" t="str">
        <x:v>00_PORTFOLIO SUMMARY!C5; 00_MODEL_CONTROL!B31</x:v>
      </x:c>
      <x:c r="E15" s="134" t="str">
        <x:v>Current year used volatile TODAY() and displayed as a serial date.</x:v>
      </x:c>
      <x:c r="F15" s="134" t="str">
        <x:v>Moved selected current year to an explicit control input and linked the summary output to it.</x:v>
      </x:c>
      <x:c r="G15" s="134" t="str">
        <x:v>No</x:v>
      </x:c>
      <x:c r="H15" s="134" t="str">
        <x:v>Controls display-year selection only; formulas remain live off the selected year.</x:v>
      </x:c>
      <x:c r="I15" s="134" t="str">
        <x:v>Complete</x:v>
      </x:c>
      <x:c r="J15" s="134" t="str">
        <x:v>Change B31 if a different current-year test is required.</x:v>
      </x:c>
      <x:c r="K15" s="125"/>
      <x:c r="L15" s="125"/>
      <x:c r="M15" s="125"/>
      <x:c r="N15" s="125"/>
      <x:c r="O15" s="125"/>
      <x:c r="P15" s="125"/>
      <x:c r="Q15" s="125"/>
    </x:row>
    <x:row r="16">
      <x:c r="A16" s="134" t="str">
        <x:v>CL-012</x:v>
      </x:c>
      <x:c r="B16" s="134" t="str">
        <x:v>2026-07-07</x:v>
      </x:c>
      <x:c r="C16" s="134" t="str">
        <x:v>Platform Architecture</x:v>
      </x:c>
      <x:c r="D16" s="134" t="str">
        <x:v>00_PLATFORM_INDEX</x:v>
      </x:c>
      <x:c r="E16" s="134" t="str">
        <x:v>No platform architecture layer existed.</x:v>
      </x:c>
      <x:c r="F16" s="134" t="str">
        <x:v>Added platform index and model-layer map.</x:v>
      </x:c>
      <x:c r="G16" s="134" t="str">
        <x:v>No</x:v>
      </x:c>
      <x:c r="H16" s="134" t="str">
        <x:v>Documentation/governance only.</x:v>
      </x:c>
      <x:c r="I16" s="134" t="str"/>
      <x:c r="J16" s="134" t="str"/>
      <x:c r="K16" s="125"/>
      <x:c r="L16" s="125"/>
      <x:c r="M16" s="125"/>
      <x:c r="N16" s="125"/>
      <x:c r="O16" s="125"/>
      <x:c r="P16" s="125"/>
      <x:c r="Q16" s="125"/>
    </x:row>
    <x:row r="17">
      <x:c r="A17" s="134" t="str">
        <x:v>CL-013</x:v>
      </x:c>
      <x:c r="B17" s="134" t="str">
        <x:v>2026-07-07</x:v>
      </x:c>
      <x:c r="C17" s="134" t="str">
        <x:v>Intake Architecture</x:v>
      </x:c>
      <x:c r="D17" s="134" t="str">
        <x:v>STG_SOURCE_INTAKE</x:v>
      </x:c>
      <x:c r="E17" s="134" t="str">
        <x:v>Future NGO/Yardi files had no intake log.</x:v>
      </x:c>
      <x:c r="F17" s="134" t="str">
        <x:v>Added source intake register.</x:v>
      </x:c>
      <x:c r="G17" s="134" t="str">
        <x:v>No</x:v>
      </x:c>
      <x:c r="H17" s="134" t="str">
        <x:v>No model output change.</x:v>
      </x:c>
      <x:c r="I17" s="134" t="str"/>
      <x:c r="J17" s="134" t="str"/>
      <x:c r="K17" s="125"/>
      <x:c r="L17" s="125"/>
      <x:c r="M17" s="125"/>
      <x:c r="N17" s="125"/>
      <x:c r="O17" s="125"/>
      <x:c r="P17" s="125"/>
      <x:c r="Q17" s="125"/>
    </x:row>
    <x:row r="18">
      <x:c r="A18" s="134" t="str">
        <x:v>CL-014</x:v>
      </x:c>
      <x:c r="B18" s="134" t="str">
        <x:v>2026-07-07</x:v>
      </x:c>
      <x:c r="C18" s="134" t="str">
        <x:v>Mapping Architecture</x:v>
      </x:c>
      <x:c r="D18" s="134" t="str">
        <x:v>MAP_FIELD_MAPPING</x:v>
      </x:c>
      <x:c r="E18" s="134" t="str">
        <x:v>No field mapping layer existed.</x:v>
      </x:c>
      <x:c r="F18" s="134" t="str">
        <x:v>Added source-to-canonical field map.</x:v>
      </x:c>
      <x:c r="G18" s="134" t="str">
        <x:v>No</x:v>
      </x:c>
      <x:c r="H18" s="134" t="str">
        <x:v>No model output change.</x:v>
      </x:c>
      <x:c r="I18" s="134" t="str"/>
      <x:c r="J18" s="134" t="str"/>
      <x:c r="K18" s="125"/>
      <x:c r="L18" s="125"/>
      <x:c r="M18" s="125"/>
      <x:c r="N18" s="125"/>
      <x:c r="O18" s="125"/>
      <x:c r="P18" s="125"/>
      <x:c r="Q18" s="125"/>
    </x:row>
    <x:row r="19">
      <x:c r="A19" s="134" t="str">
        <x:v>CL-015</x:v>
      </x:c>
      <x:c r="B19" s="134" t="str">
        <x:v>2026-07-07</x:v>
      </x:c>
      <x:c r="C19" s="134" t="str">
        <x:v>Data Architecture</x:v>
      </x:c>
      <x:c r="D19" s="134" t="str">
        <x:v>DATA_PROPERTY_MASTER</x:v>
      </x:c>
      <x:c r="E19" s="134" t="str">
        <x:v>Property identity was spread across tabs.</x:v>
      </x:c>
      <x:c r="F19" s="134" t="str">
        <x:v>Added live canonical property master.</x:v>
      </x:c>
      <x:c r="G19" s="134" t="str">
        <x:v>No</x:v>
      </x:c>
      <x:c r="H19" s="134" t="str">
        <x:v>Live links; assumptions unchanged.</x:v>
      </x:c>
      <x:c r="I19" s="134" t="str"/>
      <x:c r="J19" s="134" t="str"/>
      <x:c r="K19" s="125"/>
      <x:c r="L19" s="125"/>
      <x:c r="M19" s="125"/>
      <x:c r="N19" s="125"/>
      <x:c r="O19" s="125"/>
      <x:c r="P19" s="125"/>
      <x:c r="Q19" s="125"/>
    </x:row>
    <x:row r="20">
      <x:c r="A20" s="134" t="str">
        <x:v>CL-016</x:v>
      </x:c>
      <x:c r="B20" s="134" t="str">
        <x:v>2026-07-07</x:v>
      </x:c>
      <x:c r="C20" s="134" t="str">
        <x:v>Data Architecture</x:v>
      </x:c>
      <x:c r="D20" s="134" t="str">
        <x:v>DATA_DEBT_MASTER</x:v>
      </x:c>
      <x:c r="E20" s="134" t="str">
        <x:v>Debt profile was not normalized.</x:v>
      </x:c>
      <x:c r="F20" s="134" t="str">
        <x:v>Added live canonical debt master.</x:v>
      </x:c>
      <x:c r="G20" s="134" t="str">
        <x:v>No</x:v>
      </x:c>
      <x:c r="H20" s="134" t="str">
        <x:v>Live links; assumptions unchanged.</x:v>
      </x:c>
      <x:c r="I20" s="134" t="str"/>
      <x:c r="J20" s="134" t="str"/>
      <x:c r="K20" s="125"/>
      <x:c r="L20" s="125"/>
      <x:c r="M20" s="125"/>
      <x:c r="N20" s="125"/>
      <x:c r="O20" s="125"/>
      <x:c r="P20" s="125"/>
      <x:c r="Q20" s="125"/>
    </x:row>
    <x:row r="21">
      <x:c r="A21" s="134" t="str">
        <x:v>CL-017</x:v>
      </x:c>
      <x:c r="B21" s="134" t="str">
        <x:v>2026-07-07</x:v>
      </x:c>
      <x:c r="C21" s="134" t="str">
        <x:v>Model Architecture</x:v>
      </x:c>
      <x:c r="D21" s="134" t="str">
        <x:v>DATA_METRIC_LONG</x:v>
      </x:c>
      <x:c r="E21" s="134" t="str">
        <x:v>Outputs were property-tab driven.</x:v>
      </x:c>
      <x:c r="F21" s="134" t="str">
        <x:v>Added live long-format property-year-metric table for key years.</x:v>
      </x:c>
      <x:c r="G21" s="134" t="str">
        <x:v>No</x:v>
      </x:c>
      <x:c r="H21" s="134" t="str">
        <x:v>No intended output change.</x:v>
      </x:c>
      <x:c r="I21" s="134" t="str"/>
      <x:c r="J21" s="134" t="str"/>
      <x:c r="K21" s="125"/>
      <x:c r="L21" s="125"/>
      <x:c r="M21" s="125"/>
      <x:c r="N21" s="125"/>
      <x:c r="O21" s="125"/>
      <x:c r="P21" s="125"/>
      <x:c r="Q21" s="125"/>
    </x:row>
    <x:row r="22">
      <x:c r="A22" s="134" t="str">
        <x:v>CL-018</x:v>
      </x:c>
      <x:c r="B22" s="134" t="str">
        <x:v>2026-07-07</x:v>
      </x:c>
      <x:c r="C22" s="134" t="str">
        <x:v>Checks</x:v>
      </x:c>
      <x:c r="D22" s="134" t="str">
        <x:v>DATA_QUALITY_CHECKS</x:v>
      </x:c>
      <x:c r="E22" s="134" t="str">
        <x:v>No platform-readiness checks existed.</x:v>
      </x:c>
      <x:c r="F22" s="134" t="str">
        <x:v>Added live checks for platform migration.</x:v>
      </x:c>
      <x:c r="G22" s="134" t="str">
        <x:v>No</x:v>
      </x:c>
      <x:c r="H22" s="134" t="str">
        <x:v>Flags open migration items.</x:v>
      </x:c>
      <x:c r="I22" s="134" t="str"/>
      <x:c r="J22" s="134" t="str"/>
      <x:c r="K22" s="125"/>
      <x:c r="L22" s="125"/>
      <x:c r="M22" s="125"/>
      <x:c r="N22" s="125"/>
      <x:c r="O22" s="125"/>
      <x:c r="P22" s="125"/>
      <x:c r="Q22" s="125"/>
    </x:row>
    <x:row r="23">
      <x:c r="A23" s="134" t="str">
        <x:v>CL-019</x:v>
      </x:c>
      <x:c r="B23" s="134" t="str">
        <x:v>2026-07-07</x:v>
      </x:c>
      <x:c r="C23" s="134" t="str">
        <x:v>Output</x:v>
      </x:c>
      <x:c r="D23" s="134" t="str">
        <x:v>OUT_PLATFORM_READINESS</x:v>
      </x:c>
      <x:c r="E23" s="134" t="str">
        <x:v>No readiness dashboard existed.</x:v>
      </x:c>
      <x:c r="F23" s="134" t="str">
        <x:v>Added live platform-readiness dashboard.</x:v>
      </x:c>
      <x:c r="G23" s="134" t="str">
        <x:v>No</x:v>
      </x:c>
      <x:c r="H23" s="134" t="str">
        <x:v>No model output change.</x:v>
      </x:c>
      <x:c r="I23" s="134" t="str"/>
      <x:c r="J23" s="134" t="str"/>
      <x:c r="K23" s="125"/>
      <x:c r="L23" s="125"/>
      <x:c r="M23" s="125"/>
      <x:c r="N23" s="125"/>
      <x:c r="O23" s="125"/>
      <x:c r="P23" s="125"/>
      <x:c r="Q23" s="125"/>
    </x:row>
    <x:row r="24">
      <x:c r="A24" s="134" t="str">
        <x:v>CL-020</x:v>
      </x:c>
      <x:c r="B24" s="134" t="str">
        <x:v>2026-07-07</x:v>
      </x:c>
      <x:c r="C24" s="134" t="str">
        <x:v>Calculation Control</x:v>
      </x:c>
      <x:c r="D24" s="134" t="str">
        <x:v>Workbook calculation settings</x:v>
      </x:c>
      <x:c r="E24" s="134" t="str">
        <x:v>New sheets contain formulas.</x:v>
      </x:c>
      <x:c r="F24" s="134" t="str">
        <x:v>Confirmed automatic full recalculation on open.</x:v>
      </x:c>
      <x:c r="G24" s="134" t="str">
        <x:v>No</x:v>
      </x:c>
      <x:c r="H24" s="134" t="str">
        <x:v>Keeps formulas live.</x:v>
      </x:c>
      <x:c r="I24" s="134" t="str"/>
      <x:c r="J24" s="134" t="str"/>
      <x:c r="K24" s="125"/>
      <x:c r="L24" s="125"/>
      <x:c r="M24" s="125"/>
      <x:c r="N24" s="125"/>
      <x:c r="O24" s="125"/>
      <x:c r="P24" s="125"/>
      <x:c r="Q24" s="125"/>
    </x:row>
    <x:row r="25">
      <x:c r="A25" s="134" t="str">
        <x:v>CL-021</x:v>
      </x:c>
      <x:c r="B25" s="134" t="str">
        <x:v>2026-07-07</x:v>
      </x:c>
      <x:c r="C25" s="134" t="str">
        <x:v>Model Architecture</x:v>
      </x:c>
      <x:c r="D25" s="134" t="str">
        <x:v>DATA_ASSET_CLASSIFICATION</x:v>
      </x:c>
      <x:c r="E25" s="134" t="str">
        <x:v>No single authoritative asset-classification table existed.</x:v>
      </x:c>
      <x:c r="F25" s="134" t="str">
        <x:v>Added live authoritative classification table for Excluded / Stable / Refi Watch / Workout / New Build.</x:v>
      </x:c>
      <x:c r="G25" s="134" t="str">
        <x:v>No</x:v>
      </x:c>
      <x:c r="H25" s="134" t="str">
        <x:v>No assumption changes; classification is formula-linked to existing model data.</x:v>
      </x:c>
      <x:c r="I25" s="134" t="str">
        <x:v>Complete</x:v>
      </x:c>
      <x:c r="J25" s="134" t="str">
        <x:v>Use as single source of truth for classification.</x:v>
      </x:c>
      <x:c r="K25" s="125"/>
      <x:c r="L25" s="125"/>
      <x:c r="M25" s="125"/>
      <x:c r="N25" s="125"/>
      <x:c r="O25" s="125"/>
      <x:c r="P25" s="125"/>
      <x:c r="Q25" s="125"/>
    </x:row>
    <x:row r="26">
      <x:c r="A26" s="134" t="str">
        <x:v>CL-022</x:v>
      </x:c>
      <x:c r="B26" s="134" t="str">
        <x:v>2026-07-07</x:v>
      </x:c>
      <x:c r="C26" s="134" t="str">
        <x:v>Formula Link</x:v>
      </x:c>
      <x:c r="D26" s="134" t="str">
        <x:v>00_PORTFOLIO SUMMARY!C10:C26</x:v>
      </x:c>
      <x:c r="E26" s="134" t="str">
        <x:v>Portfolio Summary classified assets independently.</x:v>
      </x:c>
      <x:c r="F26" s="134" t="str">
        <x:v>Redirected Bucket column to Final Classification from DATA_ASSET_CLASSIFICATION.</x:v>
      </x:c>
      <x:c r="G26" s="134" t="str">
        <x:v>No</x:v>
      </x:c>
      <x:c r="H26" s="134" t="str">
        <x:v>Output classification now uses single source of truth.</x:v>
      </x:c>
      <x:c r="I26" s="134" t="str">
        <x:v>Complete</x:v>
      </x:c>
      <x:c r="J26" s="134" t="str">
        <x:v>Do not hardcode classification in Summary.</x:v>
      </x:c>
      <x:c r="K26" s="125"/>
      <x:c r="L26" s="125"/>
      <x:c r="M26" s="125"/>
      <x:c r="N26" s="125"/>
      <x:c r="O26" s="125"/>
      <x:c r="P26" s="125"/>
      <x:c r="Q26" s="125"/>
    </x:row>
    <x:row r="27">
      <x:c r="A27" s="134" t="str">
        <x:v>CL-023</x:v>
      </x:c>
      <x:c r="B27" s="134" t="str">
        <x:v>2026-07-07</x:v>
      </x:c>
      <x:c r="C27" s="134" t="str">
        <x:v>Formula Link</x:v>
      </x:c>
      <x:c r="D27" s="134" t="str">
        <x:v>00_MODEL_CONTROL!F5:F21</x:v>
      </x:c>
      <x:c r="E27" s="134" t="str">
        <x:v>Model Control Summary Bucket was not authoritative.</x:v>
      </x:c>
      <x:c r="F27" s="134" t="str">
        <x:v>Linked Summary Bucket to DATA_ASSET_CLASSIFICATION final classification.</x:v>
      </x:c>
      <x:c r="G27" s="134" t="str">
        <x:v>No</x:v>
      </x:c>
      <x:c r="H27" s="134" t="str">
        <x:v>Control sheet now uses classification authority.</x:v>
      </x:c>
      <x:c r="I27" s="134" t="str">
        <x:v>Complete</x:v>
      </x:c>
      <x:c r="J27" s="134" t="str">
        <x:v>Use F for final classification.</x:v>
      </x:c>
      <x:c r="K27" s="125"/>
      <x:c r="L27" s="125"/>
      <x:c r="M27" s="125"/>
      <x:c r="N27" s="125"/>
      <x:c r="O27" s="125"/>
      <x:c r="P27" s="125"/>
      <x:c r="Q27" s="125"/>
    </x:row>
    <x:row r="28">
      <x:c r="A28" s="134" t="str">
        <x:v>CL-024</x:v>
      </x:c>
      <x:c r="B28" s="134" t="str">
        <x:v>2026-07-07</x:v>
      </x:c>
      <x:c r="C28" s="134" t="str">
        <x:v>Formula Link</x:v>
      </x:c>
      <x:c r="D28" s="134" t="str">
        <x:v>00_PORTFOLIO_REGISTER!J5:J21</x:v>
      </x:c>
      <x:c r="E28" s="134" t="str">
        <x:v>Register Bucket was hardcoded manual text and remained a second source.</x:v>
      </x:c>
      <x:c r="F28" s="134" t="str">
        <x:v>Replaced manual bucket text with formula pulling final classification and mapping it to controlled register buckets.</x:v>
      </x:c>
      <x:c r="G28" s="134" t="str">
        <x:v>No</x:v>
      </x:c>
      <x:c r="H28" s="134" t="str">
        <x:v>Register now follows authority table; no model assumptions changed.</x:v>
      </x:c>
      <x:c r="I28" s="134" t="str">
        <x:v>Complete</x:v>
      </x:c>
      <x:c r="J28" s="134" t="str">
        <x:v>Protect from manual overwrite.</x:v>
      </x:c>
      <x:c r="K28" s="125"/>
      <x:c r="L28" s="125"/>
      <x:c r="M28" s="125"/>
      <x:c r="N28" s="125"/>
      <x:c r="O28" s="125"/>
      <x:c r="P28" s="125"/>
      <x:c r="Q28" s="125"/>
    </x:row>
    <x:row r="29">
      <x:c r="A29" s="134" t="str">
        <x:v>CL-025</x:v>
      </x:c>
      <x:c r="B29" s="134" t="str">
        <x:v>2026-07-07</x:v>
      </x:c>
      <x:c r="C29" s="134" t="str">
        <x:v>Governance</x:v>
      </x:c>
      <x:c r="D29" s="134" t="str">
        <x:v>DATA_ASSET_CLASSIFICATION!AA7:AB13</x:v>
      </x:c>
      <x:c r="E29" s="134" t="str">
        <x:v>Register bucket mapping was embedded in text rather than governed.</x:v>
      </x:c>
      <x:c r="F29" s="134" t="str">
        <x:v>Added visible classification-to-register-bucket mapping table used by Register formulas.</x:v>
      </x:c>
      <x:c r="G29" s="134" t="str">
        <x:v>No</x:v>
      </x:c>
      <x:c r="H29" s="134" t="str">
        <x:v>Improves auditability; classification values stay live.</x:v>
      </x:c>
      <x:c r="I29" s="134" t="str">
        <x:v>Complete</x:v>
      </x:c>
      <x:c r="J29" s="134" t="str">
        <x:v>Edit mapping table only if bucket taxonomy changes.</x:v>
      </x:c>
      <x:c r="K29" s="125"/>
      <x:c r="L29" s="125"/>
      <x:c r="M29" s="125"/>
      <x:c r="N29" s="125"/>
      <x:c r="O29" s="125"/>
      <x:c r="P29" s="125"/>
      <x:c r="Q29" s="125"/>
    </x:row>
    <x:row r="30">
      <x:c r="A30" s="134" t="str">
        <x:v>CL-MVP-001</x:v>
      </x:c>
      <x:c r="B30" s="134" t="str">
        <x:v>2026-07-10</x:v>
      </x:c>
      <x:c r="C30" s="134" t="str">
        <x:v>MVP Extraction</x:v>
      </x:c>
      <x:c r="D30" s="134" t="str">
        <x:v>Workbook</x:v>
      </x:c>
      <x:c r="E30" s="134" t="str">
        <x:v>Previous MVP template did not preserve v12 build rules, colour coding, live calculations, or change log sufficiently.</x:v>
      </x:c>
      <x:c r="F30" s="134" t="str">
        <x:v>Rebuilt as a clean v12-aligned template with Business Rules, input-control map, source log, canonical DATA tabs, formulas, quality checks, and readiness output.</x:v>
      </x:c>
      <x:c r="G30" s="134" t="str">
        <x:v>No</x:v>
      </x:c>
      <x:c r="H30" s="134" t="str">
        <x:v>Architecture and presentation only; formulas remain live.</x:v>
      </x:c>
      <x:c r="I30" s="134" t="str">
        <x:v>Complete</x:v>
      </x:c>
      <x:c r="J30" s="134" t="str">
        <x:v>Use this v0.2 template for Uygar handoff.</x:v>
      </x:c>
      <x:c r="K30" s="125"/>
      <x:c r="L30" s="125"/>
      <x:c r="M30" s="125"/>
      <x:c r="N30" s="125"/>
      <x:c r="O30" s="125"/>
      <x:c r="P30" s="125"/>
      <x:c r="Q30" s="125"/>
    </x:row>
    <x:row r="31">
      <x:c r="A31" s="134" t="str">
        <x:v>CL-MVP-002</x:v>
      </x:c>
      <x:c r="B31" s="134" t="str">
        <x:v>2026-07-10</x:v>
      </x:c>
      <x:c r="C31" s="134" t="str">
        <x:v>Governance</x:v>
      </x:c>
      <x:c r="D31" s="134" t="str">
        <x:v>Business Rules</x:v>
      </x:c>
      <x:c r="E31" s="134" t="str">
        <x:v>MVP scope needed to be clearly separated from investor dashboard scope.</x:v>
      </x:c>
      <x:c r="F31" s="134" t="str">
        <x:v>Added MVP-specific rules while preserving original v12 business-rule excerpt.</x:v>
      </x:c>
      <x:c r="G31" s="134" t="str">
        <x:v>No</x:v>
      </x:c>
      <x:c r="H31" s="134" t="str">
        <x:v>Documentation only.</x:v>
      </x:c>
      <x:c r="I31" s="134" t="str">
        <x:v>Complete</x:v>
      </x:c>
      <x:c r="J31" s="134" t="str">
        <x:v>Keep this sheet as first-read tab.</x:v>
      </x:c>
      <x:c r="K31" s="125"/>
      <x:c r="L31" s="125"/>
      <x:c r="M31" s="125"/>
      <x:c r="N31" s="125"/>
      <x:c r="O31" s="125"/>
      <x:c r="P31" s="125"/>
      <x:c r="Q31" s="125"/>
    </x:row>
    <x:row r="32">
      <x:c r="A32" s="134" t="str">
        <x:v>CL-MVP-003</x:v>
      </x:c>
      <x:c r="B32" s="134" t="str">
        <x:v>2026-07-10</x:v>
      </x:c>
      <x:c r="C32" s="134" t="str">
        <x:v>Input Control</x:v>
      </x:c>
      <x:c r="D32" s="134" t="str">
        <x:v>INPUT_CONTROL_MAP; DATA_*</x:v>
      </x:c>
      <x:c r="E32" s="134" t="str">
        <x:v>Writable versus generated cells needed to match v12 colour discipline.</x:v>
      </x:c>
      <x:c r="F32" s="134" t="str">
        <x:v>Applied blue input zones, purple generated bridge cells, orange review flags, green output, grey legacy/reference indicators.</x:v>
      </x:c>
      <x:c r="G32" s="134" t="str">
        <x:v>No</x:v>
      </x:c>
      <x:c r="H32" s="134" t="str">
        <x:v>Improves auditability; no calculation logic change.</x:v>
      </x:c>
      <x:c r="I32" s="134" t="str">
        <x:v>Complete</x:v>
      </x:c>
      <x:c r="J32" s="134" t="str">
        <x:v>Use blue cells for analyst/AI input.</x:v>
      </x:c>
      <x:c r="K32" s="125"/>
      <x:c r="L32" s="125"/>
      <x:c r="M32" s="125"/>
      <x:c r="N32" s="125"/>
      <x:c r="O32" s="125"/>
      <x:c r="P32" s="125"/>
      <x:c r="Q32" s="125"/>
    </x:row>
    <x:row r="33">
      <x:c r="A33" s="134" t="str">
        <x:v>CL-MVP-004</x:v>
      </x:c>
      <x:c r="B33" s="134" t="str">
        <x:v>2026-07-10</x:v>
      </x:c>
      <x:c r="C33" s="134" t="str">
        <x:v>Live Calculation</x:v>
      </x:c>
      <x:c r="D33" s="134" t="str">
        <x:v>DATA_METRIC_LONG; DATA_QUALITY_CHECKS; OUT_STAGE1_READINESS_SNAPSHOT</x:v>
      </x:c>
      <x:c r="E33" s="134" t="str">
        <x:v>Output needed to be formula-driven, not static.</x:v>
      </x:c>
      <x:c r="F33" s="134" t="str">
        <x:v>Added live formulas for property count, included count, units, new projects, source flags, revenue, expenses, NOI, debt service, AFFO, DSCR, and readiness status.</x:v>
      </x:c>
      <x:c r="G33" s="134" t="str">
        <x:v>No</x:v>
      </x:c>
      <x:c r="H33" s="134" t="str">
        <x:v>Output updates when input tabs change.</x:v>
      </x:c>
      <x:c r="I33" s="134" t="str">
        <x:v>Complete</x:v>
      </x:c>
      <x:c r="J33" s="134" t="str">
        <x:v>Review formulas before digital translation.</x:v>
      </x:c>
      <x:c r="K33" s="125"/>
      <x:c r="L33" s="125"/>
      <x:c r="M33" s="125"/>
      <x:c r="N33" s="125"/>
      <x:c r="O33" s="125"/>
      <x:c r="P33" s="125"/>
      <x:c r="Q33" s="125"/>
    </x:row>
    <x:row r="34">
      <x:c r="A34" s="134" t="str">
        <x:v>CL-MVP-005</x:v>
      </x:c>
      <x:c r="B34" s="134" t="str">
        <x:v>2026-07-10</x:v>
      </x:c>
      <x:c r="C34" s="134" t="str">
        <x:v>Source Conflict</x:v>
      </x:c>
      <x:c r="D34" s="134" t="str">
        <x:v>ASSUMPTIONS_FLAGS</x:v>
      </x:c>
      <x:c r="E34" s="134" t="str">
        <x:v>Port Moody unit count remains 245 vs 328.</x:v>
      </x:c>
      <x:c r="F34" s="134" t="str">
        <x:v>Added explicit unresolved issue flag for Port Moody.</x:v>
      </x:c>
      <x:c r="G34" s="134" t="str">
        <x:v>No</x:v>
      </x:c>
      <x:c r="H34" s="134" t="str">
        <x:v>Does not change final source assumption; flag remains open.</x:v>
      </x:c>
      <x:c r="I34" s="134" t="str">
        <x:v>Open</x:v>
      </x:c>
      <x:c r="J34" s="134" t="str">
        <x:v>Confirm with ENF before final demo.</x:v>
      </x:c>
      <x:c r="K34" s="125"/>
      <x:c r="L34" s="125"/>
      <x:c r="M34" s="125"/>
      <x:c r="N34" s="125"/>
      <x:c r="O34" s="125"/>
      <x:c r="P34" s="125"/>
      <x:c r="Q34" s="125"/>
    </x:row>
    <x:row r="35">
      <x:c r="A35" s="225" t="str">
        <x:v>2026-07-10</x:v>
      </x:c>
      <x:c r="B35" s="225" t="str">
        <x:v>v0.3</x:v>
      </x:c>
      <x:c r="C35" s="225" t="str">
        <x:v>DATA_DEBT_MASTER</x:v>
      </x:c>
      <x:c r="D35" s="225" t="str">
        <x:v>Fixed omission</x:v>
      </x:c>
      <x:c r="E35" s="225" t="str">
        <x:v>Restored legacy mortgage principal/rate/amortization/source annual debt service from v12/v0.1 extraction for included existing properties.</x:v>
      </x:c>
      <x:c r="F35" s="225" t="str">
        <x:v>Kelly review / ChatGPT</x:v>
      </x:c>
      <x:c r="G35" s="225" t="str">
        <x:v>OpenAI</x:v>
      </x:c>
      <x:c r="H35" s="225" t="str">
        <x:v>High</x:v>
      </x:c>
      <x:c r="I35" s="225" t="str">
        <x:v>Completed</x:v>
      </x:c>
      <x:c r="J35" s="225" t="str">
        <x:v>Corrects DSCR/AFFO blind spot.</x:v>
      </x:c>
      <x:c r="K35" s="125"/>
      <x:c r="L35" s="125"/>
      <x:c r="M35" s="125"/>
      <x:c r="N35" s="125"/>
      <x:c r="O35" s="125"/>
      <x:c r="P35" s="125"/>
      <x:c r="Q35" s="125"/>
    </x:row>
    <x:row r="36">
      <x:c r="A36" s="225" t="str">
        <x:v>2026-07-10</x:v>
      </x:c>
      <x:c r="B36" s="225" t="str">
        <x:v>v0.3</x:v>
      </x:c>
      <x:c r="C36" s="225" t="str">
        <x:v>DATA_QUALITY_CHECKS</x:v>
      </x:c>
      <x:c r="D36" s="225" t="str">
        <x:v>Formula control</x:v>
      </x:c>
      <x:c r="E36" s="225" t="str">
        <x:v>Tightened QC-MVP-006 to count included rows still marked Partial instead of passing when any debt row is Ready.</x:v>
      </x:c>
      <x:c r="F36" s="225" t="str">
        <x:v>Kelly review / ChatGPT</x:v>
      </x:c>
      <x:c r="G36" s="225" t="str">
        <x:v>OpenAI</x:v>
      </x:c>
      <x:c r="H36" s="225" t="str">
        <x:v>High</x:v>
      </x:c>
      <x:c r="I36" s="225" t="str">
        <x:v>Completed</x:v>
      </x:c>
      <x:c r="J36" s="225" t="str">
        <x:v>Prevents silent debt completeness gaps.</x:v>
      </x:c>
      <x:c r="K36" s="125"/>
      <x:c r="L36" s="125"/>
      <x:c r="M36" s="125"/>
      <x:c r="N36" s="125"/>
      <x:c r="O36" s="125"/>
      <x:c r="P36" s="125"/>
      <x:c r="Q36" s="125"/>
    </x:row>
    <x:row r="37">
      <x:c r="A37" s="225" t="str">
        <x:v>2026-07-10</x:v>
      </x:c>
      <x:c r="B37" s="225" t="str">
        <x:v>v0.3</x:v>
      </x:c>
      <x:c r="C37" s="225" t="str">
        <x:v>_LISTS / validations</x:v>
      </x:c>
      <x:c r="D37" s="225" t="str">
        <x:v>Control structure</x:v>
      </x:c>
      <x:c r="E37" s="225" t="str">
        <x:v>Reintroduced controlled vocabulary lists and data validation for key blue/status fields.</x:v>
      </x:c>
      <x:c r="F37" s="225" t="str">
        <x:v>Kelly review / ChatGPT</x:v>
      </x:c>
      <x:c r="G37" s="225" t="str">
        <x:v>OpenAI</x:v>
      </x:c>
      <x:c r="H37" s="225" t="str">
        <x:v>Medium</x:v>
      </x:c>
      <x:c r="I37" s="225" t="str">
        <x:v>Completed</x:v>
      </x:c>
      <x:c r="J37" s="225" t="str">
        <x:v>Creates authoritative enum/dropdown source for engineer.</x:v>
      </x:c>
      <x:c r="K37" s="125"/>
      <x:c r="L37" s="125"/>
      <x:c r="M37" s="125"/>
      <x:c r="N37" s="125"/>
      <x:c r="O37" s="125"/>
      <x:c r="P37" s="125"/>
      <x:c r="Q37" s="125"/>
    </x:row>
    <x:row r="38">
      <x:c r="A38" s="225" t="str">
        <x:v>2026-07-10</x:v>
      </x:c>
      <x:c r="B38" s="225" t="str">
        <x:v>v0.3</x:v>
      </x:c>
      <x:c r="C38" s="225" t="str">
        <x:v>Business Rules / 00_PLATFORM_INDEX</x:v>
      </x:c>
      <x:c r="D38" s="225" t="str">
        <x:v>Documentation</x:v>
      </x:c>
      <x:c r="E38" s="225" t="str">
        <x:v>Added explicit workbook-level note that the file combines template structure and NGO B / ENF demo seed data.</x:v>
      </x:c>
      <x:c r="F38" s="225" t="str">
        <x:v>Kelly review / ChatGPT</x:v>
      </x:c>
      <x:c r="G38" s="225" t="str">
        <x:v>OpenAI</x:v>
      </x:c>
      <x:c r="H38" s="225" t="str">
        <x:v>Medium</x:v>
      </x:c>
      <x:c r="I38" s="225" t="str">
        <x:v>Completed</x:v>
      </x:c>
      <x:c r="J38" s="225" t="str">
        <x:v>Clarifies demo rows are not fixed platform shape.</x:v>
      </x:c>
      <x:c r="K38" s="125"/>
      <x:c r="L38" s="125"/>
      <x:c r="M38" s="125"/>
      <x:c r="N38" s="125"/>
      <x:c r="O38" s="125"/>
      <x:c r="P38" s="125"/>
      <x:c r="Q38" s="125"/>
    </x:row>
    <x:row r="39">
      <x:c r="A39" s="225" t="str">
        <x:v>2026-07-10</x:v>
      </x:c>
      <x:c r="B39" s="225" t="str">
        <x:v>v0.3</x:v>
      </x:c>
      <x:c r="C39" s="225" t="str">
        <x:v>DATA_METRIC_LONG</x:v>
      </x:c>
      <x:c r="D39" s="225" t="str">
        <x:v>Documentation</x:v>
      </x:c>
      <x:c r="E39" s="225" t="str">
        <x:v>Renamed column D to Live Formula Mirror and documented that plain-English calculations belong in CALC_RULES/Notes.</x:v>
      </x:c>
      <x:c r="F39" s="225" t="str">
        <x:v>Kelly review / ChatGPT</x:v>
      </x:c>
      <x:c r="G39" s="225" t="str">
        <x:v>OpenAI</x:v>
      </x:c>
      <x:c r="H39" s="225" t="str">
        <x:v>Low</x:v>
      </x:c>
      <x:c r="I39" s="225" t="str">
        <x:v>Completed</x:v>
      </x:c>
      <x:c r="J39" s="225" t="str">
        <x:v>Avoids engineer confusion.</x:v>
      </x:c>
      <x:c r="K39" s="125"/>
      <x:c r="L39" s="125"/>
      <x:c r="M39" s="125"/>
      <x:c r="N39" s="125"/>
      <x:c r="O39" s="125"/>
      <x:c r="P39" s="125"/>
      <x:c r="Q39" s="125"/>
    </x:row>
    <x:row r="40">
      <x:c r="A40" s="125" t="str">
        <x:v>38</x:v>
      </x:c>
      <x:c r="B40" s="125" t="str">
        <x:v>2026-07-10</x:v>
      </x:c>
      <x:c r="C40" s="125" t="str">
        <x:v>v0.4</x:v>
      </x:c>
      <x:c r="D40" s="125" t="str">
        <x:v>DATA_QUALITY_CHECKS!C7:E7</x:v>
      </x:c>
      <x:c r="E40" s="125" t="str">
        <x:v>QC-MVP-001 type mismatch risk</x:v>
      </x:c>
      <x:c r="F40" s="125" t="str">
        <x:v>Changed expected property count to numeric 17 and made the status formula compare D7 against VALUE(C7), so the row-count check does not show REVIEW because of text-vs-number typing.</x:v>
      </x:c>
      <x:c r="G40" s="125" t="str">
        <x:v>No</x:v>
      </x:c>
      <x:c r="H40" s="125" t="str">
        <x:v>No calculation logic change; prevents a false REVIEW flag on a clean property count.</x:v>
      </x:c>
      <x:c r="I40" s="125" t="str">
        <x:v>Completed</x:v>
      </x:c>
      <x:c r="J40" s="125" t="str">
        <x:v>Use v0.4 for Uygar handoff.</x:v>
      </x:c>
      <x:c r="K40" s="125"/>
      <x:c r="L40" s="125"/>
      <x:c r="M40" s="125"/>
      <x:c r="N40" s="125"/>
      <x:c r="O40" s="125"/>
      <x:c r="P40" s="125"/>
      <x:c r="Q40" s="125"/>
    </x:row>
    <x:row r="41">
      <x:c r="A41" s="125" t="str">
        <x:v>v0.5-blank</x:v>
      </x:c>
      <x:c r="B41" s="125" t="str">
        <x:v>2026-07-10</x:v>
      </x:c>
      <x:c r="C41" s="125" t="str">
        <x:v>Kelly / ChatGPT</x:v>
      </x:c>
      <x:c r="D41" s="125" t="str">
        <x:v>Workbook split</x:v>
      </x:c>
      <x:c r="E41" s="125" t="str">
        <x:v>Created clean blank template from v0.4; removed NGO B/ENF demo rows while preserving Business Rules, INPUT_CONTROL_MAP, _LISTS, formulas, validations, quality checks and output structure.</x:v>
      </x:c>
      <x:c r="F41" s="125" t="str">
        <x:v>All DATA/STG/ASSUMPTIONS rows 7:206/306</x:v>
      </x:c>
      <x:c r="G41" s="125" t="str">
        <x:v>Blank template separated from demo workbook</x:v>
      </x:c>
      <x:c r="H41" s="125" t="str">
        <x:v>Ready for Uygar build reference</x:v>
      </x:c>
      <x:c r="I41" s="125" t="str">
        <x:v>No demo data in this file</x:v>
      </x:c>
      <x:c r="J41" s="125" t="str"/>
      <x:c r="K41" s="125"/>
      <x:c r="L41" s="125"/>
      <x:c r="M41" s="125"/>
      <x:c r="N41" s="125"/>
      <x:c r="O41" s="125"/>
      <x:c r="P41" s="125"/>
      <x:c r="Q41" s="125"/>
    </x:row>
    <x:row r="42">
      <x:c r="A42" s="125" t="str">
        <x:v>v0.1.1-blank</x:v>
      </x:c>
      <x:c r="B42" s="125" t="str">
        <x:v>2026-07-10</x:v>
      </x:c>
      <x:c r="C42" s="125" t="str">
        <x:v>Kelly / ChatGPT</x:v>
      </x:c>
      <x:c r="D42" s="125" t="str">
        <x:v>Blank output cleanup</x:v>
      </x:c>
      <x:c r="E42" s="125" t="str">
        <x:v>Blank template output labels changed to neutral placeholders; unresolved flag bullets suppressed when no flags are present.</x:v>
      </x:c>
      <x:c r="F42" s="125" t="str">
        <x:v>OUT_STAGE1_READINESS_SNAPSHOT</x:v>
      </x:c>
      <x:c r="G42" s="125" t="str">
        <x:v>Removed NGO B-specific profile labels from blank output</x:v>
      </x:c>
      <x:c r="H42" s="125" t="str">
        <x:v>Ready for Uygar build reference</x:v>
      </x:c>
      <x:c r="I42" s="125" t="str">
        <x:v>Formulas preserved where applicable</x:v>
      </x:c>
      <x:c r="J42" s="125" t="str"/>
      <x:c r="K42" s="125"/>
      <x:c r="L42" s="125"/>
      <x:c r="M42" s="125"/>
      <x:c r="N42" s="125"/>
      <x:c r="O42" s="125"/>
      <x:c r="P42" s="125"/>
      <x:c r="Q42" s="125"/>
    </x:row>
    <x:row r="43">
      <x:c r="A43" s="125" t="str">
        <x:v>v0.2-blank</x:v>
      </x:c>
      <x:c r="B43" s="125" t="str">
        <x:v>2026-07-10</x:v>
      </x:c>
      <x:c r="C43" s="125" t="str">
        <x:v>Kelly / ChatGPT</x:v>
      </x:c>
      <x:c r="D43" s="125" t="str">
        <x:v>Source log cleanup</x:v>
      </x:c>
      <x:c r="E43" s="125" t="str">
        <x:v>Removed ENF/Tapestry demo source from the blank template STG_SOURCE_INTAKE and clarified that SRC-001 is the standing architecture reference; new organization source files start at SRC-002.</x:v>
      </x:c>
      <x:c r="F43" s="125" t="str">
        <x:v>STG_SOURCE_INTAKE; Business Rules</x:v>
      </x:c>
      <x:c r="G43" s="125" t="str">
        <x:v>Blank template no longer contains demo-specific source row</x:v>
      </x:c>
      <x:c r="H43" s="125" t="str">
        <x:v>Ready for Uygar build reference</x:v>
      </x:c>
      <x:c r="I43" s="125" t="str">
        <x:v>Completed</x:v>
      </x:c>
      <x:c r="J43" s="125"/>
      <x:c r="K43" s="125"/>
      <x:c r="L43" s="125"/>
      <x:c r="M43" s="125"/>
      <x:c r="N43" s="125"/>
      <x:c r="O43" s="125"/>
      <x:c r="P43" s="125"/>
      <x:c r="Q43" s="125"/>
    </x:row>
    <x:row r="44">
      <x:c r="A44" s="125"/>
      <x:c r="B44" s="125"/>
      <x:c r="C44" s="125"/>
      <x:c r="D44" s="125"/>
      <x:c r="E44" s="125"/>
      <x:c r="F44" s="125"/>
      <x:c r="G44" s="125"/>
      <x:c r="H44" s="125"/>
      <x:c r="I44" s="125"/>
      <x:c r="J44" s="125"/>
      <x:c r="K44" s="125"/>
      <x:c r="L44" s="125"/>
      <x:c r="M44" s="125"/>
      <x:c r="N44" s="125"/>
      <x:c r="O44" s="125"/>
      <x:c r="P44" s="125"/>
      <x:c r="Q44" s="125"/>
    </x:row>
    <x:row r="45">
      <x:c r="A45" s="125"/>
      <x:c r="B45" s="125"/>
      <x:c r="C45" s="125"/>
      <x:c r="D45" s="125"/>
      <x:c r="E45" s="125"/>
      <x:c r="F45" s="125"/>
      <x:c r="G45" s="125"/>
      <x:c r="H45" s="125"/>
      <x:c r="I45" s="125"/>
      <x:c r="J45" s="125"/>
      <x:c r="K45" s="125"/>
      <x:c r="L45" s="125"/>
      <x:c r="M45" s="125"/>
      <x:c r="N45" s="125"/>
      <x:c r="O45" s="125"/>
      <x:c r="P45" s="125"/>
      <x:c r="Q45" s="125"/>
    </x:row>
    <x:row r="46">
      <x:c r="A46" s="125"/>
      <x:c r="B46" s="125"/>
      <x:c r="C46" s="125"/>
      <x:c r="D46" s="125"/>
      <x:c r="E46" s="125"/>
      <x:c r="F46" s="125"/>
      <x:c r="G46" s="125"/>
      <x:c r="H46" s="125"/>
      <x:c r="I46" s="125"/>
      <x:c r="J46" s="125"/>
      <x:c r="K46" s="125"/>
      <x:c r="L46" s="125"/>
      <x:c r="M46" s="125"/>
      <x:c r="N46" s="125"/>
      <x:c r="O46" s="125"/>
      <x:c r="P46" s="125"/>
      <x:c r="Q46" s="125"/>
    </x:row>
    <x:row r="47">
      <x:c r="A47" s="125"/>
      <x:c r="B47" s="125"/>
      <x:c r="C47" s="125"/>
      <x:c r="D47" s="125"/>
      <x:c r="E47" s="125"/>
      <x:c r="F47" s="125"/>
      <x:c r="G47" s="125"/>
      <x:c r="H47" s="125"/>
      <x:c r="I47" s="125"/>
      <x:c r="J47" s="125"/>
      <x:c r="K47" s="125"/>
      <x:c r="L47" s="125"/>
      <x:c r="M47" s="125"/>
      <x:c r="N47" s="125"/>
      <x:c r="O47" s="125"/>
      <x:c r="P47" s="125"/>
      <x:c r="Q47" s="125"/>
    </x:row>
    <x:row r="48">
      <x:c r="A48" s="125"/>
      <x:c r="B48" s="125"/>
      <x:c r="C48" s="125"/>
      <x:c r="D48" s="125"/>
      <x:c r="E48" s="125"/>
      <x:c r="F48" s="125"/>
      <x:c r="G48" s="125"/>
      <x:c r="H48" s="125"/>
      <x:c r="I48" s="125"/>
      <x:c r="J48" s="125"/>
      <x:c r="K48" s="125"/>
      <x:c r="L48" s="125"/>
      <x:c r="M48" s="125"/>
      <x:c r="N48" s="125"/>
      <x:c r="O48" s="125"/>
      <x:c r="P48" s="125"/>
      <x:c r="Q48" s="125"/>
    </x:row>
    <x:row r="49">
      <x:c r="A49" s="125"/>
      <x:c r="B49" s="125"/>
      <x:c r="C49" s="125"/>
      <x:c r="D49" s="125"/>
      <x:c r="E49" s="125"/>
      <x:c r="F49" s="125"/>
      <x:c r="G49" s="125"/>
      <x:c r="H49" s="125"/>
      <x:c r="I49" s="125"/>
      <x:c r="J49" s="125"/>
      <x:c r="K49" s="125"/>
      <x:c r="L49" s="125"/>
      <x:c r="M49" s="125"/>
      <x:c r="N49" s="125"/>
      <x:c r="O49" s="125"/>
      <x:c r="P49" s="125"/>
      <x:c r="Q49" s="125"/>
    </x:row>
    <x:row r="50">
      <x:c r="A50" s="125"/>
      <x:c r="B50" s="125"/>
      <x:c r="C50" s="125"/>
      <x:c r="D50" s="125"/>
      <x:c r="E50" s="125"/>
      <x:c r="F50" s="125"/>
      <x:c r="G50" s="125"/>
      <x:c r="H50" s="125"/>
      <x:c r="I50" s="125"/>
      <x:c r="J50" s="125"/>
      <x:c r="K50" s="125"/>
      <x:c r="L50" s="125"/>
      <x:c r="M50" s="125"/>
      <x:c r="N50" s="125"/>
      <x:c r="O50" s="125"/>
      <x:c r="P50" s="125"/>
      <x:c r="Q50" s="125"/>
    </x:row>
    <x:row r="51">
      <x:c r="A51" s="125"/>
      <x:c r="B51" s="125"/>
      <x:c r="C51" s="125"/>
      <x:c r="D51" s="125"/>
      <x:c r="E51" s="125"/>
      <x:c r="F51" s="125"/>
      <x:c r="G51" s="125"/>
      <x:c r="H51" s="125"/>
      <x:c r="I51" s="125"/>
      <x:c r="J51" s="125"/>
      <x:c r="K51" s="125"/>
      <x:c r="L51" s="125"/>
      <x:c r="M51" s="125"/>
      <x:c r="N51" s="125"/>
      <x:c r="O51" s="125"/>
      <x:c r="P51" s="125"/>
      <x:c r="Q51" s="125"/>
    </x:row>
    <x:row r="52">
      <x:c r="A52" s="125"/>
      <x:c r="B52" s="125"/>
      <x:c r="C52" s="125"/>
      <x:c r="D52" s="125"/>
      <x:c r="E52" s="125"/>
      <x:c r="F52" s="125"/>
      <x:c r="G52" s="125"/>
      <x:c r="H52" s="125"/>
      <x:c r="I52" s="125"/>
      <x:c r="J52" s="125"/>
      <x:c r="K52" s="125"/>
      <x:c r="L52" s="125"/>
      <x:c r="M52" s="125"/>
      <x:c r="N52" s="125"/>
      <x:c r="O52" s="125"/>
      <x:c r="P52" s="125"/>
      <x:c r="Q52" s="125"/>
    </x:row>
    <x:row r="53">
      <x:c r="A53" s="125"/>
      <x:c r="B53" s="125"/>
      <x:c r="C53" s="125"/>
      <x:c r="D53" s="125"/>
      <x:c r="E53" s="125"/>
      <x:c r="F53" s="125"/>
      <x:c r="G53" s="125"/>
      <x:c r="H53" s="125"/>
      <x:c r="I53" s="125"/>
      <x:c r="J53" s="125"/>
      <x:c r="K53" s="125"/>
      <x:c r="L53" s="125"/>
      <x:c r="M53" s="125"/>
      <x:c r="N53" s="125"/>
      <x:c r="O53" s="125"/>
      <x:c r="P53" s="125"/>
      <x:c r="Q53" s="125"/>
    </x:row>
    <x:row r="54">
      <x:c r="A54" s="125"/>
      <x:c r="B54" s="125"/>
      <x:c r="C54" s="125"/>
      <x:c r="D54" s="125"/>
      <x:c r="E54" s="125"/>
      <x:c r="F54" s="125"/>
      <x:c r="G54" s="125"/>
      <x:c r="H54" s="125"/>
      <x:c r="I54" s="125"/>
      <x:c r="J54" s="125"/>
      <x:c r="K54" s="125"/>
      <x:c r="L54" s="125"/>
      <x:c r="M54" s="125"/>
      <x:c r="N54" s="125"/>
      <x:c r="O54" s="125"/>
      <x:c r="P54" s="125"/>
      <x:c r="Q54" s="125"/>
    </x:row>
    <x:row r="55">
      <x:c r="A55" s="125"/>
      <x:c r="B55" s="125"/>
      <x:c r="C55" s="125"/>
      <x:c r="D55" s="125"/>
      <x:c r="E55" s="125"/>
      <x:c r="F55" s="125"/>
      <x:c r="G55" s="125"/>
      <x:c r="H55" s="125"/>
      <x:c r="I55" s="125"/>
      <x:c r="J55" s="125"/>
      <x:c r="K55" s="125"/>
      <x:c r="L55" s="125"/>
      <x:c r="M55" s="125"/>
      <x:c r="N55" s="125"/>
      <x:c r="O55" s="125"/>
      <x:c r="P55" s="125"/>
      <x:c r="Q55" s="125"/>
    </x:row>
    <x:row r="56">
      <x:c r="A56" s="125"/>
      <x:c r="B56" s="125"/>
      <x:c r="C56" s="125"/>
      <x:c r="D56" s="125"/>
      <x:c r="E56" s="125"/>
      <x:c r="F56" s="125"/>
      <x:c r="G56" s="125"/>
      <x:c r="H56" s="125"/>
      <x:c r="I56" s="125"/>
      <x:c r="J56" s="125"/>
      <x:c r="K56" s="125"/>
      <x:c r="L56" s="125"/>
      <x:c r="M56" s="125"/>
      <x:c r="N56" s="125"/>
      <x:c r="O56" s="125"/>
      <x:c r="P56" s="125"/>
      <x:c r="Q56" s="125"/>
    </x:row>
    <x:row r="57">
      <x:c r="A57" s="125"/>
      <x:c r="B57" s="125"/>
      <x:c r="C57" s="125"/>
      <x:c r="D57" s="125"/>
      <x:c r="E57" s="125"/>
      <x:c r="F57" s="125"/>
      <x:c r="G57" s="125"/>
      <x:c r="H57" s="125"/>
      <x:c r="I57" s="125"/>
      <x:c r="J57" s="125"/>
      <x:c r="K57" s="125"/>
      <x:c r="L57" s="125"/>
      <x:c r="M57" s="125"/>
      <x:c r="N57" s="125"/>
      <x:c r="O57" s="125"/>
      <x:c r="P57" s="125"/>
      <x:c r="Q57" s="125"/>
    </x:row>
    <x:row r="58">
      <x:c r="A58" s="125"/>
      <x:c r="B58" s="125"/>
      <x:c r="C58" s="125"/>
      <x:c r="D58" s="125"/>
      <x:c r="E58" s="125"/>
      <x:c r="F58" s="125"/>
      <x:c r="G58" s="125"/>
      <x:c r="H58" s="125"/>
      <x:c r="I58" s="125"/>
      <x:c r="J58" s="125"/>
      <x:c r="K58" s="125"/>
      <x:c r="L58" s="125"/>
      <x:c r="M58" s="125"/>
      <x:c r="N58" s="125"/>
      <x:c r="O58" s="125"/>
      <x:c r="P58" s="125"/>
      <x:c r="Q58" s="125"/>
    </x:row>
    <x:row r="59">
      <x:c r="A59" s="125"/>
      <x:c r="B59" s="125"/>
      <x:c r="C59" s="125"/>
      <x:c r="D59" s="125"/>
      <x:c r="E59" s="125"/>
      <x:c r="F59" s="125"/>
      <x:c r="G59" s="125"/>
      <x:c r="H59" s="125"/>
      <x:c r="I59" s="125"/>
      <x:c r="J59" s="125"/>
      <x:c r="K59" s="125"/>
      <x:c r="L59" s="125"/>
      <x:c r="M59" s="125"/>
      <x:c r="N59" s="125"/>
      <x:c r="O59" s="125"/>
      <x:c r="P59" s="125"/>
      <x:c r="Q59" s="125"/>
    </x:row>
    <x:row r="60">
      <x:c r="A60" s="125"/>
      <x:c r="B60" s="125"/>
      <x:c r="C60" s="125"/>
      <x:c r="D60" s="125"/>
      <x:c r="E60" s="125"/>
      <x:c r="F60" s="125"/>
      <x:c r="G60" s="125"/>
      <x:c r="H60" s="125"/>
      <x:c r="I60" s="125"/>
      <x:c r="J60" s="125"/>
      <x:c r="K60" s="125"/>
      <x:c r="L60" s="125"/>
      <x:c r="M60" s="125"/>
      <x:c r="N60" s="125"/>
      <x:c r="O60" s="125"/>
      <x:c r="P60" s="125"/>
      <x:c r="Q60" s="125"/>
    </x:row>
    <x:row r="61">
      <x:c r="A61" s="125"/>
      <x:c r="B61" s="125"/>
      <x:c r="C61" s="125"/>
      <x:c r="D61" s="125"/>
      <x:c r="E61" s="125"/>
      <x:c r="F61" s="125"/>
      <x:c r="G61" s="125"/>
      <x:c r="H61" s="125"/>
      <x:c r="I61" s="125"/>
      <x:c r="J61" s="125"/>
      <x:c r="K61" s="125"/>
      <x:c r="L61" s="125"/>
      <x:c r="M61" s="125"/>
      <x:c r="N61" s="125"/>
      <x:c r="O61" s="125"/>
      <x:c r="P61" s="125"/>
      <x:c r="Q61" s="125"/>
    </x:row>
    <x:row r="62">
      <x:c r="A62" s="125"/>
      <x:c r="B62" s="125"/>
      <x:c r="C62" s="125"/>
      <x:c r="D62" s="125"/>
      <x:c r="E62" s="125"/>
      <x:c r="F62" s="125"/>
      <x:c r="G62" s="125"/>
      <x:c r="H62" s="125"/>
      <x:c r="I62" s="125"/>
      <x:c r="J62" s="125"/>
      <x:c r="K62" s="125"/>
      <x:c r="L62" s="125"/>
      <x:c r="M62" s="125"/>
      <x:c r="N62" s="125"/>
      <x:c r="O62" s="125"/>
      <x:c r="P62" s="125"/>
      <x:c r="Q62" s="125"/>
    </x:row>
    <x:row r="63">
      <x:c r="A63" s="125"/>
      <x:c r="B63" s="125"/>
      <x:c r="C63" s="125"/>
      <x:c r="D63" s="125"/>
      <x:c r="E63" s="125"/>
      <x:c r="F63" s="125"/>
      <x:c r="G63" s="125"/>
      <x:c r="H63" s="125"/>
      <x:c r="I63" s="125"/>
      <x:c r="J63" s="125"/>
      <x:c r="K63" s="125"/>
      <x:c r="L63" s="125"/>
      <x:c r="M63" s="125"/>
      <x:c r="N63" s="125"/>
      <x:c r="O63" s="125"/>
      <x:c r="P63" s="125"/>
      <x:c r="Q63" s="125"/>
    </x:row>
    <x:row r="64">
      <x:c r="A64" s="125"/>
      <x:c r="B64" s="125"/>
      <x:c r="C64" s="125"/>
      <x:c r="D64" s="125"/>
      <x:c r="E64" s="125"/>
      <x:c r="F64" s="125"/>
      <x:c r="G64" s="125"/>
      <x:c r="H64" s="125"/>
      <x:c r="I64" s="125"/>
      <x:c r="J64" s="125"/>
      <x:c r="K64" s="125"/>
      <x:c r="L64" s="125"/>
      <x:c r="M64" s="125"/>
      <x:c r="N64" s="125"/>
      <x:c r="O64" s="125"/>
      <x:c r="P64" s="125"/>
      <x:c r="Q64" s="125"/>
    </x:row>
    <x:row r="65">
      <x:c r="A65" s="125"/>
      <x:c r="B65" s="125"/>
      <x:c r="C65" s="125"/>
      <x:c r="D65" s="125"/>
      <x:c r="E65" s="125"/>
      <x:c r="F65" s="125"/>
      <x:c r="G65" s="125"/>
      <x:c r="H65" s="125"/>
      <x:c r="I65" s="125"/>
      <x:c r="J65" s="125"/>
      <x:c r="K65" s="125"/>
      <x:c r="L65" s="125"/>
      <x:c r="M65" s="125"/>
      <x:c r="N65" s="125"/>
      <x:c r="O65" s="125"/>
      <x:c r="P65" s="125"/>
      <x:c r="Q65" s="125"/>
    </x:row>
    <x:row r="66">
      <x:c r="A66" s="125"/>
      <x:c r="B66" s="125"/>
      <x:c r="C66" s="125"/>
      <x:c r="D66" s="125"/>
      <x:c r="E66" s="125"/>
      <x:c r="F66" s="125"/>
      <x:c r="G66" s="125"/>
      <x:c r="H66" s="125"/>
      <x:c r="I66" s="125"/>
      <x:c r="J66" s="125"/>
      <x:c r="K66" s="125"/>
      <x:c r="L66" s="125"/>
      <x:c r="M66" s="125"/>
      <x:c r="N66" s="125"/>
      <x:c r="O66" s="125"/>
      <x:c r="P66" s="125"/>
      <x:c r="Q66" s="125"/>
    </x:row>
    <x:row r="67">
      <x:c r="A67" s="125"/>
      <x:c r="B67" s="125"/>
      <x:c r="C67" s="125"/>
      <x:c r="D67" s="125"/>
      <x:c r="E67" s="125"/>
      <x:c r="F67" s="125"/>
      <x:c r="G67" s="125"/>
      <x:c r="H67" s="125"/>
      <x:c r="I67" s="125"/>
      <x:c r="J67" s="125"/>
      <x:c r="K67" s="125"/>
      <x:c r="L67" s="125"/>
      <x:c r="M67" s="125"/>
      <x:c r="N67" s="125"/>
      <x:c r="O67" s="125"/>
      <x:c r="P67" s="125"/>
      <x:c r="Q67" s="125"/>
    </x:row>
    <x:row r="68">
      <x:c r="A68" s="125"/>
      <x:c r="B68" s="125"/>
      <x:c r="C68" s="125"/>
      <x:c r="D68" s="125"/>
      <x:c r="E68" s="125"/>
      <x:c r="F68" s="125"/>
      <x:c r="G68" s="125"/>
      <x:c r="H68" s="125"/>
      <x:c r="I68" s="125"/>
      <x:c r="J68" s="125"/>
      <x:c r="K68" s="125"/>
      <x:c r="L68" s="125"/>
      <x:c r="M68" s="125"/>
      <x:c r="N68" s="125"/>
      <x:c r="O68" s="125"/>
      <x:c r="P68" s="125"/>
      <x:c r="Q68" s="125"/>
    </x:row>
    <x:row r="69">
      <x:c r="A69" s="125"/>
      <x:c r="B69" s="125"/>
      <x:c r="C69" s="125"/>
      <x:c r="D69" s="125"/>
      <x:c r="E69" s="125"/>
      <x:c r="F69" s="125"/>
      <x:c r="G69" s="125"/>
      <x:c r="H69" s="125"/>
      <x:c r="I69" s="125"/>
      <x:c r="J69" s="125"/>
      <x:c r="K69" s="125"/>
      <x:c r="L69" s="125"/>
      <x:c r="M69" s="125"/>
      <x:c r="N69" s="125"/>
      <x:c r="O69" s="125"/>
      <x:c r="P69" s="125"/>
      <x:c r="Q69" s="125"/>
    </x:row>
    <x:row r="70">
      <x:c r="A70" s="125"/>
      <x:c r="B70" s="125"/>
      <x:c r="C70" s="125"/>
      <x:c r="D70" s="125"/>
      <x:c r="E70" s="125"/>
      <x:c r="F70" s="125"/>
      <x:c r="G70" s="125"/>
      <x:c r="H70" s="125"/>
      <x:c r="I70" s="125"/>
      <x:c r="J70" s="125"/>
      <x:c r="K70" s="125"/>
      <x:c r="L70" s="125"/>
      <x:c r="M70" s="125"/>
      <x:c r="N70" s="125"/>
      <x:c r="O70" s="125"/>
      <x:c r="P70" s="125"/>
      <x:c r="Q70" s="125"/>
    </x:row>
    <x:row r="71">
      <x:c r="A71" s="125"/>
      <x:c r="B71" s="125"/>
      <x:c r="C71" s="125"/>
      <x:c r="D71" s="125"/>
      <x:c r="E71" s="125"/>
      <x:c r="F71" s="125"/>
      <x:c r="G71" s="125"/>
      <x:c r="H71" s="125"/>
      <x:c r="I71" s="125"/>
      <x:c r="J71" s="125"/>
      <x:c r="K71" s="125"/>
      <x:c r="L71" s="125"/>
      <x:c r="M71" s="125"/>
      <x:c r="N71" s="125"/>
      <x:c r="O71" s="125"/>
      <x:c r="P71" s="125"/>
      <x:c r="Q71" s="125"/>
    </x:row>
    <x:row r="72">
      <x:c r="A72" s="125"/>
      <x:c r="B72" s="125"/>
      <x:c r="C72" s="125"/>
      <x:c r="D72" s="125"/>
      <x:c r="E72" s="125"/>
      <x:c r="F72" s="125"/>
      <x:c r="G72" s="125"/>
      <x:c r="H72" s="125"/>
      <x:c r="I72" s="125"/>
      <x:c r="J72" s="125"/>
      <x:c r="K72" s="125"/>
      <x:c r="L72" s="125"/>
      <x:c r="M72" s="125"/>
      <x:c r="N72" s="125"/>
      <x:c r="O72" s="125"/>
      <x:c r="P72" s="125"/>
      <x:c r="Q72" s="125"/>
    </x:row>
    <x:row r="73">
      <x:c r="A73" s="125"/>
      <x:c r="B73" s="125"/>
      <x:c r="C73" s="125"/>
      <x:c r="D73" s="125"/>
      <x:c r="E73" s="125"/>
      <x:c r="F73" s="125"/>
      <x:c r="G73" s="125"/>
      <x:c r="H73" s="125"/>
      <x:c r="I73" s="125"/>
      <x:c r="J73" s="125"/>
      <x:c r="K73" s="125"/>
      <x:c r="L73" s="125"/>
      <x:c r="M73" s="125"/>
      <x:c r="N73" s="125"/>
      <x:c r="O73" s="125"/>
      <x:c r="P73" s="125"/>
      <x:c r="Q73" s="125"/>
    </x:row>
    <x:row r="74">
      <x:c r="A74" s="125"/>
      <x:c r="B74" s="125"/>
      <x:c r="C74" s="125"/>
      <x:c r="D74" s="125"/>
      <x:c r="E74" s="125"/>
      <x:c r="F74" s="125"/>
      <x:c r="G74" s="125"/>
      <x:c r="H74" s="125"/>
      <x:c r="I74" s="125"/>
      <x:c r="J74" s="125"/>
      <x:c r="K74" s="125"/>
      <x:c r="L74" s="125"/>
      <x:c r="M74" s="125"/>
      <x:c r="N74" s="125"/>
      <x:c r="O74" s="125"/>
      <x:c r="P74" s="125"/>
      <x:c r="Q74" s="125"/>
    </x:row>
    <x:row r="75">
      <x:c r="A75" s="125"/>
      <x:c r="B75" s="125"/>
      <x:c r="C75" s="125"/>
      <x:c r="D75" s="125"/>
      <x:c r="E75" s="125"/>
      <x:c r="F75" s="125"/>
      <x:c r="G75" s="125"/>
      <x:c r="H75" s="125"/>
      <x:c r="I75" s="125"/>
      <x:c r="J75" s="125"/>
      <x:c r="K75" s="125"/>
      <x:c r="L75" s="125"/>
      <x:c r="M75" s="125"/>
      <x:c r="N75" s="125"/>
      <x:c r="O75" s="125"/>
      <x:c r="P75" s="125"/>
      <x:c r="Q75" s="125"/>
    </x:row>
    <x:row r="76">
      <x:c r="A76" s="125"/>
      <x:c r="B76" s="125"/>
      <x:c r="C76" s="125"/>
      <x:c r="D76" s="125"/>
      <x:c r="E76" s="125"/>
      <x:c r="F76" s="125"/>
      <x:c r="G76" s="125"/>
      <x:c r="H76" s="125"/>
      <x:c r="I76" s="125"/>
      <x:c r="J76" s="125"/>
      <x:c r="K76" s="125"/>
      <x:c r="L76" s="125"/>
      <x:c r="M76" s="125"/>
      <x:c r="N76" s="125"/>
      <x:c r="O76" s="125"/>
      <x:c r="P76" s="125"/>
      <x:c r="Q76" s="125"/>
    </x:row>
    <x:row r="77">
      <x:c r="A77" s="125"/>
      <x:c r="B77" s="125"/>
      <x:c r="C77" s="125"/>
      <x:c r="D77" s="125"/>
      <x:c r="E77" s="125"/>
      <x:c r="F77" s="125"/>
      <x:c r="G77" s="125"/>
      <x:c r="H77" s="125"/>
      <x:c r="I77" s="125"/>
      <x:c r="J77" s="125"/>
      <x:c r="K77" s="125"/>
      <x:c r="L77" s="125"/>
      <x:c r="M77" s="125"/>
      <x:c r="N77" s="125"/>
      <x:c r="O77" s="125"/>
      <x:c r="P77" s="125"/>
      <x:c r="Q77" s="125"/>
    </x:row>
    <x:row r="78">
      <x:c r="A78" s="125"/>
      <x:c r="B78" s="125"/>
      <x:c r="C78" s="125"/>
      <x:c r="D78" s="125"/>
      <x:c r="E78" s="125"/>
      <x:c r="F78" s="125"/>
      <x:c r="G78" s="125"/>
      <x:c r="H78" s="125"/>
      <x:c r="I78" s="125"/>
      <x:c r="J78" s="125"/>
      <x:c r="K78" s="125"/>
      <x:c r="L78" s="125"/>
      <x:c r="M78" s="125"/>
      <x:c r="N78" s="125"/>
      <x:c r="O78" s="125"/>
      <x:c r="P78" s="125"/>
      <x:c r="Q78" s="125"/>
    </x:row>
    <x:row r="79">
      <x:c r="A79" s="125"/>
      <x:c r="B79" s="125"/>
      <x:c r="C79" s="125"/>
      <x:c r="D79" s="125"/>
      <x:c r="E79" s="125"/>
      <x:c r="F79" s="125"/>
      <x:c r="G79" s="125"/>
      <x:c r="H79" s="125"/>
      <x:c r="I79" s="125"/>
      <x:c r="J79" s="125"/>
      <x:c r="K79" s="125"/>
      <x:c r="L79" s="125"/>
      <x:c r="M79" s="125"/>
      <x:c r="N79" s="125"/>
      <x:c r="O79" s="125"/>
      <x:c r="P79" s="125"/>
      <x:c r="Q79" s="125"/>
    </x:row>
    <x:row r="80">
      <x:c r="A80" s="125"/>
      <x:c r="B80" s="125"/>
      <x:c r="C80" s="125"/>
      <x:c r="D80" s="125"/>
      <x:c r="E80" s="125"/>
      <x:c r="F80" s="125"/>
      <x:c r="G80" s="125"/>
      <x:c r="H80" s="125"/>
      <x:c r="I80" s="125"/>
      <x:c r="J80" s="125"/>
      <x:c r="K80" s="125"/>
      <x:c r="L80" s="125"/>
      <x:c r="M80" s="125"/>
      <x:c r="N80" s="125"/>
      <x:c r="O80" s="125"/>
      <x:c r="P80" s="125"/>
      <x:c r="Q80" s="125"/>
    </x:row>
    <x:row r="81">
      <x:c r="A81" s="125"/>
      <x:c r="B81" s="125"/>
      <x:c r="C81" s="125"/>
      <x:c r="D81" s="125"/>
      <x:c r="E81" s="125"/>
      <x:c r="F81" s="125"/>
      <x:c r="G81" s="125"/>
      <x:c r="H81" s="125"/>
      <x:c r="I81" s="125"/>
      <x:c r="J81" s="125"/>
      <x:c r="K81" s="125"/>
      <x:c r="L81" s="125"/>
      <x:c r="M81" s="125"/>
      <x:c r="N81" s="125"/>
      <x:c r="O81" s="125"/>
      <x:c r="P81" s="125"/>
      <x:c r="Q81" s="125"/>
    </x:row>
    <x:row r="82">
      <x:c r="A82" s="125"/>
      <x:c r="B82" s="125"/>
      <x:c r="C82" s="125"/>
      <x:c r="D82" s="125"/>
      <x:c r="E82" s="125"/>
      <x:c r="F82" s="125"/>
      <x:c r="G82" s="125"/>
      <x:c r="H82" s="125"/>
      <x:c r="I82" s="125"/>
      <x:c r="J82" s="125"/>
      <x:c r="K82" s="125"/>
      <x:c r="L82" s="125"/>
      <x:c r="M82" s="125"/>
      <x:c r="N82" s="125"/>
      <x:c r="O82" s="125"/>
      <x:c r="P82" s="125"/>
      <x:c r="Q82" s="125"/>
    </x:row>
    <x:row r="83">
      <x:c r="A83" s="125"/>
      <x:c r="B83" s="125"/>
      <x:c r="C83" s="125"/>
      <x:c r="D83" s="125"/>
      <x:c r="E83" s="125"/>
      <x:c r="F83" s="125"/>
      <x:c r="G83" s="125"/>
      <x:c r="H83" s="125"/>
      <x:c r="I83" s="125"/>
      <x:c r="J83" s="125"/>
      <x:c r="K83" s="125"/>
      <x:c r="L83" s="125"/>
      <x:c r="M83" s="125"/>
      <x:c r="N83" s="125"/>
      <x:c r="O83" s="125"/>
      <x:c r="P83" s="125"/>
      <x:c r="Q83" s="125"/>
    </x:row>
    <x:row r="84">
      <x:c r="A84" s="125"/>
      <x:c r="B84" s="125"/>
      <x:c r="C84" s="125"/>
      <x:c r="D84" s="125"/>
      <x:c r="E84" s="125"/>
      <x:c r="F84" s="125"/>
      <x:c r="G84" s="125"/>
      <x:c r="H84" s="125"/>
      <x:c r="I84" s="125"/>
      <x:c r="J84" s="125"/>
      <x:c r="K84" s="125"/>
      <x:c r="L84" s="125"/>
      <x:c r="M84" s="125"/>
      <x:c r="N84" s="125"/>
      <x:c r="O84" s="125"/>
      <x:c r="P84" s="125"/>
      <x:c r="Q84" s="125"/>
    </x:row>
    <x:row r="85">
      <x:c r="A85" s="125"/>
      <x:c r="B85" s="125"/>
      <x:c r="C85" s="125"/>
      <x:c r="D85" s="125"/>
      <x:c r="E85" s="125"/>
      <x:c r="F85" s="125"/>
      <x:c r="G85" s="125"/>
      <x:c r="H85" s="125"/>
      <x:c r="I85" s="125"/>
      <x:c r="J85" s="125"/>
      <x:c r="K85" s="125"/>
      <x:c r="L85" s="125"/>
      <x:c r="M85" s="125"/>
      <x:c r="N85" s="125"/>
      <x:c r="O85" s="125"/>
      <x:c r="P85" s="125"/>
      <x:c r="Q85" s="125"/>
    </x:row>
    <x:row r="86">
      <x:c r="A86" s="125"/>
      <x:c r="B86" s="125"/>
      <x:c r="C86" s="125"/>
      <x:c r="D86" s="125"/>
      <x:c r="E86" s="125"/>
      <x:c r="F86" s="125"/>
      <x:c r="G86" s="125"/>
      <x:c r="H86" s="125"/>
      <x:c r="I86" s="125"/>
      <x:c r="J86" s="125"/>
      <x:c r="K86" s="125"/>
      <x:c r="L86" s="125"/>
      <x:c r="M86" s="125"/>
      <x:c r="N86" s="125"/>
      <x:c r="O86" s="125"/>
      <x:c r="P86" s="125"/>
      <x:c r="Q86" s="125"/>
    </x:row>
    <x:row r="87">
      <x:c r="A87" s="125"/>
      <x:c r="B87" s="125"/>
      <x:c r="C87" s="125"/>
      <x:c r="D87" s="125"/>
      <x:c r="E87" s="125"/>
      <x:c r="F87" s="125"/>
      <x:c r="G87" s="125"/>
      <x:c r="H87" s="125"/>
      <x:c r="I87" s="125"/>
      <x:c r="J87" s="125"/>
      <x:c r="K87" s="125"/>
      <x:c r="L87" s="125"/>
      <x:c r="M87" s="125"/>
      <x:c r="N87" s="125"/>
      <x:c r="O87" s="125"/>
      <x:c r="P87" s="125"/>
      <x:c r="Q87" s="125"/>
    </x:row>
    <x:row r="88">
      <x:c r="A88" s="125"/>
      <x:c r="B88" s="125"/>
      <x:c r="C88" s="125"/>
      <x:c r="D88" s="125"/>
      <x:c r="E88" s="125"/>
      <x:c r="F88" s="125"/>
      <x:c r="G88" s="125"/>
      <x:c r="H88" s="125"/>
      <x:c r="I88" s="125"/>
      <x:c r="J88" s="125"/>
      <x:c r="K88" s="125"/>
      <x:c r="L88" s="125"/>
      <x:c r="M88" s="125"/>
      <x:c r="N88" s="125"/>
      <x:c r="O88" s="125"/>
      <x:c r="P88" s="125"/>
      <x:c r="Q88" s="125"/>
    </x:row>
    <x:row r="89">
      <x:c r="A89" s="125"/>
      <x:c r="B89" s="125"/>
      <x:c r="C89" s="125"/>
      <x:c r="D89" s="125"/>
      <x:c r="E89" s="125"/>
      <x:c r="F89" s="125"/>
      <x:c r="G89" s="125"/>
      <x:c r="H89" s="125"/>
      <x:c r="I89" s="125"/>
      <x:c r="J89" s="125"/>
      <x:c r="K89" s="125"/>
      <x:c r="L89" s="125"/>
      <x:c r="M89" s="125"/>
      <x:c r="N89" s="125"/>
      <x:c r="O89" s="125"/>
      <x:c r="P89" s="125"/>
      <x:c r="Q89" s="125"/>
    </x:row>
    <x:row r="90">
      <x:c r="A90" s="125"/>
      <x:c r="B90" s="125"/>
      <x:c r="C90" s="125"/>
      <x:c r="D90" s="125"/>
      <x:c r="E90" s="125"/>
      <x:c r="F90" s="125"/>
      <x:c r="G90" s="125"/>
      <x:c r="H90" s="125"/>
      <x:c r="I90" s="125"/>
      <x:c r="J90" s="125"/>
      <x:c r="K90" s="125"/>
      <x:c r="L90" s="125"/>
      <x:c r="M90" s="125"/>
      <x:c r="N90" s="125"/>
      <x:c r="O90" s="125"/>
      <x:c r="P90" s="125"/>
      <x:c r="Q90" s="125"/>
    </x:row>
    <x:row r="91">
      <x:c r="A91" s="125"/>
      <x:c r="B91" s="125"/>
      <x:c r="C91" s="125"/>
      <x:c r="D91" s="125"/>
      <x:c r="E91" s="125"/>
      <x:c r="F91" s="125"/>
      <x:c r="G91" s="125"/>
      <x:c r="H91" s="125"/>
      <x:c r="I91" s="125"/>
      <x:c r="J91" s="125"/>
      <x:c r="K91" s="125"/>
      <x:c r="L91" s="125"/>
      <x:c r="M91" s="125"/>
      <x:c r="N91" s="125"/>
      <x:c r="O91" s="125"/>
      <x:c r="P91" s="125"/>
      <x:c r="Q91" s="125"/>
    </x:row>
    <x:row r="92">
      <x:c r="A92" s="125"/>
      <x:c r="B92" s="125"/>
      <x:c r="C92" s="125"/>
      <x:c r="D92" s="125"/>
      <x:c r="E92" s="125"/>
      <x:c r="F92" s="125"/>
      <x:c r="G92" s="125"/>
      <x:c r="H92" s="125"/>
      <x:c r="I92" s="125"/>
      <x:c r="J92" s="125"/>
      <x:c r="K92" s="125"/>
      <x:c r="L92" s="125"/>
      <x:c r="M92" s="125"/>
      <x:c r="N92" s="125"/>
      <x:c r="O92" s="125"/>
      <x:c r="P92" s="125"/>
      <x:c r="Q92" s="125"/>
    </x:row>
    <x:row r="93">
      <x:c r="A93" s="125"/>
      <x:c r="B93" s="125"/>
      <x:c r="C93" s="125"/>
      <x:c r="D93" s="125"/>
      <x:c r="E93" s="125"/>
      <x:c r="F93" s="125"/>
      <x:c r="G93" s="125"/>
      <x:c r="H93" s="125"/>
      <x:c r="I93" s="125"/>
      <x:c r="J93" s="125"/>
      <x:c r="K93" s="125"/>
      <x:c r="L93" s="125"/>
      <x:c r="M93" s="125"/>
      <x:c r="N93" s="125"/>
      <x:c r="O93" s="125"/>
      <x:c r="P93" s="125"/>
      <x:c r="Q93" s="125"/>
    </x:row>
    <x:row r="94">
      <x:c r="A94" s="125"/>
      <x:c r="B94" s="125"/>
      <x:c r="C94" s="125"/>
      <x:c r="D94" s="125"/>
      <x:c r="E94" s="125"/>
      <x:c r="F94" s="125"/>
      <x:c r="G94" s="125"/>
      <x:c r="H94" s="125"/>
      <x:c r="I94" s="125"/>
      <x:c r="J94" s="125"/>
      <x:c r="K94" s="125"/>
      <x:c r="L94" s="125"/>
      <x:c r="M94" s="125"/>
      <x:c r="N94" s="125"/>
      <x:c r="O94" s="125"/>
      <x:c r="P94" s="125"/>
      <x:c r="Q94" s="125"/>
    </x:row>
    <x:row r="95">
      <x:c r="A95" s="125"/>
      <x:c r="B95" s="125"/>
      <x:c r="C95" s="125"/>
      <x:c r="D95" s="125"/>
      <x:c r="E95" s="125"/>
      <x:c r="F95" s="125"/>
      <x:c r="G95" s="125"/>
      <x:c r="H95" s="125"/>
      <x:c r="I95" s="125"/>
      <x:c r="J95" s="125"/>
      <x:c r="K95" s="125"/>
      <x:c r="L95" s="125"/>
      <x:c r="M95" s="125"/>
      <x:c r="N95" s="125"/>
      <x:c r="O95" s="125"/>
      <x:c r="P95" s="125"/>
      <x:c r="Q95" s="125"/>
    </x:row>
    <x:row r="96">
      <x:c r="A96" s="125"/>
      <x:c r="B96" s="125"/>
      <x:c r="C96" s="125"/>
      <x:c r="D96" s="125"/>
      <x:c r="E96" s="125"/>
      <x:c r="F96" s="125"/>
      <x:c r="G96" s="125"/>
      <x:c r="H96" s="125"/>
      <x:c r="I96" s="125"/>
      <x:c r="J96" s="125"/>
      <x:c r="K96" s="125"/>
      <x:c r="L96" s="125"/>
      <x:c r="M96" s="125"/>
      <x:c r="N96" s="125"/>
      <x:c r="O96" s="125"/>
      <x:c r="P96" s="125"/>
      <x:c r="Q96" s="125"/>
    </x:row>
    <x:row r="97">
      <x:c r="A97" s="125"/>
      <x:c r="B97" s="125"/>
      <x:c r="C97" s="125"/>
      <x:c r="D97" s="125"/>
      <x:c r="E97" s="125"/>
      <x:c r="F97" s="125"/>
      <x:c r="G97" s="125"/>
      <x:c r="H97" s="125"/>
      <x:c r="I97" s="125"/>
      <x:c r="J97" s="125"/>
      <x:c r="K97" s="125"/>
      <x:c r="L97" s="125"/>
      <x:c r="M97" s="125"/>
      <x:c r="N97" s="125"/>
      <x:c r="O97" s="125"/>
      <x:c r="P97" s="125"/>
      <x:c r="Q97" s="125"/>
    </x:row>
    <x:row r="98">
      <x:c r="A98" s="125"/>
      <x:c r="B98" s="125"/>
      <x:c r="C98" s="125"/>
      <x:c r="D98" s="125"/>
      <x:c r="E98" s="125"/>
      <x:c r="F98" s="125"/>
      <x:c r="G98" s="125"/>
      <x:c r="H98" s="125"/>
      <x:c r="I98" s="125"/>
      <x:c r="J98" s="125"/>
      <x:c r="K98" s="125"/>
      <x:c r="L98" s="125"/>
      <x:c r="M98" s="125"/>
      <x:c r="N98" s="125"/>
      <x:c r="O98" s="125"/>
      <x:c r="P98" s="125"/>
      <x:c r="Q98" s="125"/>
    </x:row>
    <x:row r="99">
      <x:c r="A99" s="125"/>
      <x:c r="B99" s="125"/>
      <x:c r="C99" s="125"/>
      <x:c r="D99" s="125"/>
      <x:c r="E99" s="125"/>
      <x:c r="F99" s="125"/>
      <x:c r="G99" s="125"/>
      <x:c r="H99" s="125"/>
      <x:c r="I99" s="125"/>
      <x:c r="J99" s="125"/>
      <x:c r="K99" s="125"/>
      <x:c r="L99" s="125"/>
      <x:c r="M99" s="125"/>
      <x:c r="N99" s="125"/>
      <x:c r="O99" s="125"/>
      <x:c r="P99" s="125"/>
      <x:c r="Q99" s="125"/>
    </x:row>
    <x:row r="100">
      <x:c r="A100" s="125"/>
      <x:c r="B100" s="125"/>
      <x:c r="C100" s="125"/>
      <x:c r="D100" s="125"/>
      <x:c r="E100" s="125"/>
      <x:c r="F100" s="125"/>
      <x:c r="G100" s="125"/>
      <x:c r="H100" s="125"/>
      <x:c r="I100" s="125"/>
      <x:c r="J100" s="125"/>
      <x:c r="K100" s="125"/>
      <x:c r="L100" s="125"/>
      <x:c r="M100" s="125"/>
      <x:c r="N100" s="125"/>
      <x:c r="O100" s="125"/>
      <x:c r="P100" s="125"/>
      <x:c r="Q100" s="125"/>
    </x:row>
    <x:row r="101">
      <x:c r="A101" s="125"/>
      <x:c r="B101" s="125"/>
      <x:c r="C101" s="125"/>
      <x:c r="D101" s="125"/>
      <x:c r="E101" s="125"/>
      <x:c r="F101" s="125"/>
      <x:c r="G101" s="125"/>
      <x:c r="H101" s="125"/>
      <x:c r="I101" s="125"/>
      <x:c r="J101" s="125"/>
      <x:c r="K101" s="125"/>
      <x:c r="L101" s="125"/>
      <x:c r="M101" s="125"/>
      <x:c r="N101" s="125"/>
      <x:c r="O101" s="125"/>
      <x:c r="P101" s="125"/>
      <x:c r="Q101" s="125"/>
    </x:row>
    <x:row r="102">
      <x:c r="A102" s="125"/>
      <x:c r="B102" s="125"/>
      <x:c r="C102" s="125"/>
      <x:c r="D102" s="125"/>
      <x:c r="E102" s="125"/>
      <x:c r="F102" s="125"/>
      <x:c r="G102" s="125"/>
      <x:c r="H102" s="125"/>
      <x:c r="I102" s="125"/>
      <x:c r="J102" s="125"/>
      <x:c r="K102" s="125"/>
      <x:c r="L102" s="125"/>
      <x:c r="M102" s="125"/>
      <x:c r="N102" s="125"/>
      <x:c r="O102" s="125"/>
      <x:c r="P102" s="125"/>
      <x:c r="Q102" s="125"/>
    </x:row>
    <x:row r="103">
      <x:c r="A103" s="125"/>
      <x:c r="B103" s="125"/>
      <x:c r="C103" s="125"/>
      <x:c r="D103" s="125"/>
      <x:c r="E103" s="125"/>
      <x:c r="F103" s="125"/>
      <x:c r="G103" s="125"/>
      <x:c r="H103" s="125"/>
      <x:c r="I103" s="125"/>
      <x:c r="J103" s="125"/>
      <x:c r="K103" s="125"/>
      <x:c r="L103" s="125"/>
      <x:c r="M103" s="125"/>
      <x:c r="N103" s="125"/>
      <x:c r="O103" s="125"/>
      <x:c r="P103" s="125"/>
      <x:c r="Q103" s="125"/>
    </x:row>
    <x:row r="104">
      <x:c r="A104" s="125"/>
      <x:c r="B104" s="125"/>
      <x:c r="C104" s="125"/>
      <x:c r="D104" s="125"/>
      <x:c r="E104" s="125"/>
      <x:c r="F104" s="125"/>
      <x:c r="G104" s="125"/>
      <x:c r="H104" s="125"/>
      <x:c r="I104" s="125"/>
      <x:c r="J104" s="125"/>
      <x:c r="K104" s="125"/>
      <x:c r="L104" s="125"/>
      <x:c r="M104" s="125"/>
      <x:c r="N104" s="125"/>
      <x:c r="O104" s="125"/>
      <x:c r="P104" s="125"/>
      <x:c r="Q104" s="125"/>
    </x:row>
    <x:row r="105">
      <x:c r="A105" s="125"/>
      <x:c r="B105" s="125"/>
      <x:c r="C105" s="125"/>
      <x:c r="D105" s="125"/>
      <x:c r="E105" s="125"/>
      <x:c r="F105" s="125"/>
      <x:c r="G105" s="125"/>
      <x:c r="H105" s="125"/>
      <x:c r="I105" s="125"/>
      <x:c r="J105" s="125"/>
      <x:c r="K105" s="125"/>
      <x:c r="L105" s="125"/>
      <x:c r="M105" s="125"/>
      <x:c r="N105" s="125"/>
      <x:c r="O105" s="125"/>
      <x:c r="P105" s="125"/>
      <x:c r="Q105" s="125"/>
    </x:row>
    <x:row r="106">
      <x:c r="A106" s="125"/>
      <x:c r="B106" s="125"/>
      <x:c r="C106" s="125"/>
      <x:c r="D106" s="125"/>
      <x:c r="E106" s="125"/>
      <x:c r="F106" s="125"/>
      <x:c r="G106" s="125"/>
      <x:c r="H106" s="125"/>
      <x:c r="I106" s="125"/>
      <x:c r="J106" s="125"/>
      <x:c r="K106" s="125"/>
      <x:c r="L106" s="125"/>
      <x:c r="M106" s="125"/>
      <x:c r="N106" s="125"/>
      <x:c r="O106" s="125"/>
      <x:c r="P106" s="125"/>
      <x:c r="Q106" s="125"/>
    </x:row>
    <x:row r="107">
      <x:c r="A107" s="125"/>
      <x:c r="B107" s="125"/>
      <x:c r="C107" s="125"/>
      <x:c r="D107" s="125"/>
      <x:c r="E107" s="125"/>
      <x:c r="F107" s="125"/>
      <x:c r="G107" s="125"/>
      <x:c r="H107" s="125"/>
      <x:c r="I107" s="125"/>
      <x:c r="J107" s="125"/>
      <x:c r="K107" s="125"/>
      <x:c r="L107" s="125"/>
      <x:c r="M107" s="125"/>
      <x:c r="N107" s="125"/>
      <x:c r="O107" s="125"/>
      <x:c r="P107" s="125"/>
      <x:c r="Q107" s="125"/>
    </x:row>
    <x:row r="108">
      <x:c r="A108" s="125"/>
      <x:c r="B108" s="125"/>
      <x:c r="C108" s="125"/>
      <x:c r="D108" s="125"/>
      <x:c r="E108" s="125"/>
      <x:c r="F108" s="125"/>
      <x:c r="G108" s="125"/>
      <x:c r="H108" s="125"/>
      <x:c r="I108" s="125"/>
      <x:c r="J108" s="125"/>
      <x:c r="K108" s="125"/>
      <x:c r="L108" s="125"/>
      <x:c r="M108" s="125"/>
      <x:c r="N108" s="125"/>
      <x:c r="O108" s="125"/>
      <x:c r="P108" s="125"/>
      <x:c r="Q108" s="125"/>
    </x:row>
    <x:row r="109">
      <x:c r="A109" s="125"/>
      <x:c r="B109" s="125"/>
      <x:c r="C109" s="125"/>
      <x:c r="D109" s="125"/>
      <x:c r="E109" s="125"/>
      <x:c r="F109" s="125"/>
      <x:c r="G109" s="125"/>
      <x:c r="H109" s="125"/>
      <x:c r="I109" s="125"/>
      <x:c r="J109" s="125"/>
      <x:c r="K109" s="125"/>
      <x:c r="L109" s="125"/>
      <x:c r="M109" s="125"/>
      <x:c r="N109" s="125"/>
      <x:c r="O109" s="125"/>
      <x:c r="P109" s="125"/>
      <x:c r="Q109" s="125"/>
    </x:row>
    <x:row r="110">
      <x:c r="A110" s="125"/>
      <x:c r="B110" s="125"/>
      <x:c r="C110" s="125"/>
      <x:c r="D110" s="125"/>
      <x:c r="E110" s="125"/>
      <x:c r="F110" s="125"/>
      <x:c r="G110" s="125"/>
      <x:c r="H110" s="125"/>
      <x:c r="I110" s="125"/>
      <x:c r="J110" s="125"/>
      <x:c r="K110" s="125"/>
      <x:c r="L110" s="125"/>
      <x:c r="M110" s="125"/>
      <x:c r="N110" s="125"/>
      <x:c r="O110" s="125"/>
      <x:c r="P110" s="125"/>
      <x:c r="Q110" s="125"/>
    </x:row>
    <x:row r="111">
      <x:c r="A111" s="125"/>
      <x:c r="B111" s="125"/>
      <x:c r="C111" s="125"/>
      <x:c r="D111" s="125"/>
      <x:c r="E111" s="125"/>
      <x:c r="F111" s="125"/>
      <x:c r="G111" s="125"/>
      <x:c r="H111" s="125"/>
      <x:c r="I111" s="125"/>
      <x:c r="J111" s="125"/>
      <x:c r="K111" s="125"/>
      <x:c r="L111" s="125"/>
      <x:c r="M111" s="125"/>
      <x:c r="N111" s="125"/>
      <x:c r="O111" s="125"/>
      <x:c r="P111" s="125"/>
      <x:c r="Q111" s="125"/>
    </x:row>
    <x:row r="112">
      <x:c r="A112" s="125"/>
      <x:c r="B112" s="125"/>
      <x:c r="C112" s="125"/>
      <x:c r="D112" s="125"/>
      <x:c r="E112" s="125"/>
      <x:c r="F112" s="125"/>
      <x:c r="G112" s="125"/>
      <x:c r="H112" s="125"/>
      <x:c r="I112" s="125"/>
      <x:c r="J112" s="125"/>
      <x:c r="K112" s="125"/>
      <x:c r="L112" s="125"/>
      <x:c r="M112" s="125"/>
      <x:c r="N112" s="125"/>
      <x:c r="O112" s="125"/>
      <x:c r="P112" s="125"/>
      <x:c r="Q112" s="125"/>
    </x:row>
    <x:row r="113">
      <x:c r="A113" s="125"/>
      <x:c r="B113" s="125"/>
      <x:c r="C113" s="125"/>
      <x:c r="D113" s="125"/>
      <x:c r="E113" s="125"/>
      <x:c r="F113" s="125"/>
      <x:c r="G113" s="125"/>
      <x:c r="H113" s="125"/>
      <x:c r="I113" s="125"/>
      <x:c r="J113" s="125"/>
      <x:c r="K113" s="125"/>
      <x:c r="L113" s="125"/>
      <x:c r="M113" s="125"/>
      <x:c r="N113" s="125"/>
      <x:c r="O113" s="125"/>
      <x:c r="P113" s="125"/>
      <x:c r="Q113" s="125"/>
    </x:row>
    <x:row r="114">
      <x:c r="A114" s="125"/>
      <x:c r="B114" s="125"/>
      <x:c r="C114" s="125"/>
      <x:c r="D114" s="125"/>
      <x:c r="E114" s="125"/>
      <x:c r="F114" s="125"/>
      <x:c r="G114" s="125"/>
      <x:c r="H114" s="125"/>
      <x:c r="I114" s="125"/>
      <x:c r="J114" s="125"/>
      <x:c r="K114" s="125"/>
      <x:c r="L114" s="125"/>
      <x:c r="M114" s="125"/>
      <x:c r="N114" s="125"/>
      <x:c r="O114" s="125"/>
      <x:c r="P114" s="125"/>
      <x:c r="Q114" s="125"/>
    </x:row>
    <x:row r="115">
      <x:c r="A115" s="125"/>
      <x:c r="B115" s="125"/>
      <x:c r="C115" s="125"/>
      <x:c r="D115" s="125"/>
      <x:c r="E115" s="125"/>
      <x:c r="F115" s="125"/>
      <x:c r="G115" s="125"/>
      <x:c r="H115" s="125"/>
      <x:c r="I115" s="125"/>
      <x:c r="J115" s="125"/>
      <x:c r="K115" s="125"/>
      <x:c r="L115" s="125"/>
      <x:c r="M115" s="125"/>
      <x:c r="N115" s="125"/>
      <x:c r="O115" s="125"/>
      <x:c r="P115" s="125"/>
      <x:c r="Q115" s="125"/>
    </x:row>
    <x:row r="116">
      <x:c r="A116" s="125"/>
      <x:c r="B116" s="125"/>
      <x:c r="C116" s="125"/>
      <x:c r="D116" s="125"/>
      <x:c r="E116" s="125"/>
      <x:c r="F116" s="125"/>
      <x:c r="G116" s="125"/>
      <x:c r="H116" s="125"/>
      <x:c r="I116" s="125"/>
      <x:c r="J116" s="125"/>
      <x:c r="K116" s="125"/>
      <x:c r="L116" s="125"/>
      <x:c r="M116" s="125"/>
      <x:c r="N116" s="125"/>
      <x:c r="O116" s="125"/>
      <x:c r="P116" s="125"/>
      <x:c r="Q116" s="125"/>
    </x:row>
    <x:row r="117">
      <x:c r="A117" s="125"/>
      <x:c r="B117" s="125"/>
      <x:c r="C117" s="125"/>
      <x:c r="D117" s="125"/>
      <x:c r="E117" s="125"/>
      <x:c r="F117" s="125"/>
      <x:c r="G117" s="125"/>
      <x:c r="H117" s="125"/>
      <x:c r="I117" s="125"/>
      <x:c r="J117" s="125"/>
      <x:c r="K117" s="125"/>
      <x:c r="L117" s="125"/>
      <x:c r="M117" s="125"/>
      <x:c r="N117" s="125"/>
      <x:c r="O117" s="125"/>
      <x:c r="P117" s="125"/>
      <x:c r="Q117" s="125"/>
    </x:row>
    <x:row r="118">
      <x:c r="A118" s="125"/>
      <x:c r="B118" s="125"/>
      <x:c r="C118" s="125"/>
      <x:c r="D118" s="125"/>
      <x:c r="E118" s="125"/>
      <x:c r="F118" s="125"/>
      <x:c r="G118" s="125"/>
      <x:c r="H118" s="125"/>
      <x:c r="I118" s="125"/>
      <x:c r="J118" s="125"/>
      <x:c r="K118" s="125"/>
      <x:c r="L118" s="125"/>
      <x:c r="M118" s="125"/>
      <x:c r="N118" s="125"/>
      <x:c r="O118" s="125"/>
      <x:c r="P118" s="125"/>
      <x:c r="Q118" s="125"/>
    </x:row>
    <x:row r="119">
      <x:c r="A119" s="125"/>
      <x:c r="B119" s="125"/>
      <x:c r="C119" s="125"/>
      <x:c r="D119" s="125"/>
      <x:c r="E119" s="125"/>
      <x:c r="F119" s="125"/>
      <x:c r="G119" s="125"/>
      <x:c r="H119" s="125"/>
      <x:c r="I119" s="125"/>
      <x:c r="J119" s="125"/>
      <x:c r="K119" s="125"/>
      <x:c r="L119" s="125"/>
      <x:c r="M119" s="125"/>
      <x:c r="N119" s="125"/>
      <x:c r="O119" s="125"/>
      <x:c r="P119" s="125"/>
      <x:c r="Q119" s="125"/>
    </x:row>
    <x:row r="120">
      <x:c r="A120" s="125"/>
      <x:c r="B120" s="125"/>
      <x:c r="C120" s="125"/>
      <x:c r="D120" s="125"/>
      <x:c r="E120" s="125"/>
      <x:c r="F120" s="125"/>
      <x:c r="G120" s="125"/>
      <x:c r="H120" s="125"/>
      <x:c r="I120" s="125"/>
      <x:c r="J120" s="125"/>
      <x:c r="K120" s="125"/>
      <x:c r="L120" s="125"/>
      <x:c r="M120" s="125"/>
      <x:c r="N120" s="125"/>
      <x:c r="O120" s="125"/>
      <x:c r="P120" s="125"/>
      <x:c r="Q120" s="125"/>
    </x:row>
    <x:row r="121">
      <x:c r="A121" s="125"/>
      <x:c r="B121" s="125"/>
      <x:c r="C121" s="125"/>
      <x:c r="D121" s="125"/>
      <x:c r="E121" s="125"/>
      <x:c r="F121" s="125"/>
      <x:c r="G121" s="125"/>
      <x:c r="H121" s="125"/>
      <x:c r="I121" s="125"/>
      <x:c r="J121" s="125"/>
      <x:c r="K121" s="125"/>
      <x:c r="L121" s="125"/>
      <x:c r="M121" s="125"/>
      <x:c r="N121" s="125"/>
      <x:c r="O121" s="125"/>
      <x:c r="P121" s="125"/>
      <x:c r="Q121" s="125"/>
    </x:row>
    <x:row r="122">
      <x:c r="A122" s="125"/>
      <x:c r="B122" s="125"/>
      <x:c r="C122" s="125"/>
      <x:c r="D122" s="125"/>
      <x:c r="E122" s="125"/>
      <x:c r="F122" s="125"/>
      <x:c r="G122" s="125"/>
      <x:c r="H122" s="125"/>
      <x:c r="I122" s="125"/>
      <x:c r="J122" s="125"/>
      <x:c r="K122" s="125"/>
      <x:c r="L122" s="125"/>
      <x:c r="M122" s="125"/>
      <x:c r="N122" s="125"/>
      <x:c r="O122" s="125"/>
      <x:c r="P122" s="125"/>
      <x:c r="Q122" s="125"/>
    </x:row>
    <x:row r="123">
      <x:c r="A123" s="125"/>
      <x:c r="B123" s="125"/>
      <x:c r="C123" s="125"/>
      <x:c r="D123" s="125"/>
      <x:c r="E123" s="125"/>
      <x:c r="F123" s="125"/>
      <x:c r="G123" s="125"/>
      <x:c r="H123" s="125"/>
      <x:c r="I123" s="125"/>
      <x:c r="J123" s="125"/>
      <x:c r="K123" s="125"/>
      <x:c r="L123" s="125"/>
      <x:c r="M123" s="125"/>
      <x:c r="N123" s="125"/>
      <x:c r="O123" s="125"/>
      <x:c r="P123" s="125"/>
      <x:c r="Q123" s="125"/>
    </x:row>
    <x:row r="124">
      <x:c r="A124" s="125"/>
      <x:c r="B124" s="125"/>
      <x:c r="C124" s="125"/>
      <x:c r="D124" s="125"/>
      <x:c r="E124" s="125"/>
      <x:c r="F124" s="125"/>
      <x:c r="G124" s="125"/>
      <x:c r="H124" s="125"/>
      <x:c r="I124" s="125"/>
      <x:c r="J124" s="125"/>
      <x:c r="K124" s="125"/>
      <x:c r="L124" s="125"/>
      <x:c r="M124" s="125"/>
      <x:c r="N124" s="125"/>
      <x:c r="O124" s="125"/>
      <x:c r="P124" s="125"/>
      <x:c r="Q124" s="125"/>
    </x:row>
    <x:row r="125">
      <x:c r="A125" s="125"/>
      <x:c r="B125" s="125"/>
      <x:c r="C125" s="125"/>
      <x:c r="D125" s="125"/>
      <x:c r="E125" s="125"/>
      <x:c r="F125" s="125"/>
      <x:c r="G125" s="125"/>
      <x:c r="H125" s="125"/>
      <x:c r="I125" s="125"/>
      <x:c r="J125" s="125"/>
      <x:c r="K125" s="125"/>
      <x:c r="L125" s="125"/>
      <x:c r="M125" s="125"/>
      <x:c r="N125" s="125"/>
      <x:c r="O125" s="125"/>
      <x:c r="P125" s="125"/>
      <x:c r="Q125" s="125"/>
    </x:row>
    <x:row r="126">
      <x:c r="A126" s="125"/>
      <x:c r="B126" s="125"/>
      <x:c r="C126" s="125"/>
      <x:c r="D126" s="125"/>
      <x:c r="E126" s="125"/>
      <x:c r="F126" s="125"/>
      <x:c r="G126" s="125"/>
      <x:c r="H126" s="125"/>
      <x:c r="I126" s="125"/>
      <x:c r="J126" s="125"/>
      <x:c r="K126" s="125"/>
      <x:c r="L126" s="125"/>
      <x:c r="M126" s="125"/>
      <x:c r="N126" s="125"/>
      <x:c r="O126" s="125"/>
      <x:c r="P126" s="125"/>
      <x:c r="Q126" s="125"/>
    </x:row>
    <x:row r="127">
      <x:c r="A127" s="125"/>
      <x:c r="B127" s="125"/>
      <x:c r="C127" s="125"/>
      <x:c r="D127" s="125"/>
      <x:c r="E127" s="125"/>
      <x:c r="F127" s="125"/>
      <x:c r="G127" s="125"/>
      <x:c r="H127" s="125"/>
      <x:c r="I127" s="125"/>
      <x:c r="J127" s="125"/>
      <x:c r="K127" s="125"/>
      <x:c r="L127" s="125"/>
      <x:c r="M127" s="125"/>
      <x:c r="N127" s="125"/>
      <x:c r="O127" s="125"/>
      <x:c r="P127" s="125"/>
      <x:c r="Q127" s="125"/>
    </x:row>
    <x:row r="128">
      <x:c r="A128" s="125"/>
      <x:c r="B128" s="125"/>
      <x:c r="C128" s="125"/>
      <x:c r="D128" s="125"/>
      <x:c r="E128" s="125"/>
      <x:c r="F128" s="125"/>
      <x:c r="G128" s="125"/>
      <x:c r="H128" s="125"/>
      <x:c r="I128" s="125"/>
      <x:c r="J128" s="125"/>
      <x:c r="K128" s="125"/>
      <x:c r="L128" s="125"/>
      <x:c r="M128" s="125"/>
      <x:c r="N128" s="125"/>
      <x:c r="O128" s="125"/>
      <x:c r="P128" s="125"/>
      <x:c r="Q128" s="125"/>
    </x:row>
    <x:row r="129">
      <x:c r="A129" s="125"/>
      <x:c r="B129" s="125"/>
      <x:c r="C129" s="125"/>
      <x:c r="D129" s="125"/>
      <x:c r="E129" s="125"/>
      <x:c r="F129" s="125"/>
      <x:c r="G129" s="125"/>
      <x:c r="H129" s="125"/>
      <x:c r="I129" s="125"/>
      <x:c r="J129" s="125"/>
      <x:c r="K129" s="125"/>
      <x:c r="L129" s="125"/>
      <x:c r="M129" s="125"/>
      <x:c r="N129" s="125"/>
      <x:c r="O129" s="125"/>
      <x:c r="P129" s="125"/>
      <x:c r="Q129" s="125"/>
    </x:row>
    <x:row r="130">
      <x:c r="A130" s="125"/>
      <x:c r="B130" s="125"/>
      <x:c r="C130" s="125"/>
      <x:c r="D130" s="125"/>
      <x:c r="E130" s="125"/>
      <x:c r="F130" s="125"/>
      <x:c r="G130" s="125"/>
      <x:c r="H130" s="125"/>
      <x:c r="I130" s="125"/>
      <x:c r="J130" s="125"/>
      <x:c r="K130" s="125"/>
      <x:c r="L130" s="125"/>
      <x:c r="M130" s="125"/>
      <x:c r="N130" s="125"/>
      <x:c r="O130" s="125"/>
      <x:c r="P130" s="125"/>
      <x:c r="Q130" s="125"/>
    </x:row>
    <x:row r="131">
      <x:c r="A131" s="125"/>
      <x:c r="B131" s="125"/>
      <x:c r="C131" s="125"/>
      <x:c r="D131" s="125"/>
      <x:c r="E131" s="125"/>
      <x:c r="F131" s="125"/>
      <x:c r="G131" s="125"/>
      <x:c r="H131" s="125"/>
      <x:c r="I131" s="125"/>
      <x:c r="J131" s="125"/>
      <x:c r="K131" s="125"/>
      <x:c r="L131" s="125"/>
      <x:c r="M131" s="125"/>
      <x:c r="N131" s="125"/>
      <x:c r="O131" s="125"/>
      <x:c r="P131" s="125"/>
      <x:c r="Q131" s="125"/>
    </x:row>
    <x:row r="132">
      <x:c r="A132" s="125"/>
      <x:c r="B132" s="125"/>
      <x:c r="C132" s="125"/>
      <x:c r="D132" s="125"/>
      <x:c r="E132" s="125"/>
      <x:c r="F132" s="125"/>
      <x:c r="G132" s="125"/>
      <x:c r="H132" s="125"/>
      <x:c r="I132" s="125"/>
      <x:c r="J132" s="125"/>
      <x:c r="K132" s="125"/>
      <x:c r="L132" s="125"/>
      <x:c r="M132" s="125"/>
      <x:c r="N132" s="125"/>
      <x:c r="O132" s="125"/>
      <x:c r="P132" s="125"/>
      <x:c r="Q132" s="125"/>
    </x:row>
    <x:row r="133">
      <x:c r="A133" s="125"/>
      <x:c r="B133" s="125"/>
      <x:c r="C133" s="125"/>
      <x:c r="D133" s="125"/>
      <x:c r="E133" s="125"/>
      <x:c r="F133" s="125"/>
      <x:c r="G133" s="125"/>
      <x:c r="H133" s="125"/>
      <x:c r="I133" s="125"/>
      <x:c r="J133" s="125"/>
      <x:c r="K133" s="125"/>
      <x:c r="L133" s="125"/>
      <x:c r="M133" s="125"/>
      <x:c r="N133" s="125"/>
      <x:c r="O133" s="125"/>
      <x:c r="P133" s="125"/>
      <x:c r="Q133" s="125"/>
    </x:row>
    <x:row r="134">
      <x:c r="A134" s="125"/>
      <x:c r="B134" s="125"/>
      <x:c r="C134" s="125"/>
      <x:c r="D134" s="125"/>
      <x:c r="E134" s="125"/>
      <x:c r="F134" s="125"/>
      <x:c r="G134" s="125"/>
      <x:c r="H134" s="125"/>
      <x:c r="I134" s="125"/>
      <x:c r="J134" s="125"/>
      <x:c r="K134" s="125"/>
      <x:c r="L134" s="125"/>
      <x:c r="M134" s="125"/>
      <x:c r="N134" s="125"/>
      <x:c r="O134" s="125"/>
      <x:c r="P134" s="125"/>
      <x:c r="Q134" s="125"/>
    </x:row>
    <x:row r="135">
      <x:c r="A135" s="125"/>
      <x:c r="B135" s="125"/>
      <x:c r="C135" s="125"/>
      <x:c r="D135" s="125"/>
      <x:c r="E135" s="125"/>
      <x:c r="F135" s="125"/>
      <x:c r="G135" s="125"/>
      <x:c r="H135" s="125"/>
      <x:c r="I135" s="125"/>
      <x:c r="J135" s="125"/>
      <x:c r="K135" s="125"/>
      <x:c r="L135" s="125"/>
      <x:c r="M135" s="125"/>
      <x:c r="N135" s="125"/>
      <x:c r="O135" s="125"/>
      <x:c r="P135" s="125"/>
      <x:c r="Q135" s="125"/>
    </x:row>
    <x:row r="136">
      <x:c r="A136" s="125"/>
      <x:c r="B136" s="125"/>
      <x:c r="C136" s="125"/>
      <x:c r="D136" s="125"/>
      <x:c r="E136" s="125"/>
      <x:c r="F136" s="125"/>
      <x:c r="G136" s="125"/>
      <x:c r="H136" s="125"/>
      <x:c r="I136" s="125"/>
      <x:c r="J136" s="125"/>
      <x:c r="K136" s="125"/>
      <x:c r="L136" s="125"/>
      <x:c r="M136" s="125"/>
      <x:c r="N136" s="125"/>
      <x:c r="O136" s="125"/>
      <x:c r="P136" s="125"/>
      <x:c r="Q136" s="125"/>
    </x:row>
    <x:row r="137">
      <x:c r="A137" s="125"/>
      <x:c r="B137" s="125"/>
      <x:c r="C137" s="125"/>
      <x:c r="D137" s="125"/>
      <x:c r="E137" s="125"/>
      <x:c r="F137" s="125"/>
      <x:c r="G137" s="125"/>
      <x:c r="H137" s="125"/>
      <x:c r="I137" s="125"/>
      <x:c r="J137" s="125"/>
      <x:c r="K137" s="125"/>
      <x:c r="L137" s="125"/>
      <x:c r="M137" s="125"/>
      <x:c r="N137" s="125"/>
      <x:c r="O137" s="125"/>
      <x:c r="P137" s="125"/>
      <x:c r="Q137" s="125"/>
    </x:row>
    <x:row r="138">
      <x:c r="A138" s="125"/>
      <x:c r="B138" s="125"/>
      <x:c r="C138" s="125"/>
      <x:c r="D138" s="125"/>
      <x:c r="E138" s="125"/>
      <x:c r="F138" s="125"/>
      <x:c r="G138" s="125"/>
      <x:c r="H138" s="125"/>
      <x:c r="I138" s="125"/>
      <x:c r="J138" s="125"/>
      <x:c r="K138" s="125"/>
      <x:c r="L138" s="125"/>
      <x:c r="M138" s="125"/>
      <x:c r="N138" s="125"/>
      <x:c r="O138" s="125"/>
      <x:c r="P138" s="125"/>
      <x:c r="Q138" s="125"/>
    </x:row>
    <x:row r="139">
      <x:c r="A139" s="125"/>
      <x:c r="B139" s="125"/>
      <x:c r="C139" s="125"/>
      <x:c r="D139" s="125"/>
      <x:c r="E139" s="125"/>
      <x:c r="F139" s="125"/>
      <x:c r="G139" s="125"/>
      <x:c r="H139" s="125"/>
      <x:c r="I139" s="125"/>
      <x:c r="J139" s="125"/>
      <x:c r="K139" s="125"/>
      <x:c r="L139" s="125"/>
      <x:c r="M139" s="125"/>
      <x:c r="N139" s="125"/>
      <x:c r="O139" s="125"/>
      <x:c r="P139" s="125"/>
      <x:c r="Q139" s="125"/>
    </x:row>
    <x:row r="140">
      <x:c r="A140" s="125"/>
      <x:c r="B140" s="125"/>
      <x:c r="C140" s="125"/>
      <x:c r="D140" s="125"/>
      <x:c r="E140" s="125"/>
      <x:c r="F140" s="125"/>
      <x:c r="G140" s="125"/>
      <x:c r="H140" s="125"/>
      <x:c r="I140" s="125"/>
      <x:c r="J140" s="125"/>
      <x:c r="K140" s="125"/>
      <x:c r="L140" s="125"/>
      <x:c r="M140" s="125"/>
      <x:c r="N140" s="125"/>
      <x:c r="O140" s="125"/>
      <x:c r="P140" s="125"/>
      <x:c r="Q140" s="125"/>
    </x:row>
    <x:row r="141">
      <x:c r="A141" s="125"/>
      <x:c r="B141" s="125"/>
      <x:c r="C141" s="125"/>
      <x:c r="D141" s="125"/>
      <x:c r="E141" s="125"/>
      <x:c r="F141" s="125"/>
      <x:c r="G141" s="125"/>
      <x:c r="H141" s="125"/>
      <x:c r="I141" s="125"/>
      <x:c r="J141" s="125"/>
      <x:c r="K141" s="125"/>
      <x:c r="L141" s="125"/>
      <x:c r="M141" s="125"/>
      <x:c r="N141" s="125"/>
      <x:c r="O141" s="125"/>
      <x:c r="P141" s="125"/>
      <x:c r="Q141" s="125"/>
    </x:row>
    <x:row r="142">
      <x:c r="A142" s="125"/>
      <x:c r="B142" s="125"/>
      <x:c r="C142" s="125"/>
      <x:c r="D142" s="125"/>
      <x:c r="E142" s="125"/>
      <x:c r="F142" s="125"/>
      <x:c r="G142" s="125"/>
      <x:c r="H142" s="125"/>
      <x:c r="I142" s="125"/>
      <x:c r="J142" s="125"/>
      <x:c r="K142" s="125"/>
      <x:c r="L142" s="125"/>
      <x:c r="M142" s="125"/>
      <x:c r="N142" s="125"/>
      <x:c r="O142" s="125"/>
      <x:c r="P142" s="125"/>
      <x:c r="Q142" s="125"/>
    </x:row>
    <x:row r="143">
      <x:c r="A143" s="125"/>
      <x:c r="B143" s="125"/>
      <x:c r="C143" s="125"/>
      <x:c r="D143" s="125"/>
      <x:c r="E143" s="125"/>
      <x:c r="F143" s="125"/>
      <x:c r="G143" s="125"/>
      <x:c r="H143" s="125"/>
      <x:c r="I143" s="125"/>
      <x:c r="J143" s="125"/>
      <x:c r="K143" s="125"/>
      <x:c r="L143" s="125"/>
      <x:c r="M143" s="125"/>
      <x:c r="N143" s="125"/>
      <x:c r="O143" s="125"/>
      <x:c r="P143" s="125"/>
      <x:c r="Q143" s="125"/>
    </x:row>
    <x:row r="144">
      <x:c r="A144" s="125"/>
      <x:c r="B144" s="125"/>
      <x:c r="C144" s="125"/>
      <x:c r="D144" s="125"/>
      <x:c r="E144" s="125"/>
      <x:c r="F144" s="125"/>
      <x:c r="G144" s="125"/>
      <x:c r="H144" s="125"/>
      <x:c r="I144" s="125"/>
      <x:c r="J144" s="125"/>
      <x:c r="K144" s="125"/>
      <x:c r="L144" s="125"/>
      <x:c r="M144" s="125"/>
      <x:c r="N144" s="125"/>
      <x:c r="O144" s="125"/>
      <x:c r="P144" s="125"/>
      <x:c r="Q144" s="125"/>
    </x:row>
    <x:row r="145">
      <x:c r="A145" s="125"/>
      <x:c r="B145" s="125"/>
      <x:c r="C145" s="125"/>
      <x:c r="D145" s="125"/>
      <x:c r="E145" s="125"/>
      <x:c r="F145" s="125"/>
      <x:c r="G145" s="125"/>
      <x:c r="H145" s="125"/>
      <x:c r="I145" s="125"/>
      <x:c r="J145" s="125"/>
      <x:c r="K145" s="125"/>
      <x:c r="L145" s="125"/>
      <x:c r="M145" s="125"/>
      <x:c r="N145" s="125"/>
      <x:c r="O145" s="125"/>
      <x:c r="P145" s="125"/>
      <x:c r="Q145" s="125"/>
    </x:row>
    <x:row r="146">
      <x:c r="A146" s="125"/>
      <x:c r="B146" s="125"/>
      <x:c r="C146" s="125"/>
      <x:c r="D146" s="125"/>
      <x:c r="E146" s="125"/>
      <x:c r="F146" s="125"/>
      <x:c r="G146" s="125"/>
      <x:c r="H146" s="125"/>
      <x:c r="I146" s="125"/>
      <x:c r="J146" s="125"/>
      <x:c r="K146" s="125"/>
      <x:c r="L146" s="125"/>
      <x:c r="M146" s="125"/>
      <x:c r="N146" s="125"/>
      <x:c r="O146" s="125"/>
      <x:c r="P146" s="125"/>
      <x:c r="Q146" s="125"/>
    </x:row>
    <x:row r="147">
      <x:c r="A147" s="125"/>
      <x:c r="B147" s="125"/>
      <x:c r="C147" s="125"/>
      <x:c r="D147" s="125"/>
      <x:c r="E147" s="125"/>
      <x:c r="F147" s="125"/>
      <x:c r="G147" s="125"/>
      <x:c r="H147" s="125"/>
      <x:c r="I147" s="125"/>
      <x:c r="J147" s="125"/>
      <x:c r="K147" s="125"/>
      <x:c r="L147" s="125"/>
      <x:c r="M147" s="125"/>
      <x:c r="N147" s="125"/>
      <x:c r="O147" s="125"/>
      <x:c r="P147" s="125"/>
      <x:c r="Q147" s="125"/>
    </x:row>
    <x:row r="148">
      <x:c r="A148" s="125"/>
      <x:c r="B148" s="125"/>
      <x:c r="C148" s="125"/>
      <x:c r="D148" s="125"/>
      <x:c r="E148" s="125"/>
      <x:c r="F148" s="125"/>
      <x:c r="G148" s="125"/>
      <x:c r="H148" s="125"/>
      <x:c r="I148" s="125"/>
      <x:c r="J148" s="125"/>
      <x:c r="K148" s="125"/>
      <x:c r="L148" s="125"/>
      <x:c r="M148" s="125"/>
      <x:c r="N148" s="125"/>
      <x:c r="O148" s="125"/>
      <x:c r="P148" s="125"/>
      <x:c r="Q148" s="125"/>
    </x:row>
    <x:row r="149">
      <x:c r="A149" s="125"/>
      <x:c r="B149" s="125"/>
      <x:c r="C149" s="125"/>
      <x:c r="D149" s="125"/>
      <x:c r="E149" s="125"/>
      <x:c r="F149" s="125"/>
      <x:c r="G149" s="125"/>
      <x:c r="H149" s="125"/>
      <x:c r="I149" s="125"/>
      <x:c r="J149" s="125"/>
      <x:c r="K149" s="125"/>
      <x:c r="L149" s="125"/>
      <x:c r="M149" s="125"/>
      <x:c r="N149" s="125"/>
      <x:c r="O149" s="125"/>
      <x:c r="P149" s="125"/>
      <x:c r="Q149" s="125"/>
    </x:row>
    <x:row r="150">
      <x:c r="A150" s="125"/>
      <x:c r="B150" s="125"/>
      <x:c r="C150" s="125"/>
      <x:c r="D150" s="125"/>
      <x:c r="E150" s="125"/>
      <x:c r="F150" s="125"/>
      <x:c r="G150" s="125"/>
      <x:c r="H150" s="125"/>
      <x:c r="I150" s="125"/>
      <x:c r="J150" s="125"/>
      <x:c r="K150" s="125"/>
      <x:c r="L150" s="125"/>
      <x:c r="M150" s="125"/>
      <x:c r="N150" s="125"/>
      <x:c r="O150" s="125"/>
      <x:c r="P150" s="125"/>
      <x:c r="Q150" s="125"/>
    </x:row>
    <x:row r="151">
      <x:c r="A151" s="125"/>
      <x:c r="B151" s="125"/>
      <x:c r="C151" s="125"/>
      <x:c r="D151" s="125"/>
      <x:c r="E151" s="125"/>
      <x:c r="F151" s="125"/>
      <x:c r="G151" s="125"/>
      <x:c r="H151" s="125"/>
      <x:c r="I151" s="125"/>
      <x:c r="J151" s="125"/>
      <x:c r="K151" s="125"/>
      <x:c r="L151" s="125"/>
      <x:c r="M151" s="125"/>
      <x:c r="N151" s="125"/>
      <x:c r="O151" s="125"/>
      <x:c r="P151" s="125"/>
      <x:c r="Q151" s="125"/>
    </x:row>
    <x:row r="152">
      <x:c r="A152" s="125"/>
      <x:c r="B152" s="125"/>
      <x:c r="C152" s="125"/>
      <x:c r="D152" s="125"/>
      <x:c r="E152" s="125"/>
      <x:c r="F152" s="125"/>
      <x:c r="G152" s="125"/>
      <x:c r="H152" s="125"/>
      <x:c r="I152" s="125"/>
      <x:c r="J152" s="125"/>
      <x:c r="K152" s="125"/>
      <x:c r="L152" s="125"/>
      <x:c r="M152" s="125"/>
      <x:c r="N152" s="125"/>
      <x:c r="O152" s="125"/>
      <x:c r="P152" s="125"/>
      <x:c r="Q152" s="125"/>
    </x:row>
    <x:row r="153">
      <x:c r="A153" s="125"/>
      <x:c r="B153" s="125"/>
      <x:c r="C153" s="125"/>
      <x:c r="D153" s="125"/>
      <x:c r="E153" s="125"/>
      <x:c r="F153" s="125"/>
      <x:c r="G153" s="125"/>
      <x:c r="H153" s="125"/>
      <x:c r="I153" s="125"/>
      <x:c r="J153" s="125"/>
      <x:c r="K153" s="125"/>
      <x:c r="L153" s="125"/>
      <x:c r="M153" s="125"/>
      <x:c r="N153" s="125"/>
      <x:c r="O153" s="125"/>
      <x:c r="P153" s="125"/>
      <x:c r="Q153" s="125"/>
    </x:row>
    <x:row r="154">
      <x:c r="A154" s="125"/>
      <x:c r="B154" s="125"/>
      <x:c r="C154" s="125"/>
      <x:c r="D154" s="125"/>
      <x:c r="E154" s="125"/>
      <x:c r="F154" s="125"/>
      <x:c r="G154" s="125"/>
      <x:c r="H154" s="125"/>
      <x:c r="I154" s="125"/>
      <x:c r="J154" s="125"/>
      <x:c r="K154" s="125"/>
      <x:c r="L154" s="125"/>
      <x:c r="M154" s="125"/>
      <x:c r="N154" s="125"/>
      <x:c r="O154" s="125"/>
      <x:c r="P154" s="125"/>
      <x:c r="Q154" s="125"/>
    </x:row>
    <x:row r="155">
      <x:c r="A155" s="125"/>
      <x:c r="B155" s="125"/>
      <x:c r="C155" s="125"/>
      <x:c r="D155" s="125"/>
      <x:c r="E155" s="125"/>
      <x:c r="F155" s="125"/>
      <x:c r="G155" s="125"/>
      <x:c r="H155" s="125"/>
      <x:c r="I155" s="125"/>
      <x:c r="J155" s="125"/>
      <x:c r="K155" s="125"/>
      <x:c r="L155" s="125"/>
      <x:c r="M155" s="125"/>
      <x:c r="N155" s="125"/>
      <x:c r="O155" s="125"/>
      <x:c r="P155" s="125"/>
      <x:c r="Q155" s="125"/>
    </x:row>
    <x:row r="156">
      <x:c r="A156" s="125"/>
      <x:c r="B156" s="125"/>
      <x:c r="C156" s="125"/>
      <x:c r="D156" s="125"/>
      <x:c r="E156" s="125"/>
      <x:c r="F156" s="125"/>
      <x:c r="G156" s="125"/>
      <x:c r="H156" s="125"/>
      <x:c r="I156" s="125"/>
      <x:c r="J156" s="125"/>
      <x:c r="K156" s="125"/>
      <x:c r="L156" s="125"/>
      <x:c r="M156" s="125"/>
      <x:c r="N156" s="125"/>
      <x:c r="O156" s="125"/>
      <x:c r="P156" s="125"/>
      <x:c r="Q156" s="125"/>
    </x:row>
    <x:row r="157">
      <x:c r="A157" s="125"/>
      <x:c r="B157" s="125"/>
      <x:c r="C157" s="125"/>
      <x:c r="D157" s="125"/>
      <x:c r="E157" s="125"/>
      <x:c r="F157" s="125"/>
      <x:c r="G157" s="125"/>
      <x:c r="H157" s="125"/>
      <x:c r="I157" s="125"/>
      <x:c r="J157" s="125"/>
      <x:c r="K157" s="125"/>
      <x:c r="L157" s="125"/>
      <x:c r="M157" s="125"/>
      <x:c r="N157" s="125"/>
      <x:c r="O157" s="125"/>
      <x:c r="P157" s="125"/>
      <x:c r="Q157" s="125"/>
    </x:row>
    <x:row r="158">
      <x:c r="A158" s="125"/>
      <x:c r="B158" s="125"/>
      <x:c r="C158" s="125"/>
      <x:c r="D158" s="125"/>
      <x:c r="E158" s="125"/>
      <x:c r="F158" s="125"/>
      <x:c r="G158" s="125"/>
      <x:c r="H158" s="125"/>
      <x:c r="I158" s="125"/>
      <x:c r="J158" s="125"/>
      <x:c r="K158" s="125"/>
      <x:c r="L158" s="125"/>
      <x:c r="M158" s="125"/>
      <x:c r="N158" s="125"/>
      <x:c r="O158" s="125"/>
      <x:c r="P158" s="125"/>
      <x:c r="Q158" s="125"/>
    </x:row>
    <x:row r="159">
      <x:c r="A159" s="125"/>
      <x:c r="B159" s="125"/>
      <x:c r="C159" s="125"/>
      <x:c r="D159" s="125"/>
      <x:c r="E159" s="125"/>
      <x:c r="F159" s="125"/>
      <x:c r="G159" s="125"/>
      <x:c r="H159" s="125"/>
      <x:c r="I159" s="125"/>
      <x:c r="J159" s="125"/>
      <x:c r="K159" s="125"/>
      <x:c r="L159" s="125"/>
      <x:c r="M159" s="125"/>
      <x:c r="N159" s="125"/>
      <x:c r="O159" s="125"/>
      <x:c r="P159" s="125"/>
      <x:c r="Q159" s="125"/>
    </x:row>
    <x:row r="160">
      <x:c r="A160" s="125"/>
      <x:c r="B160" s="125"/>
      <x:c r="C160" s="125"/>
      <x:c r="D160" s="125"/>
      <x:c r="E160" s="125"/>
      <x:c r="F160" s="125"/>
      <x:c r="G160" s="125"/>
      <x:c r="H160" s="125"/>
      <x:c r="I160" s="125"/>
      <x:c r="J160" s="125"/>
      <x:c r="K160" s="125"/>
      <x:c r="L160" s="125"/>
      <x:c r="M160" s="125"/>
      <x:c r="N160" s="125"/>
      <x:c r="O160" s="125"/>
      <x:c r="P160" s="125"/>
      <x:c r="Q160" s="125"/>
    </x:row>
    <x:row r="161">
      <x:c r="A161" s="125"/>
      <x:c r="B161" s="125"/>
      <x:c r="C161" s="125"/>
      <x:c r="D161" s="125"/>
      <x:c r="E161" s="125"/>
      <x:c r="F161" s="125"/>
      <x:c r="G161" s="125"/>
      <x:c r="H161" s="125"/>
      <x:c r="I161" s="125"/>
      <x:c r="J161" s="125"/>
      <x:c r="K161" s="125"/>
      <x:c r="L161" s="125"/>
      <x:c r="M161" s="125"/>
      <x:c r="N161" s="125"/>
      <x:c r="O161" s="125"/>
      <x:c r="P161" s="125"/>
      <x:c r="Q161" s="125"/>
    </x:row>
    <x:row r="162">
      <x:c r="A162" s="125"/>
      <x:c r="B162" s="125"/>
      <x:c r="C162" s="125"/>
      <x:c r="D162" s="125"/>
      <x:c r="E162" s="125"/>
      <x:c r="F162" s="125"/>
      <x:c r="G162" s="125"/>
      <x:c r="H162" s="125"/>
      <x:c r="I162" s="125"/>
      <x:c r="J162" s="125"/>
      <x:c r="K162" s="125"/>
      <x:c r="L162" s="125"/>
      <x:c r="M162" s="125"/>
      <x:c r="N162" s="125"/>
      <x:c r="O162" s="125"/>
      <x:c r="P162" s="125"/>
      <x:c r="Q162" s="125"/>
    </x:row>
    <x:row r="163">
      <x:c r="A163" s="125"/>
      <x:c r="B163" s="125"/>
      <x:c r="C163" s="125"/>
      <x:c r="D163" s="125"/>
      <x:c r="E163" s="125"/>
      <x:c r="F163" s="125"/>
      <x:c r="G163" s="125"/>
      <x:c r="H163" s="125"/>
      <x:c r="I163" s="125"/>
      <x:c r="J163" s="125"/>
      <x:c r="K163" s="125"/>
      <x:c r="L163" s="125"/>
      <x:c r="M163" s="125"/>
      <x:c r="N163" s="125"/>
      <x:c r="O163" s="125"/>
      <x:c r="P163" s="125"/>
      <x:c r="Q163" s="125"/>
    </x:row>
    <x:row r="164">
      <x:c r="A164" s="125"/>
      <x:c r="B164" s="125"/>
      <x:c r="C164" s="125"/>
      <x:c r="D164" s="125"/>
      <x:c r="E164" s="125"/>
      <x:c r="F164" s="125"/>
      <x:c r="G164" s="125"/>
      <x:c r="H164" s="125"/>
      <x:c r="I164" s="125"/>
      <x:c r="J164" s="125"/>
      <x:c r="K164" s="125"/>
      <x:c r="L164" s="125"/>
      <x:c r="M164" s="125"/>
      <x:c r="N164" s="125"/>
      <x:c r="O164" s="125"/>
      <x:c r="P164" s="125"/>
      <x:c r="Q164" s="125"/>
    </x:row>
    <x:row r="165">
      <x:c r="A165" s="125"/>
      <x:c r="B165" s="125"/>
      <x:c r="C165" s="125"/>
      <x:c r="D165" s="125"/>
      <x:c r="E165" s="125"/>
      <x:c r="F165" s="125"/>
      <x:c r="G165" s="125"/>
      <x:c r="H165" s="125"/>
      <x:c r="I165" s="125"/>
      <x:c r="J165" s="125"/>
      <x:c r="K165" s="125"/>
      <x:c r="L165" s="125"/>
      <x:c r="M165" s="125"/>
      <x:c r="N165" s="125"/>
      <x:c r="O165" s="125"/>
      <x:c r="P165" s="125"/>
      <x:c r="Q165" s="125"/>
    </x:row>
    <x:row r="166">
      <x:c r="A166" s="125"/>
      <x:c r="B166" s="125"/>
      <x:c r="C166" s="125"/>
      <x:c r="D166" s="125"/>
      <x:c r="E166" s="125"/>
      <x:c r="F166" s="125"/>
      <x:c r="G166" s="125"/>
      <x:c r="H166" s="125"/>
      <x:c r="I166" s="125"/>
      <x:c r="J166" s="125"/>
      <x:c r="K166" s="125"/>
      <x:c r="L166" s="125"/>
      <x:c r="M166" s="125"/>
      <x:c r="N166" s="125"/>
      <x:c r="O166" s="125"/>
      <x:c r="P166" s="125"/>
      <x:c r="Q166" s="125"/>
    </x:row>
    <x:row r="167">
      <x:c r="A167" s="125"/>
      <x:c r="B167" s="125"/>
      <x:c r="C167" s="125"/>
      <x:c r="D167" s="125"/>
      <x:c r="E167" s="125"/>
      <x:c r="F167" s="125"/>
      <x:c r="G167" s="125"/>
      <x:c r="H167" s="125"/>
      <x:c r="I167" s="125"/>
      <x:c r="J167" s="125"/>
      <x:c r="K167" s="125"/>
      <x:c r="L167" s="125"/>
      <x:c r="M167" s="125"/>
      <x:c r="N167" s="125"/>
      <x:c r="O167" s="125"/>
      <x:c r="P167" s="125"/>
      <x:c r="Q167" s="125"/>
    </x:row>
    <x:row r="168">
      <x:c r="A168" s="125"/>
      <x:c r="B168" s="125"/>
      <x:c r="C168" s="125"/>
      <x:c r="D168" s="125"/>
      <x:c r="E168" s="125"/>
      <x:c r="F168" s="125"/>
      <x:c r="G168" s="125"/>
      <x:c r="H168" s="125"/>
      <x:c r="I168" s="125"/>
      <x:c r="J168" s="125"/>
      <x:c r="K168" s="125"/>
      <x:c r="L168" s="125"/>
      <x:c r="M168" s="125"/>
      <x:c r="N168" s="125"/>
      <x:c r="O168" s="125"/>
      <x:c r="P168" s="125"/>
      <x:c r="Q168" s="125"/>
    </x:row>
    <x:row r="169">
      <x:c r="A169" s="125"/>
      <x:c r="B169" s="125"/>
      <x:c r="C169" s="125"/>
      <x:c r="D169" s="125"/>
      <x:c r="E169" s="125"/>
      <x:c r="F169" s="125"/>
      <x:c r="G169" s="125"/>
      <x:c r="H169" s="125"/>
      <x:c r="I169" s="125"/>
      <x:c r="J169" s="125"/>
      <x:c r="K169" s="125"/>
      <x:c r="L169" s="125"/>
      <x:c r="M169" s="125"/>
      <x:c r="N169" s="125"/>
      <x:c r="O169" s="125"/>
      <x:c r="P169" s="125"/>
      <x:c r="Q169" s="125"/>
    </x:row>
    <x:row r="170">
      <x:c r="A170" s="125"/>
      <x:c r="B170" s="125"/>
      <x:c r="C170" s="125"/>
      <x:c r="D170" s="125"/>
      <x:c r="E170" s="125"/>
      <x:c r="F170" s="125"/>
      <x:c r="G170" s="125"/>
      <x:c r="H170" s="125"/>
      <x:c r="I170" s="125"/>
      <x:c r="J170" s="125"/>
      <x:c r="K170" s="125"/>
      <x:c r="L170" s="125"/>
      <x:c r="M170" s="125"/>
      <x:c r="N170" s="125"/>
      <x:c r="O170" s="125"/>
      <x:c r="P170" s="125"/>
      <x:c r="Q170" s="125"/>
    </x:row>
    <x:row r="171">
      <x:c r="A171" s="125"/>
      <x:c r="B171" s="125"/>
      <x:c r="C171" s="125"/>
      <x:c r="D171" s="125"/>
      <x:c r="E171" s="125"/>
      <x:c r="F171" s="125"/>
      <x:c r="G171" s="125"/>
      <x:c r="H171" s="125"/>
      <x:c r="I171" s="125"/>
      <x:c r="J171" s="125"/>
      <x:c r="K171" s="125"/>
      <x:c r="L171" s="125"/>
      <x:c r="M171" s="125"/>
      <x:c r="N171" s="125"/>
      <x:c r="O171" s="125"/>
      <x:c r="P171" s="125"/>
      <x:c r="Q171" s="125"/>
    </x:row>
    <x:row r="172">
      <x:c r="A172" s="125"/>
      <x:c r="B172" s="125"/>
      <x:c r="C172" s="125"/>
      <x:c r="D172" s="125"/>
      <x:c r="E172" s="125"/>
      <x:c r="F172" s="125"/>
      <x:c r="G172" s="125"/>
      <x:c r="H172" s="125"/>
      <x:c r="I172" s="125"/>
      <x:c r="J172" s="125"/>
      <x:c r="K172" s="125"/>
      <x:c r="L172" s="125"/>
      <x:c r="M172" s="125"/>
      <x:c r="N172" s="125"/>
      <x:c r="O172" s="125"/>
      <x:c r="P172" s="125"/>
      <x:c r="Q172" s="125"/>
    </x:row>
    <x:row r="173">
      <x:c r="A173" s="125"/>
      <x:c r="B173" s="125"/>
      <x:c r="C173" s="125"/>
      <x:c r="D173" s="125"/>
      <x:c r="E173" s="125"/>
      <x:c r="F173" s="125"/>
      <x:c r="G173" s="125"/>
      <x:c r="H173" s="125"/>
      <x:c r="I173" s="125"/>
      <x:c r="J173" s="125"/>
      <x:c r="K173" s="125"/>
      <x:c r="L173" s="125"/>
      <x:c r="M173" s="125"/>
      <x:c r="N173" s="125"/>
      <x:c r="O173" s="125"/>
      <x:c r="P173" s="125"/>
      <x:c r="Q173" s="125"/>
    </x:row>
    <x:row r="174">
      <x:c r="A174" s="125"/>
      <x:c r="B174" s="125"/>
      <x:c r="C174" s="125"/>
      <x:c r="D174" s="125"/>
      <x:c r="E174" s="125"/>
      <x:c r="F174" s="125"/>
      <x:c r="G174" s="125"/>
      <x:c r="H174" s="125"/>
      <x:c r="I174" s="125"/>
      <x:c r="J174" s="125"/>
      <x:c r="K174" s="125"/>
      <x:c r="L174" s="125"/>
      <x:c r="M174" s="125"/>
      <x:c r="N174" s="125"/>
      <x:c r="O174" s="125"/>
      <x:c r="P174" s="125"/>
      <x:c r="Q174" s="125"/>
    </x:row>
    <x:row r="175">
      <x:c r="A175" s="125"/>
      <x:c r="B175" s="125"/>
      <x:c r="C175" s="125"/>
      <x:c r="D175" s="125"/>
      <x:c r="E175" s="125"/>
      <x:c r="F175" s="125"/>
      <x:c r="G175" s="125"/>
      <x:c r="H175" s="125"/>
      <x:c r="I175" s="125"/>
      <x:c r="J175" s="125"/>
      <x:c r="K175" s="125"/>
      <x:c r="L175" s="125"/>
      <x:c r="M175" s="125"/>
      <x:c r="N175" s="125"/>
      <x:c r="O175" s="125"/>
      <x:c r="P175" s="125"/>
      <x:c r="Q175" s="125"/>
    </x:row>
    <x:row r="176">
      <x:c r="A176" s="125"/>
      <x:c r="B176" s="125"/>
      <x:c r="C176" s="125"/>
      <x:c r="D176" s="125"/>
      <x:c r="E176" s="125"/>
      <x:c r="F176" s="125"/>
      <x:c r="G176" s="125"/>
      <x:c r="H176" s="125"/>
      <x:c r="I176" s="125"/>
      <x:c r="J176" s="125"/>
      <x:c r="K176" s="125"/>
      <x:c r="L176" s="125"/>
      <x:c r="M176" s="125"/>
      <x:c r="N176" s="125"/>
      <x:c r="O176" s="125"/>
      <x:c r="P176" s="125"/>
      <x:c r="Q176" s="125"/>
    </x:row>
    <x:row r="177">
      <x:c r="A177" s="125"/>
      <x:c r="B177" s="125"/>
      <x:c r="C177" s="125"/>
      <x:c r="D177" s="125"/>
      <x:c r="E177" s="125"/>
      <x:c r="F177" s="125"/>
      <x:c r="G177" s="125"/>
      <x:c r="H177" s="125"/>
      <x:c r="I177" s="125"/>
      <x:c r="J177" s="125"/>
      <x:c r="K177" s="125"/>
      <x:c r="L177" s="125"/>
      <x:c r="M177" s="125"/>
      <x:c r="N177" s="125"/>
      <x:c r="O177" s="125"/>
      <x:c r="P177" s="125"/>
      <x:c r="Q177" s="125"/>
    </x:row>
    <x:row r="178">
      <x:c r="A178" s="125"/>
      <x:c r="B178" s="125"/>
      <x:c r="C178" s="125"/>
      <x:c r="D178" s="125"/>
      <x:c r="E178" s="125"/>
      <x:c r="F178" s="125"/>
      <x:c r="G178" s="125"/>
      <x:c r="H178" s="125"/>
      <x:c r="I178" s="125"/>
      <x:c r="J178" s="125"/>
      <x:c r="K178" s="125"/>
      <x:c r="L178" s="125"/>
      <x:c r="M178" s="125"/>
      <x:c r="N178" s="125"/>
      <x:c r="O178" s="125"/>
      <x:c r="P178" s="125"/>
      <x:c r="Q178" s="125"/>
    </x:row>
    <x:row r="179">
      <x:c r="A179" s="125"/>
      <x:c r="B179" s="125"/>
      <x:c r="C179" s="125"/>
      <x:c r="D179" s="125"/>
      <x:c r="E179" s="125"/>
      <x:c r="F179" s="125"/>
      <x:c r="G179" s="125"/>
      <x:c r="H179" s="125"/>
      <x:c r="I179" s="125"/>
      <x:c r="J179" s="125"/>
      <x:c r="K179" s="125"/>
      <x:c r="L179" s="125"/>
      <x:c r="M179" s="125"/>
      <x:c r="N179" s="125"/>
      <x:c r="O179" s="125"/>
      <x:c r="P179" s="125"/>
      <x:c r="Q179" s="125"/>
    </x:row>
    <x:row r="180">
      <x:c r="A180" s="125"/>
      <x:c r="B180" s="125"/>
      <x:c r="C180" s="125"/>
      <x:c r="D180" s="125"/>
      <x:c r="E180" s="125"/>
      <x:c r="F180" s="125"/>
      <x:c r="G180" s="125"/>
      <x:c r="H180" s="125"/>
      <x:c r="I180" s="125"/>
      <x:c r="J180" s="125"/>
      <x:c r="K180" s="125"/>
      <x:c r="L180" s="125"/>
      <x:c r="M180" s="125"/>
      <x:c r="N180" s="125"/>
      <x:c r="O180" s="125"/>
      <x:c r="P180" s="125"/>
      <x:c r="Q180" s="125"/>
    </x:row>
    <x:row r="181">
      <x:c r="A181" s="125"/>
      <x:c r="B181" s="125"/>
      <x:c r="C181" s="125"/>
      <x:c r="D181" s="125"/>
      <x:c r="E181" s="125"/>
      <x:c r="F181" s="125"/>
      <x:c r="G181" s="125"/>
      <x:c r="H181" s="125"/>
      <x:c r="I181" s="125"/>
      <x:c r="J181" s="125"/>
      <x:c r="K181" s="125"/>
      <x:c r="L181" s="125"/>
      <x:c r="M181" s="125"/>
      <x:c r="N181" s="125"/>
      <x:c r="O181" s="125"/>
      <x:c r="P181" s="125"/>
      <x:c r="Q181" s="125"/>
    </x:row>
    <x:row r="182">
      <x:c r="A182" s="125"/>
      <x:c r="B182" s="125"/>
      <x:c r="C182" s="125"/>
      <x:c r="D182" s="125"/>
      <x:c r="E182" s="125"/>
      <x:c r="F182" s="125"/>
      <x:c r="G182" s="125"/>
      <x:c r="H182" s="125"/>
      <x:c r="I182" s="125"/>
      <x:c r="J182" s="125"/>
      <x:c r="K182" s="125"/>
      <x:c r="L182" s="125"/>
      <x:c r="M182" s="125"/>
      <x:c r="N182" s="125"/>
      <x:c r="O182" s="125"/>
      <x:c r="P182" s="125"/>
      <x:c r="Q182" s="125"/>
    </x:row>
    <x:row r="183">
      <x:c r="A183" s="125"/>
      <x:c r="B183" s="125"/>
      <x:c r="C183" s="125"/>
      <x:c r="D183" s="125"/>
      <x:c r="E183" s="125"/>
      <x:c r="F183" s="125"/>
      <x:c r="G183" s="125"/>
      <x:c r="H183" s="125"/>
      <x:c r="I183" s="125"/>
      <x:c r="J183" s="125"/>
      <x:c r="K183" s="125"/>
      <x:c r="L183" s="125"/>
      <x:c r="M183" s="125"/>
      <x:c r="N183" s="125"/>
      <x:c r="O183" s="125"/>
      <x:c r="P183" s="125"/>
      <x:c r="Q183" s="125"/>
    </x:row>
    <x:row r="184">
      <x:c r="A184" s="125"/>
      <x:c r="B184" s="125"/>
      <x:c r="C184" s="125"/>
      <x:c r="D184" s="125"/>
      <x:c r="E184" s="125"/>
      <x:c r="F184" s="125"/>
      <x:c r="G184" s="125"/>
      <x:c r="H184" s="125"/>
      <x:c r="I184" s="125"/>
      <x:c r="J184" s="125"/>
      <x:c r="K184" s="125"/>
      <x:c r="L184" s="125"/>
      <x:c r="M184" s="125"/>
      <x:c r="N184" s="125"/>
      <x:c r="O184" s="125"/>
      <x:c r="P184" s="125"/>
      <x:c r="Q184" s="125"/>
    </x:row>
    <x:row r="185">
      <x:c r="A185" s="125"/>
      <x:c r="B185" s="125"/>
      <x:c r="C185" s="125"/>
      <x:c r="D185" s="125"/>
      <x:c r="E185" s="125"/>
      <x:c r="F185" s="125"/>
      <x:c r="G185" s="125"/>
      <x:c r="H185" s="125"/>
      <x:c r="I185" s="125"/>
      <x:c r="J185" s="125"/>
      <x:c r="K185" s="125"/>
      <x:c r="L185" s="125"/>
      <x:c r="M185" s="125"/>
      <x:c r="N185" s="125"/>
      <x:c r="O185" s="125"/>
      <x:c r="P185" s="125"/>
      <x:c r="Q185" s="125"/>
    </x:row>
    <x:row r="186">
      <x:c r="A186" s="125"/>
      <x:c r="B186" s="125"/>
      <x:c r="C186" s="125"/>
      <x:c r="D186" s="125"/>
      <x:c r="E186" s="125"/>
      <x:c r="F186" s="125"/>
      <x:c r="G186" s="125"/>
      <x:c r="H186" s="125"/>
      <x:c r="I186" s="125"/>
      <x:c r="J186" s="125"/>
      <x:c r="K186" s="125"/>
      <x:c r="L186" s="125"/>
      <x:c r="M186" s="125"/>
      <x:c r="N186" s="125"/>
      <x:c r="O186" s="125"/>
      <x:c r="P186" s="125"/>
      <x:c r="Q186" s="125"/>
    </x:row>
    <x:row r="187">
      <x:c r="A187" s="125"/>
      <x:c r="B187" s="125"/>
      <x:c r="C187" s="125"/>
      <x:c r="D187" s="125"/>
      <x:c r="E187" s="125"/>
      <x:c r="F187" s="125"/>
      <x:c r="G187" s="125"/>
      <x:c r="H187" s="125"/>
      <x:c r="I187" s="125"/>
      <x:c r="J187" s="125"/>
      <x:c r="K187" s="125"/>
      <x:c r="L187" s="125"/>
      <x:c r="M187" s="125"/>
      <x:c r="N187" s="125"/>
      <x:c r="O187" s="125"/>
      <x:c r="P187" s="125"/>
      <x:c r="Q187" s="125"/>
    </x:row>
    <x:row r="188">
      <x:c r="A188" s="125"/>
      <x:c r="B188" s="125"/>
      <x:c r="C188" s="125"/>
      <x:c r="D188" s="125"/>
      <x:c r="E188" s="125"/>
      <x:c r="F188" s="125"/>
      <x:c r="G188" s="125"/>
      <x:c r="H188" s="125"/>
      <x:c r="I188" s="125"/>
      <x:c r="J188" s="125"/>
      <x:c r="K188" s="125"/>
      <x:c r="L188" s="125"/>
      <x:c r="M188" s="125"/>
      <x:c r="N188" s="125"/>
      <x:c r="O188" s="125"/>
      <x:c r="P188" s="125"/>
      <x:c r="Q188" s="125"/>
    </x:row>
    <x:row r="189">
      <x:c r="A189" s="125"/>
      <x:c r="B189" s="125"/>
      <x:c r="C189" s="125"/>
      <x:c r="D189" s="125"/>
      <x:c r="E189" s="125"/>
      <x:c r="F189" s="125"/>
      <x:c r="G189" s="125"/>
      <x:c r="H189" s="125"/>
      <x:c r="I189" s="125"/>
      <x:c r="J189" s="125"/>
      <x:c r="K189" s="125"/>
      <x:c r="L189" s="125"/>
      <x:c r="M189" s="125"/>
      <x:c r="N189" s="125"/>
      <x:c r="O189" s="125"/>
      <x:c r="P189" s="125"/>
      <x:c r="Q189" s="125"/>
    </x:row>
    <x:row r="190">
      <x:c r="A190" s="125"/>
      <x:c r="B190" s="125"/>
      <x:c r="C190" s="125"/>
      <x:c r="D190" s="125"/>
      <x:c r="E190" s="125"/>
      <x:c r="F190" s="125"/>
      <x:c r="G190" s="125"/>
      <x:c r="H190" s="125"/>
      <x:c r="I190" s="125"/>
      <x:c r="J190" s="125"/>
      <x:c r="K190" s="125"/>
      <x:c r="L190" s="125"/>
      <x:c r="M190" s="125"/>
      <x:c r="N190" s="125"/>
      <x:c r="O190" s="125"/>
      <x:c r="P190" s="125"/>
      <x:c r="Q190" s="125"/>
    </x:row>
    <x:row r="191">
      <x:c r="A191" s="125"/>
      <x:c r="B191" s="125"/>
      <x:c r="C191" s="125"/>
      <x:c r="D191" s="125"/>
      <x:c r="E191" s="125"/>
      <x:c r="F191" s="125"/>
      <x:c r="G191" s="125"/>
      <x:c r="H191" s="125"/>
      <x:c r="I191" s="125"/>
      <x:c r="J191" s="125"/>
      <x:c r="K191" s="125"/>
      <x:c r="L191" s="125"/>
      <x:c r="M191" s="125"/>
      <x:c r="N191" s="125"/>
      <x:c r="O191" s="125"/>
      <x:c r="P191" s="125"/>
      <x:c r="Q191" s="125"/>
    </x:row>
    <x:row r="192">
      <x:c r="A192" s="125"/>
      <x:c r="B192" s="125"/>
      <x:c r="C192" s="125"/>
      <x:c r="D192" s="125"/>
      <x:c r="E192" s="125"/>
      <x:c r="F192" s="125"/>
      <x:c r="G192" s="125"/>
      <x:c r="H192" s="125"/>
      <x:c r="I192" s="125"/>
      <x:c r="J192" s="125"/>
      <x:c r="K192" s="125"/>
      <x:c r="L192" s="125"/>
      <x:c r="M192" s="125"/>
      <x:c r="N192" s="125"/>
      <x:c r="O192" s="125"/>
      <x:c r="P192" s="125"/>
      <x:c r="Q192" s="125"/>
    </x:row>
    <x:row r="193">
      <x:c r="A193" s="125"/>
      <x:c r="B193" s="125"/>
      <x:c r="C193" s="125"/>
      <x:c r="D193" s="125"/>
      <x:c r="E193" s="125"/>
      <x:c r="F193" s="125"/>
      <x:c r="G193" s="125"/>
      <x:c r="H193" s="125"/>
      <x:c r="I193" s="125"/>
      <x:c r="J193" s="125"/>
      <x:c r="K193" s="125"/>
      <x:c r="L193" s="125"/>
      <x:c r="M193" s="125"/>
      <x:c r="N193" s="125"/>
      <x:c r="O193" s="125"/>
      <x:c r="P193" s="125"/>
      <x:c r="Q193" s="125"/>
    </x:row>
    <x:row r="194">
      <x:c r="A194" s="125"/>
      <x:c r="B194" s="125"/>
      <x:c r="C194" s="125"/>
      <x:c r="D194" s="125"/>
      <x:c r="E194" s="125"/>
      <x:c r="F194" s="125"/>
      <x:c r="G194" s="125"/>
      <x:c r="H194" s="125"/>
      <x:c r="I194" s="125"/>
      <x:c r="J194" s="125"/>
      <x:c r="K194" s="125"/>
      <x:c r="L194" s="125"/>
      <x:c r="M194" s="125"/>
      <x:c r="N194" s="125"/>
      <x:c r="O194" s="125"/>
      <x:c r="P194" s="125"/>
      <x:c r="Q194" s="125"/>
    </x:row>
    <x:row r="195">
      <x:c r="A195" s="125"/>
      <x:c r="B195" s="125"/>
      <x:c r="C195" s="125"/>
      <x:c r="D195" s="125"/>
      <x:c r="E195" s="125"/>
      <x:c r="F195" s="125"/>
      <x:c r="G195" s="125"/>
      <x:c r="H195" s="125"/>
      <x:c r="I195" s="125"/>
      <x:c r="J195" s="125"/>
      <x:c r="K195" s="125"/>
      <x:c r="L195" s="125"/>
      <x:c r="M195" s="125"/>
      <x:c r="N195" s="125"/>
      <x:c r="O195" s="125"/>
      <x:c r="P195" s="125"/>
      <x:c r="Q195" s="125"/>
    </x:row>
    <x:row r="196">
      <x:c r="A196" s="125"/>
      <x:c r="B196" s="125"/>
      <x:c r="C196" s="125"/>
      <x:c r="D196" s="125"/>
      <x:c r="E196" s="125"/>
      <x:c r="F196" s="125"/>
      <x:c r="G196" s="125"/>
      <x:c r="H196" s="125"/>
      <x:c r="I196" s="125"/>
      <x:c r="J196" s="125"/>
      <x:c r="K196" s="125"/>
      <x:c r="L196" s="125"/>
      <x:c r="M196" s="125"/>
      <x:c r="N196" s="125"/>
      <x:c r="O196" s="125"/>
      <x:c r="P196" s="125"/>
      <x:c r="Q196" s="125"/>
    </x:row>
    <x:row r="197">
      <x:c r="A197" s="125"/>
      <x:c r="B197" s="125"/>
      <x:c r="C197" s="125"/>
      <x:c r="D197" s="125"/>
      <x:c r="E197" s="125"/>
      <x:c r="F197" s="125"/>
      <x:c r="G197" s="125"/>
      <x:c r="H197" s="125"/>
      <x:c r="I197" s="125"/>
      <x:c r="J197" s="125"/>
      <x:c r="K197" s="125"/>
      <x:c r="L197" s="125"/>
      <x:c r="M197" s="125"/>
      <x:c r="N197" s="125"/>
      <x:c r="O197" s="125"/>
      <x:c r="P197" s="125"/>
      <x:c r="Q197" s="125"/>
    </x:row>
    <x:row r="198">
      <x:c r="A198" s="125"/>
      <x:c r="B198" s="125"/>
      <x:c r="C198" s="125"/>
      <x:c r="D198" s="125"/>
      <x:c r="E198" s="125"/>
      <x:c r="F198" s="125"/>
      <x:c r="G198" s="125"/>
      <x:c r="H198" s="125"/>
      <x:c r="I198" s="125"/>
      <x:c r="J198" s="125"/>
      <x:c r="K198" s="125"/>
      <x:c r="L198" s="125"/>
      <x:c r="M198" s="125"/>
      <x:c r="N198" s="125"/>
      <x:c r="O198" s="125"/>
      <x:c r="P198" s="125"/>
      <x:c r="Q198" s="125"/>
    </x:row>
    <x:row r="199">
      <x:c r="A199" s="125"/>
      <x:c r="B199" s="125"/>
      <x:c r="C199" s="125"/>
      <x:c r="D199" s="125"/>
      <x:c r="E199" s="125"/>
      <x:c r="F199" s="125"/>
      <x:c r="G199" s="125"/>
      <x:c r="H199" s="125"/>
      <x:c r="I199" s="125"/>
      <x:c r="J199" s="125"/>
      <x:c r="K199" s="125"/>
      <x:c r="L199" s="125"/>
      <x:c r="M199" s="125"/>
      <x:c r="N199" s="125"/>
      <x:c r="O199" s="125"/>
      <x:c r="P199" s="125"/>
      <x:c r="Q199" s="125"/>
    </x:row>
    <x:row r="200">
      <x:c r="A200" s="125"/>
      <x:c r="B200" s="125"/>
      <x:c r="C200" s="125"/>
      <x:c r="D200" s="125"/>
      <x:c r="E200" s="125"/>
      <x:c r="F200" s="125"/>
      <x:c r="G200" s="125"/>
      <x:c r="H200" s="125"/>
      <x:c r="I200" s="125"/>
      <x:c r="J200" s="125"/>
      <x:c r="K200" s="125"/>
      <x:c r="L200" s="125"/>
      <x:c r="M200" s="125"/>
      <x:c r="N200" s="125"/>
      <x:c r="O200" s="125"/>
      <x:c r="P200" s="125"/>
      <x:c r="Q200" s="125"/>
    </x:row>
    <x:row r="201">
      <x:c r="A201" s="125"/>
      <x:c r="B201" s="125"/>
      <x:c r="C201" s="125"/>
      <x:c r="D201" s="125"/>
      <x:c r="E201" s="125"/>
      <x:c r="F201" s="125"/>
      <x:c r="G201" s="125"/>
      <x:c r="H201" s="125"/>
      <x:c r="I201" s="125"/>
      <x:c r="J201" s="125"/>
      <x:c r="K201" s="125"/>
      <x:c r="L201" s="125"/>
      <x:c r="M201" s="125"/>
      <x:c r="N201" s="125"/>
      <x:c r="O201" s="125"/>
      <x:c r="P201" s="125"/>
      <x:c r="Q201" s="125"/>
    </x:row>
    <x:row r="202">
      <x:c r="A202" s="125"/>
      <x:c r="B202" s="125"/>
      <x:c r="C202" s="125"/>
      <x:c r="D202" s="125"/>
      <x:c r="E202" s="125"/>
      <x:c r="F202" s="125"/>
      <x:c r="G202" s="125"/>
      <x:c r="H202" s="125"/>
      <x:c r="I202" s="125"/>
      <x:c r="J202" s="125"/>
      <x:c r="K202" s="125"/>
      <x:c r="L202" s="125"/>
      <x:c r="M202" s="125"/>
      <x:c r="N202" s="125"/>
      <x:c r="O202" s="125"/>
      <x:c r="P202" s="125"/>
      <x:c r="Q202" s="125"/>
    </x:row>
    <x:row r="203">
      <x:c r="A203" s="125"/>
      <x:c r="B203" s="125"/>
      <x:c r="C203" s="125"/>
      <x:c r="D203" s="125"/>
      <x:c r="E203" s="125"/>
      <x:c r="F203" s="125"/>
      <x:c r="G203" s="125"/>
      <x:c r="H203" s="125"/>
      <x:c r="I203" s="125"/>
      <x:c r="J203" s="125"/>
      <x:c r="K203" s="125"/>
      <x:c r="L203" s="125"/>
      <x:c r="M203" s="125"/>
      <x:c r="N203" s="125"/>
      <x:c r="O203" s="125"/>
      <x:c r="P203" s="125"/>
      <x:c r="Q203" s="125"/>
    </x:row>
    <x:row r="204">
      <x:c r="A204" s="125"/>
      <x:c r="B204" s="125"/>
      <x:c r="C204" s="125"/>
      <x:c r="D204" s="125"/>
      <x:c r="E204" s="125"/>
      <x:c r="F204" s="125"/>
      <x:c r="G204" s="125"/>
      <x:c r="H204" s="125"/>
      <x:c r="I204" s="125"/>
      <x:c r="J204" s="125"/>
      <x:c r="K204" s="125"/>
      <x:c r="L204" s="125"/>
      <x:c r="M204" s="125"/>
      <x:c r="N204" s="125"/>
      <x:c r="O204" s="125"/>
      <x:c r="P204" s="125"/>
      <x:c r="Q204" s="125"/>
    </x:row>
    <x:row r="205">
      <x:c r="A205" s="125"/>
      <x:c r="B205" s="125"/>
      <x:c r="C205" s="125"/>
      <x:c r="D205" s="125"/>
      <x:c r="E205" s="125"/>
      <x:c r="F205" s="125"/>
      <x:c r="G205" s="125"/>
      <x:c r="H205" s="125"/>
      <x:c r="I205" s="125"/>
      <x:c r="J205" s="125"/>
      <x:c r="K205" s="125"/>
      <x:c r="L205" s="125"/>
      <x:c r="M205" s="125"/>
      <x:c r="N205" s="125"/>
      <x:c r="O205" s="125"/>
      <x:c r="P205" s="125"/>
      <x:c r="Q205" s="125"/>
    </x:row>
    <x:row r="206">
      <x:c r="A206" s="125"/>
      <x:c r="B206" s="125"/>
      <x:c r="C206" s="125"/>
      <x:c r="D206" s="125"/>
      <x:c r="E206" s="125"/>
      <x:c r="F206" s="125"/>
      <x:c r="G206" s="125"/>
      <x:c r="H206" s="125"/>
      <x:c r="I206" s="125"/>
      <x:c r="J206" s="125"/>
      <x:c r="K206" s="125"/>
      <x:c r="L206" s="125"/>
      <x:c r="M206" s="125"/>
      <x:c r="N206" s="125"/>
      <x:c r="O206" s="125"/>
      <x:c r="P206" s="125"/>
      <x:c r="Q206" s="125"/>
    </x:row>
    <x:row r="207">
      <x:c r="A207" s="125"/>
      <x:c r="B207" s="125"/>
      <x:c r="C207" s="125"/>
      <x:c r="D207" s="125"/>
      <x:c r="E207" s="125"/>
      <x:c r="F207" s="125"/>
      <x:c r="G207" s="125"/>
      <x:c r="H207" s="125"/>
      <x:c r="I207" s="125"/>
      <x:c r="J207" s="125"/>
      <x:c r="K207" s="125"/>
      <x:c r="L207" s="125"/>
      <x:c r="M207" s="125"/>
      <x:c r="N207" s="125"/>
      <x:c r="O207" s="125"/>
      <x:c r="P207" s="125"/>
      <x:c r="Q207" s="125"/>
    </x:row>
    <x:row r="208">
      <x:c r="A208" s="125"/>
      <x:c r="B208" s="125"/>
      <x:c r="C208" s="125"/>
      <x:c r="D208" s="125"/>
      <x:c r="E208" s="125"/>
      <x:c r="F208" s="125"/>
      <x:c r="G208" s="125"/>
      <x:c r="H208" s="125"/>
      <x:c r="I208" s="125"/>
      <x:c r="J208" s="125"/>
      <x:c r="K208" s="125"/>
      <x:c r="L208" s="125"/>
      <x:c r="M208" s="125"/>
      <x:c r="N208" s="125"/>
      <x:c r="O208" s="125"/>
      <x:c r="P208" s="125"/>
      <x:c r="Q208" s="125"/>
    </x:row>
    <x:row r="209">
      <x:c r="A209" s="125"/>
      <x:c r="B209" s="125"/>
      <x:c r="C209" s="125"/>
      <x:c r="D209" s="125"/>
      <x:c r="E209" s="125"/>
      <x:c r="F209" s="125"/>
      <x:c r="G209" s="125"/>
      <x:c r="H209" s="125"/>
      <x:c r="I209" s="125"/>
      <x:c r="J209" s="125"/>
      <x:c r="K209" s="125"/>
      <x:c r="L209" s="125"/>
      <x:c r="M209" s="125"/>
      <x:c r="N209" s="125"/>
      <x:c r="O209" s="125"/>
      <x:c r="P209" s="125"/>
      <x:c r="Q209" s="125"/>
    </x:row>
    <x:row r="210">
      <x:c r="A210" s="125"/>
      <x:c r="B210" s="125"/>
      <x:c r="C210" s="125"/>
      <x:c r="D210" s="125"/>
      <x:c r="E210" s="125"/>
      <x:c r="F210" s="125"/>
      <x:c r="G210" s="125"/>
      <x:c r="H210" s="125"/>
      <x:c r="I210" s="125"/>
      <x:c r="J210" s="125"/>
      <x:c r="K210" s="125"/>
      <x:c r="L210" s="125"/>
      <x:c r="M210" s="125"/>
      <x:c r="N210" s="125"/>
      <x:c r="O210" s="125"/>
      <x:c r="P210" s="125"/>
      <x:c r="Q210" s="125"/>
    </x:row>
    <x:row r="211">
      <x:c r="A211" s="125"/>
      <x:c r="B211" s="125"/>
      <x:c r="C211" s="125"/>
      <x:c r="D211" s="125"/>
      <x:c r="E211" s="125"/>
      <x:c r="F211" s="125"/>
      <x:c r="G211" s="125"/>
      <x:c r="H211" s="125"/>
      <x:c r="I211" s="125"/>
      <x:c r="J211" s="125"/>
      <x:c r="K211" s="125"/>
      <x:c r="L211" s="125"/>
      <x:c r="M211" s="125"/>
      <x:c r="N211" s="125"/>
      <x:c r="O211" s="125"/>
      <x:c r="P211" s="125"/>
      <x:c r="Q211" s="125"/>
    </x:row>
    <x:row r="212">
      <x:c r="A212" s="125"/>
      <x:c r="B212" s="125"/>
      <x:c r="C212" s="125"/>
      <x:c r="D212" s="125"/>
      <x:c r="E212" s="125"/>
      <x:c r="F212" s="125"/>
      <x:c r="G212" s="125"/>
      <x:c r="H212" s="125"/>
      <x:c r="I212" s="125"/>
      <x:c r="J212" s="125"/>
      <x:c r="K212" s="125"/>
      <x:c r="L212" s="125"/>
      <x:c r="M212" s="125"/>
      <x:c r="N212" s="125"/>
      <x:c r="O212" s="125"/>
      <x:c r="P212" s="125"/>
      <x:c r="Q212" s="125"/>
    </x:row>
    <x:row r="213">
      <x:c r="A213" s="125"/>
      <x:c r="B213" s="125"/>
      <x:c r="C213" s="125"/>
      <x:c r="D213" s="125"/>
      <x:c r="E213" s="125"/>
      <x:c r="F213" s="125"/>
      <x:c r="G213" s="125"/>
      <x:c r="H213" s="125"/>
      <x:c r="I213" s="125"/>
      <x:c r="J213" s="125"/>
      <x:c r="K213" s="125"/>
      <x:c r="L213" s="125"/>
      <x:c r="M213" s="125"/>
      <x:c r="N213" s="125"/>
      <x:c r="O213" s="125"/>
      <x:c r="P213" s="125"/>
      <x:c r="Q213" s="125"/>
    </x:row>
    <x:row r="214">
      <x:c r="A214" s="125"/>
      <x:c r="B214" s="125"/>
      <x:c r="C214" s="125"/>
      <x:c r="D214" s="125"/>
      <x:c r="E214" s="125"/>
      <x:c r="F214" s="125"/>
      <x:c r="G214" s="125"/>
      <x:c r="H214" s="125"/>
      <x:c r="I214" s="125"/>
      <x:c r="J214" s="125"/>
      <x:c r="K214" s="125"/>
      <x:c r="L214" s="125"/>
      <x:c r="M214" s="125"/>
      <x:c r="N214" s="125"/>
      <x:c r="O214" s="125"/>
      <x:c r="P214" s="125"/>
      <x:c r="Q214" s="125"/>
    </x:row>
    <x:row r="215">
      <x:c r="A215" s="125"/>
      <x:c r="B215" s="125"/>
      <x:c r="C215" s="125"/>
      <x:c r="D215" s="125"/>
      <x:c r="E215" s="125"/>
      <x:c r="F215" s="125"/>
      <x:c r="G215" s="125"/>
      <x:c r="H215" s="125"/>
      <x:c r="I215" s="125"/>
      <x:c r="J215" s="125"/>
      <x:c r="K215" s="125"/>
      <x:c r="L215" s="125"/>
      <x:c r="M215" s="125"/>
      <x:c r="N215" s="125"/>
      <x:c r="O215" s="125"/>
      <x:c r="P215" s="125"/>
      <x:c r="Q215" s="125"/>
    </x:row>
    <x:row r="216">
      <x:c r="A216" s="125"/>
      <x:c r="B216" s="125"/>
      <x:c r="C216" s="125"/>
      <x:c r="D216" s="125"/>
      <x:c r="E216" s="125"/>
      <x:c r="F216" s="125"/>
      <x:c r="G216" s="125"/>
      <x:c r="H216" s="125"/>
      <x:c r="I216" s="125"/>
      <x:c r="J216" s="125"/>
      <x:c r="K216" s="125"/>
      <x:c r="L216" s="125"/>
      <x:c r="M216" s="125"/>
      <x:c r="N216" s="125"/>
      <x:c r="O216" s="125"/>
      <x:c r="P216" s="125"/>
      <x:c r="Q216" s="125"/>
    </x:row>
    <x:row r="217">
      <x:c r="A217" s="125"/>
      <x:c r="B217" s="125"/>
      <x:c r="C217" s="125"/>
      <x:c r="D217" s="125"/>
      <x:c r="E217" s="125"/>
      <x:c r="F217" s="125"/>
      <x:c r="G217" s="125"/>
      <x:c r="H217" s="125"/>
      <x:c r="I217" s="125"/>
      <x:c r="J217" s="125"/>
      <x:c r="K217" s="125"/>
      <x:c r="L217" s="125"/>
      <x:c r="M217" s="125"/>
      <x:c r="N217" s="125"/>
      <x:c r="O217" s="125"/>
      <x:c r="P217" s="125"/>
      <x:c r="Q217" s="125"/>
    </x:row>
    <x:row r="218">
      <x:c r="A218" s="125"/>
      <x:c r="B218" s="125"/>
      <x:c r="C218" s="125"/>
      <x:c r="D218" s="125"/>
      <x:c r="E218" s="125"/>
      <x:c r="F218" s="125"/>
      <x:c r="G218" s="125"/>
      <x:c r="H218" s="125"/>
      <x:c r="I218" s="125"/>
      <x:c r="J218" s="125"/>
      <x:c r="K218" s="125"/>
      <x:c r="L218" s="125"/>
      <x:c r="M218" s="125"/>
      <x:c r="N218" s="125"/>
      <x:c r="O218" s="125"/>
      <x:c r="P218" s="125"/>
      <x:c r="Q218" s="125"/>
    </x:row>
    <x:row r="219">
      <x:c r="A219" s="125"/>
      <x:c r="B219" s="125"/>
      <x:c r="C219" s="125"/>
      <x:c r="D219" s="125"/>
      <x:c r="E219" s="125"/>
      <x:c r="F219" s="125"/>
      <x:c r="G219" s="125"/>
      <x:c r="H219" s="125"/>
      <x:c r="I219" s="125"/>
      <x:c r="J219" s="125"/>
      <x:c r="K219" s="125"/>
      <x:c r="L219" s="125"/>
      <x:c r="M219" s="125"/>
      <x:c r="N219" s="125"/>
      <x:c r="O219" s="125"/>
      <x:c r="P219" s="125"/>
      <x:c r="Q219" s="125"/>
    </x:row>
    <x:row r="220">
      <x:c r="A220" s="125"/>
      <x:c r="B220" s="125"/>
      <x:c r="C220" s="125"/>
      <x:c r="D220" s="125"/>
      <x:c r="E220" s="125"/>
      <x:c r="F220" s="125"/>
      <x:c r="G220" s="125"/>
      <x:c r="H220" s="125"/>
      <x:c r="I220" s="125"/>
      <x:c r="J220" s="125"/>
      <x:c r="K220" s="125"/>
      <x:c r="L220" s="125"/>
      <x:c r="M220" s="125"/>
      <x:c r="N220" s="125"/>
      <x:c r="O220" s="125"/>
      <x:c r="P220" s="125"/>
      <x:c r="Q220" s="125"/>
    </x:row>
    <x:row r="221">
      <x:c r="A221" s="125"/>
      <x:c r="B221" s="125"/>
      <x:c r="C221" s="125"/>
      <x:c r="D221" s="125"/>
      <x:c r="E221" s="125"/>
      <x:c r="F221" s="125"/>
      <x:c r="G221" s="125"/>
      <x:c r="H221" s="125"/>
      <x:c r="I221" s="125"/>
      <x:c r="J221" s="125"/>
      <x:c r="K221" s="125"/>
      <x:c r="L221" s="125"/>
      <x:c r="M221" s="125"/>
      <x:c r="N221" s="125"/>
      <x:c r="O221" s="125"/>
      <x:c r="P221" s="125"/>
      <x:c r="Q221" s="125"/>
    </x:row>
    <x:row r="222">
      <x:c r="A222" s="125"/>
      <x:c r="B222" s="125"/>
      <x:c r="C222" s="125"/>
      <x:c r="D222" s="125"/>
      <x:c r="E222" s="125"/>
      <x:c r="F222" s="125"/>
      <x:c r="G222" s="125"/>
      <x:c r="H222" s="125"/>
      <x:c r="I222" s="125"/>
      <x:c r="J222" s="125"/>
      <x:c r="K222" s="125"/>
      <x:c r="L222" s="125"/>
      <x:c r="M222" s="125"/>
      <x:c r="N222" s="125"/>
      <x:c r="O222" s="125"/>
      <x:c r="P222" s="125"/>
      <x:c r="Q222" s="125"/>
    </x:row>
    <x:row r="223">
      <x:c r="A223" s="125"/>
      <x:c r="B223" s="125"/>
      <x:c r="C223" s="125"/>
      <x:c r="D223" s="125"/>
      <x:c r="E223" s="125"/>
      <x:c r="F223" s="125"/>
      <x:c r="G223" s="125"/>
      <x:c r="H223" s="125"/>
      <x:c r="I223" s="125"/>
      <x:c r="J223" s="125"/>
      <x:c r="K223" s="125"/>
      <x:c r="L223" s="125"/>
      <x:c r="M223" s="125"/>
      <x:c r="N223" s="125"/>
      <x:c r="O223" s="125"/>
      <x:c r="P223" s="125"/>
      <x:c r="Q223" s="125"/>
    </x:row>
    <x:row r="224">
      <x:c r="A224" s="125"/>
      <x:c r="B224" s="125"/>
      <x:c r="C224" s="125"/>
      <x:c r="D224" s="125"/>
      <x:c r="E224" s="125"/>
      <x:c r="F224" s="125"/>
      <x:c r="G224" s="125"/>
      <x:c r="H224" s="125"/>
      <x:c r="I224" s="125"/>
      <x:c r="J224" s="125"/>
      <x:c r="K224" s="125"/>
      <x:c r="L224" s="125"/>
      <x:c r="M224" s="125"/>
      <x:c r="N224" s="125"/>
      <x:c r="O224" s="125"/>
      <x:c r="P224" s="125"/>
      <x:c r="Q224" s="125"/>
    </x:row>
    <x:row r="225">
      <x:c r="A225" s="125"/>
      <x:c r="B225" s="125"/>
      <x:c r="C225" s="125"/>
      <x:c r="D225" s="125"/>
      <x:c r="E225" s="125"/>
      <x:c r="F225" s="125"/>
      <x:c r="G225" s="125"/>
      <x:c r="H225" s="125"/>
      <x:c r="I225" s="125"/>
      <x:c r="J225" s="125"/>
      <x:c r="K225" s="125"/>
      <x:c r="L225" s="125"/>
      <x:c r="M225" s="125"/>
      <x:c r="N225" s="125"/>
      <x:c r="O225" s="125"/>
      <x:c r="P225" s="125"/>
      <x:c r="Q225" s="125"/>
    </x:row>
    <x:row r="226">
      <x:c r="A226" s="125"/>
      <x:c r="B226" s="125"/>
      <x:c r="C226" s="125"/>
      <x:c r="D226" s="125"/>
      <x:c r="E226" s="125"/>
      <x:c r="F226" s="125"/>
      <x:c r="G226" s="125"/>
      <x:c r="H226" s="125"/>
      <x:c r="I226" s="125"/>
      <x:c r="J226" s="125"/>
      <x:c r="K226" s="125"/>
      <x:c r="L226" s="125"/>
      <x:c r="M226" s="125"/>
      <x:c r="N226" s="125"/>
      <x:c r="O226" s="125"/>
      <x:c r="P226" s="125"/>
      <x:c r="Q226" s="125"/>
    </x:row>
    <x:row r="227">
      <x:c r="A227" s="125"/>
      <x:c r="B227" s="125"/>
      <x:c r="C227" s="125"/>
      <x:c r="D227" s="125"/>
      <x:c r="E227" s="125"/>
      <x:c r="F227" s="125"/>
      <x:c r="G227" s="125"/>
      <x:c r="H227" s="125"/>
      <x:c r="I227" s="125"/>
      <x:c r="J227" s="125"/>
      <x:c r="K227" s="125"/>
      <x:c r="L227" s="125"/>
      <x:c r="M227" s="125"/>
      <x:c r="N227" s="125"/>
      <x:c r="O227" s="125"/>
      <x:c r="P227" s="125"/>
      <x:c r="Q227" s="125"/>
    </x:row>
    <x:row r="228">
      <x:c r="A228" s="125"/>
      <x:c r="B228" s="125"/>
      <x:c r="C228" s="125"/>
      <x:c r="D228" s="125"/>
      <x:c r="E228" s="125"/>
      <x:c r="F228" s="125"/>
      <x:c r="G228" s="125"/>
      <x:c r="H228" s="125"/>
      <x:c r="I228" s="125"/>
      <x:c r="J228" s="125"/>
      <x:c r="K228" s="125"/>
      <x:c r="L228" s="125"/>
      <x:c r="M228" s="125"/>
      <x:c r="N228" s="125"/>
      <x:c r="O228" s="125"/>
      <x:c r="P228" s="125"/>
      <x:c r="Q228" s="125"/>
    </x:row>
    <x:row r="229">
      <x:c r="A229" s="125"/>
      <x:c r="B229" s="125"/>
      <x:c r="C229" s="125"/>
      <x:c r="D229" s="125"/>
      <x:c r="E229" s="125"/>
      <x:c r="F229" s="125"/>
      <x:c r="G229" s="125"/>
      <x:c r="H229" s="125"/>
      <x:c r="I229" s="125"/>
      <x:c r="J229" s="125"/>
      <x:c r="K229" s="125"/>
      <x:c r="L229" s="125"/>
      <x:c r="M229" s="125"/>
      <x:c r="N229" s="125"/>
      <x:c r="O229" s="125"/>
      <x:c r="P229" s="125"/>
      <x:c r="Q229" s="125"/>
    </x:row>
    <x:row r="230">
      <x:c r="A230" s="125"/>
      <x:c r="B230" s="125"/>
      <x:c r="C230" s="125"/>
      <x:c r="D230" s="125"/>
      <x:c r="E230" s="125"/>
      <x:c r="F230" s="125"/>
      <x:c r="G230" s="125"/>
      <x:c r="H230" s="125"/>
      <x:c r="I230" s="125"/>
      <x:c r="J230" s="125"/>
      <x:c r="K230" s="125"/>
      <x:c r="L230" s="125"/>
      <x:c r="M230" s="125"/>
      <x:c r="N230" s="125"/>
      <x:c r="O230" s="125"/>
      <x:c r="P230" s="125"/>
      <x:c r="Q230" s="125"/>
    </x:row>
    <x:row r="231">
      <x:c r="A231" s="125"/>
      <x:c r="B231" s="125"/>
      <x:c r="C231" s="125"/>
      <x:c r="D231" s="125"/>
      <x:c r="E231" s="125"/>
      <x:c r="F231" s="125"/>
      <x:c r="G231" s="125"/>
      <x:c r="H231" s="125"/>
      <x:c r="I231" s="125"/>
      <x:c r="J231" s="125"/>
      <x:c r="K231" s="125"/>
      <x:c r="L231" s="125"/>
      <x:c r="M231" s="125"/>
      <x:c r="N231" s="125"/>
      <x:c r="O231" s="125"/>
      <x:c r="P231" s="125"/>
      <x:c r="Q231" s="125"/>
    </x:row>
    <x:row r="232">
      <x:c r="A232" s="125"/>
      <x:c r="B232" s="125"/>
      <x:c r="C232" s="125"/>
      <x:c r="D232" s="125"/>
      <x:c r="E232" s="125"/>
      <x:c r="F232" s="125"/>
      <x:c r="G232" s="125"/>
      <x:c r="H232" s="125"/>
      <x:c r="I232" s="125"/>
      <x:c r="J232" s="125"/>
      <x:c r="K232" s="125"/>
      <x:c r="L232" s="125"/>
      <x:c r="M232" s="125"/>
      <x:c r="N232" s="125"/>
      <x:c r="O232" s="125"/>
      <x:c r="P232" s="125"/>
      <x:c r="Q232" s="125"/>
    </x:row>
    <x:row r="233">
      <x:c r="A233" s="125"/>
      <x:c r="B233" s="125"/>
      <x:c r="C233" s="125"/>
      <x:c r="D233" s="125"/>
      <x:c r="E233" s="125"/>
      <x:c r="F233" s="125"/>
      <x:c r="G233" s="125"/>
      <x:c r="H233" s="125"/>
      <x:c r="I233" s="125"/>
      <x:c r="J233" s="125"/>
      <x:c r="K233" s="125"/>
      <x:c r="L233" s="125"/>
      <x:c r="M233" s="125"/>
      <x:c r="N233" s="125"/>
      <x:c r="O233" s="125"/>
      <x:c r="P233" s="125"/>
      <x:c r="Q233" s="125"/>
    </x:row>
    <x:row r="234">
      <x:c r="A234" s="125"/>
      <x:c r="B234" s="125"/>
      <x:c r="C234" s="125"/>
      <x:c r="D234" s="125"/>
      <x:c r="E234" s="125"/>
      <x:c r="F234" s="125"/>
      <x:c r="G234" s="125"/>
      <x:c r="H234" s="125"/>
      <x:c r="I234" s="125"/>
      <x:c r="J234" s="125"/>
      <x:c r="K234" s="125"/>
      <x:c r="L234" s="125"/>
      <x:c r="M234" s="125"/>
      <x:c r="N234" s="125"/>
      <x:c r="O234" s="125"/>
      <x:c r="P234" s="125"/>
      <x:c r="Q234" s="125"/>
    </x:row>
    <x:row r="235">
      <x:c r="A235" s="125"/>
      <x:c r="B235" s="125"/>
      <x:c r="C235" s="125"/>
      <x:c r="D235" s="125"/>
      <x:c r="E235" s="125"/>
      <x:c r="F235" s="125"/>
      <x:c r="G235" s="125"/>
      <x:c r="H235" s="125"/>
      <x:c r="I235" s="125"/>
      <x:c r="J235" s="125"/>
      <x:c r="K235" s="125"/>
      <x:c r="L235" s="125"/>
      <x:c r="M235" s="125"/>
      <x:c r="N235" s="125"/>
      <x:c r="O235" s="125"/>
      <x:c r="P235" s="125"/>
      <x:c r="Q235" s="125"/>
    </x:row>
    <x:row r="236">
      <x:c r="A236" s="125"/>
      <x:c r="B236" s="125"/>
      <x:c r="C236" s="125"/>
      <x:c r="D236" s="125"/>
      <x:c r="E236" s="125"/>
      <x:c r="F236" s="125"/>
      <x:c r="G236" s="125"/>
      <x:c r="H236" s="125"/>
      <x:c r="I236" s="125"/>
      <x:c r="J236" s="125"/>
      <x:c r="K236" s="125"/>
      <x:c r="L236" s="125"/>
      <x:c r="M236" s="125"/>
      <x:c r="N236" s="125"/>
      <x:c r="O236" s="125"/>
      <x:c r="P236" s="125"/>
      <x:c r="Q236" s="125"/>
    </x:row>
    <x:row r="237">
      <x:c r="A237" s="125"/>
      <x:c r="B237" s="125"/>
      <x:c r="C237" s="125"/>
      <x:c r="D237" s="125"/>
      <x:c r="E237" s="125"/>
      <x:c r="F237" s="125"/>
      <x:c r="G237" s="125"/>
      <x:c r="H237" s="125"/>
      <x:c r="I237" s="125"/>
      <x:c r="J237" s="125"/>
      <x:c r="K237" s="125"/>
      <x:c r="L237" s="125"/>
      <x:c r="M237" s="125"/>
      <x:c r="N237" s="125"/>
      <x:c r="O237" s="125"/>
      <x:c r="P237" s="125"/>
      <x:c r="Q237" s="125"/>
    </x:row>
    <x:row r="238">
      <x:c r="A238" s="125"/>
      <x:c r="B238" s="125"/>
      <x:c r="C238" s="125"/>
      <x:c r="D238" s="125"/>
      <x:c r="E238" s="125"/>
      <x:c r="F238" s="125"/>
      <x:c r="G238" s="125"/>
      <x:c r="H238" s="125"/>
      <x:c r="I238" s="125"/>
      <x:c r="J238" s="125"/>
      <x:c r="K238" s="125"/>
      <x:c r="L238" s="125"/>
      <x:c r="M238" s="125"/>
      <x:c r="N238" s="125"/>
      <x:c r="O238" s="125"/>
      <x:c r="P238" s="125"/>
      <x:c r="Q238" s="125"/>
    </x:row>
    <x:row r="239">
      <x:c r="A239" s="125"/>
      <x:c r="B239" s="125"/>
      <x:c r="C239" s="125"/>
      <x:c r="D239" s="125"/>
      <x:c r="E239" s="125"/>
      <x:c r="F239" s="125"/>
      <x:c r="G239" s="125"/>
      <x:c r="H239" s="125"/>
      <x:c r="I239" s="125"/>
      <x:c r="J239" s="125"/>
      <x:c r="K239" s="125"/>
      <x:c r="L239" s="125"/>
      <x:c r="M239" s="125"/>
      <x:c r="N239" s="125"/>
      <x:c r="O239" s="125"/>
      <x:c r="P239" s="125"/>
      <x:c r="Q239" s="125"/>
    </x:row>
    <x:row r="240">
      <x:c r="A240" s="125"/>
      <x:c r="B240" s="125"/>
      <x:c r="C240" s="125"/>
      <x:c r="D240" s="125"/>
      <x:c r="E240" s="125"/>
      <x:c r="F240" s="125"/>
      <x:c r="G240" s="125"/>
      <x:c r="H240" s="125"/>
      <x:c r="I240" s="125"/>
      <x:c r="J240" s="125"/>
      <x:c r="K240" s="125"/>
      <x:c r="L240" s="125"/>
      <x:c r="M240" s="125"/>
      <x:c r="N240" s="125"/>
      <x:c r="O240" s="125"/>
      <x:c r="P240" s="125"/>
      <x:c r="Q240" s="125"/>
    </x:row>
    <x:row r="241">
      <x:c r="A241" s="125"/>
      <x:c r="B241" s="125"/>
      <x:c r="C241" s="125"/>
      <x:c r="D241" s="125"/>
      <x:c r="E241" s="125"/>
      <x:c r="F241" s="125"/>
      <x:c r="G241" s="125"/>
      <x:c r="H241" s="125"/>
      <x:c r="I241" s="125"/>
      <x:c r="J241" s="125"/>
      <x:c r="K241" s="125"/>
      <x:c r="L241" s="125"/>
      <x:c r="M241" s="125"/>
      <x:c r="N241" s="125"/>
      <x:c r="O241" s="125"/>
      <x:c r="P241" s="125"/>
      <x:c r="Q241" s="125"/>
    </x:row>
    <x:row r="242">
      <x:c r="A242" s="125"/>
      <x:c r="B242" s="125"/>
      <x:c r="C242" s="125"/>
      <x:c r="D242" s="125"/>
      <x:c r="E242" s="125"/>
      <x:c r="F242" s="125"/>
      <x:c r="G242" s="125"/>
      <x:c r="H242" s="125"/>
      <x:c r="I242" s="125"/>
      <x:c r="J242" s="125"/>
      <x:c r="K242" s="125"/>
      <x:c r="L242" s="125"/>
      <x:c r="M242" s="125"/>
      <x:c r="N242" s="125"/>
      <x:c r="O242" s="125"/>
      <x:c r="P242" s="125"/>
      <x:c r="Q242" s="125"/>
    </x:row>
    <x:row r="243">
      <x:c r="A243" s="125"/>
      <x:c r="B243" s="125"/>
      <x:c r="C243" s="125"/>
      <x:c r="D243" s="125"/>
      <x:c r="E243" s="125"/>
      <x:c r="F243" s="125"/>
      <x:c r="G243" s="125"/>
      <x:c r="H243" s="125"/>
      <x:c r="I243" s="125"/>
      <x:c r="J243" s="125"/>
      <x:c r="K243" s="125"/>
      <x:c r="L243" s="125"/>
      <x:c r="M243" s="125"/>
      <x:c r="N243" s="125"/>
      <x:c r="O243" s="125"/>
      <x:c r="P243" s="125"/>
      <x:c r="Q243" s="125"/>
    </x:row>
    <x:row r="244">
      <x:c r="A244" s="125"/>
      <x:c r="B244" s="125"/>
      <x:c r="C244" s="125"/>
      <x:c r="D244" s="125"/>
      <x:c r="E244" s="125"/>
      <x:c r="F244" s="125"/>
      <x:c r="G244" s="125"/>
      <x:c r="H244" s="125"/>
      <x:c r="I244" s="125"/>
      <x:c r="J244" s="125"/>
      <x:c r="K244" s="125"/>
      <x:c r="L244" s="125"/>
      <x:c r="M244" s="125"/>
      <x:c r="N244" s="125"/>
      <x:c r="O244" s="125"/>
      <x:c r="P244" s="125"/>
      <x:c r="Q244" s="125"/>
    </x:row>
    <x:row r="245">
      <x:c r="A245" s="125"/>
      <x:c r="B245" s="125"/>
      <x:c r="C245" s="125"/>
      <x:c r="D245" s="125"/>
      <x:c r="E245" s="125"/>
      <x:c r="F245" s="125"/>
      <x:c r="G245" s="125"/>
      <x:c r="H245" s="125"/>
      <x:c r="I245" s="125"/>
      <x:c r="J245" s="125"/>
      <x:c r="K245" s="125"/>
      <x:c r="L245" s="125"/>
      <x:c r="M245" s="125"/>
      <x:c r="N245" s="125"/>
      <x:c r="O245" s="125"/>
      <x:c r="P245" s="125"/>
      <x:c r="Q245" s="125"/>
    </x:row>
    <x:row r="246">
      <x:c r="A246" s="125"/>
      <x:c r="B246" s="125"/>
      <x:c r="C246" s="125"/>
      <x:c r="D246" s="125"/>
      <x:c r="E246" s="125"/>
      <x:c r="F246" s="125"/>
      <x:c r="G246" s="125"/>
      <x:c r="H246" s="125"/>
      <x:c r="I246" s="125"/>
      <x:c r="J246" s="125"/>
      <x:c r="K246" s="125"/>
      <x:c r="L246" s="125"/>
      <x:c r="M246" s="125"/>
      <x:c r="N246" s="125"/>
      <x:c r="O246" s="125"/>
      <x:c r="P246" s="125"/>
      <x:c r="Q246" s="125"/>
    </x:row>
    <x:row r="247">
      <x:c r="A247" s="125"/>
      <x:c r="B247" s="125"/>
      <x:c r="C247" s="125"/>
      <x:c r="D247" s="125"/>
      <x:c r="E247" s="125"/>
      <x:c r="F247" s="125"/>
      <x:c r="G247" s="125"/>
      <x:c r="H247" s="125"/>
      <x:c r="I247" s="125"/>
      <x:c r="J247" s="125"/>
      <x:c r="K247" s="125"/>
      <x:c r="L247" s="125"/>
      <x:c r="M247" s="125"/>
      <x:c r="N247" s="125"/>
      <x:c r="O247" s="125"/>
      <x:c r="P247" s="125"/>
      <x:c r="Q247" s="125"/>
    </x:row>
    <x:row r="248">
      <x:c r="A248" s="125"/>
      <x:c r="B248" s="125"/>
      <x:c r="C248" s="125"/>
      <x:c r="D248" s="125"/>
      <x:c r="E248" s="125"/>
      <x:c r="F248" s="125"/>
      <x:c r="G248" s="125"/>
      <x:c r="H248" s="125"/>
      <x:c r="I248" s="125"/>
      <x:c r="J248" s="125"/>
      <x:c r="K248" s="125"/>
      <x:c r="L248" s="125"/>
      <x:c r="M248" s="125"/>
      <x:c r="N248" s="125"/>
      <x:c r="O248" s="125"/>
      <x:c r="P248" s="125"/>
      <x:c r="Q248" s="125"/>
    </x:row>
    <x:row r="249">
      <x:c r="A249" s="125"/>
      <x:c r="B249" s="125"/>
      <x:c r="C249" s="125"/>
      <x:c r="D249" s="125"/>
      <x:c r="E249" s="125"/>
      <x:c r="F249" s="125"/>
      <x:c r="G249" s="125"/>
      <x:c r="H249" s="125"/>
      <x:c r="I249" s="125"/>
      <x:c r="J249" s="125"/>
      <x:c r="K249" s="125"/>
      <x:c r="L249" s="125"/>
      <x:c r="M249" s="125"/>
      <x:c r="N249" s="125"/>
      <x:c r="O249" s="125"/>
      <x:c r="P249" s="125"/>
      <x:c r="Q249" s="125"/>
    </x:row>
    <x:row r="250">
      <x:c r="A250" s="125"/>
      <x:c r="B250" s="125"/>
      <x:c r="C250" s="125"/>
      <x:c r="D250" s="125"/>
      <x:c r="E250" s="125"/>
      <x:c r="F250" s="125"/>
      <x:c r="G250" s="125"/>
      <x:c r="H250" s="125"/>
      <x:c r="I250" s="125"/>
      <x:c r="J250" s="125"/>
      <x:c r="K250" s="125"/>
      <x:c r="L250" s="125"/>
      <x:c r="M250" s="125"/>
      <x:c r="N250" s="125"/>
      <x:c r="O250" s="125"/>
      <x:c r="P250" s="125"/>
      <x:c r="Q250" s="125"/>
    </x:row>
  </x:sheetData>
  <x:mergeCells>
    <x:mergeCell ref="A1:J1"/>
    <x:mergeCell ref="A2:J2"/>
  </x:mergeCells>
  <x:pageMargins left="0.7" right="0.7" top="0.75" bottom="0.75" header="0.3" footer="0.3"/>
</x:worksheet>
</file>

<file path=xl/worksheets/sheet3.xml><?xml version="1.0" encoding="utf-8"?>
<x:worksheet xmlns:x="http://schemas.openxmlformats.org/spreadsheetml/2006/main">
  <x:sheetFormatPr defaultRowHeight="15"/>
  <x:cols>
    <x:col min="1" max="1" width="18" hidden="0" customWidth="1"/>
    <x:col min="2" max="2" width="30" hidden="0" customWidth="1"/>
    <x:col min="3" max="3" width="38" hidden="0" customWidth="1"/>
    <x:col min="4" max="4" width="30" hidden="0" customWidth="1"/>
    <x:col min="5" max="5" width="18" hidden="0" customWidth="1"/>
    <x:col min="6" max="6" width="30" hidden="0" customWidth="1"/>
    <x:col min="7" max="7" width="20" hidden="0" customWidth="1"/>
    <x:col min="8" max="8" width="42" hidden="0" customWidth="1"/>
  </x:cols>
  <x:sheetData>
    <x:row r="1" ht="24" customHeight="1">
      <x:c r="A1" s="200" t="str">
        <x:v>00_PLATFORM_INDEX — IREI MVP v1 Build Map</x:v>
      </x:c>
      <x:c r="B1" s="198"/>
      <x:c r="C1" s="198"/>
      <x:c r="D1" s="198"/>
      <x:c r="E1" s="198"/>
      <x:c r="F1" s="198"/>
      <x:c r="G1" s="198"/>
      <x:c r="H1" s="198"/>
      <x:c r="I1" s="198"/>
      <x:c r="J1" s="198"/>
      <x:c r="K1" s="198"/>
      <x:c r="L1" s="125"/>
      <x:c r="M1" s="125"/>
      <x:c r="N1" s="125"/>
      <x:c r="O1" s="125"/>
      <x:c r="P1" s="125"/>
      <x:c r="Q1" s="125"/>
    </x:row>
    <x:row r="2" ht="34" customHeight="1">
      <x:c r="A2" s="126" t="str">
        <x:v>BUILD 1 BLANK TEMPLATE: This workbook contains the reusable schema and formulas only. NGO B / ENF data is intentionally omitted; use the demo workbook for populated example.</x:v>
      </x:c>
      <x:c r="B2" s="125"/>
      <x:c r="C2" s="125"/>
      <x:c r="D2" s="125"/>
      <x:c r="E2" s="125"/>
      <x:c r="F2" s="125"/>
      <x:c r="G2" s="125"/>
      <x:c r="H2" s="125"/>
      <x:c r="I2" s="125"/>
      <x:c r="J2" s="125"/>
      <x:c r="K2" s="125"/>
      <x:c r="L2" s="125"/>
      <x:c r="M2" s="125"/>
      <x:c r="N2" s="125"/>
      <x:c r="O2" s="125"/>
      <x:c r="P2" s="125"/>
      <x:c r="Q2" s="125"/>
    </x:row>
    <x:row r="3">
      <x:c r="A3" s="125"/>
      <x:c r="B3" s="125"/>
      <x:c r="C3" s="125"/>
      <x:c r="D3" s="125"/>
      <x:c r="E3" s="125"/>
      <x:c r="F3" s="125"/>
      <x:c r="G3" s="125"/>
      <x:c r="H3" s="125"/>
      <x:c r="I3" s="125"/>
      <x:c r="J3" s="125"/>
      <x:c r="K3" s="125"/>
      <x:c r="L3" s="125"/>
      <x:c r="M3" s="125"/>
      <x:c r="N3" s="125"/>
      <x:c r="O3" s="125"/>
      <x:c r="P3" s="125"/>
      <x:c r="Q3" s="125"/>
    </x:row>
    <x:row r="4" ht="26" customHeight="1">
      <x:c r="A4" s="127" t="str">
        <x:v>Layer</x:v>
      </x:c>
      <x:c r="B4" s="127" t="str">
        <x:v>Tab</x:v>
      </x:c>
      <x:c r="C4" s="127" t="str">
        <x:v>Role</x:v>
      </x:c>
      <x:c r="D4" s="127" t="str">
        <x:v>Edit rule</x:v>
      </x:c>
      <x:c r="E4" s="127" t="str">
        <x:v>Colour</x:v>
      </x:c>
      <x:c r="F4" s="127" t="str">
        <x:v>Feeds / Uses</x:v>
      </x:c>
      <x:c r="G4" s="127" t="str">
        <x:v>MVP status</x:v>
      </x:c>
      <x:c r="H4" s="127" t="str">
        <x:v>Notes</x:v>
      </x:c>
      <x:c r="I4" s="125"/>
      <x:c r="J4" s="125"/>
      <x:c r="K4" s="125"/>
      <x:c r="L4" s="125"/>
      <x:c r="M4" s="125"/>
      <x:c r="N4" s="125"/>
      <x:c r="O4" s="125"/>
      <x:c r="P4" s="125"/>
      <x:c r="Q4" s="125"/>
    </x:row>
    <x:row r="5">
      <x:c r="A5" s="132" t="str">
        <x:v>Governance</x:v>
      </x:c>
      <x:c r="B5" s="132" t="str">
        <x:v>Business Rules</x:v>
      </x:c>
      <x:c r="C5" s="132" t="str">
        <x:v>Business rules and colour-code standard</x:v>
      </x:c>
      <x:c r="D5" s="132" t="str">
        <x:v>Read only except rule updates</x:v>
      </x:c>
      <x:c r="E5" s="132" t="str">
        <x:v>Grey</x:v>
      </x:c>
      <x:c r="F5" s="132" t="str">
        <x:v>All tabs</x:v>
      </x:c>
      <x:c r="G5" s="132" t="str">
        <x:v>Required</x:v>
      </x:c>
      <x:c r="H5" s="132" t="str">
        <x:v>Start here.</x:v>
      </x:c>
      <x:c r="I5" s="125"/>
      <x:c r="J5" s="125"/>
      <x:c r="K5" s="125"/>
      <x:c r="L5" s="125"/>
      <x:c r="M5" s="125"/>
      <x:c r="N5" s="125"/>
      <x:c r="O5" s="125"/>
      <x:c r="P5" s="125"/>
      <x:c r="Q5" s="125"/>
    </x:row>
    <x:row r="6">
      <x:c r="A6" s="132" t="str">
        <x:v>Governance</x:v>
      </x:c>
      <x:c r="B6" s="132" t="str">
        <x:v>00_CHANGE_LOG</x:v>
      </x:c>
      <x:c r="C6" s="132" t="str">
        <x:v>Audit trail</x:v>
      </x:c>
      <x:c r="D6" s="132" t="str">
        <x:v>Update on every revision</x:v>
      </x:c>
      <x:c r="E6" s="132" t="str">
        <x:v>Grey</x:v>
      </x:c>
      <x:c r="F6" s="132" t="str">
        <x:v>Workbook governance</x:v>
      </x:c>
      <x:c r="G6" s="132" t="str">
        <x:v>Required</x:v>
      </x:c>
      <x:c r="H6" s="132" t="str">
        <x:v>Preserved from v12 plus MVP changes.</x:v>
      </x:c>
      <x:c r="I6" s="125"/>
      <x:c r="J6" s="125"/>
      <x:c r="K6" s="125"/>
      <x:c r="L6" s="125"/>
      <x:c r="M6" s="125"/>
      <x:c r="N6" s="125"/>
      <x:c r="O6" s="125"/>
      <x:c r="P6" s="125"/>
      <x:c r="Q6" s="125"/>
    </x:row>
    <x:row r="7">
      <x:c r="A7" s="132" t="str">
        <x:v>Governance</x:v>
      </x:c>
      <x:c r="B7" s="132" t="str">
        <x:v>INPUT_CONTROL_MAP</x:v>
      </x:c>
      <x:c r="C7" s="132" t="str">
        <x:v>Where analyst/AI may write</x:v>
      </x:c>
      <x:c r="D7" s="132" t="str">
        <x:v>Read before editing</x:v>
      </x:c>
      <x:c r="E7" s="132" t="str">
        <x:v>Grey</x:v>
      </x:c>
      <x:c r="F7" s="132" t="str">
        <x:v>All DATA tabs</x:v>
      </x:c>
      <x:c r="G7" s="132" t="str">
        <x:v>Required</x:v>
      </x:c>
      <x:c r="H7" s="132" t="str">
        <x:v>Defines blue cells.</x:v>
      </x:c>
      <x:c r="I7" s="125"/>
      <x:c r="J7" s="125"/>
      <x:c r="K7" s="125"/>
      <x:c r="L7" s="125"/>
      <x:c r="M7" s="125"/>
      <x:c r="N7" s="125"/>
      <x:c r="O7" s="125"/>
      <x:c r="P7" s="125"/>
      <x:c r="Q7" s="125"/>
    </x:row>
    <x:row r="8">
      <x:c r="A8" s="128" t="str">
        <x:v>Source intake</x:v>
      </x:c>
      <x:c r="B8" s="128" t="str">
        <x:v>STG_SOURCE_INTAKE</x:v>
      </x:c>
      <x:c r="C8" s="128" t="str">
        <x:v>Source file log</x:v>
      </x:c>
      <x:c r="D8" s="128" t="str">
        <x:v>Blue input</x:v>
      </x:c>
      <x:c r="E8" s="128" t="str">
        <x:v>Blue</x:v>
      </x:c>
      <x:c r="F8" s="128" t="str">
        <x:v>Data confidence / source hierarchy</x:v>
      </x:c>
      <x:c r="G8" s="128" t="str">
        <x:v>Required</x:v>
      </x:c>
      <x:c r="H8" s="128" t="str">
        <x:v>Tapestry and v12 logged.</x:v>
      </x:c>
      <x:c r="I8" s="125"/>
      <x:c r="J8" s="125"/>
      <x:c r="K8" s="125"/>
      <x:c r="L8" s="125"/>
      <x:c r="M8" s="125"/>
      <x:c r="N8" s="125"/>
      <x:c r="O8" s="125"/>
      <x:c r="P8" s="125"/>
      <x:c r="Q8" s="125"/>
    </x:row>
    <x:row r="9">
      <x:c r="A9" s="131" t="str">
        <x:v>Mapping</x:v>
      </x:c>
      <x:c r="B9" s="131" t="str">
        <x:v>MAP_FIELD_MAPPING</x:v>
      </x:c>
      <x:c r="C9" s="131" t="str">
        <x:v>Source-to-canonical mapping</x:v>
      </x:c>
      <x:c r="D9" s="131" t="str">
        <x:v>Review/update as needed</x:v>
      </x:c>
      <x:c r="E9" s="131" t="str">
        <x:v>Orange/Purple</x:v>
      </x:c>
      <x:c r="F9" s="131" t="str">
        <x:v>Digital build schema</x:v>
      </x:c>
      <x:c r="G9" s="131" t="str">
        <x:v>Required</x:v>
      </x:c>
      <x:c r="H9" s="131" t="str">
        <x:v>Shows future platform fields.</x:v>
      </x:c>
      <x:c r="I9" s="125"/>
      <x:c r="J9" s="125"/>
      <x:c r="K9" s="125"/>
      <x:c r="L9" s="125"/>
      <x:c r="M9" s="125"/>
      <x:c r="N9" s="125"/>
      <x:c r="O9" s="125"/>
      <x:c r="P9" s="125"/>
      <x:c r="Q9" s="125"/>
    </x:row>
    <x:row r="10">
      <x:c r="A10" s="128" t="str">
        <x:v>Canonical data</x:v>
      </x:c>
      <x:c r="B10" s="128" t="str">
        <x:v>DATA_PROPERTY_MASTER</x:v>
      </x:c>
      <x:c r="C10" s="128" t="str">
        <x:v>One row per property/project</x:v>
      </x:c>
      <x:c r="D10" s="128" t="str">
        <x:v>Blue input + purple generated checks</x:v>
      </x:c>
      <x:c r="E10" s="128" t="str">
        <x:v>Blue/Purple</x:v>
      </x:c>
      <x:c r="F10" s="128" t="str">
        <x:v>Metrics and snapshot</x:v>
      </x:c>
      <x:c r="G10" s="128" t="str">
        <x:v>Required</x:v>
      </x:c>
      <x:c r="H10" s="128" t="str">
        <x:v>v12 property list extracted.</x:v>
      </x:c>
      <x:c r="I10" s="125"/>
      <x:c r="J10" s="125"/>
      <x:c r="K10" s="125"/>
      <x:c r="L10" s="125"/>
      <x:c r="M10" s="125"/>
      <x:c r="N10" s="125"/>
      <x:c r="O10" s="125"/>
      <x:c r="P10" s="125"/>
      <x:c r="Q10" s="125"/>
    </x:row>
    <x:row r="11">
      <x:c r="A11" s="128" t="str">
        <x:v>Canonical data</x:v>
      </x:c>
      <x:c r="B11" s="128" t="str">
        <x:v>DATA_UNIT_MIX</x:v>
      </x:c>
      <x:c r="C11" s="128" t="str">
        <x:v>Unit mix and affordability bands</x:v>
      </x:c>
      <x:c r="D11" s="128" t="str">
        <x:v>Blue input</x:v>
      </x:c>
      <x:c r="E11" s="128" t="str">
        <x:v>Blue</x:v>
      </x:c>
      <x:c r="F11" s="128" t="str">
        <x:v>Affordability metrics</x:v>
      </x:c>
      <x:c r="G11" s="128" t="str">
        <x:v>Required</x:v>
      </x:c>
      <x:c r="H11" s="128" t="str">
        <x:v>Blank/template + demo-ready.</x:v>
      </x:c>
      <x:c r="I11" s="125"/>
      <x:c r="J11" s="125"/>
      <x:c r="K11" s="125"/>
      <x:c r="L11" s="125"/>
      <x:c r="M11" s="125"/>
      <x:c r="N11" s="125"/>
      <x:c r="O11" s="125"/>
      <x:c r="P11" s="125"/>
      <x:c r="Q11" s="125"/>
    </x:row>
    <x:row r="12">
      <x:c r="A12" s="128" t="str">
        <x:v>Canonical data</x:v>
      </x:c>
      <x:c r="B12" s="128" t="str">
        <x:v>DATA_OPERATING_ACTUALS</x:v>
      </x:c>
      <x:c r="C12" s="128" t="str">
        <x:v>Operating budgets/actuals/projections</x:v>
      </x:c>
      <x:c r="D12" s="128" t="str">
        <x:v>Blue input</x:v>
      </x:c>
      <x:c r="E12" s="128" t="str">
        <x:v>Blue</x:v>
      </x:c>
      <x:c r="F12" s="128" t="str">
        <x:v>Financial metrics</x:v>
      </x:c>
      <x:c r="G12" s="128" t="str">
        <x:v>Required</x:v>
      </x:c>
      <x:c r="H12" s="128" t="str">
        <x:v>Keep line items standardized.</x:v>
      </x:c>
      <x:c r="I12" s="125"/>
      <x:c r="J12" s="125"/>
      <x:c r="K12" s="125"/>
      <x:c r="L12" s="125"/>
      <x:c r="M12" s="125"/>
      <x:c r="N12" s="125"/>
      <x:c r="O12" s="125"/>
      <x:c r="P12" s="125"/>
      <x:c r="Q12" s="125"/>
    </x:row>
    <x:row r="13">
      <x:c r="A13" s="128" t="str">
        <x:v>Canonical data</x:v>
      </x:c>
      <x:c r="B13" s="128" t="str">
        <x:v>DATA_DEBT_MASTER</x:v>
      </x:c>
      <x:c r="C13" s="128" t="str">
        <x:v>Debt/mortgage/financing records</x:v>
      </x:c>
      <x:c r="D13" s="128" t="str">
        <x:v>Blue input + formula checks</x:v>
      </x:c>
      <x:c r="E13" s="128" t="str">
        <x:v>Blue/Purple</x:v>
      </x:c>
      <x:c r="F13" s="128" t="str">
        <x:v>DSCR / debt snapshot</x:v>
      </x:c>
      <x:c r="G13" s="128" t="str">
        <x:v>Required</x:v>
      </x:c>
      <x:c r="H13" s="128" t="str">
        <x:v>New project assumptions can use Tapestry.</x:v>
      </x:c>
      <x:c r="I13" s="125"/>
      <x:c r="J13" s="125"/>
      <x:c r="K13" s="125"/>
      <x:c r="L13" s="125"/>
      <x:c r="M13" s="125"/>
      <x:c r="N13" s="125"/>
      <x:c r="O13" s="125"/>
      <x:c r="P13" s="125"/>
      <x:c r="Q13" s="125"/>
    </x:row>
    <x:row r="14">
      <x:c r="A14" s="128" t="str">
        <x:v>Canonical data</x:v>
      </x:c>
      <x:c r="B14" s="128" t="str">
        <x:v>DATA_CASH_RESERVES</x:v>
      </x:c>
      <x:c r="C14" s="128" t="str">
        <x:v>Cash/reserve availability</x:v>
      </x:c>
      <x:c r="D14" s="128" t="str">
        <x:v>Blue input</x:v>
      </x:c>
      <x:c r="E14" s="128" t="str">
        <x:v>Blue</x:v>
      </x:c>
      <x:c r="F14" s="128" t="str">
        <x:v>Readiness flags</x:v>
      </x:c>
      <x:c r="G14" s="128" t="str">
        <x:v>Required</x:v>
      </x:c>
      <x:c r="H14" s="128" t="str">
        <x:v>Restricted cash remains review item.</x:v>
      </x:c>
      <x:c r="I14" s="125"/>
      <x:c r="J14" s="125"/>
      <x:c r="K14" s="125"/>
      <x:c r="L14" s="125"/>
      <x:c r="M14" s="125"/>
      <x:c r="N14" s="125"/>
      <x:c r="O14" s="125"/>
      <x:c r="P14" s="125"/>
      <x:c r="Q14" s="125"/>
    </x:row>
    <x:row r="15">
      <x:c r="A15" s="128" t="str">
        <x:v>Canonical data</x:v>
      </x:c>
      <x:c r="B15" s="128" t="str">
        <x:v>DATA_AGREEMENTS</x:v>
      </x:c>
      <x:c r="C15" s="128" t="str">
        <x:v>Agreements/covenants/restrictions</x:v>
      </x:c>
      <x:c r="D15" s="128" t="str">
        <x:v>Blue input</x:v>
      </x:c>
      <x:c r="E15" s="128" t="str">
        <x:v>Blue</x:v>
      </x:c>
      <x:c r="F15" s="128" t="str">
        <x:v>Mission/restriction review</x:v>
      </x:c>
      <x:c r="G15" s="128" t="str">
        <x:v>Required placeholder</x:v>
      </x:c>
      <x:c r="H15" s="128" t="str">
        <x:v>May be incomplete in MVP.</x:v>
      </x:c>
      <x:c r="I15" s="125"/>
      <x:c r="J15" s="125"/>
      <x:c r="K15" s="125"/>
      <x:c r="L15" s="125"/>
      <x:c r="M15" s="125"/>
      <x:c r="N15" s="125"/>
      <x:c r="O15" s="125"/>
      <x:c r="P15" s="125"/>
      <x:c r="Q15" s="125"/>
    </x:row>
    <x:row r="16">
      <x:c r="A16" s="128" t="str">
        <x:v>Canonical data</x:v>
      </x:c>
      <x:c r="B16" s="128" t="str">
        <x:v>DATA_CAPITAL_NEEDS</x:v>
      </x:c>
      <x:c r="C16" s="128" t="str">
        <x:v>Capital needs / repairs</x:v>
      </x:c>
      <x:c r="D16" s="128" t="str">
        <x:v>Blue input</x:v>
      </x:c>
      <x:c r="E16" s="128" t="str">
        <x:v>Blue</x:v>
      </x:c>
      <x:c r="F16" s="128" t="str">
        <x:v>Risk/readiness flags</x:v>
      </x:c>
      <x:c r="G16" s="128" t="str">
        <x:v>Required placeholder</x:v>
      </x:c>
      <x:c r="H16" s="128" t="str">
        <x:v>May be incomplete in MVP.</x:v>
      </x:c>
      <x:c r="I16" s="125"/>
      <x:c r="J16" s="125"/>
      <x:c r="K16" s="125"/>
      <x:c r="L16" s="125"/>
      <x:c r="M16" s="125"/>
      <x:c r="N16" s="125"/>
      <x:c r="O16" s="125"/>
      <x:c r="P16" s="125"/>
      <x:c r="Q16" s="125"/>
    </x:row>
    <x:row r="17">
      <x:c r="A17" s="131" t="str">
        <x:v>Review layer</x:v>
      </x:c>
      <x:c r="B17" s="131" t="str">
        <x:v>ASSUMPTIONS_FLAGS</x:v>
      </x:c>
      <x:c r="C17" s="131" t="str">
        <x:v>Unresolved issues and reviewer notes</x:v>
      </x:c>
      <x:c r="D17" s="131" t="str">
        <x:v>Orange review cells</x:v>
      </x:c>
      <x:c r="E17" s="131" t="str">
        <x:v>Orange</x:v>
      </x:c>
      <x:c r="F17" s="131" t="str">
        <x:v>Quality checks / snapshot</x:v>
      </x:c>
      <x:c r="G17" s="131" t="str">
        <x:v>Required</x:v>
      </x:c>
      <x:c r="H17" s="131" t="str">
        <x:v>Do not hide uncertainty.</x:v>
      </x:c>
      <x:c r="I17" s="125"/>
      <x:c r="J17" s="125"/>
      <x:c r="K17" s="125"/>
      <x:c r="L17" s="125"/>
      <x:c r="M17" s="125"/>
      <x:c r="N17" s="125"/>
      <x:c r="O17" s="125"/>
      <x:c r="P17" s="125"/>
      <x:c r="Q17" s="125"/>
    </x:row>
    <x:row r="18">
      <x:c r="A18" s="130" t="str">
        <x:v>Calculation layer</x:v>
      </x:c>
      <x:c r="B18" s="130" t="str">
        <x:v>DATA_METRIC_LONG</x:v>
      </x:c>
      <x:c r="C18" s="130" t="str">
        <x:v>Live long-format metrics</x:v>
      </x:c>
      <x:c r="D18" s="130" t="str">
        <x:v>Formula-driven</x:v>
      </x:c>
      <x:c r="E18" s="130" t="str">
        <x:v>Black/Purple</x:v>
      </x:c>
      <x:c r="F18" s="130" t="str">
        <x:v>Snapshot</x:v>
      </x:c>
      <x:c r="G18" s="130" t="str">
        <x:v>Required</x:v>
      </x:c>
      <x:c r="H18" s="130" t="str">
        <x:v>Simplified v12 metric logic.</x:v>
      </x:c>
      <x:c r="I18" s="125"/>
      <x:c r="J18" s="125"/>
      <x:c r="K18" s="125"/>
      <x:c r="L18" s="125"/>
      <x:c r="M18" s="125"/>
      <x:c r="N18" s="125"/>
      <x:c r="O18" s="125"/>
      <x:c r="P18" s="125"/>
      <x:c r="Q18" s="125"/>
    </x:row>
    <x:row r="19">
      <x:c r="A19" s="130" t="str">
        <x:v>Quality layer</x:v>
      </x:c>
      <x:c r="B19" s="130" t="str">
        <x:v>DATA_QUALITY_CHECKS</x:v>
      </x:c>
      <x:c r="C19" s="130" t="str">
        <x:v>Live checks and status</x:v>
      </x:c>
      <x:c r="D19" s="130" t="str">
        <x:v>Formula-driven</x:v>
      </x:c>
      <x:c r="E19" s="130" t="str">
        <x:v>Black/Purple</x:v>
      </x:c>
      <x:c r="F19" s="130" t="str">
        <x:v>Snapshot</x:v>
      </x:c>
      <x:c r="G19" s="130" t="str">
        <x:v>Required</x:v>
      </x:c>
      <x:c r="H19" s="130" t="str">
        <x:v>Open items are roadmap/checks.</x:v>
      </x:c>
      <x:c r="I19" s="125"/>
      <x:c r="J19" s="125"/>
      <x:c r="K19" s="125"/>
      <x:c r="L19" s="125"/>
      <x:c r="M19" s="125"/>
      <x:c r="N19" s="125"/>
      <x:c r="O19" s="125"/>
      <x:c r="P19" s="125"/>
      <x:c r="Q19" s="125"/>
    </x:row>
    <x:row r="20">
      <x:c r="A20" s="225" t="str">
        <x:v>BUILD NOTE</x:v>
      </x:c>
      <x:c r="B20" s="225" t="str">
        <x:v>Workbook-level instruction</x:v>
      </x:c>
      <x:c r="C20" s="225" t="str">
        <x:v>Template + demo combined</x:v>
      </x:c>
      <x:c r="D20" s="225" t="str">
        <x:v>The 17 NGO B / ENF rows are demo seed data only. Digital product must treat the DATA_* tabs as reusable template structures, not fixed ENF-only tables.</x:v>
      </x:c>
      <x:c r="E20" s="225"/>
      <x:c r="F20" s="225"/>
      <x:c r="G20" s="225"/>
      <x:c r="H20" s="225"/>
      <x:c r="I20" s="125"/>
      <x:c r="J20" s="125"/>
      <x:c r="K20" s="125"/>
      <x:c r="L20" s="125"/>
      <x:c r="M20" s="125"/>
      <x:c r="N20" s="125"/>
      <x:c r="O20" s="125"/>
      <x:c r="P20" s="125"/>
      <x:c r="Q20" s="125"/>
    </x:row>
    <x:row r="21">
      <x:c r="A21" s="125"/>
      <x:c r="B21" s="125"/>
      <x:c r="C21" s="125"/>
      <x:c r="D21" s="125"/>
      <x:c r="E21" s="125"/>
      <x:c r="F21" s="125"/>
      <x:c r="G21" s="125"/>
      <x:c r="H21" s="125"/>
      <x:c r="I21" s="125"/>
      <x:c r="J21" s="125"/>
      <x:c r="K21" s="125"/>
      <x:c r="L21" s="125"/>
      <x:c r="M21" s="125"/>
      <x:c r="N21" s="125"/>
      <x:c r="O21" s="125"/>
      <x:c r="P21" s="125"/>
      <x:c r="Q21" s="125"/>
    </x:row>
    <x:row r="22">
      <x:c r="A22" s="125"/>
      <x:c r="B22" s="125"/>
      <x:c r="C22" s="125"/>
      <x:c r="D22" s="125"/>
      <x:c r="E22" s="125"/>
      <x:c r="F22" s="125"/>
      <x:c r="G22" s="125"/>
      <x:c r="H22" s="125"/>
      <x:c r="I22" s="125"/>
      <x:c r="J22" s="125"/>
      <x:c r="K22" s="125"/>
      <x:c r="L22" s="125"/>
      <x:c r="M22" s="125"/>
      <x:c r="N22" s="125"/>
      <x:c r="O22" s="125"/>
      <x:c r="P22" s="125"/>
      <x:c r="Q22" s="125"/>
    </x:row>
    <x:row r="23">
      <x:c r="A23" s="125"/>
      <x:c r="B23" s="125"/>
      <x:c r="C23" s="125"/>
      <x:c r="D23" s="125"/>
      <x:c r="E23" s="125"/>
      <x:c r="F23" s="125"/>
      <x:c r="G23" s="125"/>
      <x:c r="H23" s="125"/>
      <x:c r="I23" s="125"/>
      <x:c r="J23" s="125"/>
      <x:c r="K23" s="125"/>
      <x:c r="L23" s="125"/>
      <x:c r="M23" s="125"/>
      <x:c r="N23" s="125"/>
      <x:c r="O23" s="125"/>
      <x:c r="P23" s="125"/>
      <x:c r="Q23" s="125"/>
    </x:row>
    <x:row r="24">
      <x:c r="A24" s="125"/>
      <x:c r="B24" s="125"/>
      <x:c r="C24" s="125"/>
      <x:c r="D24" s="125"/>
      <x:c r="E24" s="125"/>
      <x:c r="F24" s="125"/>
      <x:c r="G24" s="125"/>
      <x:c r="H24" s="125"/>
      <x:c r="I24" s="125"/>
      <x:c r="J24" s="125"/>
      <x:c r="K24" s="125"/>
      <x:c r="L24" s="125"/>
      <x:c r="M24" s="125"/>
      <x:c r="N24" s="125"/>
      <x:c r="O24" s="125"/>
      <x:c r="P24" s="125"/>
      <x:c r="Q24" s="125"/>
    </x:row>
    <x:row r="25">
      <x:c r="A25" s="125"/>
      <x:c r="B25" s="125"/>
      <x:c r="C25" s="125"/>
      <x:c r="D25" s="125"/>
      <x:c r="E25" s="125"/>
      <x:c r="F25" s="125"/>
      <x:c r="G25" s="125"/>
      <x:c r="H25" s="125"/>
      <x:c r="I25" s="125"/>
      <x:c r="J25" s="125"/>
      <x:c r="K25" s="125"/>
      <x:c r="L25" s="125"/>
      <x:c r="M25" s="125"/>
      <x:c r="N25" s="125"/>
      <x:c r="O25" s="125"/>
      <x:c r="P25" s="125"/>
      <x:c r="Q25" s="125"/>
    </x:row>
    <x:row r="26">
      <x:c r="A26" s="125"/>
      <x:c r="B26" s="125"/>
      <x:c r="C26" s="125"/>
      <x:c r="D26" s="125"/>
      <x:c r="E26" s="125"/>
      <x:c r="F26" s="125"/>
      <x:c r="G26" s="125"/>
      <x:c r="H26" s="125"/>
      <x:c r="I26" s="125"/>
      <x:c r="J26" s="125"/>
      <x:c r="K26" s="125"/>
      <x:c r="L26" s="125"/>
      <x:c r="M26" s="125"/>
      <x:c r="N26" s="125"/>
      <x:c r="O26" s="125"/>
      <x:c r="P26" s="125"/>
      <x:c r="Q26" s="125"/>
    </x:row>
    <x:row r="27">
      <x:c r="A27" s="125"/>
      <x:c r="B27" s="125"/>
      <x:c r="C27" s="125"/>
      <x:c r="D27" s="125"/>
      <x:c r="E27" s="125"/>
      <x:c r="F27" s="125"/>
      <x:c r="G27" s="125"/>
      <x:c r="H27" s="125"/>
      <x:c r="I27" s="125"/>
      <x:c r="J27" s="125"/>
      <x:c r="K27" s="125"/>
      <x:c r="L27" s="125"/>
      <x:c r="M27" s="125"/>
      <x:c r="N27" s="125"/>
      <x:c r="O27" s="125"/>
      <x:c r="P27" s="125"/>
      <x:c r="Q27" s="125"/>
    </x:row>
    <x:row r="28">
      <x:c r="A28" s="125"/>
      <x:c r="B28" s="125"/>
      <x:c r="C28" s="125"/>
      <x:c r="D28" s="125"/>
      <x:c r="E28" s="125"/>
      <x:c r="F28" s="125"/>
      <x:c r="G28" s="125"/>
      <x:c r="H28" s="125"/>
      <x:c r="I28" s="125"/>
      <x:c r="J28" s="125"/>
      <x:c r="K28" s="125"/>
      <x:c r="L28" s="125"/>
      <x:c r="M28" s="125"/>
      <x:c r="N28" s="125"/>
      <x:c r="O28" s="125"/>
      <x:c r="P28" s="125"/>
      <x:c r="Q28" s="125"/>
    </x:row>
    <x:row r="29">
      <x:c r="A29" s="125"/>
      <x:c r="B29" s="125"/>
      <x:c r="C29" s="125"/>
      <x:c r="D29" s="125"/>
      <x:c r="E29" s="125"/>
      <x:c r="F29" s="125"/>
      <x:c r="G29" s="125"/>
      <x:c r="H29" s="125"/>
      <x:c r="I29" s="125"/>
      <x:c r="J29" s="125"/>
      <x:c r="K29" s="125"/>
      <x:c r="L29" s="125"/>
      <x:c r="M29" s="125"/>
      <x:c r="N29" s="125"/>
      <x:c r="O29" s="125"/>
      <x:c r="P29" s="125"/>
      <x:c r="Q29" s="125"/>
    </x:row>
    <x:row r="30">
      <x:c r="A30" s="125"/>
      <x:c r="B30" s="125"/>
      <x:c r="C30" s="125"/>
      <x:c r="D30" s="125"/>
      <x:c r="E30" s="125"/>
      <x:c r="F30" s="125"/>
      <x:c r="G30" s="125"/>
      <x:c r="H30" s="125"/>
      <x:c r="I30" s="125"/>
      <x:c r="J30" s="125"/>
      <x:c r="K30" s="125"/>
      <x:c r="L30" s="125"/>
      <x:c r="M30" s="125"/>
      <x:c r="N30" s="125"/>
      <x:c r="O30" s="125"/>
      <x:c r="P30" s="125"/>
      <x:c r="Q30" s="125"/>
    </x:row>
    <x:row r="31">
      <x:c r="A31" s="125"/>
      <x:c r="B31" s="125"/>
      <x:c r="C31" s="125"/>
      <x:c r="D31" s="125"/>
      <x:c r="E31" s="125"/>
      <x:c r="F31" s="125"/>
      <x:c r="G31" s="125"/>
      <x:c r="H31" s="125"/>
      <x:c r="I31" s="125"/>
      <x:c r="J31" s="125"/>
      <x:c r="K31" s="125"/>
      <x:c r="L31" s="125"/>
      <x:c r="M31" s="125"/>
      <x:c r="N31" s="125"/>
      <x:c r="O31" s="125"/>
      <x:c r="P31" s="125"/>
      <x:c r="Q31" s="125"/>
    </x:row>
    <x:row r="32">
      <x:c r="A32" s="125"/>
      <x:c r="B32" s="125"/>
      <x:c r="C32" s="125"/>
      <x:c r="D32" s="125"/>
      <x:c r="E32" s="125"/>
      <x:c r="F32" s="125"/>
      <x:c r="G32" s="125"/>
      <x:c r="H32" s="125"/>
      <x:c r="I32" s="125"/>
      <x:c r="J32" s="125"/>
      <x:c r="K32" s="125"/>
      <x:c r="L32" s="125"/>
      <x:c r="M32" s="125"/>
      <x:c r="N32" s="125"/>
      <x:c r="O32" s="125"/>
      <x:c r="P32" s="125"/>
      <x:c r="Q32" s="125"/>
    </x:row>
    <x:row r="33">
      <x:c r="A33" s="125"/>
      <x:c r="B33" s="125"/>
      <x:c r="C33" s="125"/>
      <x:c r="D33" s="125"/>
      <x:c r="E33" s="125"/>
      <x:c r="F33" s="125"/>
      <x:c r="G33" s="125"/>
      <x:c r="H33" s="125"/>
      <x:c r="I33" s="125"/>
      <x:c r="J33" s="125"/>
      <x:c r="K33" s="125"/>
      <x:c r="L33" s="125"/>
      <x:c r="M33" s="125"/>
      <x:c r="N33" s="125"/>
      <x:c r="O33" s="125"/>
      <x:c r="P33" s="125"/>
      <x:c r="Q33" s="125"/>
    </x:row>
    <x:row r="34">
      <x:c r="A34" s="125"/>
      <x:c r="B34" s="125"/>
      <x:c r="C34" s="125"/>
      <x:c r="D34" s="125"/>
      <x:c r="E34" s="125"/>
      <x:c r="F34" s="125"/>
      <x:c r="G34" s="125"/>
      <x:c r="H34" s="125"/>
      <x:c r="I34" s="125"/>
      <x:c r="J34" s="125"/>
      <x:c r="K34" s="125"/>
      <x:c r="L34" s="125"/>
      <x:c r="M34" s="125"/>
      <x:c r="N34" s="125"/>
      <x:c r="O34" s="125"/>
      <x:c r="P34" s="125"/>
      <x:c r="Q34" s="125"/>
    </x:row>
    <x:row r="35">
      <x:c r="A35" s="125"/>
      <x:c r="B35" s="125"/>
      <x:c r="C35" s="125"/>
      <x:c r="D35" s="125"/>
      <x:c r="E35" s="125"/>
      <x:c r="F35" s="125"/>
      <x:c r="G35" s="125"/>
      <x:c r="H35" s="125"/>
      <x:c r="I35" s="125"/>
      <x:c r="J35" s="125"/>
      <x:c r="K35" s="125"/>
      <x:c r="L35" s="125"/>
      <x:c r="M35" s="125"/>
      <x:c r="N35" s="125"/>
      <x:c r="O35" s="125"/>
      <x:c r="P35" s="125"/>
      <x:c r="Q35" s="125"/>
    </x:row>
    <x:row r="36">
      <x:c r="A36" s="125"/>
      <x:c r="B36" s="125"/>
      <x:c r="C36" s="125"/>
      <x:c r="D36" s="125"/>
      <x:c r="E36" s="125"/>
      <x:c r="F36" s="125"/>
      <x:c r="G36" s="125"/>
      <x:c r="H36" s="125"/>
      <x:c r="I36" s="125"/>
      <x:c r="J36" s="125"/>
      <x:c r="K36" s="125"/>
      <x:c r="L36" s="125"/>
      <x:c r="M36" s="125"/>
      <x:c r="N36" s="125"/>
      <x:c r="O36" s="125"/>
      <x:c r="P36" s="125"/>
      <x:c r="Q36" s="125"/>
    </x:row>
    <x:row r="37">
      <x:c r="A37" s="125"/>
      <x:c r="B37" s="125"/>
      <x:c r="C37" s="125"/>
      <x:c r="D37" s="125"/>
      <x:c r="E37" s="125"/>
      <x:c r="F37" s="125"/>
      <x:c r="G37" s="125"/>
      <x:c r="H37" s="125"/>
      <x:c r="I37" s="125"/>
      <x:c r="J37" s="125"/>
      <x:c r="K37" s="125"/>
      <x:c r="L37" s="125"/>
      <x:c r="M37" s="125"/>
      <x:c r="N37" s="125"/>
      <x:c r="O37" s="125"/>
      <x:c r="P37" s="125"/>
      <x:c r="Q37" s="125"/>
    </x:row>
    <x:row r="38">
      <x:c r="A38" s="125"/>
      <x:c r="B38" s="125"/>
      <x:c r="C38" s="125"/>
      <x:c r="D38" s="125"/>
      <x:c r="E38" s="125"/>
      <x:c r="F38" s="125"/>
      <x:c r="G38" s="125"/>
      <x:c r="H38" s="125"/>
      <x:c r="I38" s="125"/>
      <x:c r="J38" s="125"/>
      <x:c r="K38" s="125"/>
      <x:c r="L38" s="125"/>
      <x:c r="M38" s="125"/>
      <x:c r="N38" s="125"/>
      <x:c r="O38" s="125"/>
      <x:c r="P38" s="125"/>
      <x:c r="Q38" s="125"/>
    </x:row>
    <x:row r="39">
      <x:c r="A39" s="125"/>
      <x:c r="B39" s="125"/>
      <x:c r="C39" s="125"/>
      <x:c r="D39" s="125"/>
      <x:c r="E39" s="125"/>
      <x:c r="F39" s="125"/>
      <x:c r="G39" s="125"/>
      <x:c r="H39" s="125"/>
      <x:c r="I39" s="125"/>
      <x:c r="J39" s="125"/>
      <x:c r="K39" s="125"/>
      <x:c r="L39" s="125"/>
      <x:c r="M39" s="125"/>
      <x:c r="N39" s="125"/>
      <x:c r="O39" s="125"/>
      <x:c r="P39" s="125"/>
      <x:c r="Q39" s="125"/>
    </x:row>
    <x:row r="40">
      <x:c r="A40" s="125"/>
      <x:c r="B40" s="125"/>
      <x:c r="C40" s="125"/>
      <x:c r="D40" s="125"/>
      <x:c r="E40" s="125"/>
      <x:c r="F40" s="125"/>
      <x:c r="G40" s="125"/>
      <x:c r="H40" s="125"/>
      <x:c r="I40" s="125"/>
      <x:c r="J40" s="125"/>
      <x:c r="K40" s="125"/>
      <x:c r="L40" s="125"/>
      <x:c r="M40" s="125"/>
      <x:c r="N40" s="125"/>
      <x:c r="O40" s="125"/>
      <x:c r="P40" s="125"/>
      <x:c r="Q40" s="125"/>
    </x:row>
    <x:row r="41">
      <x:c r="A41" s="125"/>
      <x:c r="B41" s="125"/>
      <x:c r="C41" s="125"/>
      <x:c r="D41" s="125"/>
      <x:c r="E41" s="125"/>
      <x:c r="F41" s="125"/>
      <x:c r="G41" s="125"/>
      <x:c r="H41" s="125"/>
      <x:c r="I41" s="125"/>
      <x:c r="J41" s="125"/>
      <x:c r="K41" s="125"/>
      <x:c r="L41" s="125"/>
      <x:c r="M41" s="125"/>
      <x:c r="N41" s="125"/>
      <x:c r="O41" s="125"/>
      <x:c r="P41" s="125"/>
      <x:c r="Q41" s="125"/>
    </x:row>
    <x:row r="42">
      <x:c r="A42" s="125"/>
      <x:c r="B42" s="125"/>
      <x:c r="C42" s="125"/>
      <x:c r="D42" s="125"/>
      <x:c r="E42" s="125"/>
      <x:c r="F42" s="125"/>
      <x:c r="G42" s="125"/>
      <x:c r="H42" s="125"/>
      <x:c r="I42" s="125"/>
      <x:c r="J42" s="125"/>
      <x:c r="K42" s="125"/>
      <x:c r="L42" s="125"/>
      <x:c r="M42" s="125"/>
      <x:c r="N42" s="125"/>
      <x:c r="O42" s="125"/>
      <x:c r="P42" s="125"/>
      <x:c r="Q42" s="125"/>
    </x:row>
    <x:row r="43">
      <x:c r="A43" s="125"/>
      <x:c r="B43" s="125"/>
      <x:c r="C43" s="125"/>
      <x:c r="D43" s="125"/>
      <x:c r="E43" s="125"/>
      <x:c r="F43" s="125"/>
      <x:c r="G43" s="125"/>
      <x:c r="H43" s="125"/>
      <x:c r="I43" s="125"/>
      <x:c r="J43" s="125"/>
      <x:c r="K43" s="125"/>
      <x:c r="L43" s="125"/>
      <x:c r="M43" s="125"/>
      <x:c r="N43" s="125"/>
      <x:c r="O43" s="125"/>
      <x:c r="P43" s="125"/>
      <x:c r="Q43" s="125"/>
    </x:row>
    <x:row r="44">
      <x:c r="A44" s="125"/>
      <x:c r="B44" s="125"/>
      <x:c r="C44" s="125"/>
      <x:c r="D44" s="125"/>
      <x:c r="E44" s="125"/>
      <x:c r="F44" s="125"/>
      <x:c r="G44" s="125"/>
      <x:c r="H44" s="125"/>
      <x:c r="I44" s="125"/>
      <x:c r="J44" s="125"/>
      <x:c r="K44" s="125"/>
      <x:c r="L44" s="125"/>
      <x:c r="M44" s="125"/>
      <x:c r="N44" s="125"/>
      <x:c r="O44" s="125"/>
      <x:c r="P44" s="125"/>
      <x:c r="Q44" s="125"/>
    </x:row>
    <x:row r="45">
      <x:c r="A45" s="125"/>
      <x:c r="B45" s="125"/>
      <x:c r="C45" s="125"/>
      <x:c r="D45" s="125"/>
      <x:c r="E45" s="125"/>
      <x:c r="F45" s="125"/>
      <x:c r="G45" s="125"/>
      <x:c r="H45" s="125"/>
      <x:c r="I45" s="125"/>
      <x:c r="J45" s="125"/>
      <x:c r="K45" s="125"/>
      <x:c r="L45" s="125"/>
      <x:c r="M45" s="125"/>
      <x:c r="N45" s="125"/>
      <x:c r="O45" s="125"/>
      <x:c r="P45" s="125"/>
      <x:c r="Q45" s="125"/>
    </x:row>
    <x:row r="46">
      <x:c r="A46" s="125"/>
      <x:c r="B46" s="125"/>
      <x:c r="C46" s="125"/>
      <x:c r="D46" s="125"/>
      <x:c r="E46" s="125"/>
      <x:c r="F46" s="125"/>
      <x:c r="G46" s="125"/>
      <x:c r="H46" s="125"/>
      <x:c r="I46" s="125"/>
      <x:c r="J46" s="125"/>
      <x:c r="K46" s="125"/>
      <x:c r="L46" s="125"/>
      <x:c r="M46" s="125"/>
      <x:c r="N46" s="125"/>
      <x:c r="O46" s="125"/>
      <x:c r="P46" s="125"/>
      <x:c r="Q46" s="125"/>
    </x:row>
    <x:row r="47">
      <x:c r="A47" s="125"/>
      <x:c r="B47" s="125"/>
      <x:c r="C47" s="125"/>
      <x:c r="D47" s="125"/>
      <x:c r="E47" s="125"/>
      <x:c r="F47" s="125"/>
      <x:c r="G47" s="125"/>
      <x:c r="H47" s="125"/>
      <x:c r="I47" s="125"/>
      <x:c r="J47" s="125"/>
      <x:c r="K47" s="125"/>
      <x:c r="L47" s="125"/>
      <x:c r="M47" s="125"/>
      <x:c r="N47" s="125"/>
      <x:c r="O47" s="125"/>
      <x:c r="P47" s="125"/>
      <x:c r="Q47" s="125"/>
    </x:row>
    <x:row r="48">
      <x:c r="A48" s="125"/>
      <x:c r="B48" s="125"/>
      <x:c r="C48" s="125"/>
      <x:c r="D48" s="125"/>
      <x:c r="E48" s="125"/>
      <x:c r="F48" s="125"/>
      <x:c r="G48" s="125"/>
      <x:c r="H48" s="125"/>
      <x:c r="I48" s="125"/>
      <x:c r="J48" s="125"/>
      <x:c r="K48" s="125"/>
      <x:c r="L48" s="125"/>
      <x:c r="M48" s="125"/>
      <x:c r="N48" s="125"/>
      <x:c r="O48" s="125"/>
      <x:c r="P48" s="125"/>
      <x:c r="Q48" s="125"/>
    </x:row>
    <x:row r="49">
      <x:c r="A49" s="125"/>
      <x:c r="B49" s="125"/>
      <x:c r="C49" s="125"/>
      <x:c r="D49" s="125"/>
      <x:c r="E49" s="125"/>
      <x:c r="F49" s="125"/>
      <x:c r="G49" s="125"/>
      <x:c r="H49" s="125"/>
      <x:c r="I49" s="125"/>
      <x:c r="J49" s="125"/>
      <x:c r="K49" s="125"/>
      <x:c r="L49" s="125"/>
      <x:c r="M49" s="125"/>
      <x:c r="N49" s="125"/>
      <x:c r="O49" s="125"/>
      <x:c r="P49" s="125"/>
      <x:c r="Q49" s="125"/>
    </x:row>
    <x:row r="50">
      <x:c r="A50" s="125"/>
      <x:c r="B50" s="125"/>
      <x:c r="C50" s="125"/>
      <x:c r="D50" s="125"/>
      <x:c r="E50" s="125"/>
      <x:c r="F50" s="125"/>
      <x:c r="G50" s="125"/>
      <x:c r="H50" s="125"/>
      <x:c r="I50" s="125"/>
      <x:c r="J50" s="125"/>
      <x:c r="K50" s="125"/>
      <x:c r="L50" s="125"/>
      <x:c r="M50" s="125"/>
      <x:c r="N50" s="125"/>
      <x:c r="O50" s="125"/>
      <x:c r="P50" s="125"/>
      <x:c r="Q50" s="125"/>
    </x:row>
    <x:row r="51">
      <x:c r="A51" s="125"/>
      <x:c r="B51" s="125"/>
      <x:c r="C51" s="125"/>
      <x:c r="D51" s="125"/>
      <x:c r="E51" s="125"/>
      <x:c r="F51" s="125"/>
      <x:c r="G51" s="125"/>
      <x:c r="H51" s="125"/>
      <x:c r="I51" s="125"/>
      <x:c r="J51" s="125"/>
      <x:c r="K51" s="125"/>
      <x:c r="L51" s="125"/>
      <x:c r="M51" s="125"/>
      <x:c r="N51" s="125"/>
      <x:c r="O51" s="125"/>
      <x:c r="P51" s="125"/>
      <x:c r="Q51" s="125"/>
    </x:row>
    <x:row r="52">
      <x:c r="A52" s="125"/>
      <x:c r="B52" s="125"/>
      <x:c r="C52" s="125"/>
      <x:c r="D52" s="125"/>
      <x:c r="E52" s="125"/>
      <x:c r="F52" s="125"/>
      <x:c r="G52" s="125"/>
      <x:c r="H52" s="125"/>
      <x:c r="I52" s="125"/>
      <x:c r="J52" s="125"/>
      <x:c r="K52" s="125"/>
      <x:c r="L52" s="125"/>
      <x:c r="M52" s="125"/>
      <x:c r="N52" s="125"/>
      <x:c r="O52" s="125"/>
      <x:c r="P52" s="125"/>
      <x:c r="Q52" s="125"/>
    </x:row>
    <x:row r="53">
      <x:c r="A53" s="125"/>
      <x:c r="B53" s="125"/>
      <x:c r="C53" s="125"/>
      <x:c r="D53" s="125"/>
      <x:c r="E53" s="125"/>
      <x:c r="F53" s="125"/>
      <x:c r="G53" s="125"/>
      <x:c r="H53" s="125"/>
      <x:c r="I53" s="125"/>
      <x:c r="J53" s="125"/>
      <x:c r="K53" s="125"/>
      <x:c r="L53" s="125"/>
      <x:c r="M53" s="125"/>
      <x:c r="N53" s="125"/>
      <x:c r="O53" s="125"/>
      <x:c r="P53" s="125"/>
      <x:c r="Q53" s="125"/>
    </x:row>
    <x:row r="54">
      <x:c r="A54" s="125"/>
      <x:c r="B54" s="125"/>
      <x:c r="C54" s="125"/>
      <x:c r="D54" s="125"/>
      <x:c r="E54" s="125"/>
      <x:c r="F54" s="125"/>
      <x:c r="G54" s="125"/>
      <x:c r="H54" s="125"/>
      <x:c r="I54" s="125"/>
      <x:c r="J54" s="125"/>
      <x:c r="K54" s="125"/>
      <x:c r="L54" s="125"/>
      <x:c r="M54" s="125"/>
      <x:c r="N54" s="125"/>
      <x:c r="O54" s="125"/>
      <x:c r="P54" s="125"/>
      <x:c r="Q54" s="125"/>
    </x:row>
    <x:row r="55">
      <x:c r="A55" s="125"/>
      <x:c r="B55" s="125"/>
      <x:c r="C55" s="125"/>
      <x:c r="D55" s="125"/>
      <x:c r="E55" s="125"/>
      <x:c r="F55" s="125"/>
      <x:c r="G55" s="125"/>
      <x:c r="H55" s="125"/>
      <x:c r="I55" s="125"/>
      <x:c r="J55" s="125"/>
      <x:c r="K55" s="125"/>
      <x:c r="L55" s="125"/>
      <x:c r="M55" s="125"/>
      <x:c r="N55" s="125"/>
      <x:c r="O55" s="125"/>
      <x:c r="P55" s="125"/>
      <x:c r="Q55" s="125"/>
    </x:row>
    <x:row r="56">
      <x:c r="A56" s="125"/>
      <x:c r="B56" s="125"/>
      <x:c r="C56" s="125"/>
      <x:c r="D56" s="125"/>
      <x:c r="E56" s="125"/>
      <x:c r="F56" s="125"/>
      <x:c r="G56" s="125"/>
      <x:c r="H56" s="125"/>
      <x:c r="I56" s="125"/>
      <x:c r="J56" s="125"/>
      <x:c r="K56" s="125"/>
      <x:c r="L56" s="125"/>
      <x:c r="M56" s="125"/>
      <x:c r="N56" s="125"/>
      <x:c r="O56" s="125"/>
      <x:c r="P56" s="125"/>
      <x:c r="Q56" s="125"/>
    </x:row>
    <x:row r="57">
      <x:c r="A57" s="125"/>
      <x:c r="B57" s="125"/>
      <x:c r="C57" s="125"/>
      <x:c r="D57" s="125"/>
      <x:c r="E57" s="125"/>
      <x:c r="F57" s="125"/>
      <x:c r="G57" s="125"/>
      <x:c r="H57" s="125"/>
      <x:c r="I57" s="125"/>
      <x:c r="J57" s="125"/>
      <x:c r="K57" s="125"/>
      <x:c r="L57" s="125"/>
      <x:c r="M57" s="125"/>
      <x:c r="N57" s="125"/>
      <x:c r="O57" s="125"/>
      <x:c r="P57" s="125"/>
      <x:c r="Q57" s="125"/>
    </x:row>
    <x:row r="58">
      <x:c r="A58" s="125"/>
      <x:c r="B58" s="125"/>
      <x:c r="C58" s="125"/>
      <x:c r="D58" s="125"/>
      <x:c r="E58" s="125"/>
      <x:c r="F58" s="125"/>
      <x:c r="G58" s="125"/>
      <x:c r="H58" s="125"/>
      <x:c r="I58" s="125"/>
      <x:c r="J58" s="125"/>
      <x:c r="K58" s="125"/>
      <x:c r="L58" s="125"/>
      <x:c r="M58" s="125"/>
      <x:c r="N58" s="125"/>
      <x:c r="O58" s="125"/>
      <x:c r="P58" s="125"/>
      <x:c r="Q58" s="125"/>
    </x:row>
    <x:row r="59">
      <x:c r="A59" s="125"/>
      <x:c r="B59" s="125"/>
      <x:c r="C59" s="125"/>
      <x:c r="D59" s="125"/>
      <x:c r="E59" s="125"/>
      <x:c r="F59" s="125"/>
      <x:c r="G59" s="125"/>
      <x:c r="H59" s="125"/>
      <x:c r="I59" s="125"/>
      <x:c r="J59" s="125"/>
      <x:c r="K59" s="125"/>
      <x:c r="L59" s="125"/>
      <x:c r="M59" s="125"/>
      <x:c r="N59" s="125"/>
      <x:c r="O59" s="125"/>
      <x:c r="P59" s="125"/>
      <x:c r="Q59" s="125"/>
    </x:row>
    <x:row r="60">
      <x:c r="A60" s="125"/>
      <x:c r="B60" s="125"/>
      <x:c r="C60" s="125"/>
      <x:c r="D60" s="125"/>
      <x:c r="E60" s="125"/>
      <x:c r="F60" s="125"/>
      <x:c r="G60" s="125"/>
      <x:c r="H60" s="125"/>
      <x:c r="I60" s="125"/>
      <x:c r="J60" s="125"/>
      <x:c r="K60" s="125"/>
      <x:c r="L60" s="125"/>
      <x:c r="M60" s="125"/>
      <x:c r="N60" s="125"/>
      <x:c r="O60" s="125"/>
      <x:c r="P60" s="125"/>
      <x:c r="Q60" s="125"/>
    </x:row>
    <x:row r="61">
      <x:c r="A61" s="125"/>
      <x:c r="B61" s="125"/>
      <x:c r="C61" s="125"/>
      <x:c r="D61" s="125"/>
      <x:c r="E61" s="125"/>
      <x:c r="F61" s="125"/>
      <x:c r="G61" s="125"/>
      <x:c r="H61" s="125"/>
      <x:c r="I61" s="125"/>
      <x:c r="J61" s="125"/>
      <x:c r="K61" s="125"/>
      <x:c r="L61" s="125"/>
      <x:c r="M61" s="125"/>
      <x:c r="N61" s="125"/>
      <x:c r="O61" s="125"/>
      <x:c r="P61" s="125"/>
      <x:c r="Q61" s="125"/>
    </x:row>
    <x:row r="62">
      <x:c r="A62" s="125"/>
      <x:c r="B62" s="125"/>
      <x:c r="C62" s="125"/>
      <x:c r="D62" s="125"/>
      <x:c r="E62" s="125"/>
      <x:c r="F62" s="125"/>
      <x:c r="G62" s="125"/>
      <x:c r="H62" s="125"/>
      <x:c r="I62" s="125"/>
      <x:c r="J62" s="125"/>
      <x:c r="K62" s="125"/>
      <x:c r="L62" s="125"/>
      <x:c r="M62" s="125"/>
      <x:c r="N62" s="125"/>
      <x:c r="O62" s="125"/>
      <x:c r="P62" s="125"/>
      <x:c r="Q62" s="125"/>
    </x:row>
    <x:row r="63">
      <x:c r="A63" s="125"/>
      <x:c r="B63" s="125"/>
      <x:c r="C63" s="125"/>
      <x:c r="D63" s="125"/>
      <x:c r="E63" s="125"/>
      <x:c r="F63" s="125"/>
      <x:c r="G63" s="125"/>
      <x:c r="H63" s="125"/>
      <x:c r="I63" s="125"/>
      <x:c r="J63" s="125"/>
      <x:c r="K63" s="125"/>
      <x:c r="L63" s="125"/>
      <x:c r="M63" s="125"/>
      <x:c r="N63" s="125"/>
      <x:c r="O63" s="125"/>
      <x:c r="P63" s="125"/>
      <x:c r="Q63" s="125"/>
    </x:row>
    <x:row r="64">
      <x:c r="A64" s="125"/>
      <x:c r="B64" s="125"/>
      <x:c r="C64" s="125"/>
      <x:c r="D64" s="125"/>
      <x:c r="E64" s="125"/>
      <x:c r="F64" s="125"/>
      <x:c r="G64" s="125"/>
      <x:c r="H64" s="125"/>
      <x:c r="I64" s="125"/>
      <x:c r="J64" s="125"/>
      <x:c r="K64" s="125"/>
      <x:c r="L64" s="125"/>
      <x:c r="M64" s="125"/>
      <x:c r="N64" s="125"/>
      <x:c r="O64" s="125"/>
      <x:c r="P64" s="125"/>
      <x:c r="Q64" s="125"/>
    </x:row>
    <x:row r="65">
      <x:c r="A65" s="125"/>
      <x:c r="B65" s="125"/>
      <x:c r="C65" s="125"/>
      <x:c r="D65" s="125"/>
      <x:c r="E65" s="125"/>
      <x:c r="F65" s="125"/>
      <x:c r="G65" s="125"/>
      <x:c r="H65" s="125"/>
      <x:c r="I65" s="125"/>
      <x:c r="J65" s="125"/>
      <x:c r="K65" s="125"/>
      <x:c r="L65" s="125"/>
      <x:c r="M65" s="125"/>
      <x:c r="N65" s="125"/>
      <x:c r="O65" s="125"/>
      <x:c r="P65" s="125"/>
      <x:c r="Q65" s="125"/>
    </x:row>
    <x:row r="66">
      <x:c r="A66" s="125"/>
      <x:c r="B66" s="125"/>
      <x:c r="C66" s="125"/>
      <x:c r="D66" s="125"/>
      <x:c r="E66" s="125"/>
      <x:c r="F66" s="125"/>
      <x:c r="G66" s="125"/>
      <x:c r="H66" s="125"/>
      <x:c r="I66" s="125"/>
      <x:c r="J66" s="125"/>
      <x:c r="K66" s="125"/>
      <x:c r="L66" s="125"/>
      <x:c r="M66" s="125"/>
      <x:c r="N66" s="125"/>
      <x:c r="O66" s="125"/>
      <x:c r="P66" s="125"/>
      <x:c r="Q66" s="125"/>
    </x:row>
    <x:row r="67">
      <x:c r="A67" s="125"/>
      <x:c r="B67" s="125"/>
      <x:c r="C67" s="125"/>
      <x:c r="D67" s="125"/>
      <x:c r="E67" s="125"/>
      <x:c r="F67" s="125"/>
      <x:c r="G67" s="125"/>
      <x:c r="H67" s="125"/>
      <x:c r="I67" s="125"/>
      <x:c r="J67" s="125"/>
      <x:c r="K67" s="125"/>
      <x:c r="L67" s="125"/>
      <x:c r="M67" s="125"/>
      <x:c r="N67" s="125"/>
      <x:c r="O67" s="125"/>
      <x:c r="P67" s="125"/>
      <x:c r="Q67" s="125"/>
    </x:row>
    <x:row r="68">
      <x:c r="A68" s="125"/>
      <x:c r="B68" s="125"/>
      <x:c r="C68" s="125"/>
      <x:c r="D68" s="125"/>
      <x:c r="E68" s="125"/>
      <x:c r="F68" s="125"/>
      <x:c r="G68" s="125"/>
      <x:c r="H68" s="125"/>
      <x:c r="I68" s="125"/>
      <x:c r="J68" s="125"/>
      <x:c r="K68" s="125"/>
      <x:c r="L68" s="125"/>
      <x:c r="M68" s="125"/>
      <x:c r="N68" s="125"/>
      <x:c r="O68" s="125"/>
      <x:c r="P68" s="125"/>
      <x:c r="Q68" s="125"/>
    </x:row>
    <x:row r="69">
      <x:c r="A69" s="125"/>
      <x:c r="B69" s="125"/>
      <x:c r="C69" s="125"/>
      <x:c r="D69" s="125"/>
      <x:c r="E69" s="125"/>
      <x:c r="F69" s="125"/>
      <x:c r="G69" s="125"/>
      <x:c r="H69" s="125"/>
      <x:c r="I69" s="125"/>
      <x:c r="J69" s="125"/>
      <x:c r="K69" s="125"/>
      <x:c r="L69" s="125"/>
      <x:c r="M69" s="125"/>
      <x:c r="N69" s="125"/>
      <x:c r="O69" s="125"/>
      <x:c r="P69" s="125"/>
      <x:c r="Q69" s="125"/>
    </x:row>
    <x:row r="70">
      <x:c r="A70" s="125"/>
      <x:c r="B70" s="125"/>
      <x:c r="C70" s="125"/>
      <x:c r="D70" s="125"/>
      <x:c r="E70" s="125"/>
      <x:c r="F70" s="125"/>
      <x:c r="G70" s="125"/>
      <x:c r="H70" s="125"/>
      <x:c r="I70" s="125"/>
      <x:c r="J70" s="125"/>
      <x:c r="K70" s="125"/>
      <x:c r="L70" s="125"/>
      <x:c r="M70" s="125"/>
      <x:c r="N70" s="125"/>
      <x:c r="O70" s="125"/>
      <x:c r="P70" s="125"/>
      <x:c r="Q70" s="125"/>
    </x:row>
    <x:row r="71">
      <x:c r="A71" s="125"/>
      <x:c r="B71" s="125"/>
      <x:c r="C71" s="125"/>
      <x:c r="D71" s="125"/>
      <x:c r="E71" s="125"/>
      <x:c r="F71" s="125"/>
      <x:c r="G71" s="125"/>
      <x:c r="H71" s="125"/>
      <x:c r="I71" s="125"/>
      <x:c r="J71" s="125"/>
      <x:c r="K71" s="125"/>
      <x:c r="L71" s="125"/>
      <x:c r="M71" s="125"/>
      <x:c r="N71" s="125"/>
      <x:c r="O71" s="125"/>
      <x:c r="P71" s="125"/>
      <x:c r="Q71" s="125"/>
    </x:row>
    <x:row r="72">
      <x:c r="A72" s="125"/>
      <x:c r="B72" s="125"/>
      <x:c r="C72" s="125"/>
      <x:c r="D72" s="125"/>
      <x:c r="E72" s="125"/>
      <x:c r="F72" s="125"/>
      <x:c r="G72" s="125"/>
      <x:c r="H72" s="125"/>
      <x:c r="I72" s="125"/>
      <x:c r="J72" s="125"/>
      <x:c r="K72" s="125"/>
      <x:c r="L72" s="125"/>
      <x:c r="M72" s="125"/>
      <x:c r="N72" s="125"/>
      <x:c r="O72" s="125"/>
      <x:c r="P72" s="125"/>
      <x:c r="Q72" s="125"/>
    </x:row>
    <x:row r="73">
      <x:c r="A73" s="125"/>
      <x:c r="B73" s="125"/>
      <x:c r="C73" s="125"/>
      <x:c r="D73" s="125"/>
      <x:c r="E73" s="125"/>
      <x:c r="F73" s="125"/>
      <x:c r="G73" s="125"/>
      <x:c r="H73" s="125"/>
      <x:c r="I73" s="125"/>
      <x:c r="J73" s="125"/>
      <x:c r="K73" s="125"/>
      <x:c r="L73" s="125"/>
      <x:c r="M73" s="125"/>
      <x:c r="N73" s="125"/>
      <x:c r="O73" s="125"/>
      <x:c r="P73" s="125"/>
      <x:c r="Q73" s="125"/>
    </x:row>
    <x:row r="74">
      <x:c r="A74" s="125"/>
      <x:c r="B74" s="125"/>
      <x:c r="C74" s="125"/>
      <x:c r="D74" s="125"/>
      <x:c r="E74" s="125"/>
      <x:c r="F74" s="125"/>
      <x:c r="G74" s="125"/>
      <x:c r="H74" s="125"/>
      <x:c r="I74" s="125"/>
      <x:c r="J74" s="125"/>
      <x:c r="K74" s="125"/>
      <x:c r="L74" s="125"/>
      <x:c r="M74" s="125"/>
      <x:c r="N74" s="125"/>
      <x:c r="O74" s="125"/>
      <x:c r="P74" s="125"/>
      <x:c r="Q74" s="125"/>
    </x:row>
    <x:row r="75">
      <x:c r="A75" s="125"/>
      <x:c r="B75" s="125"/>
      <x:c r="C75" s="125"/>
      <x:c r="D75" s="125"/>
      <x:c r="E75" s="125"/>
      <x:c r="F75" s="125"/>
      <x:c r="G75" s="125"/>
      <x:c r="H75" s="125"/>
      <x:c r="I75" s="125"/>
      <x:c r="J75" s="125"/>
      <x:c r="K75" s="125"/>
      <x:c r="L75" s="125"/>
      <x:c r="M75" s="125"/>
      <x:c r="N75" s="125"/>
      <x:c r="O75" s="125"/>
      <x:c r="P75" s="125"/>
      <x:c r="Q75" s="125"/>
    </x:row>
    <x:row r="76">
      <x:c r="A76" s="125"/>
      <x:c r="B76" s="125"/>
      <x:c r="C76" s="125"/>
      <x:c r="D76" s="125"/>
      <x:c r="E76" s="125"/>
      <x:c r="F76" s="125"/>
      <x:c r="G76" s="125"/>
      <x:c r="H76" s="125"/>
      <x:c r="I76" s="125"/>
      <x:c r="J76" s="125"/>
      <x:c r="K76" s="125"/>
      <x:c r="L76" s="125"/>
      <x:c r="M76" s="125"/>
      <x:c r="N76" s="125"/>
      <x:c r="O76" s="125"/>
      <x:c r="P76" s="125"/>
      <x:c r="Q76" s="125"/>
    </x:row>
    <x:row r="77">
      <x:c r="A77" s="125"/>
      <x:c r="B77" s="125"/>
      <x:c r="C77" s="125"/>
      <x:c r="D77" s="125"/>
      <x:c r="E77" s="125"/>
      <x:c r="F77" s="125"/>
      <x:c r="G77" s="125"/>
      <x:c r="H77" s="125"/>
      <x:c r="I77" s="125"/>
      <x:c r="J77" s="125"/>
      <x:c r="K77" s="125"/>
      <x:c r="L77" s="125"/>
      <x:c r="M77" s="125"/>
      <x:c r="N77" s="125"/>
      <x:c r="O77" s="125"/>
      <x:c r="P77" s="125"/>
      <x:c r="Q77" s="125"/>
    </x:row>
    <x:row r="78">
      <x:c r="A78" s="125"/>
      <x:c r="B78" s="125"/>
      <x:c r="C78" s="125"/>
      <x:c r="D78" s="125"/>
      <x:c r="E78" s="125"/>
      <x:c r="F78" s="125"/>
      <x:c r="G78" s="125"/>
      <x:c r="H78" s="125"/>
      <x:c r="I78" s="125"/>
      <x:c r="J78" s="125"/>
      <x:c r="K78" s="125"/>
      <x:c r="L78" s="125"/>
      <x:c r="M78" s="125"/>
      <x:c r="N78" s="125"/>
      <x:c r="O78" s="125"/>
      <x:c r="P78" s="125"/>
      <x:c r="Q78" s="125"/>
    </x:row>
    <x:row r="79">
      <x:c r="A79" s="125"/>
      <x:c r="B79" s="125"/>
      <x:c r="C79" s="125"/>
      <x:c r="D79" s="125"/>
      <x:c r="E79" s="125"/>
      <x:c r="F79" s="125"/>
      <x:c r="G79" s="125"/>
      <x:c r="H79" s="125"/>
      <x:c r="I79" s="125"/>
      <x:c r="J79" s="125"/>
      <x:c r="K79" s="125"/>
      <x:c r="L79" s="125"/>
      <x:c r="M79" s="125"/>
      <x:c r="N79" s="125"/>
      <x:c r="O79" s="125"/>
      <x:c r="P79" s="125"/>
      <x:c r="Q79" s="125"/>
    </x:row>
    <x:row r="80">
      <x:c r="A80" s="125"/>
      <x:c r="B80" s="125"/>
      <x:c r="C80" s="125"/>
      <x:c r="D80" s="125"/>
      <x:c r="E80" s="125"/>
      <x:c r="F80" s="125"/>
      <x:c r="G80" s="125"/>
      <x:c r="H80" s="125"/>
      <x:c r="I80" s="125"/>
      <x:c r="J80" s="125"/>
      <x:c r="K80" s="125"/>
      <x:c r="L80" s="125"/>
      <x:c r="M80" s="125"/>
      <x:c r="N80" s="125"/>
      <x:c r="O80" s="125"/>
      <x:c r="P80" s="125"/>
      <x:c r="Q80" s="125"/>
    </x:row>
    <x:row r="81">
      <x:c r="A81" s="125"/>
      <x:c r="B81" s="125"/>
      <x:c r="C81" s="125"/>
      <x:c r="D81" s="125"/>
      <x:c r="E81" s="125"/>
      <x:c r="F81" s="125"/>
      <x:c r="G81" s="125"/>
      <x:c r="H81" s="125"/>
      <x:c r="I81" s="125"/>
      <x:c r="J81" s="125"/>
      <x:c r="K81" s="125"/>
      <x:c r="L81" s="125"/>
      <x:c r="M81" s="125"/>
      <x:c r="N81" s="125"/>
      <x:c r="O81" s="125"/>
      <x:c r="P81" s="125"/>
      <x:c r="Q81" s="125"/>
    </x:row>
    <x:row r="82">
      <x:c r="A82" s="125"/>
      <x:c r="B82" s="125"/>
      <x:c r="C82" s="125"/>
      <x:c r="D82" s="125"/>
      <x:c r="E82" s="125"/>
      <x:c r="F82" s="125"/>
      <x:c r="G82" s="125"/>
      <x:c r="H82" s="125"/>
      <x:c r="I82" s="125"/>
      <x:c r="J82" s="125"/>
      <x:c r="K82" s="125"/>
      <x:c r="L82" s="125"/>
      <x:c r="M82" s="125"/>
      <x:c r="N82" s="125"/>
      <x:c r="O82" s="125"/>
      <x:c r="P82" s="125"/>
      <x:c r="Q82" s="125"/>
    </x:row>
    <x:row r="83">
      <x:c r="A83" s="125"/>
      <x:c r="B83" s="125"/>
      <x:c r="C83" s="125"/>
      <x:c r="D83" s="125"/>
      <x:c r="E83" s="125"/>
      <x:c r="F83" s="125"/>
      <x:c r="G83" s="125"/>
      <x:c r="H83" s="125"/>
      <x:c r="I83" s="125"/>
      <x:c r="J83" s="125"/>
      <x:c r="K83" s="125"/>
      <x:c r="L83" s="125"/>
      <x:c r="M83" s="125"/>
      <x:c r="N83" s="125"/>
      <x:c r="O83" s="125"/>
      <x:c r="P83" s="125"/>
      <x:c r="Q83" s="125"/>
    </x:row>
    <x:row r="84">
      <x:c r="A84" s="125"/>
      <x:c r="B84" s="125"/>
      <x:c r="C84" s="125"/>
      <x:c r="D84" s="125"/>
      <x:c r="E84" s="125"/>
      <x:c r="F84" s="125"/>
      <x:c r="G84" s="125"/>
      <x:c r="H84" s="125"/>
      <x:c r="I84" s="125"/>
      <x:c r="J84" s="125"/>
      <x:c r="K84" s="125"/>
      <x:c r="L84" s="125"/>
      <x:c r="M84" s="125"/>
      <x:c r="N84" s="125"/>
      <x:c r="O84" s="125"/>
      <x:c r="P84" s="125"/>
      <x:c r="Q84" s="125"/>
    </x:row>
    <x:row r="85">
      <x:c r="A85" s="125"/>
      <x:c r="B85" s="125"/>
      <x:c r="C85" s="125"/>
      <x:c r="D85" s="125"/>
      <x:c r="E85" s="125"/>
      <x:c r="F85" s="125"/>
      <x:c r="G85" s="125"/>
      <x:c r="H85" s="125"/>
      <x:c r="I85" s="125"/>
      <x:c r="J85" s="125"/>
      <x:c r="K85" s="125"/>
      <x:c r="L85" s="125"/>
      <x:c r="M85" s="125"/>
      <x:c r="N85" s="125"/>
      <x:c r="O85" s="125"/>
      <x:c r="P85" s="125"/>
      <x:c r="Q85" s="125"/>
    </x:row>
    <x:row r="86">
      <x:c r="A86" s="125"/>
      <x:c r="B86" s="125"/>
      <x:c r="C86" s="125"/>
      <x:c r="D86" s="125"/>
      <x:c r="E86" s="125"/>
      <x:c r="F86" s="125"/>
      <x:c r="G86" s="125"/>
      <x:c r="H86" s="125"/>
      <x:c r="I86" s="125"/>
      <x:c r="J86" s="125"/>
      <x:c r="K86" s="125"/>
      <x:c r="L86" s="125"/>
      <x:c r="M86" s="125"/>
      <x:c r="N86" s="125"/>
      <x:c r="O86" s="125"/>
      <x:c r="P86" s="125"/>
      <x:c r="Q86" s="125"/>
    </x:row>
    <x:row r="87">
      <x:c r="A87" s="125"/>
      <x:c r="B87" s="125"/>
      <x:c r="C87" s="125"/>
      <x:c r="D87" s="125"/>
      <x:c r="E87" s="125"/>
      <x:c r="F87" s="125"/>
      <x:c r="G87" s="125"/>
      <x:c r="H87" s="125"/>
      <x:c r="I87" s="125"/>
      <x:c r="J87" s="125"/>
      <x:c r="K87" s="125"/>
      <x:c r="L87" s="125"/>
      <x:c r="M87" s="125"/>
      <x:c r="N87" s="125"/>
      <x:c r="O87" s="125"/>
      <x:c r="P87" s="125"/>
      <x:c r="Q87" s="125"/>
    </x:row>
    <x:row r="88">
      <x:c r="A88" s="125"/>
      <x:c r="B88" s="125"/>
      <x:c r="C88" s="125"/>
      <x:c r="D88" s="125"/>
      <x:c r="E88" s="125"/>
      <x:c r="F88" s="125"/>
      <x:c r="G88" s="125"/>
      <x:c r="H88" s="125"/>
      <x:c r="I88" s="125"/>
      <x:c r="J88" s="125"/>
      <x:c r="K88" s="125"/>
      <x:c r="L88" s="125"/>
      <x:c r="M88" s="125"/>
      <x:c r="N88" s="125"/>
      <x:c r="O88" s="125"/>
      <x:c r="P88" s="125"/>
      <x:c r="Q88" s="125"/>
    </x:row>
    <x:row r="89">
      <x:c r="A89" s="125"/>
      <x:c r="B89" s="125"/>
      <x:c r="C89" s="125"/>
      <x:c r="D89" s="125"/>
      <x:c r="E89" s="125"/>
      <x:c r="F89" s="125"/>
      <x:c r="G89" s="125"/>
      <x:c r="H89" s="125"/>
      <x:c r="I89" s="125"/>
      <x:c r="J89" s="125"/>
      <x:c r="K89" s="125"/>
      <x:c r="L89" s="125"/>
      <x:c r="M89" s="125"/>
      <x:c r="N89" s="125"/>
      <x:c r="O89" s="125"/>
      <x:c r="P89" s="125"/>
      <x:c r="Q89" s="125"/>
    </x:row>
    <x:row r="90">
      <x:c r="A90" s="125"/>
      <x:c r="B90" s="125"/>
      <x:c r="C90" s="125"/>
      <x:c r="D90" s="125"/>
      <x:c r="E90" s="125"/>
      <x:c r="F90" s="125"/>
      <x:c r="G90" s="125"/>
      <x:c r="H90" s="125"/>
      <x:c r="I90" s="125"/>
      <x:c r="J90" s="125"/>
      <x:c r="K90" s="125"/>
      <x:c r="L90" s="125"/>
      <x:c r="M90" s="125"/>
      <x:c r="N90" s="125"/>
      <x:c r="O90" s="125"/>
      <x:c r="P90" s="125"/>
      <x:c r="Q90" s="125"/>
    </x:row>
    <x:row r="91">
      <x:c r="A91" s="125"/>
      <x:c r="B91" s="125"/>
      <x:c r="C91" s="125"/>
      <x:c r="D91" s="125"/>
      <x:c r="E91" s="125"/>
      <x:c r="F91" s="125"/>
      <x:c r="G91" s="125"/>
      <x:c r="H91" s="125"/>
      <x:c r="I91" s="125"/>
      <x:c r="J91" s="125"/>
      <x:c r="K91" s="125"/>
      <x:c r="L91" s="125"/>
      <x:c r="M91" s="125"/>
      <x:c r="N91" s="125"/>
      <x:c r="O91" s="125"/>
      <x:c r="P91" s="125"/>
      <x:c r="Q91" s="125"/>
    </x:row>
    <x:row r="92">
      <x:c r="A92" s="125"/>
      <x:c r="B92" s="125"/>
      <x:c r="C92" s="125"/>
      <x:c r="D92" s="125"/>
      <x:c r="E92" s="125"/>
      <x:c r="F92" s="125"/>
      <x:c r="G92" s="125"/>
      <x:c r="H92" s="125"/>
      <x:c r="I92" s="125"/>
      <x:c r="J92" s="125"/>
      <x:c r="K92" s="125"/>
      <x:c r="L92" s="125"/>
      <x:c r="M92" s="125"/>
      <x:c r="N92" s="125"/>
      <x:c r="O92" s="125"/>
      <x:c r="P92" s="125"/>
      <x:c r="Q92" s="125"/>
    </x:row>
    <x:row r="93">
      <x:c r="A93" s="125"/>
      <x:c r="B93" s="125"/>
      <x:c r="C93" s="125"/>
      <x:c r="D93" s="125"/>
      <x:c r="E93" s="125"/>
      <x:c r="F93" s="125"/>
      <x:c r="G93" s="125"/>
      <x:c r="H93" s="125"/>
      <x:c r="I93" s="125"/>
      <x:c r="J93" s="125"/>
      <x:c r="K93" s="125"/>
      <x:c r="L93" s="125"/>
      <x:c r="M93" s="125"/>
      <x:c r="N93" s="125"/>
      <x:c r="O93" s="125"/>
      <x:c r="P93" s="125"/>
      <x:c r="Q93" s="125"/>
    </x:row>
    <x:row r="94">
      <x:c r="A94" s="125"/>
      <x:c r="B94" s="125"/>
      <x:c r="C94" s="125"/>
      <x:c r="D94" s="125"/>
      <x:c r="E94" s="125"/>
      <x:c r="F94" s="125"/>
      <x:c r="G94" s="125"/>
      <x:c r="H94" s="125"/>
      <x:c r="I94" s="125"/>
      <x:c r="J94" s="125"/>
      <x:c r="K94" s="125"/>
      <x:c r="L94" s="125"/>
      <x:c r="M94" s="125"/>
      <x:c r="N94" s="125"/>
      <x:c r="O94" s="125"/>
      <x:c r="P94" s="125"/>
      <x:c r="Q94" s="125"/>
    </x:row>
    <x:row r="95">
      <x:c r="A95" s="125"/>
      <x:c r="B95" s="125"/>
      <x:c r="C95" s="125"/>
      <x:c r="D95" s="125"/>
      <x:c r="E95" s="125"/>
      <x:c r="F95" s="125"/>
      <x:c r="G95" s="125"/>
      <x:c r="H95" s="125"/>
      <x:c r="I95" s="125"/>
      <x:c r="J95" s="125"/>
      <x:c r="K95" s="125"/>
      <x:c r="L95" s="125"/>
      <x:c r="M95" s="125"/>
      <x:c r="N95" s="125"/>
      <x:c r="O95" s="125"/>
      <x:c r="P95" s="125"/>
      <x:c r="Q95" s="125"/>
    </x:row>
    <x:row r="96">
      <x:c r="A96" s="125"/>
      <x:c r="B96" s="125"/>
      <x:c r="C96" s="125"/>
      <x:c r="D96" s="125"/>
      <x:c r="E96" s="125"/>
      <x:c r="F96" s="125"/>
      <x:c r="G96" s="125"/>
      <x:c r="H96" s="125"/>
      <x:c r="I96" s="125"/>
      <x:c r="J96" s="125"/>
      <x:c r="K96" s="125"/>
      <x:c r="L96" s="125"/>
      <x:c r="M96" s="125"/>
      <x:c r="N96" s="125"/>
      <x:c r="O96" s="125"/>
      <x:c r="P96" s="125"/>
      <x:c r="Q96" s="125"/>
    </x:row>
    <x:row r="97">
      <x:c r="A97" s="125"/>
      <x:c r="B97" s="125"/>
      <x:c r="C97" s="125"/>
      <x:c r="D97" s="125"/>
      <x:c r="E97" s="125"/>
      <x:c r="F97" s="125"/>
      <x:c r="G97" s="125"/>
      <x:c r="H97" s="125"/>
      <x:c r="I97" s="125"/>
      <x:c r="J97" s="125"/>
      <x:c r="K97" s="125"/>
      <x:c r="L97" s="125"/>
      <x:c r="M97" s="125"/>
      <x:c r="N97" s="125"/>
      <x:c r="O97" s="125"/>
      <x:c r="P97" s="125"/>
      <x:c r="Q97" s="125"/>
    </x:row>
    <x:row r="98">
      <x:c r="A98" s="125"/>
      <x:c r="B98" s="125"/>
      <x:c r="C98" s="125"/>
      <x:c r="D98" s="125"/>
      <x:c r="E98" s="125"/>
      <x:c r="F98" s="125"/>
      <x:c r="G98" s="125"/>
      <x:c r="H98" s="125"/>
      <x:c r="I98" s="125"/>
      <x:c r="J98" s="125"/>
      <x:c r="K98" s="125"/>
      <x:c r="L98" s="125"/>
      <x:c r="M98" s="125"/>
      <x:c r="N98" s="125"/>
      <x:c r="O98" s="125"/>
      <x:c r="P98" s="125"/>
      <x:c r="Q98" s="125"/>
    </x:row>
    <x:row r="99">
      <x:c r="A99" s="125"/>
      <x:c r="B99" s="125"/>
      <x:c r="C99" s="125"/>
      <x:c r="D99" s="125"/>
      <x:c r="E99" s="125"/>
      <x:c r="F99" s="125"/>
      <x:c r="G99" s="125"/>
      <x:c r="H99" s="125"/>
      <x:c r="I99" s="125"/>
      <x:c r="J99" s="125"/>
      <x:c r="K99" s="125"/>
      <x:c r="L99" s="125"/>
      <x:c r="M99" s="125"/>
      <x:c r="N99" s="125"/>
      <x:c r="O99" s="125"/>
      <x:c r="P99" s="125"/>
      <x:c r="Q99" s="125"/>
    </x:row>
    <x:row r="100">
      <x:c r="A100" s="125"/>
      <x:c r="B100" s="125"/>
      <x:c r="C100" s="125"/>
      <x:c r="D100" s="125"/>
      <x:c r="E100" s="125"/>
      <x:c r="F100" s="125"/>
      <x:c r="G100" s="125"/>
      <x:c r="H100" s="125"/>
      <x:c r="I100" s="125"/>
      <x:c r="J100" s="125"/>
      <x:c r="K100" s="125"/>
      <x:c r="L100" s="125"/>
      <x:c r="M100" s="125"/>
      <x:c r="N100" s="125"/>
      <x:c r="O100" s="125"/>
      <x:c r="P100" s="125"/>
      <x:c r="Q100" s="125"/>
    </x:row>
    <x:row r="101">
      <x:c r="A101" s="125"/>
      <x:c r="B101" s="125"/>
      <x:c r="C101" s="125"/>
      <x:c r="D101" s="125"/>
      <x:c r="E101" s="125"/>
      <x:c r="F101" s="125"/>
      <x:c r="G101" s="125"/>
      <x:c r="H101" s="125"/>
      <x:c r="I101" s="125"/>
      <x:c r="J101" s="125"/>
      <x:c r="K101" s="125"/>
      <x:c r="L101" s="125"/>
      <x:c r="M101" s="125"/>
      <x:c r="N101" s="125"/>
      <x:c r="O101" s="125"/>
      <x:c r="P101" s="125"/>
      <x:c r="Q101" s="125"/>
    </x:row>
    <x:row r="102">
      <x:c r="A102" s="125"/>
      <x:c r="B102" s="125"/>
      <x:c r="C102" s="125"/>
      <x:c r="D102" s="125"/>
      <x:c r="E102" s="125"/>
      <x:c r="F102" s="125"/>
      <x:c r="G102" s="125"/>
      <x:c r="H102" s="125"/>
      <x:c r="I102" s="125"/>
      <x:c r="J102" s="125"/>
      <x:c r="K102" s="125"/>
      <x:c r="L102" s="125"/>
      <x:c r="M102" s="125"/>
      <x:c r="N102" s="125"/>
      <x:c r="O102" s="125"/>
      <x:c r="P102" s="125"/>
      <x:c r="Q102" s="125"/>
    </x:row>
    <x:row r="103">
      <x:c r="A103" s="125"/>
      <x:c r="B103" s="125"/>
      <x:c r="C103" s="125"/>
      <x:c r="D103" s="125"/>
      <x:c r="E103" s="125"/>
      <x:c r="F103" s="125"/>
      <x:c r="G103" s="125"/>
      <x:c r="H103" s="125"/>
      <x:c r="I103" s="125"/>
      <x:c r="J103" s="125"/>
      <x:c r="K103" s="125"/>
      <x:c r="L103" s="125"/>
      <x:c r="M103" s="125"/>
      <x:c r="N103" s="125"/>
      <x:c r="O103" s="125"/>
      <x:c r="P103" s="125"/>
      <x:c r="Q103" s="125"/>
    </x:row>
    <x:row r="104">
      <x:c r="A104" s="125"/>
      <x:c r="B104" s="125"/>
      <x:c r="C104" s="125"/>
      <x:c r="D104" s="125"/>
      <x:c r="E104" s="125"/>
      <x:c r="F104" s="125"/>
      <x:c r="G104" s="125"/>
      <x:c r="H104" s="125"/>
      <x:c r="I104" s="125"/>
      <x:c r="J104" s="125"/>
      <x:c r="K104" s="125"/>
      <x:c r="L104" s="125"/>
      <x:c r="M104" s="125"/>
      <x:c r="N104" s="125"/>
      <x:c r="O104" s="125"/>
      <x:c r="P104" s="125"/>
      <x:c r="Q104" s="125"/>
    </x:row>
    <x:row r="105">
      <x:c r="A105" s="125"/>
      <x:c r="B105" s="125"/>
      <x:c r="C105" s="125"/>
      <x:c r="D105" s="125"/>
      <x:c r="E105" s="125"/>
      <x:c r="F105" s="125"/>
      <x:c r="G105" s="125"/>
      <x:c r="H105" s="125"/>
      <x:c r="I105" s="125"/>
      <x:c r="J105" s="125"/>
      <x:c r="K105" s="125"/>
      <x:c r="L105" s="125"/>
      <x:c r="M105" s="125"/>
      <x:c r="N105" s="125"/>
      <x:c r="O105" s="125"/>
      <x:c r="P105" s="125"/>
      <x:c r="Q105" s="125"/>
    </x:row>
    <x:row r="106">
      <x:c r="A106" s="125"/>
      <x:c r="B106" s="125"/>
      <x:c r="C106" s="125"/>
      <x:c r="D106" s="125"/>
      <x:c r="E106" s="125"/>
      <x:c r="F106" s="125"/>
      <x:c r="G106" s="125"/>
      <x:c r="H106" s="125"/>
      <x:c r="I106" s="125"/>
      <x:c r="J106" s="125"/>
      <x:c r="K106" s="125"/>
      <x:c r="L106" s="125"/>
      <x:c r="M106" s="125"/>
      <x:c r="N106" s="125"/>
      <x:c r="O106" s="125"/>
      <x:c r="P106" s="125"/>
      <x:c r="Q106" s="125"/>
    </x:row>
    <x:row r="107">
      <x:c r="A107" s="125"/>
      <x:c r="B107" s="125"/>
      <x:c r="C107" s="125"/>
      <x:c r="D107" s="125"/>
      <x:c r="E107" s="125"/>
      <x:c r="F107" s="125"/>
      <x:c r="G107" s="125"/>
      <x:c r="H107" s="125"/>
      <x:c r="I107" s="125"/>
      <x:c r="J107" s="125"/>
      <x:c r="K107" s="125"/>
      <x:c r="L107" s="125"/>
      <x:c r="M107" s="125"/>
      <x:c r="N107" s="125"/>
      <x:c r="O107" s="125"/>
      <x:c r="P107" s="125"/>
      <x:c r="Q107" s="125"/>
    </x:row>
    <x:row r="108">
      <x:c r="A108" s="125"/>
      <x:c r="B108" s="125"/>
      <x:c r="C108" s="125"/>
      <x:c r="D108" s="125"/>
      <x:c r="E108" s="125"/>
      <x:c r="F108" s="125"/>
      <x:c r="G108" s="125"/>
      <x:c r="H108" s="125"/>
      <x:c r="I108" s="125"/>
      <x:c r="J108" s="125"/>
      <x:c r="K108" s="125"/>
      <x:c r="L108" s="125"/>
      <x:c r="M108" s="125"/>
      <x:c r="N108" s="125"/>
      <x:c r="O108" s="125"/>
      <x:c r="P108" s="125"/>
      <x:c r="Q108" s="125"/>
    </x:row>
    <x:row r="109">
      <x:c r="A109" s="125"/>
      <x:c r="B109" s="125"/>
      <x:c r="C109" s="125"/>
      <x:c r="D109" s="125"/>
      <x:c r="E109" s="125"/>
      <x:c r="F109" s="125"/>
      <x:c r="G109" s="125"/>
      <x:c r="H109" s="125"/>
      <x:c r="I109" s="125"/>
      <x:c r="J109" s="125"/>
      <x:c r="K109" s="125"/>
      <x:c r="L109" s="125"/>
      <x:c r="M109" s="125"/>
      <x:c r="N109" s="125"/>
      <x:c r="O109" s="125"/>
      <x:c r="P109" s="125"/>
      <x:c r="Q109" s="125"/>
    </x:row>
    <x:row r="110">
      <x:c r="A110" s="125"/>
      <x:c r="B110" s="125"/>
      <x:c r="C110" s="125"/>
      <x:c r="D110" s="125"/>
      <x:c r="E110" s="125"/>
      <x:c r="F110" s="125"/>
      <x:c r="G110" s="125"/>
      <x:c r="H110" s="125"/>
      <x:c r="I110" s="125"/>
      <x:c r="J110" s="125"/>
      <x:c r="K110" s="125"/>
      <x:c r="L110" s="125"/>
      <x:c r="M110" s="125"/>
      <x:c r="N110" s="125"/>
      <x:c r="O110" s="125"/>
      <x:c r="P110" s="125"/>
      <x:c r="Q110" s="125"/>
    </x:row>
    <x:row r="111">
      <x:c r="A111" s="125"/>
      <x:c r="B111" s="125"/>
      <x:c r="C111" s="125"/>
      <x:c r="D111" s="125"/>
      <x:c r="E111" s="125"/>
      <x:c r="F111" s="125"/>
      <x:c r="G111" s="125"/>
      <x:c r="H111" s="125"/>
      <x:c r="I111" s="125"/>
      <x:c r="J111" s="125"/>
      <x:c r="K111" s="125"/>
      <x:c r="L111" s="125"/>
      <x:c r="M111" s="125"/>
      <x:c r="N111" s="125"/>
      <x:c r="O111" s="125"/>
      <x:c r="P111" s="125"/>
      <x:c r="Q111" s="125"/>
    </x:row>
    <x:row r="112">
      <x:c r="A112" s="125"/>
      <x:c r="B112" s="125"/>
      <x:c r="C112" s="125"/>
      <x:c r="D112" s="125"/>
      <x:c r="E112" s="125"/>
      <x:c r="F112" s="125"/>
      <x:c r="G112" s="125"/>
      <x:c r="H112" s="125"/>
      <x:c r="I112" s="125"/>
      <x:c r="J112" s="125"/>
      <x:c r="K112" s="125"/>
      <x:c r="L112" s="125"/>
      <x:c r="M112" s="125"/>
      <x:c r="N112" s="125"/>
      <x:c r="O112" s="125"/>
      <x:c r="P112" s="125"/>
      <x:c r="Q112" s="125"/>
    </x:row>
    <x:row r="113">
      <x:c r="A113" s="125"/>
      <x:c r="B113" s="125"/>
      <x:c r="C113" s="125"/>
      <x:c r="D113" s="125"/>
      <x:c r="E113" s="125"/>
      <x:c r="F113" s="125"/>
      <x:c r="G113" s="125"/>
      <x:c r="H113" s="125"/>
      <x:c r="I113" s="125"/>
      <x:c r="J113" s="125"/>
      <x:c r="K113" s="125"/>
      <x:c r="L113" s="125"/>
      <x:c r="M113" s="125"/>
      <x:c r="N113" s="125"/>
      <x:c r="O113" s="125"/>
      <x:c r="P113" s="125"/>
      <x:c r="Q113" s="125"/>
    </x:row>
    <x:row r="114">
      <x:c r="A114" s="125"/>
      <x:c r="B114" s="125"/>
      <x:c r="C114" s="125"/>
      <x:c r="D114" s="125"/>
      <x:c r="E114" s="125"/>
      <x:c r="F114" s="125"/>
      <x:c r="G114" s="125"/>
      <x:c r="H114" s="125"/>
      <x:c r="I114" s="125"/>
      <x:c r="J114" s="125"/>
      <x:c r="K114" s="125"/>
      <x:c r="L114" s="125"/>
      <x:c r="M114" s="125"/>
      <x:c r="N114" s="125"/>
      <x:c r="O114" s="125"/>
      <x:c r="P114" s="125"/>
      <x:c r="Q114" s="125"/>
    </x:row>
    <x:row r="115">
      <x:c r="A115" s="125"/>
      <x:c r="B115" s="125"/>
      <x:c r="C115" s="125"/>
      <x:c r="D115" s="125"/>
      <x:c r="E115" s="125"/>
      <x:c r="F115" s="125"/>
      <x:c r="G115" s="125"/>
      <x:c r="H115" s="125"/>
      <x:c r="I115" s="125"/>
      <x:c r="J115" s="125"/>
      <x:c r="K115" s="125"/>
      <x:c r="L115" s="125"/>
      <x:c r="M115" s="125"/>
      <x:c r="N115" s="125"/>
      <x:c r="O115" s="125"/>
      <x:c r="P115" s="125"/>
      <x:c r="Q115" s="125"/>
    </x:row>
    <x:row r="116">
      <x:c r="A116" s="125"/>
      <x:c r="B116" s="125"/>
      <x:c r="C116" s="125"/>
      <x:c r="D116" s="125"/>
      <x:c r="E116" s="125"/>
      <x:c r="F116" s="125"/>
      <x:c r="G116" s="125"/>
      <x:c r="H116" s="125"/>
      <x:c r="I116" s="125"/>
      <x:c r="J116" s="125"/>
      <x:c r="K116" s="125"/>
      <x:c r="L116" s="125"/>
      <x:c r="M116" s="125"/>
      <x:c r="N116" s="125"/>
      <x:c r="O116" s="125"/>
      <x:c r="P116" s="125"/>
      <x:c r="Q116" s="125"/>
    </x:row>
    <x:row r="117">
      <x:c r="A117" s="125"/>
      <x:c r="B117" s="125"/>
      <x:c r="C117" s="125"/>
      <x:c r="D117" s="125"/>
      <x:c r="E117" s="125"/>
      <x:c r="F117" s="125"/>
      <x:c r="G117" s="125"/>
      <x:c r="H117" s="125"/>
      <x:c r="I117" s="125"/>
      <x:c r="J117" s="125"/>
      <x:c r="K117" s="125"/>
      <x:c r="L117" s="125"/>
      <x:c r="M117" s="125"/>
      <x:c r="N117" s="125"/>
      <x:c r="O117" s="125"/>
      <x:c r="P117" s="125"/>
      <x:c r="Q117" s="125"/>
    </x:row>
    <x:row r="118">
      <x:c r="A118" s="125"/>
      <x:c r="B118" s="125"/>
      <x:c r="C118" s="125"/>
      <x:c r="D118" s="125"/>
      <x:c r="E118" s="125"/>
      <x:c r="F118" s="125"/>
      <x:c r="G118" s="125"/>
      <x:c r="H118" s="125"/>
      <x:c r="I118" s="125"/>
      <x:c r="J118" s="125"/>
      <x:c r="K118" s="125"/>
      <x:c r="L118" s="125"/>
      <x:c r="M118" s="125"/>
      <x:c r="N118" s="125"/>
      <x:c r="O118" s="125"/>
      <x:c r="P118" s="125"/>
      <x:c r="Q118" s="125"/>
    </x:row>
    <x:row r="119">
      <x:c r="A119" s="125"/>
      <x:c r="B119" s="125"/>
      <x:c r="C119" s="125"/>
      <x:c r="D119" s="125"/>
      <x:c r="E119" s="125"/>
      <x:c r="F119" s="125"/>
      <x:c r="G119" s="125"/>
      <x:c r="H119" s="125"/>
      <x:c r="I119" s="125"/>
      <x:c r="J119" s="125"/>
      <x:c r="K119" s="125"/>
      <x:c r="L119" s="125"/>
      <x:c r="M119" s="125"/>
      <x:c r="N119" s="125"/>
      <x:c r="O119" s="125"/>
      <x:c r="P119" s="125"/>
      <x:c r="Q119" s="125"/>
    </x:row>
    <x:row r="120">
      <x:c r="A120" s="125"/>
      <x:c r="B120" s="125"/>
      <x:c r="C120" s="125"/>
      <x:c r="D120" s="125"/>
      <x:c r="E120" s="125"/>
      <x:c r="F120" s="125"/>
      <x:c r="G120" s="125"/>
      <x:c r="H120" s="125"/>
      <x:c r="I120" s="125"/>
      <x:c r="J120" s="125"/>
      <x:c r="K120" s="125"/>
      <x:c r="L120" s="125"/>
      <x:c r="M120" s="125"/>
      <x:c r="N120" s="125"/>
      <x:c r="O120" s="125"/>
      <x:c r="P120" s="125"/>
      <x:c r="Q120" s="125"/>
    </x:row>
    <x:row r="121">
      <x:c r="A121" s="125"/>
      <x:c r="B121" s="125"/>
      <x:c r="C121" s="125"/>
      <x:c r="D121" s="125"/>
      <x:c r="E121" s="125"/>
      <x:c r="F121" s="125"/>
      <x:c r="G121" s="125"/>
      <x:c r="H121" s="125"/>
      <x:c r="I121" s="125"/>
      <x:c r="J121" s="125"/>
      <x:c r="K121" s="125"/>
      <x:c r="L121" s="125"/>
      <x:c r="M121" s="125"/>
      <x:c r="N121" s="125"/>
      <x:c r="O121" s="125"/>
      <x:c r="P121" s="125"/>
      <x:c r="Q121" s="125"/>
    </x:row>
    <x:row r="122">
      <x:c r="A122" s="125"/>
      <x:c r="B122" s="125"/>
      <x:c r="C122" s="125"/>
      <x:c r="D122" s="125"/>
      <x:c r="E122" s="125"/>
      <x:c r="F122" s="125"/>
      <x:c r="G122" s="125"/>
      <x:c r="H122" s="125"/>
      <x:c r="I122" s="125"/>
      <x:c r="J122" s="125"/>
      <x:c r="K122" s="125"/>
      <x:c r="L122" s="125"/>
      <x:c r="M122" s="125"/>
      <x:c r="N122" s="125"/>
      <x:c r="O122" s="125"/>
      <x:c r="P122" s="125"/>
      <x:c r="Q122" s="125"/>
    </x:row>
    <x:row r="123">
      <x:c r="A123" s="125"/>
      <x:c r="B123" s="125"/>
      <x:c r="C123" s="125"/>
      <x:c r="D123" s="125"/>
      <x:c r="E123" s="125"/>
      <x:c r="F123" s="125"/>
      <x:c r="G123" s="125"/>
      <x:c r="H123" s="125"/>
      <x:c r="I123" s="125"/>
      <x:c r="J123" s="125"/>
      <x:c r="K123" s="125"/>
      <x:c r="L123" s="125"/>
      <x:c r="M123" s="125"/>
      <x:c r="N123" s="125"/>
      <x:c r="O123" s="125"/>
      <x:c r="P123" s="125"/>
      <x:c r="Q123" s="125"/>
    </x:row>
    <x:row r="124">
      <x:c r="A124" s="125"/>
      <x:c r="B124" s="125"/>
      <x:c r="C124" s="125"/>
      <x:c r="D124" s="125"/>
      <x:c r="E124" s="125"/>
      <x:c r="F124" s="125"/>
      <x:c r="G124" s="125"/>
      <x:c r="H124" s="125"/>
      <x:c r="I124" s="125"/>
      <x:c r="J124" s="125"/>
      <x:c r="K124" s="125"/>
      <x:c r="L124" s="125"/>
      <x:c r="M124" s="125"/>
      <x:c r="N124" s="125"/>
      <x:c r="O124" s="125"/>
      <x:c r="P124" s="125"/>
      <x:c r="Q124" s="125"/>
    </x:row>
    <x:row r="125">
      <x:c r="A125" s="125"/>
      <x:c r="B125" s="125"/>
      <x:c r="C125" s="125"/>
      <x:c r="D125" s="125"/>
      <x:c r="E125" s="125"/>
      <x:c r="F125" s="125"/>
      <x:c r="G125" s="125"/>
      <x:c r="H125" s="125"/>
      <x:c r="I125" s="125"/>
      <x:c r="J125" s="125"/>
      <x:c r="K125" s="125"/>
      <x:c r="L125" s="125"/>
      <x:c r="M125" s="125"/>
      <x:c r="N125" s="125"/>
      <x:c r="O125" s="125"/>
      <x:c r="P125" s="125"/>
      <x:c r="Q125" s="125"/>
    </x:row>
    <x:row r="126">
      <x:c r="A126" s="125"/>
      <x:c r="B126" s="125"/>
      <x:c r="C126" s="125"/>
      <x:c r="D126" s="125"/>
      <x:c r="E126" s="125"/>
      <x:c r="F126" s="125"/>
      <x:c r="G126" s="125"/>
      <x:c r="H126" s="125"/>
      <x:c r="I126" s="125"/>
      <x:c r="J126" s="125"/>
      <x:c r="K126" s="125"/>
      <x:c r="L126" s="125"/>
      <x:c r="M126" s="125"/>
      <x:c r="N126" s="125"/>
      <x:c r="O126" s="125"/>
      <x:c r="P126" s="125"/>
      <x:c r="Q126" s="125"/>
    </x:row>
    <x:row r="127">
      <x:c r="A127" s="125"/>
      <x:c r="B127" s="125"/>
      <x:c r="C127" s="125"/>
      <x:c r="D127" s="125"/>
      <x:c r="E127" s="125"/>
      <x:c r="F127" s="125"/>
      <x:c r="G127" s="125"/>
      <x:c r="H127" s="125"/>
      <x:c r="I127" s="125"/>
      <x:c r="J127" s="125"/>
      <x:c r="K127" s="125"/>
      <x:c r="L127" s="125"/>
      <x:c r="M127" s="125"/>
      <x:c r="N127" s="125"/>
      <x:c r="O127" s="125"/>
      <x:c r="P127" s="125"/>
      <x:c r="Q127" s="125"/>
    </x:row>
    <x:row r="128">
      <x:c r="A128" s="125"/>
      <x:c r="B128" s="125"/>
      <x:c r="C128" s="125"/>
      <x:c r="D128" s="125"/>
      <x:c r="E128" s="125"/>
      <x:c r="F128" s="125"/>
      <x:c r="G128" s="125"/>
      <x:c r="H128" s="125"/>
      <x:c r="I128" s="125"/>
      <x:c r="J128" s="125"/>
      <x:c r="K128" s="125"/>
      <x:c r="L128" s="125"/>
      <x:c r="M128" s="125"/>
      <x:c r="N128" s="125"/>
      <x:c r="O128" s="125"/>
      <x:c r="P128" s="125"/>
      <x:c r="Q128" s="125"/>
    </x:row>
    <x:row r="129">
      <x:c r="A129" s="125"/>
      <x:c r="B129" s="125"/>
      <x:c r="C129" s="125"/>
      <x:c r="D129" s="125"/>
      <x:c r="E129" s="125"/>
      <x:c r="F129" s="125"/>
      <x:c r="G129" s="125"/>
      <x:c r="H129" s="125"/>
      <x:c r="I129" s="125"/>
      <x:c r="J129" s="125"/>
      <x:c r="K129" s="125"/>
      <x:c r="L129" s="125"/>
      <x:c r="M129" s="125"/>
      <x:c r="N129" s="125"/>
      <x:c r="O129" s="125"/>
      <x:c r="P129" s="125"/>
      <x:c r="Q129" s="125"/>
    </x:row>
    <x:row r="130">
      <x:c r="A130" s="125"/>
      <x:c r="B130" s="125"/>
      <x:c r="C130" s="125"/>
      <x:c r="D130" s="125"/>
      <x:c r="E130" s="125"/>
      <x:c r="F130" s="125"/>
      <x:c r="G130" s="125"/>
      <x:c r="H130" s="125"/>
      <x:c r="I130" s="125"/>
      <x:c r="J130" s="125"/>
      <x:c r="K130" s="125"/>
      <x:c r="L130" s="125"/>
      <x:c r="M130" s="125"/>
      <x:c r="N130" s="125"/>
      <x:c r="O130" s="125"/>
      <x:c r="P130" s="125"/>
      <x:c r="Q130" s="125"/>
    </x:row>
    <x:row r="131">
      <x:c r="A131" s="125"/>
      <x:c r="B131" s="125"/>
      <x:c r="C131" s="125"/>
      <x:c r="D131" s="125"/>
      <x:c r="E131" s="125"/>
      <x:c r="F131" s="125"/>
      <x:c r="G131" s="125"/>
      <x:c r="H131" s="125"/>
      <x:c r="I131" s="125"/>
      <x:c r="J131" s="125"/>
      <x:c r="K131" s="125"/>
      <x:c r="L131" s="125"/>
      <x:c r="M131" s="125"/>
      <x:c r="N131" s="125"/>
      <x:c r="O131" s="125"/>
      <x:c r="P131" s="125"/>
      <x:c r="Q131" s="125"/>
    </x:row>
    <x:row r="132">
      <x:c r="A132" s="125"/>
      <x:c r="B132" s="125"/>
      <x:c r="C132" s="125"/>
      <x:c r="D132" s="125"/>
      <x:c r="E132" s="125"/>
      <x:c r="F132" s="125"/>
      <x:c r="G132" s="125"/>
      <x:c r="H132" s="125"/>
      <x:c r="I132" s="125"/>
      <x:c r="J132" s="125"/>
      <x:c r="K132" s="125"/>
      <x:c r="L132" s="125"/>
      <x:c r="M132" s="125"/>
      <x:c r="N132" s="125"/>
      <x:c r="O132" s="125"/>
      <x:c r="P132" s="125"/>
      <x:c r="Q132" s="125"/>
    </x:row>
    <x:row r="133">
      <x:c r="A133" s="125"/>
      <x:c r="B133" s="125"/>
      <x:c r="C133" s="125"/>
      <x:c r="D133" s="125"/>
      <x:c r="E133" s="125"/>
      <x:c r="F133" s="125"/>
      <x:c r="G133" s="125"/>
      <x:c r="H133" s="125"/>
      <x:c r="I133" s="125"/>
      <x:c r="J133" s="125"/>
      <x:c r="K133" s="125"/>
      <x:c r="L133" s="125"/>
      <x:c r="M133" s="125"/>
      <x:c r="N133" s="125"/>
      <x:c r="O133" s="125"/>
      <x:c r="P133" s="125"/>
      <x:c r="Q133" s="125"/>
    </x:row>
    <x:row r="134">
      <x:c r="A134" s="125"/>
      <x:c r="B134" s="125"/>
      <x:c r="C134" s="125"/>
      <x:c r="D134" s="125"/>
      <x:c r="E134" s="125"/>
      <x:c r="F134" s="125"/>
      <x:c r="G134" s="125"/>
      <x:c r="H134" s="125"/>
      <x:c r="I134" s="125"/>
      <x:c r="J134" s="125"/>
      <x:c r="K134" s="125"/>
      <x:c r="L134" s="125"/>
      <x:c r="M134" s="125"/>
      <x:c r="N134" s="125"/>
      <x:c r="O134" s="125"/>
      <x:c r="P134" s="125"/>
      <x:c r="Q134" s="125"/>
    </x:row>
    <x:row r="135">
      <x:c r="A135" s="125"/>
      <x:c r="B135" s="125"/>
      <x:c r="C135" s="125"/>
      <x:c r="D135" s="125"/>
      <x:c r="E135" s="125"/>
      <x:c r="F135" s="125"/>
      <x:c r="G135" s="125"/>
      <x:c r="H135" s="125"/>
      <x:c r="I135" s="125"/>
      <x:c r="J135" s="125"/>
      <x:c r="K135" s="125"/>
      <x:c r="L135" s="125"/>
      <x:c r="M135" s="125"/>
      <x:c r="N135" s="125"/>
      <x:c r="O135" s="125"/>
      <x:c r="P135" s="125"/>
      <x:c r="Q135" s="125"/>
    </x:row>
    <x:row r="136">
      <x:c r="A136" s="125"/>
      <x:c r="B136" s="125"/>
      <x:c r="C136" s="125"/>
      <x:c r="D136" s="125"/>
      <x:c r="E136" s="125"/>
      <x:c r="F136" s="125"/>
      <x:c r="G136" s="125"/>
      <x:c r="H136" s="125"/>
      <x:c r="I136" s="125"/>
      <x:c r="J136" s="125"/>
      <x:c r="K136" s="125"/>
      <x:c r="L136" s="125"/>
      <x:c r="M136" s="125"/>
      <x:c r="N136" s="125"/>
      <x:c r="O136" s="125"/>
      <x:c r="P136" s="125"/>
      <x:c r="Q136" s="125"/>
    </x:row>
    <x:row r="137">
      <x:c r="A137" s="125"/>
      <x:c r="B137" s="125"/>
      <x:c r="C137" s="125"/>
      <x:c r="D137" s="125"/>
      <x:c r="E137" s="125"/>
      <x:c r="F137" s="125"/>
      <x:c r="G137" s="125"/>
      <x:c r="H137" s="125"/>
      <x:c r="I137" s="125"/>
      <x:c r="J137" s="125"/>
      <x:c r="K137" s="125"/>
      <x:c r="L137" s="125"/>
      <x:c r="M137" s="125"/>
      <x:c r="N137" s="125"/>
      <x:c r="O137" s="125"/>
      <x:c r="P137" s="125"/>
      <x:c r="Q137" s="125"/>
    </x:row>
    <x:row r="138">
      <x:c r="A138" s="125"/>
      <x:c r="B138" s="125"/>
      <x:c r="C138" s="125"/>
      <x:c r="D138" s="125"/>
      <x:c r="E138" s="125"/>
      <x:c r="F138" s="125"/>
      <x:c r="G138" s="125"/>
      <x:c r="H138" s="125"/>
      <x:c r="I138" s="125"/>
      <x:c r="J138" s="125"/>
      <x:c r="K138" s="125"/>
      <x:c r="L138" s="125"/>
      <x:c r="M138" s="125"/>
      <x:c r="N138" s="125"/>
      <x:c r="O138" s="125"/>
      <x:c r="P138" s="125"/>
      <x:c r="Q138" s="125"/>
    </x:row>
    <x:row r="139">
      <x:c r="A139" s="125"/>
      <x:c r="B139" s="125"/>
      <x:c r="C139" s="125"/>
      <x:c r="D139" s="125"/>
      <x:c r="E139" s="125"/>
      <x:c r="F139" s="125"/>
      <x:c r="G139" s="125"/>
      <x:c r="H139" s="125"/>
      <x:c r="I139" s="125"/>
      <x:c r="J139" s="125"/>
      <x:c r="K139" s="125"/>
      <x:c r="L139" s="125"/>
      <x:c r="M139" s="125"/>
      <x:c r="N139" s="125"/>
      <x:c r="O139" s="125"/>
      <x:c r="P139" s="125"/>
      <x:c r="Q139" s="125"/>
    </x:row>
    <x:row r="140">
      <x:c r="A140" s="125"/>
      <x:c r="B140" s="125"/>
      <x:c r="C140" s="125"/>
      <x:c r="D140" s="125"/>
      <x:c r="E140" s="125"/>
      <x:c r="F140" s="125"/>
      <x:c r="G140" s="125"/>
      <x:c r="H140" s="125"/>
      <x:c r="I140" s="125"/>
      <x:c r="J140" s="125"/>
      <x:c r="K140" s="125"/>
      <x:c r="L140" s="125"/>
      <x:c r="M140" s="125"/>
      <x:c r="N140" s="125"/>
      <x:c r="O140" s="125"/>
      <x:c r="P140" s="125"/>
      <x:c r="Q140" s="125"/>
    </x:row>
    <x:row r="141">
      <x:c r="A141" s="125"/>
      <x:c r="B141" s="125"/>
      <x:c r="C141" s="125"/>
      <x:c r="D141" s="125"/>
      <x:c r="E141" s="125"/>
      <x:c r="F141" s="125"/>
      <x:c r="G141" s="125"/>
      <x:c r="H141" s="125"/>
      <x:c r="I141" s="125"/>
      <x:c r="J141" s="125"/>
      <x:c r="K141" s="125"/>
      <x:c r="L141" s="125"/>
      <x:c r="M141" s="125"/>
      <x:c r="N141" s="125"/>
      <x:c r="O141" s="125"/>
      <x:c r="P141" s="125"/>
      <x:c r="Q141" s="125"/>
    </x:row>
    <x:row r="142">
      <x:c r="A142" s="125"/>
      <x:c r="B142" s="125"/>
      <x:c r="C142" s="125"/>
      <x:c r="D142" s="125"/>
      <x:c r="E142" s="125"/>
      <x:c r="F142" s="125"/>
      <x:c r="G142" s="125"/>
      <x:c r="H142" s="125"/>
      <x:c r="I142" s="125"/>
      <x:c r="J142" s="125"/>
      <x:c r="K142" s="125"/>
      <x:c r="L142" s="125"/>
      <x:c r="M142" s="125"/>
      <x:c r="N142" s="125"/>
      <x:c r="O142" s="125"/>
      <x:c r="P142" s="125"/>
      <x:c r="Q142" s="125"/>
    </x:row>
    <x:row r="143">
      <x:c r="A143" s="125"/>
      <x:c r="B143" s="125"/>
      <x:c r="C143" s="125"/>
      <x:c r="D143" s="125"/>
      <x:c r="E143" s="125"/>
      <x:c r="F143" s="125"/>
      <x:c r="G143" s="125"/>
      <x:c r="H143" s="125"/>
      <x:c r="I143" s="125"/>
      <x:c r="J143" s="125"/>
      <x:c r="K143" s="125"/>
      <x:c r="L143" s="125"/>
      <x:c r="M143" s="125"/>
      <x:c r="N143" s="125"/>
      <x:c r="O143" s="125"/>
      <x:c r="P143" s="125"/>
      <x:c r="Q143" s="125"/>
    </x:row>
    <x:row r="144">
      <x:c r="A144" s="125"/>
      <x:c r="B144" s="125"/>
      <x:c r="C144" s="125"/>
      <x:c r="D144" s="125"/>
      <x:c r="E144" s="125"/>
      <x:c r="F144" s="125"/>
      <x:c r="G144" s="125"/>
      <x:c r="H144" s="125"/>
      <x:c r="I144" s="125"/>
      <x:c r="J144" s="125"/>
      <x:c r="K144" s="125"/>
      <x:c r="L144" s="125"/>
      <x:c r="M144" s="125"/>
      <x:c r="N144" s="125"/>
      <x:c r="O144" s="125"/>
      <x:c r="P144" s="125"/>
      <x:c r="Q144" s="125"/>
    </x:row>
    <x:row r="145">
      <x:c r="A145" s="125"/>
      <x:c r="B145" s="125"/>
      <x:c r="C145" s="125"/>
      <x:c r="D145" s="125"/>
      <x:c r="E145" s="125"/>
      <x:c r="F145" s="125"/>
      <x:c r="G145" s="125"/>
      <x:c r="H145" s="125"/>
      <x:c r="I145" s="125"/>
      <x:c r="J145" s="125"/>
      <x:c r="K145" s="125"/>
      <x:c r="L145" s="125"/>
      <x:c r="M145" s="125"/>
      <x:c r="N145" s="125"/>
      <x:c r="O145" s="125"/>
      <x:c r="P145" s="125"/>
      <x:c r="Q145" s="125"/>
    </x:row>
    <x:row r="146">
      <x:c r="A146" s="125"/>
      <x:c r="B146" s="125"/>
      <x:c r="C146" s="125"/>
      <x:c r="D146" s="125"/>
      <x:c r="E146" s="125"/>
      <x:c r="F146" s="125"/>
      <x:c r="G146" s="125"/>
      <x:c r="H146" s="125"/>
      <x:c r="I146" s="125"/>
      <x:c r="J146" s="125"/>
      <x:c r="K146" s="125"/>
      <x:c r="L146" s="125"/>
      <x:c r="M146" s="125"/>
      <x:c r="N146" s="125"/>
      <x:c r="O146" s="125"/>
      <x:c r="P146" s="125"/>
      <x:c r="Q146" s="125"/>
    </x:row>
    <x:row r="147">
      <x:c r="A147" s="125"/>
      <x:c r="B147" s="125"/>
      <x:c r="C147" s="125"/>
      <x:c r="D147" s="125"/>
      <x:c r="E147" s="125"/>
      <x:c r="F147" s="125"/>
      <x:c r="G147" s="125"/>
      <x:c r="H147" s="125"/>
      <x:c r="I147" s="125"/>
      <x:c r="J147" s="125"/>
      <x:c r="K147" s="125"/>
      <x:c r="L147" s="125"/>
      <x:c r="M147" s="125"/>
      <x:c r="N147" s="125"/>
      <x:c r="O147" s="125"/>
      <x:c r="P147" s="125"/>
      <x:c r="Q147" s="125"/>
    </x:row>
    <x:row r="148">
      <x:c r="A148" s="125"/>
      <x:c r="B148" s="125"/>
      <x:c r="C148" s="125"/>
      <x:c r="D148" s="125"/>
      <x:c r="E148" s="125"/>
      <x:c r="F148" s="125"/>
      <x:c r="G148" s="125"/>
      <x:c r="H148" s="125"/>
      <x:c r="I148" s="125"/>
      <x:c r="J148" s="125"/>
      <x:c r="K148" s="125"/>
      <x:c r="L148" s="125"/>
      <x:c r="M148" s="125"/>
      <x:c r="N148" s="125"/>
      <x:c r="O148" s="125"/>
      <x:c r="P148" s="125"/>
      <x:c r="Q148" s="125"/>
    </x:row>
    <x:row r="149">
      <x:c r="A149" s="125"/>
      <x:c r="B149" s="125"/>
      <x:c r="C149" s="125"/>
      <x:c r="D149" s="125"/>
      <x:c r="E149" s="125"/>
      <x:c r="F149" s="125"/>
      <x:c r="G149" s="125"/>
      <x:c r="H149" s="125"/>
      <x:c r="I149" s="125"/>
      <x:c r="J149" s="125"/>
      <x:c r="K149" s="125"/>
      <x:c r="L149" s="125"/>
      <x:c r="M149" s="125"/>
      <x:c r="N149" s="125"/>
      <x:c r="O149" s="125"/>
      <x:c r="P149" s="125"/>
      <x:c r="Q149" s="125"/>
    </x:row>
    <x:row r="150">
      <x:c r="A150" s="125"/>
      <x:c r="B150" s="125"/>
      <x:c r="C150" s="125"/>
      <x:c r="D150" s="125"/>
      <x:c r="E150" s="125"/>
      <x:c r="F150" s="125"/>
      <x:c r="G150" s="125"/>
      <x:c r="H150" s="125"/>
      <x:c r="I150" s="125"/>
      <x:c r="J150" s="125"/>
      <x:c r="K150" s="125"/>
      <x:c r="L150" s="125"/>
      <x:c r="M150" s="125"/>
      <x:c r="N150" s="125"/>
      <x:c r="O150" s="125"/>
      <x:c r="P150" s="125"/>
      <x:c r="Q150" s="125"/>
    </x:row>
    <x:row r="151">
      <x:c r="A151" s="125"/>
      <x:c r="B151" s="125"/>
      <x:c r="C151" s="125"/>
      <x:c r="D151" s="125"/>
      <x:c r="E151" s="125"/>
      <x:c r="F151" s="125"/>
      <x:c r="G151" s="125"/>
      <x:c r="H151" s="125"/>
      <x:c r="I151" s="125"/>
      <x:c r="J151" s="125"/>
      <x:c r="K151" s="125"/>
      <x:c r="L151" s="125"/>
      <x:c r="M151" s="125"/>
      <x:c r="N151" s="125"/>
      <x:c r="O151" s="125"/>
      <x:c r="P151" s="125"/>
      <x:c r="Q151" s="125"/>
    </x:row>
    <x:row r="152">
      <x:c r="A152" s="125"/>
      <x:c r="B152" s="125"/>
      <x:c r="C152" s="125"/>
      <x:c r="D152" s="125"/>
      <x:c r="E152" s="125"/>
      <x:c r="F152" s="125"/>
      <x:c r="G152" s="125"/>
      <x:c r="H152" s="125"/>
      <x:c r="I152" s="125"/>
      <x:c r="J152" s="125"/>
      <x:c r="K152" s="125"/>
      <x:c r="L152" s="125"/>
      <x:c r="M152" s="125"/>
      <x:c r="N152" s="125"/>
      <x:c r="O152" s="125"/>
      <x:c r="P152" s="125"/>
      <x:c r="Q152" s="125"/>
    </x:row>
    <x:row r="153">
      <x:c r="A153" s="125"/>
      <x:c r="B153" s="125"/>
      <x:c r="C153" s="125"/>
      <x:c r="D153" s="125"/>
      <x:c r="E153" s="125"/>
      <x:c r="F153" s="125"/>
      <x:c r="G153" s="125"/>
      <x:c r="H153" s="125"/>
      <x:c r="I153" s="125"/>
      <x:c r="J153" s="125"/>
      <x:c r="K153" s="125"/>
      <x:c r="L153" s="125"/>
      <x:c r="M153" s="125"/>
      <x:c r="N153" s="125"/>
      <x:c r="O153" s="125"/>
      <x:c r="P153" s="125"/>
      <x:c r="Q153" s="125"/>
    </x:row>
    <x:row r="154">
      <x:c r="A154" s="125"/>
      <x:c r="B154" s="125"/>
      <x:c r="C154" s="125"/>
      <x:c r="D154" s="125"/>
      <x:c r="E154" s="125"/>
      <x:c r="F154" s="125"/>
      <x:c r="G154" s="125"/>
      <x:c r="H154" s="125"/>
      <x:c r="I154" s="125"/>
      <x:c r="J154" s="125"/>
      <x:c r="K154" s="125"/>
      <x:c r="L154" s="125"/>
      <x:c r="M154" s="125"/>
      <x:c r="N154" s="125"/>
      <x:c r="O154" s="125"/>
      <x:c r="P154" s="125"/>
      <x:c r="Q154" s="125"/>
    </x:row>
    <x:row r="155">
      <x:c r="A155" s="125"/>
      <x:c r="B155" s="125"/>
      <x:c r="C155" s="125"/>
      <x:c r="D155" s="125"/>
      <x:c r="E155" s="125"/>
      <x:c r="F155" s="125"/>
      <x:c r="G155" s="125"/>
      <x:c r="H155" s="125"/>
      <x:c r="I155" s="125"/>
      <x:c r="J155" s="125"/>
      <x:c r="K155" s="125"/>
      <x:c r="L155" s="125"/>
      <x:c r="M155" s="125"/>
      <x:c r="N155" s="125"/>
      <x:c r="O155" s="125"/>
      <x:c r="P155" s="125"/>
      <x:c r="Q155" s="125"/>
    </x:row>
    <x:row r="156">
      <x:c r="A156" s="125"/>
      <x:c r="B156" s="125"/>
      <x:c r="C156" s="125"/>
      <x:c r="D156" s="125"/>
      <x:c r="E156" s="125"/>
      <x:c r="F156" s="125"/>
      <x:c r="G156" s="125"/>
      <x:c r="H156" s="125"/>
      <x:c r="I156" s="125"/>
      <x:c r="J156" s="125"/>
      <x:c r="K156" s="125"/>
      <x:c r="L156" s="125"/>
      <x:c r="M156" s="125"/>
      <x:c r="N156" s="125"/>
      <x:c r="O156" s="125"/>
      <x:c r="P156" s="125"/>
      <x:c r="Q156" s="125"/>
    </x:row>
    <x:row r="157">
      <x:c r="A157" s="125"/>
      <x:c r="B157" s="125"/>
      <x:c r="C157" s="125"/>
      <x:c r="D157" s="125"/>
      <x:c r="E157" s="125"/>
      <x:c r="F157" s="125"/>
      <x:c r="G157" s="125"/>
      <x:c r="H157" s="125"/>
      <x:c r="I157" s="125"/>
      <x:c r="J157" s="125"/>
      <x:c r="K157" s="125"/>
      <x:c r="L157" s="125"/>
      <x:c r="M157" s="125"/>
      <x:c r="N157" s="125"/>
      <x:c r="O157" s="125"/>
      <x:c r="P157" s="125"/>
      <x:c r="Q157" s="125"/>
    </x:row>
    <x:row r="158">
      <x:c r="A158" s="125"/>
      <x:c r="B158" s="125"/>
      <x:c r="C158" s="125"/>
      <x:c r="D158" s="125"/>
      <x:c r="E158" s="125"/>
      <x:c r="F158" s="125"/>
      <x:c r="G158" s="125"/>
      <x:c r="H158" s="125"/>
      <x:c r="I158" s="125"/>
      <x:c r="J158" s="125"/>
      <x:c r="K158" s="125"/>
      <x:c r="L158" s="125"/>
      <x:c r="M158" s="125"/>
      <x:c r="N158" s="125"/>
      <x:c r="O158" s="125"/>
      <x:c r="P158" s="125"/>
      <x:c r="Q158" s="125"/>
    </x:row>
    <x:row r="159">
      <x:c r="A159" s="125"/>
      <x:c r="B159" s="125"/>
      <x:c r="C159" s="125"/>
      <x:c r="D159" s="125"/>
      <x:c r="E159" s="125"/>
      <x:c r="F159" s="125"/>
      <x:c r="G159" s="125"/>
      <x:c r="H159" s="125"/>
      <x:c r="I159" s="125"/>
      <x:c r="J159" s="125"/>
      <x:c r="K159" s="125"/>
      <x:c r="L159" s="125"/>
      <x:c r="M159" s="125"/>
      <x:c r="N159" s="125"/>
      <x:c r="O159" s="125"/>
      <x:c r="P159" s="125"/>
      <x:c r="Q159" s="125"/>
    </x:row>
    <x:row r="160">
      <x:c r="A160" s="125"/>
      <x:c r="B160" s="125"/>
      <x:c r="C160" s="125"/>
      <x:c r="D160" s="125"/>
      <x:c r="E160" s="125"/>
      <x:c r="F160" s="125"/>
      <x:c r="G160" s="125"/>
      <x:c r="H160" s="125"/>
      <x:c r="I160" s="125"/>
      <x:c r="J160" s="125"/>
      <x:c r="K160" s="125"/>
      <x:c r="L160" s="125"/>
      <x:c r="M160" s="125"/>
      <x:c r="N160" s="125"/>
      <x:c r="O160" s="125"/>
      <x:c r="P160" s="125"/>
      <x:c r="Q160" s="125"/>
    </x:row>
    <x:row r="161">
      <x:c r="A161" s="125"/>
      <x:c r="B161" s="125"/>
      <x:c r="C161" s="125"/>
      <x:c r="D161" s="125"/>
      <x:c r="E161" s="125"/>
      <x:c r="F161" s="125"/>
      <x:c r="G161" s="125"/>
      <x:c r="H161" s="125"/>
      <x:c r="I161" s="125"/>
      <x:c r="J161" s="125"/>
      <x:c r="K161" s="125"/>
      <x:c r="L161" s="125"/>
      <x:c r="M161" s="125"/>
      <x:c r="N161" s="125"/>
      <x:c r="O161" s="125"/>
      <x:c r="P161" s="125"/>
      <x:c r="Q161" s="125"/>
    </x:row>
    <x:row r="162">
      <x:c r="A162" s="125"/>
      <x:c r="B162" s="125"/>
      <x:c r="C162" s="125"/>
      <x:c r="D162" s="125"/>
      <x:c r="E162" s="125"/>
      <x:c r="F162" s="125"/>
      <x:c r="G162" s="125"/>
      <x:c r="H162" s="125"/>
      <x:c r="I162" s="125"/>
      <x:c r="J162" s="125"/>
      <x:c r="K162" s="125"/>
      <x:c r="L162" s="125"/>
      <x:c r="M162" s="125"/>
      <x:c r="N162" s="125"/>
      <x:c r="O162" s="125"/>
      <x:c r="P162" s="125"/>
      <x:c r="Q162" s="125"/>
    </x:row>
    <x:row r="163">
      <x:c r="A163" s="125"/>
      <x:c r="B163" s="125"/>
      <x:c r="C163" s="125"/>
      <x:c r="D163" s="125"/>
      <x:c r="E163" s="125"/>
      <x:c r="F163" s="125"/>
      <x:c r="G163" s="125"/>
      <x:c r="H163" s="125"/>
      <x:c r="I163" s="125"/>
      <x:c r="J163" s="125"/>
      <x:c r="K163" s="125"/>
      <x:c r="L163" s="125"/>
      <x:c r="M163" s="125"/>
      <x:c r="N163" s="125"/>
      <x:c r="O163" s="125"/>
      <x:c r="P163" s="125"/>
      <x:c r="Q163" s="125"/>
    </x:row>
    <x:row r="164">
      <x:c r="A164" s="125"/>
      <x:c r="B164" s="125"/>
      <x:c r="C164" s="125"/>
      <x:c r="D164" s="125"/>
      <x:c r="E164" s="125"/>
      <x:c r="F164" s="125"/>
      <x:c r="G164" s="125"/>
      <x:c r="H164" s="125"/>
      <x:c r="I164" s="125"/>
      <x:c r="J164" s="125"/>
      <x:c r="K164" s="125"/>
      <x:c r="L164" s="125"/>
      <x:c r="M164" s="125"/>
      <x:c r="N164" s="125"/>
      <x:c r="O164" s="125"/>
      <x:c r="P164" s="125"/>
      <x:c r="Q164" s="125"/>
    </x:row>
    <x:row r="165">
      <x:c r="A165" s="125"/>
      <x:c r="B165" s="125"/>
      <x:c r="C165" s="125"/>
      <x:c r="D165" s="125"/>
      <x:c r="E165" s="125"/>
      <x:c r="F165" s="125"/>
      <x:c r="G165" s="125"/>
      <x:c r="H165" s="125"/>
      <x:c r="I165" s="125"/>
      <x:c r="J165" s="125"/>
      <x:c r="K165" s="125"/>
      <x:c r="L165" s="125"/>
      <x:c r="M165" s="125"/>
      <x:c r="N165" s="125"/>
      <x:c r="O165" s="125"/>
      <x:c r="P165" s="125"/>
      <x:c r="Q165" s="125"/>
    </x:row>
    <x:row r="166">
      <x:c r="A166" s="125"/>
      <x:c r="B166" s="125"/>
      <x:c r="C166" s="125"/>
      <x:c r="D166" s="125"/>
      <x:c r="E166" s="125"/>
      <x:c r="F166" s="125"/>
      <x:c r="G166" s="125"/>
      <x:c r="H166" s="125"/>
      <x:c r="I166" s="125"/>
      <x:c r="J166" s="125"/>
      <x:c r="K166" s="125"/>
      <x:c r="L166" s="125"/>
      <x:c r="M166" s="125"/>
      <x:c r="N166" s="125"/>
      <x:c r="O166" s="125"/>
      <x:c r="P166" s="125"/>
      <x:c r="Q166" s="125"/>
    </x:row>
    <x:row r="167">
      <x:c r="A167" s="125"/>
      <x:c r="B167" s="125"/>
      <x:c r="C167" s="125"/>
      <x:c r="D167" s="125"/>
      <x:c r="E167" s="125"/>
      <x:c r="F167" s="125"/>
      <x:c r="G167" s="125"/>
      <x:c r="H167" s="125"/>
      <x:c r="I167" s="125"/>
      <x:c r="J167" s="125"/>
      <x:c r="K167" s="125"/>
      <x:c r="L167" s="125"/>
      <x:c r="M167" s="125"/>
      <x:c r="N167" s="125"/>
      <x:c r="O167" s="125"/>
      <x:c r="P167" s="125"/>
      <x:c r="Q167" s="125"/>
    </x:row>
    <x:row r="168">
      <x:c r="A168" s="125"/>
      <x:c r="B168" s="125"/>
      <x:c r="C168" s="125"/>
      <x:c r="D168" s="125"/>
      <x:c r="E168" s="125"/>
      <x:c r="F168" s="125"/>
      <x:c r="G168" s="125"/>
      <x:c r="H168" s="125"/>
      <x:c r="I168" s="125"/>
      <x:c r="J168" s="125"/>
      <x:c r="K168" s="125"/>
      <x:c r="L168" s="125"/>
      <x:c r="M168" s="125"/>
      <x:c r="N168" s="125"/>
      <x:c r="O168" s="125"/>
      <x:c r="P168" s="125"/>
      <x:c r="Q168" s="125"/>
    </x:row>
    <x:row r="169">
      <x:c r="A169" s="125"/>
      <x:c r="B169" s="125"/>
      <x:c r="C169" s="125"/>
      <x:c r="D169" s="125"/>
      <x:c r="E169" s="125"/>
      <x:c r="F169" s="125"/>
      <x:c r="G169" s="125"/>
      <x:c r="H169" s="125"/>
      <x:c r="I169" s="125"/>
      <x:c r="J169" s="125"/>
      <x:c r="K169" s="125"/>
      <x:c r="L169" s="125"/>
      <x:c r="M169" s="125"/>
      <x:c r="N169" s="125"/>
      <x:c r="O169" s="125"/>
      <x:c r="P169" s="125"/>
      <x:c r="Q169" s="125"/>
    </x:row>
    <x:row r="170">
      <x:c r="A170" s="125"/>
      <x:c r="B170" s="125"/>
      <x:c r="C170" s="125"/>
      <x:c r="D170" s="125"/>
      <x:c r="E170" s="125"/>
      <x:c r="F170" s="125"/>
      <x:c r="G170" s="125"/>
      <x:c r="H170" s="125"/>
      <x:c r="I170" s="125"/>
      <x:c r="J170" s="125"/>
      <x:c r="K170" s="125"/>
      <x:c r="L170" s="125"/>
      <x:c r="M170" s="125"/>
      <x:c r="N170" s="125"/>
      <x:c r="O170" s="125"/>
      <x:c r="P170" s="125"/>
      <x:c r="Q170" s="125"/>
    </x:row>
    <x:row r="171">
      <x:c r="A171" s="125"/>
      <x:c r="B171" s="125"/>
      <x:c r="C171" s="125"/>
      <x:c r="D171" s="125"/>
      <x:c r="E171" s="125"/>
      <x:c r="F171" s="125"/>
      <x:c r="G171" s="125"/>
      <x:c r="H171" s="125"/>
      <x:c r="I171" s="125"/>
      <x:c r="J171" s="125"/>
      <x:c r="K171" s="125"/>
      <x:c r="L171" s="125"/>
      <x:c r="M171" s="125"/>
      <x:c r="N171" s="125"/>
      <x:c r="O171" s="125"/>
      <x:c r="P171" s="125"/>
      <x:c r="Q171" s="125"/>
    </x:row>
    <x:row r="172">
      <x:c r="A172" s="125"/>
      <x:c r="B172" s="125"/>
      <x:c r="C172" s="125"/>
      <x:c r="D172" s="125"/>
      <x:c r="E172" s="125"/>
      <x:c r="F172" s="125"/>
      <x:c r="G172" s="125"/>
      <x:c r="H172" s="125"/>
      <x:c r="I172" s="125"/>
      <x:c r="J172" s="125"/>
      <x:c r="K172" s="125"/>
      <x:c r="L172" s="125"/>
      <x:c r="M172" s="125"/>
      <x:c r="N172" s="125"/>
      <x:c r="O172" s="125"/>
      <x:c r="P172" s="125"/>
      <x:c r="Q172" s="125"/>
    </x:row>
    <x:row r="173">
      <x:c r="A173" s="125"/>
      <x:c r="B173" s="125"/>
      <x:c r="C173" s="125"/>
      <x:c r="D173" s="125"/>
      <x:c r="E173" s="125"/>
      <x:c r="F173" s="125"/>
      <x:c r="G173" s="125"/>
      <x:c r="H173" s="125"/>
      <x:c r="I173" s="125"/>
      <x:c r="J173" s="125"/>
      <x:c r="K173" s="125"/>
      <x:c r="L173" s="125"/>
      <x:c r="M173" s="125"/>
      <x:c r="N173" s="125"/>
      <x:c r="O173" s="125"/>
      <x:c r="P173" s="125"/>
      <x:c r="Q173" s="125"/>
    </x:row>
    <x:row r="174">
      <x:c r="A174" s="125"/>
      <x:c r="B174" s="125"/>
      <x:c r="C174" s="125"/>
      <x:c r="D174" s="125"/>
      <x:c r="E174" s="125"/>
      <x:c r="F174" s="125"/>
      <x:c r="G174" s="125"/>
      <x:c r="H174" s="125"/>
      <x:c r="I174" s="125"/>
      <x:c r="J174" s="125"/>
      <x:c r="K174" s="125"/>
      <x:c r="L174" s="125"/>
      <x:c r="M174" s="125"/>
      <x:c r="N174" s="125"/>
      <x:c r="O174" s="125"/>
      <x:c r="P174" s="125"/>
      <x:c r="Q174" s="125"/>
    </x:row>
    <x:row r="175">
      <x:c r="A175" s="125"/>
      <x:c r="B175" s="125"/>
      <x:c r="C175" s="125"/>
      <x:c r="D175" s="125"/>
      <x:c r="E175" s="125"/>
      <x:c r="F175" s="125"/>
      <x:c r="G175" s="125"/>
      <x:c r="H175" s="125"/>
      <x:c r="I175" s="125"/>
      <x:c r="J175" s="125"/>
      <x:c r="K175" s="125"/>
      <x:c r="L175" s="125"/>
      <x:c r="M175" s="125"/>
      <x:c r="N175" s="125"/>
      <x:c r="O175" s="125"/>
      <x:c r="P175" s="125"/>
      <x:c r="Q175" s="125"/>
    </x:row>
    <x:row r="176">
      <x:c r="A176" s="125"/>
      <x:c r="B176" s="125"/>
      <x:c r="C176" s="125"/>
      <x:c r="D176" s="125"/>
      <x:c r="E176" s="125"/>
      <x:c r="F176" s="125"/>
      <x:c r="G176" s="125"/>
      <x:c r="H176" s="125"/>
      <x:c r="I176" s="125"/>
      <x:c r="J176" s="125"/>
      <x:c r="K176" s="125"/>
      <x:c r="L176" s="125"/>
      <x:c r="M176" s="125"/>
      <x:c r="N176" s="125"/>
      <x:c r="O176" s="125"/>
      <x:c r="P176" s="125"/>
      <x:c r="Q176" s="125"/>
    </x:row>
    <x:row r="177">
      <x:c r="A177" s="125"/>
      <x:c r="B177" s="125"/>
      <x:c r="C177" s="125"/>
      <x:c r="D177" s="125"/>
      <x:c r="E177" s="125"/>
      <x:c r="F177" s="125"/>
      <x:c r="G177" s="125"/>
      <x:c r="H177" s="125"/>
      <x:c r="I177" s="125"/>
      <x:c r="J177" s="125"/>
      <x:c r="K177" s="125"/>
      <x:c r="L177" s="125"/>
      <x:c r="M177" s="125"/>
      <x:c r="N177" s="125"/>
      <x:c r="O177" s="125"/>
      <x:c r="P177" s="125"/>
      <x:c r="Q177" s="125"/>
    </x:row>
    <x:row r="178">
      <x:c r="A178" s="125"/>
      <x:c r="B178" s="125"/>
      <x:c r="C178" s="125"/>
      <x:c r="D178" s="125"/>
      <x:c r="E178" s="125"/>
      <x:c r="F178" s="125"/>
      <x:c r="G178" s="125"/>
      <x:c r="H178" s="125"/>
      <x:c r="I178" s="125"/>
      <x:c r="J178" s="125"/>
      <x:c r="K178" s="125"/>
      <x:c r="L178" s="125"/>
      <x:c r="M178" s="125"/>
      <x:c r="N178" s="125"/>
      <x:c r="O178" s="125"/>
      <x:c r="P178" s="125"/>
      <x:c r="Q178" s="125"/>
    </x:row>
    <x:row r="179">
      <x:c r="A179" s="125"/>
      <x:c r="B179" s="125"/>
      <x:c r="C179" s="125"/>
      <x:c r="D179" s="125"/>
      <x:c r="E179" s="125"/>
      <x:c r="F179" s="125"/>
      <x:c r="G179" s="125"/>
      <x:c r="H179" s="125"/>
      <x:c r="I179" s="125"/>
      <x:c r="J179" s="125"/>
      <x:c r="K179" s="125"/>
      <x:c r="L179" s="125"/>
      <x:c r="M179" s="125"/>
      <x:c r="N179" s="125"/>
      <x:c r="O179" s="125"/>
      <x:c r="P179" s="125"/>
      <x:c r="Q179" s="125"/>
    </x:row>
    <x:row r="180">
      <x:c r="A180" s="125"/>
      <x:c r="B180" s="125"/>
      <x:c r="C180" s="125"/>
      <x:c r="D180" s="125"/>
      <x:c r="E180" s="125"/>
      <x:c r="F180" s="125"/>
      <x:c r="G180" s="125"/>
      <x:c r="H180" s="125"/>
      <x:c r="I180" s="125"/>
      <x:c r="J180" s="125"/>
      <x:c r="K180" s="125"/>
      <x:c r="L180" s="125"/>
      <x:c r="M180" s="125"/>
      <x:c r="N180" s="125"/>
      <x:c r="O180" s="125"/>
      <x:c r="P180" s="125"/>
      <x:c r="Q180" s="125"/>
    </x:row>
    <x:row r="181">
      <x:c r="A181" s="125"/>
      <x:c r="B181" s="125"/>
      <x:c r="C181" s="125"/>
      <x:c r="D181" s="125"/>
      <x:c r="E181" s="125"/>
      <x:c r="F181" s="125"/>
      <x:c r="G181" s="125"/>
      <x:c r="H181" s="125"/>
      <x:c r="I181" s="125"/>
      <x:c r="J181" s="125"/>
      <x:c r="K181" s="125"/>
      <x:c r="L181" s="125"/>
      <x:c r="M181" s="125"/>
      <x:c r="N181" s="125"/>
      <x:c r="O181" s="125"/>
      <x:c r="P181" s="125"/>
      <x:c r="Q181" s="125"/>
    </x:row>
    <x:row r="182">
      <x:c r="A182" s="125"/>
      <x:c r="B182" s="125"/>
      <x:c r="C182" s="125"/>
      <x:c r="D182" s="125"/>
      <x:c r="E182" s="125"/>
      <x:c r="F182" s="125"/>
      <x:c r="G182" s="125"/>
      <x:c r="H182" s="125"/>
      <x:c r="I182" s="125"/>
      <x:c r="J182" s="125"/>
      <x:c r="K182" s="125"/>
      <x:c r="L182" s="125"/>
      <x:c r="M182" s="125"/>
      <x:c r="N182" s="125"/>
      <x:c r="O182" s="125"/>
      <x:c r="P182" s="125"/>
      <x:c r="Q182" s="125"/>
    </x:row>
    <x:row r="183">
      <x:c r="A183" s="125"/>
      <x:c r="B183" s="125"/>
      <x:c r="C183" s="125"/>
      <x:c r="D183" s="125"/>
      <x:c r="E183" s="125"/>
      <x:c r="F183" s="125"/>
      <x:c r="G183" s="125"/>
      <x:c r="H183" s="125"/>
      <x:c r="I183" s="125"/>
      <x:c r="J183" s="125"/>
      <x:c r="K183" s="125"/>
      <x:c r="L183" s="125"/>
      <x:c r="M183" s="125"/>
      <x:c r="N183" s="125"/>
      <x:c r="O183" s="125"/>
      <x:c r="P183" s="125"/>
      <x:c r="Q183" s="125"/>
    </x:row>
    <x:row r="184">
      <x:c r="A184" s="125"/>
      <x:c r="B184" s="125"/>
      <x:c r="C184" s="125"/>
      <x:c r="D184" s="125"/>
      <x:c r="E184" s="125"/>
      <x:c r="F184" s="125"/>
      <x:c r="G184" s="125"/>
      <x:c r="H184" s="125"/>
      <x:c r="I184" s="125"/>
      <x:c r="J184" s="125"/>
      <x:c r="K184" s="125"/>
      <x:c r="L184" s="125"/>
      <x:c r="M184" s="125"/>
      <x:c r="N184" s="125"/>
      <x:c r="O184" s="125"/>
      <x:c r="P184" s="125"/>
      <x:c r="Q184" s="125"/>
    </x:row>
    <x:row r="185">
      <x:c r="A185" s="125"/>
      <x:c r="B185" s="125"/>
      <x:c r="C185" s="125"/>
      <x:c r="D185" s="125"/>
      <x:c r="E185" s="125"/>
      <x:c r="F185" s="125"/>
      <x:c r="G185" s="125"/>
      <x:c r="H185" s="125"/>
      <x:c r="I185" s="125"/>
      <x:c r="J185" s="125"/>
      <x:c r="K185" s="125"/>
      <x:c r="L185" s="125"/>
      <x:c r="M185" s="125"/>
      <x:c r="N185" s="125"/>
      <x:c r="O185" s="125"/>
      <x:c r="P185" s="125"/>
      <x:c r="Q185" s="125"/>
    </x:row>
    <x:row r="186">
      <x:c r="A186" s="125"/>
      <x:c r="B186" s="125"/>
      <x:c r="C186" s="125"/>
      <x:c r="D186" s="125"/>
      <x:c r="E186" s="125"/>
      <x:c r="F186" s="125"/>
      <x:c r="G186" s="125"/>
      <x:c r="H186" s="125"/>
      <x:c r="I186" s="125"/>
      <x:c r="J186" s="125"/>
      <x:c r="K186" s="125"/>
      <x:c r="L186" s="125"/>
      <x:c r="M186" s="125"/>
      <x:c r="N186" s="125"/>
      <x:c r="O186" s="125"/>
      <x:c r="P186" s="125"/>
      <x:c r="Q186" s="125"/>
    </x:row>
    <x:row r="187">
      <x:c r="A187" s="125"/>
      <x:c r="B187" s="125"/>
      <x:c r="C187" s="125"/>
      <x:c r="D187" s="125"/>
      <x:c r="E187" s="125"/>
      <x:c r="F187" s="125"/>
      <x:c r="G187" s="125"/>
      <x:c r="H187" s="125"/>
      <x:c r="I187" s="125"/>
      <x:c r="J187" s="125"/>
      <x:c r="K187" s="125"/>
      <x:c r="L187" s="125"/>
      <x:c r="M187" s="125"/>
      <x:c r="N187" s="125"/>
      <x:c r="O187" s="125"/>
      <x:c r="P187" s="125"/>
      <x:c r="Q187" s="125"/>
    </x:row>
    <x:row r="188">
      <x:c r="A188" s="125"/>
      <x:c r="B188" s="125"/>
      <x:c r="C188" s="125"/>
      <x:c r="D188" s="125"/>
      <x:c r="E188" s="125"/>
      <x:c r="F188" s="125"/>
      <x:c r="G188" s="125"/>
      <x:c r="H188" s="125"/>
      <x:c r="I188" s="125"/>
      <x:c r="J188" s="125"/>
      <x:c r="K188" s="125"/>
      <x:c r="L188" s="125"/>
      <x:c r="M188" s="125"/>
      <x:c r="N188" s="125"/>
      <x:c r="O188" s="125"/>
      <x:c r="P188" s="125"/>
      <x:c r="Q188" s="125"/>
    </x:row>
    <x:row r="189">
      <x:c r="A189" s="125"/>
      <x:c r="B189" s="125"/>
      <x:c r="C189" s="125"/>
      <x:c r="D189" s="125"/>
      <x:c r="E189" s="125"/>
      <x:c r="F189" s="125"/>
      <x:c r="G189" s="125"/>
      <x:c r="H189" s="125"/>
      <x:c r="I189" s="125"/>
      <x:c r="J189" s="125"/>
      <x:c r="K189" s="125"/>
      <x:c r="L189" s="125"/>
      <x:c r="M189" s="125"/>
      <x:c r="N189" s="125"/>
      <x:c r="O189" s="125"/>
      <x:c r="P189" s="125"/>
      <x:c r="Q189" s="125"/>
    </x:row>
    <x:row r="190">
      <x:c r="A190" s="125"/>
      <x:c r="B190" s="125"/>
      <x:c r="C190" s="125"/>
      <x:c r="D190" s="125"/>
      <x:c r="E190" s="125"/>
      <x:c r="F190" s="125"/>
      <x:c r="G190" s="125"/>
      <x:c r="H190" s="125"/>
      <x:c r="I190" s="125"/>
      <x:c r="J190" s="125"/>
      <x:c r="K190" s="125"/>
      <x:c r="L190" s="125"/>
      <x:c r="M190" s="125"/>
      <x:c r="N190" s="125"/>
      <x:c r="O190" s="125"/>
      <x:c r="P190" s="125"/>
      <x:c r="Q190" s="125"/>
    </x:row>
    <x:row r="191">
      <x:c r="A191" s="125"/>
      <x:c r="B191" s="125"/>
      <x:c r="C191" s="125"/>
      <x:c r="D191" s="125"/>
      <x:c r="E191" s="125"/>
      <x:c r="F191" s="125"/>
      <x:c r="G191" s="125"/>
      <x:c r="H191" s="125"/>
      <x:c r="I191" s="125"/>
      <x:c r="J191" s="125"/>
      <x:c r="K191" s="125"/>
      <x:c r="L191" s="125"/>
      <x:c r="M191" s="125"/>
      <x:c r="N191" s="125"/>
      <x:c r="O191" s="125"/>
      <x:c r="P191" s="125"/>
      <x:c r="Q191" s="125"/>
    </x:row>
    <x:row r="192">
      <x:c r="A192" s="125"/>
      <x:c r="B192" s="125"/>
      <x:c r="C192" s="125"/>
      <x:c r="D192" s="125"/>
      <x:c r="E192" s="125"/>
      <x:c r="F192" s="125"/>
      <x:c r="G192" s="125"/>
      <x:c r="H192" s="125"/>
      <x:c r="I192" s="125"/>
      <x:c r="J192" s="125"/>
      <x:c r="K192" s="125"/>
      <x:c r="L192" s="125"/>
      <x:c r="M192" s="125"/>
      <x:c r="N192" s="125"/>
      <x:c r="O192" s="125"/>
      <x:c r="P192" s="125"/>
      <x:c r="Q192" s="125"/>
    </x:row>
    <x:row r="193">
      <x:c r="A193" s="125"/>
      <x:c r="B193" s="125"/>
      <x:c r="C193" s="125"/>
      <x:c r="D193" s="125"/>
      <x:c r="E193" s="125"/>
      <x:c r="F193" s="125"/>
      <x:c r="G193" s="125"/>
      <x:c r="H193" s="125"/>
      <x:c r="I193" s="125"/>
      <x:c r="J193" s="125"/>
      <x:c r="K193" s="125"/>
      <x:c r="L193" s="125"/>
      <x:c r="M193" s="125"/>
      <x:c r="N193" s="125"/>
      <x:c r="O193" s="125"/>
      <x:c r="P193" s="125"/>
      <x:c r="Q193" s="125"/>
    </x:row>
    <x:row r="194">
      <x:c r="A194" s="125"/>
      <x:c r="B194" s="125"/>
      <x:c r="C194" s="125"/>
      <x:c r="D194" s="125"/>
      <x:c r="E194" s="125"/>
      <x:c r="F194" s="125"/>
      <x:c r="G194" s="125"/>
      <x:c r="H194" s="125"/>
      <x:c r="I194" s="125"/>
      <x:c r="J194" s="125"/>
      <x:c r="K194" s="125"/>
      <x:c r="L194" s="125"/>
      <x:c r="M194" s="125"/>
      <x:c r="N194" s="125"/>
      <x:c r="O194" s="125"/>
      <x:c r="P194" s="125"/>
      <x:c r="Q194" s="125"/>
    </x:row>
    <x:row r="195">
      <x:c r="A195" s="125"/>
      <x:c r="B195" s="125"/>
      <x:c r="C195" s="125"/>
      <x:c r="D195" s="125"/>
      <x:c r="E195" s="125"/>
      <x:c r="F195" s="125"/>
      <x:c r="G195" s="125"/>
      <x:c r="H195" s="125"/>
      <x:c r="I195" s="125"/>
      <x:c r="J195" s="125"/>
      <x:c r="K195" s="125"/>
      <x:c r="L195" s="125"/>
      <x:c r="M195" s="125"/>
      <x:c r="N195" s="125"/>
      <x:c r="O195" s="125"/>
      <x:c r="P195" s="125"/>
      <x:c r="Q195" s="125"/>
    </x:row>
    <x:row r="196">
      <x:c r="A196" s="125"/>
      <x:c r="B196" s="125"/>
      <x:c r="C196" s="125"/>
      <x:c r="D196" s="125"/>
      <x:c r="E196" s="125"/>
      <x:c r="F196" s="125"/>
      <x:c r="G196" s="125"/>
      <x:c r="H196" s="125"/>
      <x:c r="I196" s="125"/>
      <x:c r="J196" s="125"/>
      <x:c r="K196" s="125"/>
      <x:c r="L196" s="125"/>
      <x:c r="M196" s="125"/>
      <x:c r="N196" s="125"/>
      <x:c r="O196" s="125"/>
      <x:c r="P196" s="125"/>
      <x:c r="Q196" s="125"/>
    </x:row>
    <x:row r="197">
      <x:c r="A197" s="125"/>
      <x:c r="B197" s="125"/>
      <x:c r="C197" s="125"/>
      <x:c r="D197" s="125"/>
      <x:c r="E197" s="125"/>
      <x:c r="F197" s="125"/>
      <x:c r="G197" s="125"/>
      <x:c r="H197" s="125"/>
      <x:c r="I197" s="125"/>
      <x:c r="J197" s="125"/>
      <x:c r="K197" s="125"/>
      <x:c r="L197" s="125"/>
      <x:c r="M197" s="125"/>
      <x:c r="N197" s="125"/>
      <x:c r="O197" s="125"/>
      <x:c r="P197" s="125"/>
      <x:c r="Q197" s="125"/>
    </x:row>
    <x:row r="198">
      <x:c r="A198" s="125"/>
      <x:c r="B198" s="125"/>
      <x:c r="C198" s="125"/>
      <x:c r="D198" s="125"/>
      <x:c r="E198" s="125"/>
      <x:c r="F198" s="125"/>
      <x:c r="G198" s="125"/>
      <x:c r="H198" s="125"/>
      <x:c r="I198" s="125"/>
      <x:c r="J198" s="125"/>
      <x:c r="K198" s="125"/>
      <x:c r="L198" s="125"/>
      <x:c r="M198" s="125"/>
      <x:c r="N198" s="125"/>
      <x:c r="O198" s="125"/>
      <x:c r="P198" s="125"/>
      <x:c r="Q198" s="125"/>
    </x:row>
    <x:row r="199">
      <x:c r="A199" s="125"/>
      <x:c r="B199" s="125"/>
      <x:c r="C199" s="125"/>
      <x:c r="D199" s="125"/>
      <x:c r="E199" s="125"/>
      <x:c r="F199" s="125"/>
      <x:c r="G199" s="125"/>
      <x:c r="H199" s="125"/>
      <x:c r="I199" s="125"/>
      <x:c r="J199" s="125"/>
      <x:c r="K199" s="125"/>
      <x:c r="L199" s="125"/>
      <x:c r="M199" s="125"/>
      <x:c r="N199" s="125"/>
      <x:c r="O199" s="125"/>
      <x:c r="P199" s="125"/>
      <x:c r="Q199" s="125"/>
    </x:row>
    <x:row r="200">
      <x:c r="A200" s="125"/>
      <x:c r="B200" s="125"/>
      <x:c r="C200" s="125"/>
      <x:c r="D200" s="125"/>
      <x:c r="E200" s="125"/>
      <x:c r="F200" s="125"/>
      <x:c r="G200" s="125"/>
      <x:c r="H200" s="125"/>
      <x:c r="I200" s="125"/>
      <x:c r="J200" s="125"/>
      <x:c r="K200" s="125"/>
      <x:c r="L200" s="125"/>
      <x:c r="M200" s="125"/>
      <x:c r="N200" s="125"/>
      <x:c r="O200" s="125"/>
      <x:c r="P200" s="125"/>
      <x:c r="Q200" s="125"/>
    </x:row>
    <x:row r="201">
      <x:c r="A201" s="125"/>
      <x:c r="B201" s="125"/>
      <x:c r="C201" s="125"/>
      <x:c r="D201" s="125"/>
      <x:c r="E201" s="125"/>
      <x:c r="F201" s="125"/>
      <x:c r="G201" s="125"/>
      <x:c r="H201" s="125"/>
      <x:c r="I201" s="125"/>
      <x:c r="J201" s="125"/>
      <x:c r="K201" s="125"/>
      <x:c r="L201" s="125"/>
      <x:c r="M201" s="125"/>
      <x:c r="N201" s="125"/>
      <x:c r="O201" s="125"/>
      <x:c r="P201" s="125"/>
      <x:c r="Q201" s="125"/>
    </x:row>
    <x:row r="202">
      <x:c r="A202" s="125"/>
      <x:c r="B202" s="125"/>
      <x:c r="C202" s="125"/>
      <x:c r="D202" s="125"/>
      <x:c r="E202" s="125"/>
      <x:c r="F202" s="125"/>
      <x:c r="G202" s="125"/>
      <x:c r="H202" s="125"/>
      <x:c r="I202" s="125"/>
      <x:c r="J202" s="125"/>
      <x:c r="K202" s="125"/>
      <x:c r="L202" s="125"/>
      <x:c r="M202" s="125"/>
      <x:c r="N202" s="125"/>
      <x:c r="O202" s="125"/>
      <x:c r="P202" s="125"/>
      <x:c r="Q202" s="125"/>
    </x:row>
    <x:row r="203">
      <x:c r="A203" s="125"/>
      <x:c r="B203" s="125"/>
      <x:c r="C203" s="125"/>
      <x:c r="D203" s="125"/>
      <x:c r="E203" s="125"/>
      <x:c r="F203" s="125"/>
      <x:c r="G203" s="125"/>
      <x:c r="H203" s="125"/>
      <x:c r="I203" s="125"/>
      <x:c r="J203" s="125"/>
      <x:c r="K203" s="125"/>
      <x:c r="L203" s="125"/>
      <x:c r="M203" s="125"/>
      <x:c r="N203" s="125"/>
      <x:c r="O203" s="125"/>
      <x:c r="P203" s="125"/>
      <x:c r="Q203" s="125"/>
    </x:row>
    <x:row r="204">
      <x:c r="A204" s="125"/>
      <x:c r="B204" s="125"/>
      <x:c r="C204" s="125"/>
      <x:c r="D204" s="125"/>
      <x:c r="E204" s="125"/>
      <x:c r="F204" s="125"/>
      <x:c r="G204" s="125"/>
      <x:c r="H204" s="125"/>
      <x:c r="I204" s="125"/>
      <x:c r="J204" s="125"/>
      <x:c r="K204" s="125"/>
      <x:c r="L204" s="125"/>
      <x:c r="M204" s="125"/>
      <x:c r="N204" s="125"/>
      <x:c r="O204" s="125"/>
      <x:c r="P204" s="125"/>
      <x:c r="Q204" s="125"/>
    </x:row>
    <x:row r="205">
      <x:c r="A205" s="125"/>
      <x:c r="B205" s="125"/>
      <x:c r="C205" s="125"/>
      <x:c r="D205" s="125"/>
      <x:c r="E205" s="125"/>
      <x:c r="F205" s="125"/>
      <x:c r="G205" s="125"/>
      <x:c r="H205" s="125"/>
      <x:c r="I205" s="125"/>
      <x:c r="J205" s="125"/>
      <x:c r="K205" s="125"/>
      <x:c r="L205" s="125"/>
      <x:c r="M205" s="125"/>
      <x:c r="N205" s="125"/>
      <x:c r="O205" s="125"/>
      <x:c r="P205" s="125"/>
      <x:c r="Q205" s="125"/>
    </x:row>
    <x:row r="206">
      <x:c r="A206" s="125"/>
      <x:c r="B206" s="125"/>
      <x:c r="C206" s="125"/>
      <x:c r="D206" s="125"/>
      <x:c r="E206" s="125"/>
      <x:c r="F206" s="125"/>
      <x:c r="G206" s="125"/>
      <x:c r="H206" s="125"/>
      <x:c r="I206" s="125"/>
      <x:c r="J206" s="125"/>
      <x:c r="K206" s="125"/>
      <x:c r="L206" s="125"/>
      <x:c r="M206" s="125"/>
      <x:c r="N206" s="125"/>
      <x:c r="O206" s="125"/>
      <x:c r="P206" s="125"/>
      <x:c r="Q206" s="125"/>
    </x:row>
    <x:row r="207">
      <x:c r="A207" s="125"/>
      <x:c r="B207" s="125"/>
      <x:c r="C207" s="125"/>
      <x:c r="D207" s="125"/>
      <x:c r="E207" s="125"/>
      <x:c r="F207" s="125"/>
      <x:c r="G207" s="125"/>
      <x:c r="H207" s="125"/>
      <x:c r="I207" s="125"/>
      <x:c r="J207" s="125"/>
      <x:c r="K207" s="125"/>
      <x:c r="L207" s="125"/>
      <x:c r="M207" s="125"/>
      <x:c r="N207" s="125"/>
      <x:c r="O207" s="125"/>
      <x:c r="P207" s="125"/>
      <x:c r="Q207" s="125"/>
    </x:row>
    <x:row r="208">
      <x:c r="A208" s="125"/>
      <x:c r="B208" s="125"/>
      <x:c r="C208" s="125"/>
      <x:c r="D208" s="125"/>
      <x:c r="E208" s="125"/>
      <x:c r="F208" s="125"/>
      <x:c r="G208" s="125"/>
      <x:c r="H208" s="125"/>
      <x:c r="I208" s="125"/>
      <x:c r="J208" s="125"/>
      <x:c r="K208" s="125"/>
      <x:c r="L208" s="125"/>
      <x:c r="M208" s="125"/>
      <x:c r="N208" s="125"/>
      <x:c r="O208" s="125"/>
      <x:c r="P208" s="125"/>
      <x:c r="Q208" s="125"/>
    </x:row>
    <x:row r="209">
      <x:c r="A209" s="125"/>
      <x:c r="B209" s="125"/>
      <x:c r="C209" s="125"/>
      <x:c r="D209" s="125"/>
      <x:c r="E209" s="125"/>
      <x:c r="F209" s="125"/>
      <x:c r="G209" s="125"/>
      <x:c r="H209" s="125"/>
      <x:c r="I209" s="125"/>
      <x:c r="J209" s="125"/>
      <x:c r="K209" s="125"/>
      <x:c r="L209" s="125"/>
      <x:c r="M209" s="125"/>
      <x:c r="N209" s="125"/>
      <x:c r="O209" s="125"/>
      <x:c r="P209" s="125"/>
      <x:c r="Q209" s="125"/>
    </x:row>
    <x:row r="210">
      <x:c r="A210" s="125"/>
      <x:c r="B210" s="125"/>
      <x:c r="C210" s="125"/>
      <x:c r="D210" s="125"/>
      <x:c r="E210" s="125"/>
      <x:c r="F210" s="125"/>
      <x:c r="G210" s="125"/>
      <x:c r="H210" s="125"/>
      <x:c r="I210" s="125"/>
      <x:c r="J210" s="125"/>
      <x:c r="K210" s="125"/>
      <x:c r="L210" s="125"/>
      <x:c r="M210" s="125"/>
      <x:c r="N210" s="125"/>
      <x:c r="O210" s="125"/>
      <x:c r="P210" s="125"/>
      <x:c r="Q210" s="125"/>
    </x:row>
    <x:row r="211">
      <x:c r="A211" s="125"/>
      <x:c r="B211" s="125"/>
      <x:c r="C211" s="125"/>
      <x:c r="D211" s="125"/>
      <x:c r="E211" s="125"/>
      <x:c r="F211" s="125"/>
      <x:c r="G211" s="125"/>
      <x:c r="H211" s="125"/>
      <x:c r="I211" s="125"/>
      <x:c r="J211" s="125"/>
      <x:c r="K211" s="125"/>
      <x:c r="L211" s="125"/>
      <x:c r="M211" s="125"/>
      <x:c r="N211" s="125"/>
      <x:c r="O211" s="125"/>
      <x:c r="P211" s="125"/>
      <x:c r="Q211" s="125"/>
    </x:row>
    <x:row r="212">
      <x:c r="A212" s="125"/>
      <x:c r="B212" s="125"/>
      <x:c r="C212" s="125"/>
      <x:c r="D212" s="125"/>
      <x:c r="E212" s="125"/>
      <x:c r="F212" s="125"/>
      <x:c r="G212" s="125"/>
      <x:c r="H212" s="125"/>
      <x:c r="I212" s="125"/>
      <x:c r="J212" s="125"/>
      <x:c r="K212" s="125"/>
      <x:c r="L212" s="125"/>
      <x:c r="M212" s="125"/>
      <x:c r="N212" s="125"/>
      <x:c r="O212" s="125"/>
      <x:c r="P212" s="125"/>
      <x:c r="Q212" s="125"/>
    </x:row>
    <x:row r="213">
      <x:c r="A213" s="125"/>
      <x:c r="B213" s="125"/>
      <x:c r="C213" s="125"/>
      <x:c r="D213" s="125"/>
      <x:c r="E213" s="125"/>
      <x:c r="F213" s="125"/>
      <x:c r="G213" s="125"/>
      <x:c r="H213" s="125"/>
      <x:c r="I213" s="125"/>
      <x:c r="J213" s="125"/>
      <x:c r="K213" s="125"/>
      <x:c r="L213" s="125"/>
      <x:c r="M213" s="125"/>
      <x:c r="N213" s="125"/>
      <x:c r="O213" s="125"/>
      <x:c r="P213" s="125"/>
      <x:c r="Q213" s="125"/>
    </x:row>
    <x:row r="214">
      <x:c r="A214" s="125"/>
      <x:c r="B214" s="125"/>
      <x:c r="C214" s="125"/>
      <x:c r="D214" s="125"/>
      <x:c r="E214" s="125"/>
      <x:c r="F214" s="125"/>
      <x:c r="G214" s="125"/>
      <x:c r="H214" s="125"/>
      <x:c r="I214" s="125"/>
      <x:c r="J214" s="125"/>
      <x:c r="K214" s="125"/>
      <x:c r="L214" s="125"/>
      <x:c r="M214" s="125"/>
      <x:c r="N214" s="125"/>
      <x:c r="O214" s="125"/>
      <x:c r="P214" s="125"/>
      <x:c r="Q214" s="125"/>
    </x:row>
    <x:row r="215">
      <x:c r="A215" s="125"/>
      <x:c r="B215" s="125"/>
      <x:c r="C215" s="125"/>
      <x:c r="D215" s="125"/>
      <x:c r="E215" s="125"/>
      <x:c r="F215" s="125"/>
      <x:c r="G215" s="125"/>
      <x:c r="H215" s="125"/>
      <x:c r="I215" s="125"/>
      <x:c r="J215" s="125"/>
      <x:c r="K215" s="125"/>
      <x:c r="L215" s="125"/>
      <x:c r="M215" s="125"/>
      <x:c r="N215" s="125"/>
      <x:c r="O215" s="125"/>
      <x:c r="P215" s="125"/>
      <x:c r="Q215" s="125"/>
    </x:row>
    <x:row r="216">
      <x:c r="A216" s="125"/>
      <x:c r="B216" s="125"/>
      <x:c r="C216" s="125"/>
      <x:c r="D216" s="125"/>
      <x:c r="E216" s="125"/>
      <x:c r="F216" s="125"/>
      <x:c r="G216" s="125"/>
      <x:c r="H216" s="125"/>
      <x:c r="I216" s="125"/>
      <x:c r="J216" s="125"/>
      <x:c r="K216" s="125"/>
      <x:c r="L216" s="125"/>
      <x:c r="M216" s="125"/>
      <x:c r="N216" s="125"/>
      <x:c r="O216" s="125"/>
      <x:c r="P216" s="125"/>
      <x:c r="Q216" s="125"/>
    </x:row>
    <x:row r="217">
      <x:c r="A217" s="125"/>
      <x:c r="B217" s="125"/>
      <x:c r="C217" s="125"/>
      <x:c r="D217" s="125"/>
      <x:c r="E217" s="125"/>
      <x:c r="F217" s="125"/>
      <x:c r="G217" s="125"/>
      <x:c r="H217" s="125"/>
      <x:c r="I217" s="125"/>
      <x:c r="J217" s="125"/>
      <x:c r="K217" s="125"/>
      <x:c r="L217" s="125"/>
      <x:c r="M217" s="125"/>
      <x:c r="N217" s="125"/>
      <x:c r="O217" s="125"/>
      <x:c r="P217" s="125"/>
      <x:c r="Q217" s="125"/>
    </x:row>
    <x:row r="218">
      <x:c r="A218" s="125"/>
      <x:c r="B218" s="125"/>
      <x:c r="C218" s="125"/>
      <x:c r="D218" s="125"/>
      <x:c r="E218" s="125"/>
      <x:c r="F218" s="125"/>
      <x:c r="G218" s="125"/>
      <x:c r="H218" s="125"/>
      <x:c r="I218" s="125"/>
      <x:c r="J218" s="125"/>
      <x:c r="K218" s="125"/>
      <x:c r="L218" s="125"/>
      <x:c r="M218" s="125"/>
      <x:c r="N218" s="125"/>
      <x:c r="O218" s="125"/>
      <x:c r="P218" s="125"/>
      <x:c r="Q218" s="125"/>
    </x:row>
    <x:row r="219">
      <x:c r="A219" s="125"/>
      <x:c r="B219" s="125"/>
      <x:c r="C219" s="125"/>
      <x:c r="D219" s="125"/>
      <x:c r="E219" s="125"/>
      <x:c r="F219" s="125"/>
      <x:c r="G219" s="125"/>
      <x:c r="H219" s="125"/>
      <x:c r="I219" s="125"/>
      <x:c r="J219" s="125"/>
      <x:c r="K219" s="125"/>
      <x:c r="L219" s="125"/>
      <x:c r="M219" s="125"/>
      <x:c r="N219" s="125"/>
      <x:c r="O219" s="125"/>
      <x:c r="P219" s="125"/>
      <x:c r="Q219" s="125"/>
    </x:row>
    <x:row r="220">
      <x:c r="A220" s="125"/>
      <x:c r="B220" s="125"/>
      <x:c r="C220" s="125"/>
      <x:c r="D220" s="125"/>
      <x:c r="E220" s="125"/>
      <x:c r="F220" s="125"/>
      <x:c r="G220" s="125"/>
      <x:c r="H220" s="125"/>
      <x:c r="I220" s="125"/>
      <x:c r="J220" s="125"/>
      <x:c r="K220" s="125"/>
      <x:c r="L220" s="125"/>
      <x:c r="M220" s="125"/>
      <x:c r="N220" s="125"/>
      <x:c r="O220" s="125"/>
      <x:c r="P220" s="125"/>
      <x:c r="Q220" s="125"/>
    </x:row>
    <x:row r="221">
      <x:c r="A221" s="125"/>
      <x:c r="B221" s="125"/>
      <x:c r="C221" s="125"/>
      <x:c r="D221" s="125"/>
      <x:c r="E221" s="125"/>
      <x:c r="F221" s="125"/>
      <x:c r="G221" s="125"/>
      <x:c r="H221" s="125"/>
      <x:c r="I221" s="125"/>
      <x:c r="J221" s="125"/>
      <x:c r="K221" s="125"/>
      <x:c r="L221" s="125"/>
      <x:c r="M221" s="125"/>
      <x:c r="N221" s="125"/>
      <x:c r="O221" s="125"/>
      <x:c r="P221" s="125"/>
      <x:c r="Q221" s="125"/>
    </x:row>
    <x:row r="222">
      <x:c r="A222" s="125"/>
      <x:c r="B222" s="125"/>
      <x:c r="C222" s="125"/>
      <x:c r="D222" s="125"/>
      <x:c r="E222" s="125"/>
      <x:c r="F222" s="125"/>
      <x:c r="G222" s="125"/>
      <x:c r="H222" s="125"/>
      <x:c r="I222" s="125"/>
      <x:c r="J222" s="125"/>
      <x:c r="K222" s="125"/>
      <x:c r="L222" s="125"/>
      <x:c r="M222" s="125"/>
      <x:c r="N222" s="125"/>
      <x:c r="O222" s="125"/>
      <x:c r="P222" s="125"/>
      <x:c r="Q222" s="125"/>
    </x:row>
    <x:row r="223">
      <x:c r="A223" s="125"/>
      <x:c r="B223" s="125"/>
      <x:c r="C223" s="125"/>
      <x:c r="D223" s="125"/>
      <x:c r="E223" s="125"/>
      <x:c r="F223" s="125"/>
      <x:c r="G223" s="125"/>
      <x:c r="H223" s="125"/>
      <x:c r="I223" s="125"/>
      <x:c r="J223" s="125"/>
      <x:c r="K223" s="125"/>
      <x:c r="L223" s="125"/>
      <x:c r="M223" s="125"/>
      <x:c r="N223" s="125"/>
      <x:c r="O223" s="125"/>
      <x:c r="P223" s="125"/>
      <x:c r="Q223" s="125"/>
    </x:row>
    <x:row r="224">
      <x:c r="A224" s="125"/>
      <x:c r="B224" s="125"/>
      <x:c r="C224" s="125"/>
      <x:c r="D224" s="125"/>
      <x:c r="E224" s="125"/>
      <x:c r="F224" s="125"/>
      <x:c r="G224" s="125"/>
      <x:c r="H224" s="125"/>
      <x:c r="I224" s="125"/>
      <x:c r="J224" s="125"/>
      <x:c r="K224" s="125"/>
      <x:c r="L224" s="125"/>
      <x:c r="M224" s="125"/>
      <x:c r="N224" s="125"/>
      <x:c r="O224" s="125"/>
      <x:c r="P224" s="125"/>
      <x:c r="Q224" s="125"/>
    </x:row>
    <x:row r="225">
      <x:c r="A225" s="125"/>
      <x:c r="B225" s="125"/>
      <x:c r="C225" s="125"/>
      <x:c r="D225" s="125"/>
      <x:c r="E225" s="125"/>
      <x:c r="F225" s="125"/>
      <x:c r="G225" s="125"/>
      <x:c r="H225" s="125"/>
      <x:c r="I225" s="125"/>
      <x:c r="J225" s="125"/>
      <x:c r="K225" s="125"/>
      <x:c r="L225" s="125"/>
      <x:c r="M225" s="125"/>
      <x:c r="N225" s="125"/>
      <x:c r="O225" s="125"/>
      <x:c r="P225" s="125"/>
      <x:c r="Q225" s="125"/>
    </x:row>
    <x:row r="226">
      <x:c r="A226" s="125"/>
      <x:c r="B226" s="125"/>
      <x:c r="C226" s="125"/>
      <x:c r="D226" s="125"/>
      <x:c r="E226" s="125"/>
      <x:c r="F226" s="125"/>
      <x:c r="G226" s="125"/>
      <x:c r="H226" s="125"/>
      <x:c r="I226" s="125"/>
      <x:c r="J226" s="125"/>
      <x:c r="K226" s="125"/>
      <x:c r="L226" s="125"/>
      <x:c r="M226" s="125"/>
      <x:c r="N226" s="125"/>
      <x:c r="O226" s="125"/>
      <x:c r="P226" s="125"/>
      <x:c r="Q226" s="125"/>
    </x:row>
    <x:row r="227">
      <x:c r="A227" s="125"/>
      <x:c r="B227" s="125"/>
      <x:c r="C227" s="125"/>
      <x:c r="D227" s="125"/>
      <x:c r="E227" s="125"/>
      <x:c r="F227" s="125"/>
      <x:c r="G227" s="125"/>
      <x:c r="H227" s="125"/>
      <x:c r="I227" s="125"/>
      <x:c r="J227" s="125"/>
      <x:c r="K227" s="125"/>
      <x:c r="L227" s="125"/>
      <x:c r="M227" s="125"/>
      <x:c r="N227" s="125"/>
      <x:c r="O227" s="125"/>
      <x:c r="P227" s="125"/>
      <x:c r="Q227" s="125"/>
    </x:row>
    <x:row r="228">
      <x:c r="A228" s="125"/>
      <x:c r="B228" s="125"/>
      <x:c r="C228" s="125"/>
      <x:c r="D228" s="125"/>
      <x:c r="E228" s="125"/>
      <x:c r="F228" s="125"/>
      <x:c r="G228" s="125"/>
      <x:c r="H228" s="125"/>
      <x:c r="I228" s="125"/>
      <x:c r="J228" s="125"/>
      <x:c r="K228" s="125"/>
      <x:c r="L228" s="125"/>
      <x:c r="M228" s="125"/>
      <x:c r="N228" s="125"/>
      <x:c r="O228" s="125"/>
      <x:c r="P228" s="125"/>
      <x:c r="Q228" s="125"/>
    </x:row>
    <x:row r="229">
      <x:c r="A229" s="125"/>
      <x:c r="B229" s="125"/>
      <x:c r="C229" s="125"/>
      <x:c r="D229" s="125"/>
      <x:c r="E229" s="125"/>
      <x:c r="F229" s="125"/>
      <x:c r="G229" s="125"/>
      <x:c r="H229" s="125"/>
      <x:c r="I229" s="125"/>
      <x:c r="J229" s="125"/>
      <x:c r="K229" s="125"/>
      <x:c r="L229" s="125"/>
      <x:c r="M229" s="125"/>
      <x:c r="N229" s="125"/>
      <x:c r="O229" s="125"/>
      <x:c r="P229" s="125"/>
      <x:c r="Q229" s="125"/>
    </x:row>
    <x:row r="230">
      <x:c r="A230" s="125"/>
      <x:c r="B230" s="125"/>
      <x:c r="C230" s="125"/>
      <x:c r="D230" s="125"/>
      <x:c r="E230" s="125"/>
      <x:c r="F230" s="125"/>
      <x:c r="G230" s="125"/>
      <x:c r="H230" s="125"/>
      <x:c r="I230" s="125"/>
      <x:c r="J230" s="125"/>
      <x:c r="K230" s="125"/>
      <x:c r="L230" s="125"/>
      <x:c r="M230" s="125"/>
      <x:c r="N230" s="125"/>
      <x:c r="O230" s="125"/>
      <x:c r="P230" s="125"/>
      <x:c r="Q230" s="125"/>
    </x:row>
    <x:row r="231">
      <x:c r="A231" s="125"/>
      <x:c r="B231" s="125"/>
      <x:c r="C231" s="125"/>
      <x:c r="D231" s="125"/>
      <x:c r="E231" s="125"/>
      <x:c r="F231" s="125"/>
      <x:c r="G231" s="125"/>
      <x:c r="H231" s="125"/>
      <x:c r="I231" s="125"/>
      <x:c r="J231" s="125"/>
      <x:c r="K231" s="125"/>
      <x:c r="L231" s="125"/>
      <x:c r="M231" s="125"/>
      <x:c r="N231" s="125"/>
      <x:c r="O231" s="125"/>
      <x:c r="P231" s="125"/>
      <x:c r="Q231" s="125"/>
    </x:row>
    <x:row r="232">
      <x:c r="A232" s="125"/>
      <x:c r="B232" s="125"/>
      <x:c r="C232" s="125"/>
      <x:c r="D232" s="125"/>
      <x:c r="E232" s="125"/>
      <x:c r="F232" s="125"/>
      <x:c r="G232" s="125"/>
      <x:c r="H232" s="125"/>
      <x:c r="I232" s="125"/>
      <x:c r="J232" s="125"/>
      <x:c r="K232" s="125"/>
      <x:c r="L232" s="125"/>
      <x:c r="M232" s="125"/>
      <x:c r="N232" s="125"/>
      <x:c r="O232" s="125"/>
      <x:c r="P232" s="125"/>
      <x:c r="Q232" s="125"/>
    </x:row>
    <x:row r="233">
      <x:c r="A233" s="125"/>
      <x:c r="B233" s="125"/>
      <x:c r="C233" s="125"/>
      <x:c r="D233" s="125"/>
      <x:c r="E233" s="125"/>
      <x:c r="F233" s="125"/>
      <x:c r="G233" s="125"/>
      <x:c r="H233" s="125"/>
      <x:c r="I233" s="125"/>
      <x:c r="J233" s="125"/>
      <x:c r="K233" s="125"/>
      <x:c r="L233" s="125"/>
      <x:c r="M233" s="125"/>
      <x:c r="N233" s="125"/>
      <x:c r="O233" s="125"/>
      <x:c r="P233" s="125"/>
      <x:c r="Q233" s="125"/>
    </x:row>
    <x:row r="234">
      <x:c r="A234" s="125"/>
      <x:c r="B234" s="125"/>
      <x:c r="C234" s="125"/>
      <x:c r="D234" s="125"/>
      <x:c r="E234" s="125"/>
      <x:c r="F234" s="125"/>
      <x:c r="G234" s="125"/>
      <x:c r="H234" s="125"/>
      <x:c r="I234" s="125"/>
      <x:c r="J234" s="125"/>
      <x:c r="K234" s="125"/>
      <x:c r="L234" s="125"/>
      <x:c r="M234" s="125"/>
      <x:c r="N234" s="125"/>
      <x:c r="O234" s="125"/>
      <x:c r="P234" s="125"/>
      <x:c r="Q234" s="125"/>
    </x:row>
    <x:row r="235">
      <x:c r="A235" s="125"/>
      <x:c r="B235" s="125"/>
      <x:c r="C235" s="125"/>
      <x:c r="D235" s="125"/>
      <x:c r="E235" s="125"/>
      <x:c r="F235" s="125"/>
      <x:c r="G235" s="125"/>
      <x:c r="H235" s="125"/>
      <x:c r="I235" s="125"/>
      <x:c r="J235" s="125"/>
      <x:c r="K235" s="125"/>
      <x:c r="L235" s="125"/>
      <x:c r="M235" s="125"/>
      <x:c r="N235" s="125"/>
      <x:c r="O235" s="125"/>
      <x:c r="P235" s="125"/>
      <x:c r="Q235" s="125"/>
    </x:row>
    <x:row r="236">
      <x:c r="A236" s="125"/>
      <x:c r="B236" s="125"/>
      <x:c r="C236" s="125"/>
      <x:c r="D236" s="125"/>
      <x:c r="E236" s="125"/>
      <x:c r="F236" s="125"/>
      <x:c r="G236" s="125"/>
      <x:c r="H236" s="125"/>
      <x:c r="I236" s="125"/>
      <x:c r="J236" s="125"/>
      <x:c r="K236" s="125"/>
      <x:c r="L236" s="125"/>
      <x:c r="M236" s="125"/>
      <x:c r="N236" s="125"/>
      <x:c r="O236" s="125"/>
      <x:c r="P236" s="125"/>
      <x:c r="Q236" s="125"/>
    </x:row>
    <x:row r="237">
      <x:c r="A237" s="125"/>
      <x:c r="B237" s="125"/>
      <x:c r="C237" s="125"/>
      <x:c r="D237" s="125"/>
      <x:c r="E237" s="125"/>
      <x:c r="F237" s="125"/>
      <x:c r="G237" s="125"/>
      <x:c r="H237" s="125"/>
      <x:c r="I237" s="125"/>
      <x:c r="J237" s="125"/>
      <x:c r="K237" s="125"/>
      <x:c r="L237" s="125"/>
      <x:c r="M237" s="125"/>
      <x:c r="N237" s="125"/>
      <x:c r="O237" s="125"/>
      <x:c r="P237" s="125"/>
      <x:c r="Q237" s="125"/>
    </x:row>
    <x:row r="238">
      <x:c r="A238" s="125"/>
      <x:c r="B238" s="125"/>
      <x:c r="C238" s="125"/>
      <x:c r="D238" s="125"/>
      <x:c r="E238" s="125"/>
      <x:c r="F238" s="125"/>
      <x:c r="G238" s="125"/>
      <x:c r="H238" s="125"/>
      <x:c r="I238" s="125"/>
      <x:c r="J238" s="125"/>
      <x:c r="K238" s="125"/>
      <x:c r="L238" s="125"/>
      <x:c r="M238" s="125"/>
      <x:c r="N238" s="125"/>
      <x:c r="O238" s="125"/>
      <x:c r="P238" s="125"/>
      <x:c r="Q238" s="125"/>
    </x:row>
    <x:row r="239">
      <x:c r="A239" s="125"/>
      <x:c r="B239" s="125"/>
      <x:c r="C239" s="125"/>
      <x:c r="D239" s="125"/>
      <x:c r="E239" s="125"/>
      <x:c r="F239" s="125"/>
      <x:c r="G239" s="125"/>
      <x:c r="H239" s="125"/>
      <x:c r="I239" s="125"/>
      <x:c r="J239" s="125"/>
      <x:c r="K239" s="125"/>
      <x:c r="L239" s="125"/>
      <x:c r="M239" s="125"/>
      <x:c r="N239" s="125"/>
      <x:c r="O239" s="125"/>
      <x:c r="P239" s="125"/>
      <x:c r="Q239" s="125"/>
    </x:row>
    <x:row r="240">
      <x:c r="A240" s="125"/>
      <x:c r="B240" s="125"/>
      <x:c r="C240" s="125"/>
      <x:c r="D240" s="125"/>
      <x:c r="E240" s="125"/>
      <x:c r="F240" s="125"/>
      <x:c r="G240" s="125"/>
      <x:c r="H240" s="125"/>
      <x:c r="I240" s="125"/>
      <x:c r="J240" s="125"/>
      <x:c r="K240" s="125"/>
      <x:c r="L240" s="125"/>
      <x:c r="M240" s="125"/>
      <x:c r="N240" s="125"/>
      <x:c r="O240" s="125"/>
      <x:c r="P240" s="125"/>
      <x:c r="Q240" s="125"/>
    </x:row>
    <x:row r="241">
      <x:c r="A241" s="125"/>
      <x:c r="B241" s="125"/>
      <x:c r="C241" s="125"/>
      <x:c r="D241" s="125"/>
      <x:c r="E241" s="125"/>
      <x:c r="F241" s="125"/>
      <x:c r="G241" s="125"/>
      <x:c r="H241" s="125"/>
      <x:c r="I241" s="125"/>
      <x:c r="J241" s="125"/>
      <x:c r="K241" s="125"/>
      <x:c r="L241" s="125"/>
      <x:c r="M241" s="125"/>
      <x:c r="N241" s="125"/>
      <x:c r="O241" s="125"/>
      <x:c r="P241" s="125"/>
      <x:c r="Q241" s="125"/>
    </x:row>
    <x:row r="242">
      <x:c r="A242" s="125"/>
      <x:c r="B242" s="125"/>
      <x:c r="C242" s="125"/>
      <x:c r="D242" s="125"/>
      <x:c r="E242" s="125"/>
      <x:c r="F242" s="125"/>
      <x:c r="G242" s="125"/>
      <x:c r="H242" s="125"/>
      <x:c r="I242" s="125"/>
      <x:c r="J242" s="125"/>
      <x:c r="K242" s="125"/>
      <x:c r="L242" s="125"/>
      <x:c r="M242" s="125"/>
      <x:c r="N242" s="125"/>
      <x:c r="O242" s="125"/>
      <x:c r="P242" s="125"/>
      <x:c r="Q242" s="125"/>
    </x:row>
    <x:row r="243">
      <x:c r="A243" s="125"/>
      <x:c r="B243" s="125"/>
      <x:c r="C243" s="125"/>
      <x:c r="D243" s="125"/>
      <x:c r="E243" s="125"/>
      <x:c r="F243" s="125"/>
      <x:c r="G243" s="125"/>
      <x:c r="H243" s="125"/>
      <x:c r="I243" s="125"/>
      <x:c r="J243" s="125"/>
      <x:c r="K243" s="125"/>
      <x:c r="L243" s="125"/>
      <x:c r="M243" s="125"/>
      <x:c r="N243" s="125"/>
      <x:c r="O243" s="125"/>
      <x:c r="P243" s="125"/>
      <x:c r="Q243" s="125"/>
    </x:row>
    <x:row r="244">
      <x:c r="A244" s="125"/>
      <x:c r="B244" s="125"/>
      <x:c r="C244" s="125"/>
      <x:c r="D244" s="125"/>
      <x:c r="E244" s="125"/>
      <x:c r="F244" s="125"/>
      <x:c r="G244" s="125"/>
      <x:c r="H244" s="125"/>
      <x:c r="I244" s="125"/>
      <x:c r="J244" s="125"/>
      <x:c r="K244" s="125"/>
      <x:c r="L244" s="125"/>
      <x:c r="M244" s="125"/>
      <x:c r="N244" s="125"/>
      <x:c r="O244" s="125"/>
      <x:c r="P244" s="125"/>
      <x:c r="Q244" s="125"/>
    </x:row>
    <x:row r="245">
      <x:c r="A245" s="125"/>
      <x:c r="B245" s="125"/>
      <x:c r="C245" s="125"/>
      <x:c r="D245" s="125"/>
      <x:c r="E245" s="125"/>
      <x:c r="F245" s="125"/>
      <x:c r="G245" s="125"/>
      <x:c r="H245" s="125"/>
      <x:c r="I245" s="125"/>
      <x:c r="J245" s="125"/>
      <x:c r="K245" s="125"/>
      <x:c r="L245" s="125"/>
      <x:c r="M245" s="125"/>
      <x:c r="N245" s="125"/>
      <x:c r="O245" s="125"/>
      <x:c r="P245" s="125"/>
      <x:c r="Q245" s="125"/>
    </x:row>
    <x:row r="246">
      <x:c r="A246" s="125"/>
      <x:c r="B246" s="125"/>
      <x:c r="C246" s="125"/>
      <x:c r="D246" s="125"/>
      <x:c r="E246" s="125"/>
      <x:c r="F246" s="125"/>
      <x:c r="G246" s="125"/>
      <x:c r="H246" s="125"/>
      <x:c r="I246" s="125"/>
      <x:c r="J246" s="125"/>
      <x:c r="K246" s="125"/>
      <x:c r="L246" s="125"/>
      <x:c r="M246" s="125"/>
      <x:c r="N246" s="125"/>
      <x:c r="O246" s="125"/>
      <x:c r="P246" s="125"/>
      <x:c r="Q246" s="125"/>
    </x:row>
    <x:row r="247">
      <x:c r="A247" s="125"/>
      <x:c r="B247" s="125"/>
      <x:c r="C247" s="125"/>
      <x:c r="D247" s="125"/>
      <x:c r="E247" s="125"/>
      <x:c r="F247" s="125"/>
      <x:c r="G247" s="125"/>
      <x:c r="H247" s="125"/>
      <x:c r="I247" s="125"/>
      <x:c r="J247" s="125"/>
      <x:c r="K247" s="125"/>
      <x:c r="L247" s="125"/>
      <x:c r="M247" s="125"/>
      <x:c r="N247" s="125"/>
      <x:c r="O247" s="125"/>
      <x:c r="P247" s="125"/>
      <x:c r="Q247" s="125"/>
    </x:row>
    <x:row r="248">
      <x:c r="A248" s="125"/>
      <x:c r="B248" s="125"/>
      <x:c r="C248" s="125"/>
      <x:c r="D248" s="125"/>
      <x:c r="E248" s="125"/>
      <x:c r="F248" s="125"/>
      <x:c r="G248" s="125"/>
      <x:c r="H248" s="125"/>
      <x:c r="I248" s="125"/>
      <x:c r="J248" s="125"/>
      <x:c r="K248" s="125"/>
      <x:c r="L248" s="125"/>
      <x:c r="M248" s="125"/>
      <x:c r="N248" s="125"/>
      <x:c r="O248" s="125"/>
      <x:c r="P248" s="125"/>
      <x:c r="Q248" s="125"/>
    </x:row>
    <x:row r="249">
      <x:c r="A249" s="125"/>
      <x:c r="B249" s="125"/>
      <x:c r="C249" s="125"/>
      <x:c r="D249" s="125"/>
      <x:c r="E249" s="125"/>
      <x:c r="F249" s="125"/>
      <x:c r="G249" s="125"/>
      <x:c r="H249" s="125"/>
      <x:c r="I249" s="125"/>
      <x:c r="J249" s="125"/>
      <x:c r="K249" s="125"/>
      <x:c r="L249" s="125"/>
      <x:c r="M249" s="125"/>
      <x:c r="N249" s="125"/>
      <x:c r="O249" s="125"/>
      <x:c r="P249" s="125"/>
      <x:c r="Q249" s="125"/>
    </x:row>
    <x:row r="250">
      <x:c r="A250" s="125"/>
      <x:c r="B250" s="125"/>
      <x:c r="C250" s="125"/>
      <x:c r="D250" s="125"/>
      <x:c r="E250" s="125"/>
      <x:c r="F250" s="125"/>
      <x:c r="G250" s="125"/>
      <x:c r="H250" s="125"/>
      <x:c r="I250" s="125"/>
      <x:c r="J250" s="125"/>
      <x:c r="K250" s="125"/>
      <x:c r="L250" s="125"/>
      <x:c r="M250" s="125"/>
      <x:c r="N250" s="125"/>
      <x:c r="O250" s="125"/>
      <x:c r="P250" s="125"/>
      <x:c r="Q250" s="125"/>
    </x:row>
  </x:sheetData>
  <x:mergeCells>
    <x:mergeCell ref="A1:H1"/>
    <x:mergeCell ref="A2:H2"/>
  </x:mergeCells>
  <x:pageMargins left="0.7" right="0.7" top="0.75" bottom="0.75" header="0.3" footer="0.3"/>
</x:worksheet>
</file>

<file path=xl/worksheets/sheet4.xml><?xml version="1.0" encoding="utf-8"?>
<x:worksheet xmlns:x="http://schemas.openxmlformats.org/spreadsheetml/2006/main">
  <x:sheetFormatPr defaultRowHeight="15"/>
  <x:cols>
    <x:col min="1" max="1" width="18" hidden="0" customWidth="1"/>
    <x:col min="2" max="2" width="30" hidden="0" customWidth="1"/>
    <x:col min="3" max="3" width="26" hidden="0" customWidth="1"/>
    <x:col min="4" max="4" width="42" hidden="0" customWidth="1"/>
    <x:col min="5" max="5" width="34" hidden="0" customWidth="1"/>
    <x:col min="6" max="6" width="14" hidden="0" customWidth="1"/>
    <x:col min="7" max="7" width="26" hidden="0" customWidth="1"/>
    <x:col min="8" max="8" width="50" hidden="0" customWidth="1"/>
  </x:cols>
  <x:sheetData>
    <x:row r="1" ht="24" customHeight="1">
      <x:c r="A1" s="200" t="str">
        <x:v>INPUT_CONTROL_MAP — MVP v1 analyst / AI write map</x:v>
      </x:c>
      <x:c r="B1" s="198"/>
      <x:c r="C1" s="198"/>
      <x:c r="D1" s="198"/>
      <x:c r="E1" s="198"/>
      <x:c r="F1" s="198"/>
      <x:c r="G1" s="198"/>
      <x:c r="H1" s="198"/>
      <x:c r="I1" s="198"/>
      <x:c r="J1" s="198"/>
      <x:c r="K1" s="198"/>
      <x:c r="L1" s="125"/>
      <x:c r="M1" s="125"/>
      <x:c r="N1" s="125"/>
      <x:c r="O1" s="125"/>
      <x:c r="P1" s="125"/>
      <x:c r="Q1" s="125"/>
    </x:row>
    <x:row r="2" ht="34" customHeight="1">
      <x:c r="A2" s="126" t="str">
        <x:v>Rule: blue cells are writable input zones. Black/no fill cells are formulas. Purple = generated bridge data. Orange = review/assumption. Green = output. Grey = legacy/reference.</x:v>
      </x:c>
      <x:c r="B2" s="125"/>
      <x:c r="C2" s="125"/>
      <x:c r="D2" s="125"/>
      <x:c r="E2" s="125"/>
      <x:c r="F2" s="125"/>
      <x:c r="G2" s="125"/>
      <x:c r="H2" s="125"/>
      <x:c r="I2" s="125"/>
      <x:c r="J2" s="125"/>
      <x:c r="K2" s="125"/>
      <x:c r="L2" s="125"/>
      <x:c r="M2" s="125"/>
      <x:c r="N2" s="125"/>
      <x:c r="O2" s="125"/>
      <x:c r="P2" s="125"/>
      <x:c r="Q2" s="125"/>
    </x:row>
    <x:row r="3">
      <x:c r="A3" s="125"/>
      <x:c r="B3" s="125"/>
      <x:c r="C3" s="125"/>
      <x:c r="D3" s="125"/>
      <x:c r="E3" s="125"/>
      <x:c r="F3" s="125"/>
      <x:c r="G3" s="125"/>
      <x:c r="H3" s="125"/>
      <x:c r="I3" s="125"/>
      <x:c r="J3" s="125"/>
      <x:c r="K3" s="125"/>
      <x:c r="L3" s="125"/>
      <x:c r="M3" s="125"/>
      <x:c r="N3" s="125"/>
      <x:c r="O3" s="125"/>
      <x:c r="P3" s="125"/>
      <x:c r="Q3" s="125"/>
    </x:row>
    <x:row r="4" ht="26" customHeight="1">
      <x:c r="A4" s="127" t="str">
        <x:v>Zone</x:v>
      </x:c>
      <x:c r="B4" s="127" t="str">
        <x:v>Tab</x:v>
      </x:c>
      <x:c r="C4" s="127" t="str">
        <x:v>Range / Columns</x:v>
      </x:c>
      <x:c r="D4" s="127" t="str">
        <x:v>Field / Purpose</x:v>
      </x:c>
      <x:c r="E4" s="127" t="str">
        <x:v>Write Permission</x:v>
      </x:c>
      <x:c r="F4" s="127" t="str">
        <x:v>Table Exists?</x:v>
      </x:c>
      <x:c r="G4" s="127" t="str">
        <x:v>Feeds To</x:v>
      </x:c>
      <x:c r="H4" s="127" t="str">
        <x:v>Notes</x:v>
      </x:c>
      <x:c r="I4" s="125"/>
      <x:c r="J4" s="125"/>
      <x:c r="K4" s="125"/>
      <x:c r="L4" s="125"/>
      <x:c r="M4" s="125"/>
      <x:c r="N4" s="125"/>
      <x:c r="O4" s="125"/>
      <x:c r="P4" s="125"/>
      <x:c r="Q4" s="125"/>
    </x:row>
    <x:row r="5">
      <x:c r="A5" s="128" t="str">
        <x:v>PRIMARY INPUT</x:v>
      </x:c>
      <x:c r="B5" s="128" t="str">
        <x:v>STG_SOURCE_INTAKE</x:v>
      </x:c>
      <x:c r="C5" s="128" t="str">
        <x:v>A7:J206</x:v>
      </x:c>
      <x:c r="D5" s="128" t="str">
        <x:v>Source file log: file name, version, role, source priority, review status</x:v>
      </x:c>
      <x:c r="E5" s="128" t="str">
        <x:v>Human / AI may write blue cells</x:v>
      </x:c>
      <x:c r="F5" s="128" t="str">
        <x:v>Yes</x:v>
      </x:c>
      <x:c r="G5" s="128" t="str">
        <x:v>SOURCE_LOG and readiness snapshot</x:v>
      </x:c>
      <x:c r="H5" s="128" t="str">
        <x:v>First place to document NGO package.</x:v>
      </x:c>
      <x:c r="I5" s="125"/>
      <x:c r="J5" s="125"/>
      <x:c r="K5" s="125"/>
      <x:c r="L5" s="125"/>
      <x:c r="M5" s="125"/>
      <x:c r="N5" s="125"/>
      <x:c r="O5" s="125"/>
      <x:c r="P5" s="125"/>
      <x:c r="Q5" s="125"/>
    </x:row>
    <x:row r="6">
      <x:c r="A6" s="128" t="str">
        <x:v>PRIMARY INPUT</x:v>
      </x:c>
      <x:c r="B6" s="128" t="str">
        <x:v>DATA_PROPERTY_MASTER</x:v>
      </x:c>
      <x:c r="C6" s="128" t="str">
        <x:v>A7:J206; N:Q</x:v>
      </x:c>
      <x:c r="D6" s="128" t="str">
        <x:v>Property identity, status, units, source confidence, notes</x:v>
      </x:c>
      <x:c r="E6" s="128" t="str">
        <x:v>Human / AI may write blue cells</x:v>
      </x:c>
      <x:c r="F6" s="128" t="str">
        <x:v>Yes</x:v>
      </x:c>
      <x:c r="G6" s="128" t="str">
        <x:v>DATA_METRIC_LONG; snapshot</x:v>
      </x:c>
      <x:c r="H6" s="128" t="str">
        <x:v>In v12 this was generated; in MVP template this is the primary property-entry table.</x:v>
      </x:c>
      <x:c r="I6" s="125"/>
      <x:c r="J6" s="125"/>
      <x:c r="K6" s="125"/>
      <x:c r="L6" s="125"/>
      <x:c r="M6" s="125"/>
      <x:c r="N6" s="125"/>
      <x:c r="O6" s="125"/>
      <x:c r="P6" s="125"/>
      <x:c r="Q6" s="125"/>
    </x:row>
    <x:row r="7">
      <x:c r="A7" s="128" t="str">
        <x:v>PRIMARY INPUT</x:v>
      </x:c>
      <x:c r="B7" s="128" t="str">
        <x:v>DATA_UNIT_MIX</x:v>
      </x:c>
      <x:c r="C7" s="128" t="str">
        <x:v>A7:O206</x:v>
      </x:c>
      <x:c r="D7" s="128" t="str">
        <x:v>Unit mix / affordability bands / rent categories</x:v>
      </x:c>
      <x:c r="E7" s="128" t="str">
        <x:v>Human / AI may write blue cells</x:v>
      </x:c>
      <x:c r="F7" s="128" t="str">
        <x:v>Yes</x:v>
      </x:c>
      <x:c r="G7" s="128" t="str">
        <x:v>Mission/affordability metrics</x:v>
      </x:c>
      <x:c r="H7" s="128" t="str">
        <x:v>May remain partial for MVP.</x:v>
      </x:c>
      <x:c r="I7" s="125"/>
      <x:c r="J7" s="125"/>
      <x:c r="K7" s="125"/>
      <x:c r="L7" s="125"/>
      <x:c r="M7" s="125"/>
      <x:c r="N7" s="125"/>
      <x:c r="O7" s="125"/>
      <x:c r="P7" s="125"/>
      <x:c r="Q7" s="125"/>
    </x:row>
    <x:row r="8">
      <x:c r="A8" s="128" t="str">
        <x:v>PRIMARY INPUT</x:v>
      </x:c>
      <x:c r="B8" s="128" t="str">
        <x:v>DATA_RENT_ROLL</x:v>
      </x:c>
      <x:c r="C8" s="128" t="str">
        <x:v>A7:M206</x:v>
      </x:c>
      <x:c r="D8" s="128" t="str">
        <x:v>Rent roll / unit group rent detail</x:v>
      </x:c>
      <x:c r="E8" s="128" t="str">
        <x:v>Human / AI may write blue cells</x:v>
      </x:c>
      <x:c r="F8" s="128" t="str">
        <x:v>Yes</x:v>
      </x:c>
      <x:c r="G8" s="128" t="str">
        <x:v>Future rent engine</x:v>
      </x:c>
      <x:c r="H8" s="128" t="str">
        <x:v>Optional for MVP if operating forecast is enough.</x:v>
      </x:c>
      <x:c r="I8" s="125"/>
      <x:c r="J8" s="125"/>
      <x:c r="K8" s="125"/>
      <x:c r="L8" s="125"/>
      <x:c r="M8" s="125"/>
      <x:c r="N8" s="125"/>
      <x:c r="O8" s="125"/>
      <x:c r="P8" s="125"/>
      <x:c r="Q8" s="125"/>
    </x:row>
    <x:row r="9">
      <x:c r="A9" s="128" t="str">
        <x:v>PRIMARY INPUT</x:v>
      </x:c>
      <x:c r="B9" s="128" t="str">
        <x:v>DATA_OPERATING_ACTUALS</x:v>
      </x:c>
      <x:c r="C9" s="128" t="str">
        <x:v>A7:M306</x:v>
      </x:c>
      <x:c r="D9" s="128" t="str">
        <x:v>Operating budgets/actuals by property-year-line item</x:v>
      </x:c>
      <x:c r="E9" s="128" t="str">
        <x:v>Human / AI may write blue cells</x:v>
      </x:c>
      <x:c r="F9" s="128" t="str">
        <x:v>Yes</x:v>
      </x:c>
      <x:c r="G9" s="128" t="str">
        <x:v>Financial snapshot</x:v>
      </x:c>
      <x:c r="H9" s="128" t="str">
        <x:v>Core MVP input.</x:v>
      </x:c>
      <x:c r="I9" s="125"/>
      <x:c r="J9" s="125"/>
      <x:c r="K9" s="125"/>
      <x:c r="L9" s="125"/>
      <x:c r="M9" s="125"/>
      <x:c r="N9" s="125"/>
      <x:c r="O9" s="125"/>
      <x:c r="P9" s="125"/>
      <x:c r="Q9" s="125"/>
    </x:row>
    <x:row r="10">
      <x:c r="A10" s="128" t="str">
        <x:v>PRIMARY INPUT</x:v>
      </x:c>
      <x:c r="B10" s="128" t="str">
        <x:v>DATA_DEBT_MASTER</x:v>
      </x:c>
      <x:c r="C10" s="128" t="str">
        <x:v>A7:O206</x:v>
      </x:c>
      <x:c r="D10" s="128" t="str">
        <x:v>Debt, mortgage, financing, annual debt service</x:v>
      </x:c>
      <x:c r="E10" s="128" t="str">
        <x:v>Human / AI may write blue cells; formula checks in generated columns</x:v>
      </x:c>
      <x:c r="F10" s="128" t="str">
        <x:v>Yes</x:v>
      </x:c>
      <x:c r="G10" s="128" t="str">
        <x:v>DSCR/debt metrics</x:v>
      </x:c>
      <x:c r="H10" s="128" t="str">
        <x:v>Use Tapestry for four new/future projects.</x:v>
      </x:c>
      <x:c r="I10" s="125"/>
      <x:c r="J10" s="125"/>
      <x:c r="K10" s="125"/>
      <x:c r="L10" s="125"/>
      <x:c r="M10" s="125"/>
      <x:c r="N10" s="125"/>
      <x:c r="O10" s="125"/>
      <x:c r="P10" s="125"/>
      <x:c r="Q10" s="125"/>
    </x:row>
    <x:row r="11">
      <x:c r="A11" s="128" t="str">
        <x:v>PRIMARY INPUT</x:v>
      </x:c>
      <x:c r="B11" s="128" t="str">
        <x:v>DATA_CASH_RESERVES</x:v>
      </x:c>
      <x:c r="C11" s="128" t="str">
        <x:v>A7:L206</x:v>
      </x:c>
      <x:c r="D11" s="128" t="str">
        <x:v>Opening/closing cash, restricted/unrestricted, reserve availability</x:v>
      </x:c>
      <x:c r="E11" s="128" t="str">
        <x:v>Human / AI may write blue cells</x:v>
      </x:c>
      <x:c r="F11" s="128" t="str">
        <x:v>Yes</x:v>
      </x:c>
      <x:c r="G11" s="128" t="str">
        <x:v>Readiness flags and cash metrics</x:v>
      </x:c>
      <x:c r="H11" s="128" t="str">
        <x:v>Restricted cash can remain unknown.</x:v>
      </x:c>
      <x:c r="I11" s="125"/>
      <x:c r="J11" s="125"/>
      <x:c r="K11" s="125"/>
      <x:c r="L11" s="125"/>
      <x:c r="M11" s="125"/>
      <x:c r="N11" s="125"/>
      <x:c r="O11" s="125"/>
      <x:c r="P11" s="125"/>
      <x:c r="Q11" s="125"/>
    </x:row>
    <x:row r="12">
      <x:c r="A12" s="128" t="str">
        <x:v>PRIMARY INPUT</x:v>
      </x:c>
      <x:c r="B12" s="128" t="str">
        <x:v>DATA_AGREEMENTS</x:v>
      </x:c>
      <x:c r="C12" s="128" t="str">
        <x:v>A7:N206</x:v>
      </x:c>
      <x:c r="D12" s="128" t="str">
        <x:v>Operating agreements, covenants, affordability and refinance restrictions</x:v>
      </x:c>
      <x:c r="E12" s="128" t="str">
        <x:v>Human / AI may write blue cells</x:v>
      </x:c>
      <x:c r="F12" s="128" t="str">
        <x:v>Yes</x:v>
      </x:c>
      <x:c r="G12" s="128" t="str">
        <x:v>Mission/restriction review</x:v>
      </x:c>
      <x:c r="H12" s="128" t="str">
        <x:v>Placeholder acceptable in MVP.</x:v>
      </x:c>
      <x:c r="I12" s="125"/>
      <x:c r="J12" s="125"/>
      <x:c r="K12" s="125"/>
      <x:c r="L12" s="125"/>
      <x:c r="M12" s="125"/>
      <x:c r="N12" s="125"/>
      <x:c r="O12" s="125"/>
      <x:c r="P12" s="125"/>
      <x:c r="Q12" s="125"/>
    </x:row>
    <x:row r="13">
      <x:c r="A13" s="128" t="str">
        <x:v>PRIMARY INPUT</x:v>
      </x:c>
      <x:c r="B13" s="128" t="str">
        <x:v>DATA_CAPITAL_NEEDS</x:v>
      </x:c>
      <x:c r="C13" s="128" t="str">
        <x:v>A7:N206</x:v>
      </x:c>
      <x:c r="D13" s="128" t="str">
        <x:v>Capital repairs, reserves, deferred maintenance, funded/unfunded amount</x:v>
      </x:c>
      <x:c r="E13" s="128" t="str">
        <x:v>Human / AI may write blue cells</x:v>
      </x:c>
      <x:c r="F13" s="128" t="str">
        <x:v>Yes</x:v>
      </x:c>
      <x:c r="G13" s="128" t="str">
        <x:v>Capital needs readiness</x:v>
      </x:c>
      <x:c r="H13" s="128" t="str">
        <x:v>Placeholder acceptable in MVP.</x:v>
      </x:c>
      <x:c r="I13" s="125"/>
      <x:c r="J13" s="125"/>
      <x:c r="K13" s="125"/>
      <x:c r="L13" s="125"/>
      <x:c r="M13" s="125"/>
      <x:c r="N13" s="125"/>
      <x:c r="O13" s="125"/>
      <x:c r="P13" s="125"/>
      <x:c r="Q13" s="125"/>
    </x:row>
    <x:row r="14">
      <x:c r="A14" s="131" t="str">
        <x:v>CONTROLLED REVIEW</x:v>
      </x:c>
      <x:c r="B14" s="131" t="str">
        <x:v>ASSUMPTIONS_FLAGS</x:v>
      </x:c>
      <x:c r="C14" s="131" t="str">
        <x:v>A7:J206</x:v>
      </x:c>
      <x:c r="D14" s="131" t="str">
        <x:v>Assumptions, source conflicts, unresolved issues, reviewer notes</x:v>
      </x:c>
      <x:c r="E14" s="131" t="str">
        <x:v>Human / AI may write orange review cells</x:v>
      </x:c>
      <x:c r="F14" s="131" t="str">
        <x:v>Yes</x:v>
      </x:c>
      <x:c r="G14" s="131" t="str">
        <x:v>Quality checks and snapshot</x:v>
      </x:c>
      <x:c r="H14" s="131" t="str">
        <x:v>Every override/conflict must be logged.</x:v>
      </x:c>
      <x:c r="I14" s="125"/>
      <x:c r="J14" s="125"/>
      <x:c r="K14" s="125"/>
      <x:c r="L14" s="125"/>
      <x:c r="M14" s="125"/>
      <x:c r="N14" s="125"/>
      <x:c r="O14" s="125"/>
      <x:c r="P14" s="125"/>
      <x:c r="Q14" s="125"/>
    </x:row>
    <x:row r="15">
      <x:c r="A15" s="130" t="str">
        <x:v>GENERATED DATA</x:v>
      </x:c>
      <x:c r="B15" s="130" t="str">
        <x:v>DATA_METRIC_LONG</x:v>
      </x:c>
      <x:c r="C15" s="130" t="str">
        <x:v>A7:H100</x:v>
      </x:c>
      <x:c r="D15" s="130" t="str">
        <x:v>Standardized metrics calculated from DATA tabs</x:v>
      </x:c>
      <x:c r="E15" s="130" t="str">
        <x:v>Do not manually edit formula cells</x:v>
      </x:c>
      <x:c r="F15" s="130" t="str">
        <x:v>Yes</x:v>
      </x:c>
      <x:c r="G15" s="130" t="str">
        <x:v>OUT_STAGE1_READINESS_SNAPSHOT</x:v>
      </x:c>
      <x:c r="H15" s="130" t="str">
        <x:v>Live formulas translate source data into IREI metrics.</x:v>
      </x:c>
      <x:c r="I15" s="125"/>
      <x:c r="J15" s="125"/>
      <x:c r="K15" s="125"/>
      <x:c r="L15" s="125"/>
      <x:c r="M15" s="125"/>
      <x:c r="N15" s="125"/>
      <x:c r="O15" s="125"/>
      <x:c r="P15" s="125"/>
      <x:c r="Q15" s="125"/>
    </x:row>
    <x:row r="16">
      <x:c r="A16" s="130" t="str">
        <x:v>QUALITY CONTROL</x:v>
      </x:c>
      <x:c r="B16" s="130" t="str">
        <x:v>DATA_QUALITY_CHECKS</x:v>
      </x:c>
      <x:c r="C16" s="130" t="str">
        <x:v>A7:G100</x:v>
      </x:c>
      <x:c r="D16" s="130" t="str">
        <x:v>Live MVP checks</x:v>
      </x:c>
      <x:c r="E16" s="130" t="str">
        <x:v>Do not manually edit formula cells</x:v>
      </x:c>
      <x:c r="F16" s="130" t="str">
        <x:v>Yes</x:v>
      </x:c>
      <x:c r="G16" s="130" t="str">
        <x:v>Snapshot readiness statuses</x:v>
      </x:c>
      <x:c r="H16" s="130" t="str">
        <x:v>Open items may be legitimate roadmap items.</x:v>
      </x:c>
      <x:c r="I16" s="125"/>
      <x:c r="J16" s="125"/>
      <x:c r="K16" s="125"/>
      <x:c r="L16" s="125"/>
      <x:c r="M16" s="125"/>
      <x:c r="N16" s="125"/>
      <x:c r="O16" s="125"/>
      <x:c r="P16" s="125"/>
      <x:c r="Q16" s="125"/>
    </x:row>
    <x:row r="17">
      <x:c r="A17" s="133" t="str">
        <x:v>OUTPUT</x:v>
      </x:c>
      <x:c r="B17" s="133" t="str">
        <x:v>OUT_STAGE1_READINESS_SNAPSHOT</x:v>
      </x:c>
      <x:c r="C17" s="133" t="str">
        <x:v>A1:K45</x:v>
      </x:c>
      <x:c r="D17" s="133" t="str">
        <x:v>One-page MVP outcome</x:v>
      </x:c>
      <x:c r="E17" s="133" t="str">
        <x:v>Do not manually edit formulas</x:v>
      </x:c>
      <x:c r="F17" s="133" t="str">
        <x:v>Yes</x:v>
      </x:c>
      <x:c r="G17" s="133" t="str">
        <x:v>MVP demonstration output</x:v>
      </x:c>
      <x:c r="H17" s="133" t="str">
        <x:v>This is the outcome page for Uygar to reproduce digitally.</x:v>
      </x:c>
      <x:c r="I17" s="125"/>
      <x:c r="J17" s="125"/>
      <x:c r="K17" s="125"/>
      <x:c r="L17" s="125"/>
      <x:c r="M17" s="125"/>
      <x:c r="N17" s="125"/>
      <x:c r="O17" s="125"/>
      <x:c r="P17" s="125"/>
      <x:c r="Q17" s="125"/>
    </x:row>
    <x:row r="18">
      <x:c r="A18" s="132" t="str">
        <x:v>LEGACY REFERENCE</x:v>
      </x:c>
      <x:c r="B18" s="132" t="str">
        <x:v>NGO B v12 workbook</x:v>
      </x:c>
      <x:c r="C18" s="132" t="str">
        <x:v>External file</x:v>
      </x:c>
      <x:c r="D18" s="132" t="str">
        <x:v>Business logic prototype and original calculation engine</x:v>
      </x:c>
      <x:c r="E18" s="132" t="str">
        <x:v>Reference only</x:v>
      </x:c>
      <x:c r="F18" s="132" t="str">
        <x:v>Yes</x:v>
      </x:c>
      <x:c r="G18" s="132" t="str">
        <x:v>Build logic reference</x:v>
      </x:c>
      <x:c r="H18" s="132" t="str">
        <x:v>Do not build the digital product directly from v12.</x:v>
      </x:c>
      <x:c r="I18" s="125"/>
      <x:c r="J18" s="125"/>
      <x:c r="K18" s="125"/>
      <x:c r="L18" s="125"/>
      <x:c r="M18" s="125"/>
      <x:c r="N18" s="125"/>
      <x:c r="O18" s="125"/>
      <x:c r="P18" s="125"/>
      <x:c r="Q18" s="125"/>
    </x:row>
    <x:row r="19">
      <x:c r="A19" s="125"/>
      <x:c r="B19" s="125"/>
      <x:c r="C19" s="125"/>
      <x:c r="D19" s="125"/>
      <x:c r="E19" s="125"/>
      <x:c r="F19" s="125"/>
      <x:c r="G19" s="125"/>
      <x:c r="H19" s="125"/>
      <x:c r="I19" s="125"/>
      <x:c r="J19" s="125"/>
      <x:c r="K19" s="125"/>
      <x:c r="L19" s="125"/>
      <x:c r="M19" s="125"/>
      <x:c r="N19" s="125"/>
      <x:c r="O19" s="125"/>
      <x:c r="P19" s="125"/>
      <x:c r="Q19" s="125"/>
    </x:row>
    <x:row r="20">
      <x:c r="A20" s="125"/>
      <x:c r="B20" s="125"/>
      <x:c r="C20" s="125"/>
      <x:c r="D20" s="125"/>
      <x:c r="E20" s="125"/>
      <x:c r="F20" s="125"/>
      <x:c r="G20" s="125"/>
      <x:c r="H20" s="125"/>
      <x:c r="I20" s="125"/>
      <x:c r="J20" s="125"/>
      <x:c r="K20" s="125"/>
      <x:c r="L20" s="125"/>
      <x:c r="M20" s="125"/>
      <x:c r="N20" s="125"/>
      <x:c r="O20" s="125"/>
      <x:c r="P20" s="125"/>
      <x:c r="Q20" s="125"/>
    </x:row>
    <x:row r="21">
      <x:c r="A21" s="125"/>
      <x:c r="B21" s="125"/>
      <x:c r="C21" s="125"/>
      <x:c r="D21" s="125"/>
      <x:c r="E21" s="125"/>
      <x:c r="F21" s="125"/>
      <x:c r="G21" s="125"/>
      <x:c r="H21" s="125"/>
      <x:c r="I21" s="125"/>
      <x:c r="J21" s="125"/>
      <x:c r="K21" s="125"/>
      <x:c r="L21" s="125"/>
      <x:c r="M21" s="125"/>
      <x:c r="N21" s="125"/>
      <x:c r="O21" s="125"/>
      <x:c r="P21" s="125"/>
      <x:c r="Q21" s="125"/>
    </x:row>
    <x:row r="22">
      <x:c r="A22" s="125"/>
      <x:c r="B22" s="125"/>
      <x:c r="C22" s="125"/>
      <x:c r="D22" s="125"/>
      <x:c r="E22" s="125"/>
      <x:c r="F22" s="125"/>
      <x:c r="G22" s="125"/>
      <x:c r="H22" s="125"/>
      <x:c r="I22" s="125"/>
      <x:c r="J22" s="125"/>
      <x:c r="K22" s="125"/>
      <x:c r="L22" s="125"/>
      <x:c r="M22" s="125"/>
      <x:c r="N22" s="125"/>
      <x:c r="O22" s="125"/>
      <x:c r="P22" s="125"/>
      <x:c r="Q22" s="125"/>
    </x:row>
    <x:row r="23">
      <x:c r="A23" s="125"/>
      <x:c r="B23" s="125"/>
      <x:c r="C23" s="125"/>
      <x:c r="D23" s="125"/>
      <x:c r="E23" s="125"/>
      <x:c r="F23" s="125"/>
      <x:c r="G23" s="125"/>
      <x:c r="H23" s="125"/>
      <x:c r="I23" s="125"/>
      <x:c r="J23" s="125"/>
      <x:c r="K23" s="125"/>
      <x:c r="L23" s="125"/>
      <x:c r="M23" s="125"/>
      <x:c r="N23" s="125"/>
      <x:c r="O23" s="125"/>
      <x:c r="P23" s="125"/>
      <x:c r="Q23" s="125"/>
    </x:row>
    <x:row r="24">
      <x:c r="A24" s="125"/>
      <x:c r="B24" s="125"/>
      <x:c r="C24" s="125"/>
      <x:c r="D24" s="125"/>
      <x:c r="E24" s="125"/>
      <x:c r="F24" s="125"/>
      <x:c r="G24" s="125"/>
      <x:c r="H24" s="125"/>
      <x:c r="I24" s="125"/>
      <x:c r="J24" s="125"/>
      <x:c r="K24" s="125"/>
      <x:c r="L24" s="125"/>
      <x:c r="M24" s="125"/>
      <x:c r="N24" s="125"/>
      <x:c r="O24" s="125"/>
      <x:c r="P24" s="125"/>
      <x:c r="Q24" s="125"/>
    </x:row>
    <x:row r="25">
      <x:c r="A25" s="125"/>
      <x:c r="B25" s="125"/>
      <x:c r="C25" s="125"/>
      <x:c r="D25" s="125"/>
      <x:c r="E25" s="125"/>
      <x:c r="F25" s="125"/>
      <x:c r="G25" s="125"/>
      <x:c r="H25" s="125"/>
      <x:c r="I25" s="125"/>
      <x:c r="J25" s="125"/>
      <x:c r="K25" s="125"/>
      <x:c r="L25" s="125"/>
      <x:c r="M25" s="125"/>
      <x:c r="N25" s="125"/>
      <x:c r="O25" s="125"/>
      <x:c r="P25" s="125"/>
      <x:c r="Q25" s="125"/>
    </x:row>
    <x:row r="26">
      <x:c r="A26" s="125"/>
      <x:c r="B26" s="125"/>
      <x:c r="C26" s="125"/>
      <x:c r="D26" s="125"/>
      <x:c r="E26" s="125"/>
      <x:c r="F26" s="125"/>
      <x:c r="G26" s="125"/>
      <x:c r="H26" s="125"/>
      <x:c r="I26" s="125"/>
      <x:c r="J26" s="125"/>
      <x:c r="K26" s="125"/>
      <x:c r="L26" s="125"/>
      <x:c r="M26" s="125"/>
      <x:c r="N26" s="125"/>
      <x:c r="O26" s="125"/>
      <x:c r="P26" s="125"/>
      <x:c r="Q26" s="125"/>
    </x:row>
    <x:row r="27">
      <x:c r="A27" s="125"/>
      <x:c r="B27" s="125"/>
      <x:c r="C27" s="125"/>
      <x:c r="D27" s="125"/>
      <x:c r="E27" s="125"/>
      <x:c r="F27" s="125"/>
      <x:c r="G27" s="125"/>
      <x:c r="H27" s="125"/>
      <x:c r="I27" s="125"/>
      <x:c r="J27" s="125"/>
      <x:c r="K27" s="125"/>
      <x:c r="L27" s="125"/>
      <x:c r="M27" s="125"/>
      <x:c r="N27" s="125"/>
      <x:c r="O27" s="125"/>
      <x:c r="P27" s="125"/>
      <x:c r="Q27" s="125"/>
    </x:row>
    <x:row r="28">
      <x:c r="A28" s="125"/>
      <x:c r="B28" s="125"/>
      <x:c r="C28" s="125"/>
      <x:c r="D28" s="125"/>
      <x:c r="E28" s="125"/>
      <x:c r="F28" s="125"/>
      <x:c r="G28" s="125"/>
      <x:c r="H28" s="125"/>
      <x:c r="I28" s="125"/>
      <x:c r="J28" s="125"/>
      <x:c r="K28" s="125"/>
      <x:c r="L28" s="125"/>
      <x:c r="M28" s="125"/>
      <x:c r="N28" s="125"/>
      <x:c r="O28" s="125"/>
      <x:c r="P28" s="125"/>
      <x:c r="Q28" s="125"/>
    </x:row>
    <x:row r="29">
      <x:c r="A29" s="125"/>
      <x:c r="B29" s="125"/>
      <x:c r="C29" s="125"/>
      <x:c r="D29" s="125"/>
      <x:c r="E29" s="125"/>
      <x:c r="F29" s="125"/>
      <x:c r="G29" s="125"/>
      <x:c r="H29" s="125"/>
      <x:c r="I29" s="125"/>
      <x:c r="J29" s="125"/>
      <x:c r="K29" s="125"/>
      <x:c r="L29" s="125"/>
      <x:c r="M29" s="125"/>
      <x:c r="N29" s="125"/>
      <x:c r="O29" s="125"/>
      <x:c r="P29" s="125"/>
      <x:c r="Q29" s="125"/>
    </x:row>
    <x:row r="30">
      <x:c r="A30" s="125"/>
      <x:c r="B30" s="125"/>
      <x:c r="C30" s="125"/>
      <x:c r="D30" s="125"/>
      <x:c r="E30" s="125"/>
      <x:c r="F30" s="125"/>
      <x:c r="G30" s="125"/>
      <x:c r="H30" s="125"/>
      <x:c r="I30" s="125"/>
      <x:c r="J30" s="125"/>
      <x:c r="K30" s="125"/>
      <x:c r="L30" s="125"/>
      <x:c r="M30" s="125"/>
      <x:c r="N30" s="125"/>
      <x:c r="O30" s="125"/>
      <x:c r="P30" s="125"/>
      <x:c r="Q30" s="125"/>
    </x:row>
    <x:row r="31">
      <x:c r="A31" s="125"/>
      <x:c r="B31" s="125"/>
      <x:c r="C31" s="125"/>
      <x:c r="D31" s="125"/>
      <x:c r="E31" s="125"/>
      <x:c r="F31" s="125"/>
      <x:c r="G31" s="125"/>
      <x:c r="H31" s="125"/>
      <x:c r="I31" s="125"/>
      <x:c r="J31" s="125"/>
      <x:c r="K31" s="125"/>
      <x:c r="L31" s="125"/>
      <x:c r="M31" s="125"/>
      <x:c r="N31" s="125"/>
      <x:c r="O31" s="125"/>
      <x:c r="P31" s="125"/>
      <x:c r="Q31" s="125"/>
    </x:row>
    <x:row r="32">
      <x:c r="A32" s="125"/>
      <x:c r="B32" s="125"/>
      <x:c r="C32" s="125"/>
      <x:c r="D32" s="125"/>
      <x:c r="E32" s="125"/>
      <x:c r="F32" s="125"/>
      <x:c r="G32" s="125"/>
      <x:c r="H32" s="125"/>
      <x:c r="I32" s="125"/>
      <x:c r="J32" s="125"/>
      <x:c r="K32" s="125"/>
      <x:c r="L32" s="125"/>
      <x:c r="M32" s="125"/>
      <x:c r="N32" s="125"/>
      <x:c r="O32" s="125"/>
      <x:c r="P32" s="125"/>
      <x:c r="Q32" s="125"/>
    </x:row>
    <x:row r="33">
      <x:c r="A33" s="125"/>
      <x:c r="B33" s="125"/>
      <x:c r="C33" s="125"/>
      <x:c r="D33" s="125"/>
      <x:c r="E33" s="125"/>
      <x:c r="F33" s="125"/>
      <x:c r="G33" s="125"/>
      <x:c r="H33" s="125"/>
      <x:c r="I33" s="125"/>
      <x:c r="J33" s="125"/>
      <x:c r="K33" s="125"/>
      <x:c r="L33" s="125"/>
      <x:c r="M33" s="125"/>
      <x:c r="N33" s="125"/>
      <x:c r="O33" s="125"/>
      <x:c r="P33" s="125"/>
      <x:c r="Q33" s="125"/>
    </x:row>
    <x:row r="34">
      <x:c r="A34" s="125"/>
      <x:c r="B34" s="125"/>
      <x:c r="C34" s="125"/>
      <x:c r="D34" s="125"/>
      <x:c r="E34" s="125"/>
      <x:c r="F34" s="125"/>
      <x:c r="G34" s="125"/>
      <x:c r="H34" s="125"/>
      <x:c r="I34" s="125"/>
      <x:c r="J34" s="125"/>
      <x:c r="K34" s="125"/>
      <x:c r="L34" s="125"/>
      <x:c r="M34" s="125"/>
      <x:c r="N34" s="125"/>
      <x:c r="O34" s="125"/>
      <x:c r="P34" s="125"/>
      <x:c r="Q34" s="125"/>
    </x:row>
    <x:row r="35">
      <x:c r="A35" s="125"/>
      <x:c r="B35" s="125"/>
      <x:c r="C35" s="125"/>
      <x:c r="D35" s="125"/>
      <x:c r="E35" s="125"/>
      <x:c r="F35" s="125"/>
      <x:c r="G35" s="125"/>
      <x:c r="H35" s="125"/>
      <x:c r="I35" s="125"/>
      <x:c r="J35" s="125"/>
      <x:c r="K35" s="125"/>
      <x:c r="L35" s="125"/>
      <x:c r="M35" s="125"/>
      <x:c r="N35" s="125"/>
      <x:c r="O35" s="125"/>
      <x:c r="P35" s="125"/>
      <x:c r="Q35" s="125"/>
    </x:row>
    <x:row r="36">
      <x:c r="A36" s="125"/>
      <x:c r="B36" s="125"/>
      <x:c r="C36" s="125"/>
      <x:c r="D36" s="125"/>
      <x:c r="E36" s="125"/>
      <x:c r="F36" s="125"/>
      <x:c r="G36" s="125"/>
      <x:c r="H36" s="125"/>
      <x:c r="I36" s="125"/>
      <x:c r="J36" s="125"/>
      <x:c r="K36" s="125"/>
      <x:c r="L36" s="125"/>
      <x:c r="M36" s="125"/>
      <x:c r="N36" s="125"/>
      <x:c r="O36" s="125"/>
      <x:c r="P36" s="125"/>
      <x:c r="Q36" s="125"/>
    </x:row>
    <x:row r="37">
      <x:c r="A37" s="125"/>
      <x:c r="B37" s="125"/>
      <x:c r="C37" s="125"/>
      <x:c r="D37" s="125"/>
      <x:c r="E37" s="125"/>
      <x:c r="F37" s="125"/>
      <x:c r="G37" s="125"/>
      <x:c r="H37" s="125"/>
      <x:c r="I37" s="125"/>
      <x:c r="J37" s="125"/>
      <x:c r="K37" s="125"/>
      <x:c r="L37" s="125"/>
      <x:c r="M37" s="125"/>
      <x:c r="N37" s="125"/>
      <x:c r="O37" s="125"/>
      <x:c r="P37" s="125"/>
      <x:c r="Q37" s="125"/>
    </x:row>
    <x:row r="38">
      <x:c r="A38" s="125"/>
      <x:c r="B38" s="125"/>
      <x:c r="C38" s="125"/>
      <x:c r="D38" s="125"/>
      <x:c r="E38" s="125"/>
      <x:c r="F38" s="125"/>
      <x:c r="G38" s="125"/>
      <x:c r="H38" s="125"/>
      <x:c r="I38" s="125"/>
      <x:c r="J38" s="125"/>
      <x:c r="K38" s="125"/>
      <x:c r="L38" s="125"/>
      <x:c r="M38" s="125"/>
      <x:c r="N38" s="125"/>
      <x:c r="O38" s="125"/>
      <x:c r="P38" s="125"/>
      <x:c r="Q38" s="125"/>
    </x:row>
    <x:row r="39">
      <x:c r="A39" s="125"/>
      <x:c r="B39" s="125"/>
      <x:c r="C39" s="125"/>
      <x:c r="D39" s="125"/>
      <x:c r="E39" s="125"/>
      <x:c r="F39" s="125"/>
      <x:c r="G39" s="125"/>
      <x:c r="H39" s="125"/>
      <x:c r="I39" s="125"/>
      <x:c r="J39" s="125"/>
      <x:c r="K39" s="125"/>
      <x:c r="L39" s="125"/>
      <x:c r="M39" s="125"/>
      <x:c r="N39" s="125"/>
      <x:c r="O39" s="125"/>
      <x:c r="P39" s="125"/>
      <x:c r="Q39" s="125"/>
    </x:row>
    <x:row r="40">
      <x:c r="A40" s="125"/>
      <x:c r="B40" s="125"/>
      <x:c r="C40" s="125"/>
      <x:c r="D40" s="125"/>
      <x:c r="E40" s="125"/>
      <x:c r="F40" s="125"/>
      <x:c r="G40" s="125"/>
      <x:c r="H40" s="125"/>
      <x:c r="I40" s="125"/>
      <x:c r="J40" s="125"/>
      <x:c r="K40" s="125"/>
      <x:c r="L40" s="125"/>
      <x:c r="M40" s="125"/>
      <x:c r="N40" s="125"/>
      <x:c r="O40" s="125"/>
      <x:c r="P40" s="125"/>
      <x:c r="Q40" s="125"/>
    </x:row>
    <x:row r="41">
      <x:c r="A41" s="125"/>
      <x:c r="B41" s="125"/>
      <x:c r="C41" s="125"/>
      <x:c r="D41" s="125"/>
      <x:c r="E41" s="125"/>
      <x:c r="F41" s="125"/>
      <x:c r="G41" s="125"/>
      <x:c r="H41" s="125"/>
      <x:c r="I41" s="125"/>
      <x:c r="J41" s="125"/>
      <x:c r="K41" s="125"/>
      <x:c r="L41" s="125"/>
      <x:c r="M41" s="125"/>
      <x:c r="N41" s="125"/>
      <x:c r="O41" s="125"/>
      <x:c r="P41" s="125"/>
      <x:c r="Q41" s="125"/>
    </x:row>
    <x:row r="42">
      <x:c r="A42" s="125"/>
      <x:c r="B42" s="125"/>
      <x:c r="C42" s="125"/>
      <x:c r="D42" s="125"/>
      <x:c r="E42" s="125"/>
      <x:c r="F42" s="125"/>
      <x:c r="G42" s="125"/>
      <x:c r="H42" s="125"/>
      <x:c r="I42" s="125"/>
      <x:c r="J42" s="125"/>
      <x:c r="K42" s="125"/>
      <x:c r="L42" s="125"/>
      <x:c r="M42" s="125"/>
      <x:c r="N42" s="125"/>
      <x:c r="O42" s="125"/>
      <x:c r="P42" s="125"/>
      <x:c r="Q42" s="125"/>
    </x:row>
    <x:row r="43">
      <x:c r="A43" s="125"/>
      <x:c r="B43" s="125"/>
      <x:c r="C43" s="125"/>
      <x:c r="D43" s="125"/>
      <x:c r="E43" s="125"/>
      <x:c r="F43" s="125"/>
      <x:c r="G43" s="125"/>
      <x:c r="H43" s="125"/>
      <x:c r="I43" s="125"/>
      <x:c r="J43" s="125"/>
      <x:c r="K43" s="125"/>
      <x:c r="L43" s="125"/>
      <x:c r="M43" s="125"/>
      <x:c r="N43" s="125"/>
      <x:c r="O43" s="125"/>
      <x:c r="P43" s="125"/>
      <x:c r="Q43" s="125"/>
    </x:row>
    <x:row r="44">
      <x:c r="A44" s="125"/>
      <x:c r="B44" s="125"/>
      <x:c r="C44" s="125"/>
      <x:c r="D44" s="125"/>
      <x:c r="E44" s="125"/>
      <x:c r="F44" s="125"/>
      <x:c r="G44" s="125"/>
      <x:c r="H44" s="125"/>
      <x:c r="I44" s="125"/>
      <x:c r="J44" s="125"/>
      <x:c r="K44" s="125"/>
      <x:c r="L44" s="125"/>
      <x:c r="M44" s="125"/>
      <x:c r="N44" s="125"/>
      <x:c r="O44" s="125"/>
      <x:c r="P44" s="125"/>
      <x:c r="Q44" s="125"/>
    </x:row>
    <x:row r="45">
      <x:c r="A45" s="125"/>
      <x:c r="B45" s="125"/>
      <x:c r="C45" s="125"/>
      <x:c r="D45" s="125"/>
      <x:c r="E45" s="125"/>
      <x:c r="F45" s="125"/>
      <x:c r="G45" s="125"/>
      <x:c r="H45" s="125"/>
      <x:c r="I45" s="125"/>
      <x:c r="J45" s="125"/>
      <x:c r="K45" s="125"/>
      <x:c r="L45" s="125"/>
      <x:c r="M45" s="125"/>
      <x:c r="N45" s="125"/>
      <x:c r="O45" s="125"/>
      <x:c r="P45" s="125"/>
      <x:c r="Q45" s="125"/>
    </x:row>
    <x:row r="46">
      <x:c r="A46" s="125"/>
      <x:c r="B46" s="125"/>
      <x:c r="C46" s="125"/>
      <x:c r="D46" s="125"/>
      <x:c r="E46" s="125"/>
      <x:c r="F46" s="125"/>
      <x:c r="G46" s="125"/>
      <x:c r="H46" s="125"/>
      <x:c r="I46" s="125"/>
      <x:c r="J46" s="125"/>
      <x:c r="K46" s="125"/>
      <x:c r="L46" s="125"/>
      <x:c r="M46" s="125"/>
      <x:c r="N46" s="125"/>
      <x:c r="O46" s="125"/>
      <x:c r="P46" s="125"/>
      <x:c r="Q46" s="125"/>
    </x:row>
    <x:row r="47">
      <x:c r="A47" s="125"/>
      <x:c r="B47" s="125"/>
      <x:c r="C47" s="125"/>
      <x:c r="D47" s="125"/>
      <x:c r="E47" s="125"/>
      <x:c r="F47" s="125"/>
      <x:c r="G47" s="125"/>
      <x:c r="H47" s="125"/>
      <x:c r="I47" s="125"/>
      <x:c r="J47" s="125"/>
      <x:c r="K47" s="125"/>
      <x:c r="L47" s="125"/>
      <x:c r="M47" s="125"/>
      <x:c r="N47" s="125"/>
      <x:c r="O47" s="125"/>
      <x:c r="P47" s="125"/>
      <x:c r="Q47" s="125"/>
    </x:row>
    <x:row r="48">
      <x:c r="A48" s="125"/>
      <x:c r="B48" s="125"/>
      <x:c r="C48" s="125"/>
      <x:c r="D48" s="125"/>
      <x:c r="E48" s="125"/>
      <x:c r="F48" s="125"/>
      <x:c r="G48" s="125"/>
      <x:c r="H48" s="125"/>
      <x:c r="I48" s="125"/>
      <x:c r="J48" s="125"/>
      <x:c r="K48" s="125"/>
      <x:c r="L48" s="125"/>
      <x:c r="M48" s="125"/>
      <x:c r="N48" s="125"/>
      <x:c r="O48" s="125"/>
      <x:c r="P48" s="125"/>
      <x:c r="Q48" s="125"/>
    </x:row>
    <x:row r="49">
      <x:c r="A49" s="125"/>
      <x:c r="B49" s="125"/>
      <x:c r="C49" s="125"/>
      <x:c r="D49" s="125"/>
      <x:c r="E49" s="125"/>
      <x:c r="F49" s="125"/>
      <x:c r="G49" s="125"/>
      <x:c r="H49" s="125"/>
      <x:c r="I49" s="125"/>
      <x:c r="J49" s="125"/>
      <x:c r="K49" s="125"/>
      <x:c r="L49" s="125"/>
      <x:c r="M49" s="125"/>
      <x:c r="N49" s="125"/>
      <x:c r="O49" s="125"/>
      <x:c r="P49" s="125"/>
      <x:c r="Q49" s="125"/>
    </x:row>
    <x:row r="50">
      <x:c r="A50" s="125"/>
      <x:c r="B50" s="125"/>
      <x:c r="C50" s="125"/>
      <x:c r="D50" s="125"/>
      <x:c r="E50" s="125"/>
      <x:c r="F50" s="125"/>
      <x:c r="G50" s="125"/>
      <x:c r="H50" s="125"/>
      <x:c r="I50" s="125"/>
      <x:c r="J50" s="125"/>
      <x:c r="K50" s="125"/>
      <x:c r="L50" s="125"/>
      <x:c r="M50" s="125"/>
      <x:c r="N50" s="125"/>
      <x:c r="O50" s="125"/>
      <x:c r="P50" s="125"/>
      <x:c r="Q50" s="125"/>
    </x:row>
    <x:row r="51">
      <x:c r="A51" s="125"/>
      <x:c r="B51" s="125"/>
      <x:c r="C51" s="125"/>
      <x:c r="D51" s="125"/>
      <x:c r="E51" s="125"/>
      <x:c r="F51" s="125"/>
      <x:c r="G51" s="125"/>
      <x:c r="H51" s="125"/>
      <x:c r="I51" s="125"/>
      <x:c r="J51" s="125"/>
      <x:c r="K51" s="125"/>
      <x:c r="L51" s="125"/>
      <x:c r="M51" s="125"/>
      <x:c r="N51" s="125"/>
      <x:c r="O51" s="125"/>
      <x:c r="P51" s="125"/>
      <x:c r="Q51" s="125"/>
    </x:row>
    <x:row r="52">
      <x:c r="A52" s="125"/>
      <x:c r="B52" s="125"/>
      <x:c r="C52" s="125"/>
      <x:c r="D52" s="125"/>
      <x:c r="E52" s="125"/>
      <x:c r="F52" s="125"/>
      <x:c r="G52" s="125"/>
      <x:c r="H52" s="125"/>
      <x:c r="I52" s="125"/>
      <x:c r="J52" s="125"/>
      <x:c r="K52" s="125"/>
      <x:c r="L52" s="125"/>
      <x:c r="M52" s="125"/>
      <x:c r="N52" s="125"/>
      <x:c r="O52" s="125"/>
      <x:c r="P52" s="125"/>
      <x:c r="Q52" s="125"/>
    </x:row>
    <x:row r="53">
      <x:c r="A53" s="125"/>
      <x:c r="B53" s="125"/>
      <x:c r="C53" s="125"/>
      <x:c r="D53" s="125"/>
      <x:c r="E53" s="125"/>
      <x:c r="F53" s="125"/>
      <x:c r="G53" s="125"/>
      <x:c r="H53" s="125"/>
      <x:c r="I53" s="125"/>
      <x:c r="J53" s="125"/>
      <x:c r="K53" s="125"/>
      <x:c r="L53" s="125"/>
      <x:c r="M53" s="125"/>
      <x:c r="N53" s="125"/>
      <x:c r="O53" s="125"/>
      <x:c r="P53" s="125"/>
      <x:c r="Q53" s="125"/>
    </x:row>
    <x:row r="54">
      <x:c r="A54" s="125"/>
      <x:c r="B54" s="125"/>
      <x:c r="C54" s="125"/>
      <x:c r="D54" s="125"/>
      <x:c r="E54" s="125"/>
      <x:c r="F54" s="125"/>
      <x:c r="G54" s="125"/>
      <x:c r="H54" s="125"/>
      <x:c r="I54" s="125"/>
      <x:c r="J54" s="125"/>
      <x:c r="K54" s="125"/>
      <x:c r="L54" s="125"/>
      <x:c r="M54" s="125"/>
      <x:c r="N54" s="125"/>
      <x:c r="O54" s="125"/>
      <x:c r="P54" s="125"/>
      <x:c r="Q54" s="125"/>
    </x:row>
    <x:row r="55">
      <x:c r="A55" s="125"/>
      <x:c r="B55" s="125"/>
      <x:c r="C55" s="125"/>
      <x:c r="D55" s="125"/>
      <x:c r="E55" s="125"/>
      <x:c r="F55" s="125"/>
      <x:c r="G55" s="125"/>
      <x:c r="H55" s="125"/>
      <x:c r="I55" s="125"/>
      <x:c r="J55" s="125"/>
      <x:c r="K55" s="125"/>
      <x:c r="L55" s="125"/>
      <x:c r="M55" s="125"/>
      <x:c r="N55" s="125"/>
      <x:c r="O55" s="125"/>
      <x:c r="P55" s="125"/>
      <x:c r="Q55" s="125"/>
    </x:row>
    <x:row r="56">
      <x:c r="A56" s="125"/>
      <x:c r="B56" s="125"/>
      <x:c r="C56" s="125"/>
      <x:c r="D56" s="125"/>
      <x:c r="E56" s="125"/>
      <x:c r="F56" s="125"/>
      <x:c r="G56" s="125"/>
      <x:c r="H56" s="125"/>
      <x:c r="I56" s="125"/>
      <x:c r="J56" s="125"/>
      <x:c r="K56" s="125"/>
      <x:c r="L56" s="125"/>
      <x:c r="M56" s="125"/>
      <x:c r="N56" s="125"/>
      <x:c r="O56" s="125"/>
      <x:c r="P56" s="125"/>
      <x:c r="Q56" s="125"/>
    </x:row>
    <x:row r="57">
      <x:c r="A57" s="125"/>
      <x:c r="B57" s="125"/>
      <x:c r="C57" s="125"/>
      <x:c r="D57" s="125"/>
      <x:c r="E57" s="125"/>
      <x:c r="F57" s="125"/>
      <x:c r="G57" s="125"/>
      <x:c r="H57" s="125"/>
      <x:c r="I57" s="125"/>
      <x:c r="J57" s="125"/>
      <x:c r="K57" s="125"/>
      <x:c r="L57" s="125"/>
      <x:c r="M57" s="125"/>
      <x:c r="N57" s="125"/>
      <x:c r="O57" s="125"/>
      <x:c r="P57" s="125"/>
      <x:c r="Q57" s="125"/>
    </x:row>
    <x:row r="58">
      <x:c r="A58" s="125"/>
      <x:c r="B58" s="125"/>
      <x:c r="C58" s="125"/>
      <x:c r="D58" s="125"/>
      <x:c r="E58" s="125"/>
      <x:c r="F58" s="125"/>
      <x:c r="G58" s="125"/>
      <x:c r="H58" s="125"/>
      <x:c r="I58" s="125"/>
      <x:c r="J58" s="125"/>
      <x:c r="K58" s="125"/>
      <x:c r="L58" s="125"/>
      <x:c r="M58" s="125"/>
      <x:c r="N58" s="125"/>
      <x:c r="O58" s="125"/>
      <x:c r="P58" s="125"/>
      <x:c r="Q58" s="125"/>
    </x:row>
    <x:row r="59">
      <x:c r="A59" s="125"/>
      <x:c r="B59" s="125"/>
      <x:c r="C59" s="125"/>
      <x:c r="D59" s="125"/>
      <x:c r="E59" s="125"/>
      <x:c r="F59" s="125"/>
      <x:c r="G59" s="125"/>
      <x:c r="H59" s="125"/>
      <x:c r="I59" s="125"/>
      <x:c r="J59" s="125"/>
      <x:c r="K59" s="125"/>
      <x:c r="L59" s="125"/>
      <x:c r="M59" s="125"/>
      <x:c r="N59" s="125"/>
      <x:c r="O59" s="125"/>
      <x:c r="P59" s="125"/>
      <x:c r="Q59" s="125"/>
    </x:row>
    <x:row r="60">
      <x:c r="A60" s="125"/>
      <x:c r="B60" s="125"/>
      <x:c r="C60" s="125"/>
      <x:c r="D60" s="125"/>
      <x:c r="E60" s="125"/>
      <x:c r="F60" s="125"/>
      <x:c r="G60" s="125"/>
      <x:c r="H60" s="125"/>
      <x:c r="I60" s="125"/>
      <x:c r="J60" s="125"/>
      <x:c r="K60" s="125"/>
      <x:c r="L60" s="125"/>
      <x:c r="M60" s="125"/>
      <x:c r="N60" s="125"/>
      <x:c r="O60" s="125"/>
      <x:c r="P60" s="125"/>
      <x:c r="Q60" s="125"/>
    </x:row>
    <x:row r="61">
      <x:c r="A61" s="125"/>
      <x:c r="B61" s="125"/>
      <x:c r="C61" s="125"/>
      <x:c r="D61" s="125"/>
      <x:c r="E61" s="125"/>
      <x:c r="F61" s="125"/>
      <x:c r="G61" s="125"/>
      <x:c r="H61" s="125"/>
      <x:c r="I61" s="125"/>
      <x:c r="J61" s="125"/>
      <x:c r="K61" s="125"/>
      <x:c r="L61" s="125"/>
      <x:c r="M61" s="125"/>
      <x:c r="N61" s="125"/>
      <x:c r="O61" s="125"/>
      <x:c r="P61" s="125"/>
      <x:c r="Q61" s="125"/>
    </x:row>
    <x:row r="62">
      <x:c r="A62" s="125"/>
      <x:c r="B62" s="125"/>
      <x:c r="C62" s="125"/>
      <x:c r="D62" s="125"/>
      <x:c r="E62" s="125"/>
      <x:c r="F62" s="125"/>
      <x:c r="G62" s="125"/>
      <x:c r="H62" s="125"/>
      <x:c r="I62" s="125"/>
      <x:c r="J62" s="125"/>
      <x:c r="K62" s="125"/>
      <x:c r="L62" s="125"/>
      <x:c r="M62" s="125"/>
      <x:c r="N62" s="125"/>
      <x:c r="O62" s="125"/>
      <x:c r="P62" s="125"/>
      <x:c r="Q62" s="125"/>
    </x:row>
    <x:row r="63">
      <x:c r="A63" s="125"/>
      <x:c r="B63" s="125"/>
      <x:c r="C63" s="125"/>
      <x:c r="D63" s="125"/>
      <x:c r="E63" s="125"/>
      <x:c r="F63" s="125"/>
      <x:c r="G63" s="125"/>
      <x:c r="H63" s="125"/>
      <x:c r="I63" s="125"/>
      <x:c r="J63" s="125"/>
      <x:c r="K63" s="125"/>
      <x:c r="L63" s="125"/>
      <x:c r="M63" s="125"/>
      <x:c r="N63" s="125"/>
      <x:c r="O63" s="125"/>
      <x:c r="P63" s="125"/>
      <x:c r="Q63" s="125"/>
    </x:row>
    <x:row r="64">
      <x:c r="A64" s="125"/>
      <x:c r="B64" s="125"/>
      <x:c r="C64" s="125"/>
      <x:c r="D64" s="125"/>
      <x:c r="E64" s="125"/>
      <x:c r="F64" s="125"/>
      <x:c r="G64" s="125"/>
      <x:c r="H64" s="125"/>
      <x:c r="I64" s="125"/>
      <x:c r="J64" s="125"/>
      <x:c r="K64" s="125"/>
      <x:c r="L64" s="125"/>
      <x:c r="M64" s="125"/>
      <x:c r="N64" s="125"/>
      <x:c r="O64" s="125"/>
      <x:c r="P64" s="125"/>
      <x:c r="Q64" s="125"/>
    </x:row>
    <x:row r="65">
      <x:c r="A65" s="125"/>
      <x:c r="B65" s="125"/>
      <x:c r="C65" s="125"/>
      <x:c r="D65" s="125"/>
      <x:c r="E65" s="125"/>
      <x:c r="F65" s="125"/>
      <x:c r="G65" s="125"/>
      <x:c r="H65" s="125"/>
      <x:c r="I65" s="125"/>
      <x:c r="J65" s="125"/>
      <x:c r="K65" s="125"/>
      <x:c r="L65" s="125"/>
      <x:c r="M65" s="125"/>
      <x:c r="N65" s="125"/>
      <x:c r="O65" s="125"/>
      <x:c r="P65" s="125"/>
      <x:c r="Q65" s="125"/>
    </x:row>
    <x:row r="66">
      <x:c r="A66" s="125"/>
      <x:c r="B66" s="125"/>
      <x:c r="C66" s="125"/>
      <x:c r="D66" s="125"/>
      <x:c r="E66" s="125"/>
      <x:c r="F66" s="125"/>
      <x:c r="G66" s="125"/>
      <x:c r="H66" s="125"/>
      <x:c r="I66" s="125"/>
      <x:c r="J66" s="125"/>
      <x:c r="K66" s="125"/>
      <x:c r="L66" s="125"/>
      <x:c r="M66" s="125"/>
      <x:c r="N66" s="125"/>
      <x:c r="O66" s="125"/>
      <x:c r="P66" s="125"/>
      <x:c r="Q66" s="125"/>
    </x:row>
    <x:row r="67">
      <x:c r="A67" s="125"/>
      <x:c r="B67" s="125"/>
      <x:c r="C67" s="125"/>
      <x:c r="D67" s="125"/>
      <x:c r="E67" s="125"/>
      <x:c r="F67" s="125"/>
      <x:c r="G67" s="125"/>
      <x:c r="H67" s="125"/>
      <x:c r="I67" s="125"/>
      <x:c r="J67" s="125"/>
      <x:c r="K67" s="125"/>
      <x:c r="L67" s="125"/>
      <x:c r="M67" s="125"/>
      <x:c r="N67" s="125"/>
      <x:c r="O67" s="125"/>
      <x:c r="P67" s="125"/>
      <x:c r="Q67" s="125"/>
    </x:row>
    <x:row r="68">
      <x:c r="A68" s="125"/>
      <x:c r="B68" s="125"/>
      <x:c r="C68" s="125"/>
      <x:c r="D68" s="125"/>
      <x:c r="E68" s="125"/>
      <x:c r="F68" s="125"/>
      <x:c r="G68" s="125"/>
      <x:c r="H68" s="125"/>
      <x:c r="I68" s="125"/>
      <x:c r="J68" s="125"/>
      <x:c r="K68" s="125"/>
      <x:c r="L68" s="125"/>
      <x:c r="M68" s="125"/>
      <x:c r="N68" s="125"/>
      <x:c r="O68" s="125"/>
      <x:c r="P68" s="125"/>
      <x:c r="Q68" s="125"/>
    </x:row>
    <x:row r="69">
      <x:c r="A69" s="125"/>
      <x:c r="B69" s="125"/>
      <x:c r="C69" s="125"/>
      <x:c r="D69" s="125"/>
      <x:c r="E69" s="125"/>
      <x:c r="F69" s="125"/>
      <x:c r="G69" s="125"/>
      <x:c r="H69" s="125"/>
      <x:c r="I69" s="125"/>
      <x:c r="J69" s="125"/>
      <x:c r="K69" s="125"/>
      <x:c r="L69" s="125"/>
      <x:c r="M69" s="125"/>
      <x:c r="N69" s="125"/>
      <x:c r="O69" s="125"/>
      <x:c r="P69" s="125"/>
      <x:c r="Q69" s="125"/>
    </x:row>
    <x:row r="70">
      <x:c r="A70" s="125"/>
      <x:c r="B70" s="125"/>
      <x:c r="C70" s="125"/>
      <x:c r="D70" s="125"/>
      <x:c r="E70" s="125"/>
      <x:c r="F70" s="125"/>
      <x:c r="G70" s="125"/>
      <x:c r="H70" s="125"/>
      <x:c r="I70" s="125"/>
      <x:c r="J70" s="125"/>
      <x:c r="K70" s="125"/>
      <x:c r="L70" s="125"/>
      <x:c r="M70" s="125"/>
      <x:c r="N70" s="125"/>
      <x:c r="O70" s="125"/>
      <x:c r="P70" s="125"/>
      <x:c r="Q70" s="125"/>
    </x:row>
    <x:row r="71">
      <x:c r="A71" s="125"/>
      <x:c r="B71" s="125"/>
      <x:c r="C71" s="125"/>
      <x:c r="D71" s="125"/>
      <x:c r="E71" s="125"/>
      <x:c r="F71" s="125"/>
      <x:c r="G71" s="125"/>
      <x:c r="H71" s="125"/>
      <x:c r="I71" s="125"/>
      <x:c r="J71" s="125"/>
      <x:c r="K71" s="125"/>
      <x:c r="L71" s="125"/>
      <x:c r="M71" s="125"/>
      <x:c r="N71" s="125"/>
      <x:c r="O71" s="125"/>
      <x:c r="P71" s="125"/>
      <x:c r="Q71" s="125"/>
    </x:row>
    <x:row r="72">
      <x:c r="A72" s="125"/>
      <x:c r="B72" s="125"/>
      <x:c r="C72" s="125"/>
      <x:c r="D72" s="125"/>
      <x:c r="E72" s="125"/>
      <x:c r="F72" s="125"/>
      <x:c r="G72" s="125"/>
      <x:c r="H72" s="125"/>
      <x:c r="I72" s="125"/>
      <x:c r="J72" s="125"/>
      <x:c r="K72" s="125"/>
      <x:c r="L72" s="125"/>
      <x:c r="M72" s="125"/>
      <x:c r="N72" s="125"/>
      <x:c r="O72" s="125"/>
      <x:c r="P72" s="125"/>
      <x:c r="Q72" s="125"/>
    </x:row>
    <x:row r="73">
      <x:c r="A73" s="125"/>
      <x:c r="B73" s="125"/>
      <x:c r="C73" s="125"/>
      <x:c r="D73" s="125"/>
      <x:c r="E73" s="125"/>
      <x:c r="F73" s="125"/>
      <x:c r="G73" s="125"/>
      <x:c r="H73" s="125"/>
      <x:c r="I73" s="125"/>
      <x:c r="J73" s="125"/>
      <x:c r="K73" s="125"/>
      <x:c r="L73" s="125"/>
      <x:c r="M73" s="125"/>
      <x:c r="N73" s="125"/>
      <x:c r="O73" s="125"/>
      <x:c r="P73" s="125"/>
      <x:c r="Q73" s="125"/>
    </x:row>
    <x:row r="74">
      <x:c r="A74" s="125"/>
      <x:c r="B74" s="125"/>
      <x:c r="C74" s="125"/>
      <x:c r="D74" s="125"/>
      <x:c r="E74" s="125"/>
      <x:c r="F74" s="125"/>
      <x:c r="G74" s="125"/>
      <x:c r="H74" s="125"/>
      <x:c r="I74" s="125"/>
      <x:c r="J74" s="125"/>
      <x:c r="K74" s="125"/>
      <x:c r="L74" s="125"/>
      <x:c r="M74" s="125"/>
      <x:c r="N74" s="125"/>
      <x:c r="O74" s="125"/>
      <x:c r="P74" s="125"/>
      <x:c r="Q74" s="125"/>
    </x:row>
    <x:row r="75">
      <x:c r="A75" s="125"/>
      <x:c r="B75" s="125"/>
      <x:c r="C75" s="125"/>
      <x:c r="D75" s="125"/>
      <x:c r="E75" s="125"/>
      <x:c r="F75" s="125"/>
      <x:c r="G75" s="125"/>
      <x:c r="H75" s="125"/>
      <x:c r="I75" s="125"/>
      <x:c r="J75" s="125"/>
      <x:c r="K75" s="125"/>
      <x:c r="L75" s="125"/>
      <x:c r="M75" s="125"/>
      <x:c r="N75" s="125"/>
      <x:c r="O75" s="125"/>
      <x:c r="P75" s="125"/>
      <x:c r="Q75" s="125"/>
    </x:row>
    <x:row r="76">
      <x:c r="A76" s="125"/>
      <x:c r="B76" s="125"/>
      <x:c r="C76" s="125"/>
      <x:c r="D76" s="125"/>
      <x:c r="E76" s="125"/>
      <x:c r="F76" s="125"/>
      <x:c r="G76" s="125"/>
      <x:c r="H76" s="125"/>
      <x:c r="I76" s="125"/>
      <x:c r="J76" s="125"/>
      <x:c r="K76" s="125"/>
      <x:c r="L76" s="125"/>
      <x:c r="M76" s="125"/>
      <x:c r="N76" s="125"/>
      <x:c r="O76" s="125"/>
      <x:c r="P76" s="125"/>
      <x:c r="Q76" s="125"/>
    </x:row>
    <x:row r="77">
      <x:c r="A77" s="125"/>
      <x:c r="B77" s="125"/>
      <x:c r="C77" s="125"/>
      <x:c r="D77" s="125"/>
      <x:c r="E77" s="125"/>
      <x:c r="F77" s="125"/>
      <x:c r="G77" s="125"/>
      <x:c r="H77" s="125"/>
      <x:c r="I77" s="125"/>
      <x:c r="J77" s="125"/>
      <x:c r="K77" s="125"/>
      <x:c r="L77" s="125"/>
      <x:c r="M77" s="125"/>
      <x:c r="N77" s="125"/>
      <x:c r="O77" s="125"/>
      <x:c r="P77" s="125"/>
      <x:c r="Q77" s="125"/>
    </x:row>
    <x:row r="78">
      <x:c r="A78" s="125"/>
      <x:c r="B78" s="125"/>
      <x:c r="C78" s="125"/>
      <x:c r="D78" s="125"/>
      <x:c r="E78" s="125"/>
      <x:c r="F78" s="125"/>
      <x:c r="G78" s="125"/>
      <x:c r="H78" s="125"/>
      <x:c r="I78" s="125"/>
      <x:c r="J78" s="125"/>
      <x:c r="K78" s="125"/>
      <x:c r="L78" s="125"/>
      <x:c r="M78" s="125"/>
      <x:c r="N78" s="125"/>
      <x:c r="O78" s="125"/>
      <x:c r="P78" s="125"/>
      <x:c r="Q78" s="125"/>
    </x:row>
    <x:row r="79">
      <x:c r="A79" s="125"/>
      <x:c r="B79" s="125"/>
      <x:c r="C79" s="125"/>
      <x:c r="D79" s="125"/>
      <x:c r="E79" s="125"/>
      <x:c r="F79" s="125"/>
      <x:c r="G79" s="125"/>
      <x:c r="H79" s="125"/>
      <x:c r="I79" s="125"/>
      <x:c r="J79" s="125"/>
      <x:c r="K79" s="125"/>
      <x:c r="L79" s="125"/>
      <x:c r="M79" s="125"/>
      <x:c r="N79" s="125"/>
      <x:c r="O79" s="125"/>
      <x:c r="P79" s="125"/>
      <x:c r="Q79" s="125"/>
    </x:row>
    <x:row r="80">
      <x:c r="A80" s="125"/>
      <x:c r="B80" s="125"/>
      <x:c r="C80" s="125"/>
      <x:c r="D80" s="125"/>
      <x:c r="E80" s="125"/>
      <x:c r="F80" s="125"/>
      <x:c r="G80" s="125"/>
      <x:c r="H80" s="125"/>
      <x:c r="I80" s="125"/>
      <x:c r="J80" s="125"/>
      <x:c r="K80" s="125"/>
      <x:c r="L80" s="125"/>
      <x:c r="M80" s="125"/>
      <x:c r="N80" s="125"/>
      <x:c r="O80" s="125"/>
      <x:c r="P80" s="125"/>
      <x:c r="Q80" s="125"/>
    </x:row>
    <x:row r="81">
      <x:c r="A81" s="125"/>
      <x:c r="B81" s="125"/>
      <x:c r="C81" s="125"/>
      <x:c r="D81" s="125"/>
      <x:c r="E81" s="125"/>
      <x:c r="F81" s="125"/>
      <x:c r="G81" s="125"/>
      <x:c r="H81" s="125"/>
      <x:c r="I81" s="125"/>
      <x:c r="J81" s="125"/>
      <x:c r="K81" s="125"/>
      <x:c r="L81" s="125"/>
      <x:c r="M81" s="125"/>
      <x:c r="N81" s="125"/>
      <x:c r="O81" s="125"/>
      <x:c r="P81" s="125"/>
      <x:c r="Q81" s="125"/>
    </x:row>
    <x:row r="82">
      <x:c r="A82" s="125"/>
      <x:c r="B82" s="125"/>
      <x:c r="C82" s="125"/>
      <x:c r="D82" s="125"/>
      <x:c r="E82" s="125"/>
      <x:c r="F82" s="125"/>
      <x:c r="G82" s="125"/>
      <x:c r="H82" s="125"/>
      <x:c r="I82" s="125"/>
      <x:c r="J82" s="125"/>
      <x:c r="K82" s="125"/>
      <x:c r="L82" s="125"/>
      <x:c r="M82" s="125"/>
      <x:c r="N82" s="125"/>
      <x:c r="O82" s="125"/>
      <x:c r="P82" s="125"/>
      <x:c r="Q82" s="125"/>
    </x:row>
    <x:row r="83">
      <x:c r="A83" s="125"/>
      <x:c r="B83" s="125"/>
      <x:c r="C83" s="125"/>
      <x:c r="D83" s="125"/>
      <x:c r="E83" s="125"/>
      <x:c r="F83" s="125"/>
      <x:c r="G83" s="125"/>
      <x:c r="H83" s="125"/>
      <x:c r="I83" s="125"/>
      <x:c r="J83" s="125"/>
      <x:c r="K83" s="125"/>
      <x:c r="L83" s="125"/>
      <x:c r="M83" s="125"/>
      <x:c r="N83" s="125"/>
      <x:c r="O83" s="125"/>
      <x:c r="P83" s="125"/>
      <x:c r="Q83" s="125"/>
    </x:row>
    <x:row r="84">
      <x:c r="A84" s="125"/>
      <x:c r="B84" s="125"/>
      <x:c r="C84" s="125"/>
      <x:c r="D84" s="125"/>
      <x:c r="E84" s="125"/>
      <x:c r="F84" s="125"/>
      <x:c r="G84" s="125"/>
      <x:c r="H84" s="125"/>
      <x:c r="I84" s="125"/>
      <x:c r="J84" s="125"/>
      <x:c r="K84" s="125"/>
      <x:c r="L84" s="125"/>
      <x:c r="M84" s="125"/>
      <x:c r="N84" s="125"/>
      <x:c r="O84" s="125"/>
      <x:c r="P84" s="125"/>
      <x:c r="Q84" s="125"/>
    </x:row>
    <x:row r="85">
      <x:c r="A85" s="125"/>
      <x:c r="B85" s="125"/>
      <x:c r="C85" s="125"/>
      <x:c r="D85" s="125"/>
      <x:c r="E85" s="125"/>
      <x:c r="F85" s="125"/>
      <x:c r="G85" s="125"/>
      <x:c r="H85" s="125"/>
      <x:c r="I85" s="125"/>
      <x:c r="J85" s="125"/>
      <x:c r="K85" s="125"/>
      <x:c r="L85" s="125"/>
      <x:c r="M85" s="125"/>
      <x:c r="N85" s="125"/>
      <x:c r="O85" s="125"/>
      <x:c r="P85" s="125"/>
      <x:c r="Q85" s="125"/>
    </x:row>
    <x:row r="86">
      <x:c r="A86" s="125"/>
      <x:c r="B86" s="125"/>
      <x:c r="C86" s="125"/>
      <x:c r="D86" s="125"/>
      <x:c r="E86" s="125"/>
      <x:c r="F86" s="125"/>
      <x:c r="G86" s="125"/>
      <x:c r="H86" s="125"/>
      <x:c r="I86" s="125"/>
      <x:c r="J86" s="125"/>
      <x:c r="K86" s="125"/>
      <x:c r="L86" s="125"/>
      <x:c r="M86" s="125"/>
      <x:c r="N86" s="125"/>
      <x:c r="O86" s="125"/>
      <x:c r="P86" s="125"/>
      <x:c r="Q86" s="125"/>
    </x:row>
    <x:row r="87">
      <x:c r="A87" s="125"/>
      <x:c r="B87" s="125"/>
      <x:c r="C87" s="125"/>
      <x:c r="D87" s="125"/>
      <x:c r="E87" s="125"/>
      <x:c r="F87" s="125"/>
      <x:c r="G87" s="125"/>
      <x:c r="H87" s="125"/>
      <x:c r="I87" s="125"/>
      <x:c r="J87" s="125"/>
      <x:c r="K87" s="125"/>
      <x:c r="L87" s="125"/>
      <x:c r="M87" s="125"/>
      <x:c r="N87" s="125"/>
      <x:c r="O87" s="125"/>
      <x:c r="P87" s="125"/>
      <x:c r="Q87" s="125"/>
    </x:row>
    <x:row r="88">
      <x:c r="A88" s="125"/>
      <x:c r="B88" s="125"/>
      <x:c r="C88" s="125"/>
      <x:c r="D88" s="125"/>
      <x:c r="E88" s="125"/>
      <x:c r="F88" s="125"/>
      <x:c r="G88" s="125"/>
      <x:c r="H88" s="125"/>
      <x:c r="I88" s="125"/>
      <x:c r="J88" s="125"/>
      <x:c r="K88" s="125"/>
      <x:c r="L88" s="125"/>
      <x:c r="M88" s="125"/>
      <x:c r="N88" s="125"/>
      <x:c r="O88" s="125"/>
      <x:c r="P88" s="125"/>
      <x:c r="Q88" s="125"/>
    </x:row>
    <x:row r="89">
      <x:c r="A89" s="125"/>
      <x:c r="B89" s="125"/>
      <x:c r="C89" s="125"/>
      <x:c r="D89" s="125"/>
      <x:c r="E89" s="125"/>
      <x:c r="F89" s="125"/>
      <x:c r="G89" s="125"/>
      <x:c r="H89" s="125"/>
      <x:c r="I89" s="125"/>
      <x:c r="J89" s="125"/>
      <x:c r="K89" s="125"/>
      <x:c r="L89" s="125"/>
      <x:c r="M89" s="125"/>
      <x:c r="N89" s="125"/>
      <x:c r="O89" s="125"/>
      <x:c r="P89" s="125"/>
      <x:c r="Q89" s="125"/>
    </x:row>
    <x:row r="90">
      <x:c r="A90" s="125"/>
      <x:c r="B90" s="125"/>
      <x:c r="C90" s="125"/>
      <x:c r="D90" s="125"/>
      <x:c r="E90" s="125"/>
      <x:c r="F90" s="125"/>
      <x:c r="G90" s="125"/>
      <x:c r="H90" s="125"/>
      <x:c r="I90" s="125"/>
      <x:c r="J90" s="125"/>
      <x:c r="K90" s="125"/>
      <x:c r="L90" s="125"/>
      <x:c r="M90" s="125"/>
      <x:c r="N90" s="125"/>
      <x:c r="O90" s="125"/>
      <x:c r="P90" s="125"/>
      <x:c r="Q90" s="125"/>
    </x:row>
    <x:row r="91">
      <x:c r="A91" s="125"/>
      <x:c r="B91" s="125"/>
      <x:c r="C91" s="125"/>
      <x:c r="D91" s="125"/>
      <x:c r="E91" s="125"/>
      <x:c r="F91" s="125"/>
      <x:c r="G91" s="125"/>
      <x:c r="H91" s="125"/>
      <x:c r="I91" s="125"/>
      <x:c r="J91" s="125"/>
      <x:c r="K91" s="125"/>
      <x:c r="L91" s="125"/>
      <x:c r="M91" s="125"/>
      <x:c r="N91" s="125"/>
      <x:c r="O91" s="125"/>
      <x:c r="P91" s="125"/>
      <x:c r="Q91" s="125"/>
    </x:row>
    <x:row r="92">
      <x:c r="A92" s="125"/>
      <x:c r="B92" s="125"/>
      <x:c r="C92" s="125"/>
      <x:c r="D92" s="125"/>
      <x:c r="E92" s="125"/>
      <x:c r="F92" s="125"/>
      <x:c r="G92" s="125"/>
      <x:c r="H92" s="125"/>
      <x:c r="I92" s="125"/>
      <x:c r="J92" s="125"/>
      <x:c r="K92" s="125"/>
      <x:c r="L92" s="125"/>
      <x:c r="M92" s="125"/>
      <x:c r="N92" s="125"/>
      <x:c r="O92" s="125"/>
      <x:c r="P92" s="125"/>
      <x:c r="Q92" s="125"/>
    </x:row>
    <x:row r="93">
      <x:c r="A93" s="125"/>
      <x:c r="B93" s="125"/>
      <x:c r="C93" s="125"/>
      <x:c r="D93" s="125"/>
      <x:c r="E93" s="125"/>
      <x:c r="F93" s="125"/>
      <x:c r="G93" s="125"/>
      <x:c r="H93" s="125"/>
      <x:c r="I93" s="125"/>
      <x:c r="J93" s="125"/>
      <x:c r="K93" s="125"/>
      <x:c r="L93" s="125"/>
      <x:c r="M93" s="125"/>
      <x:c r="N93" s="125"/>
      <x:c r="O93" s="125"/>
      <x:c r="P93" s="125"/>
      <x:c r="Q93" s="125"/>
    </x:row>
    <x:row r="94">
      <x:c r="A94" s="125"/>
      <x:c r="B94" s="125"/>
      <x:c r="C94" s="125"/>
      <x:c r="D94" s="125"/>
      <x:c r="E94" s="125"/>
      <x:c r="F94" s="125"/>
      <x:c r="G94" s="125"/>
      <x:c r="H94" s="125"/>
      <x:c r="I94" s="125"/>
      <x:c r="J94" s="125"/>
      <x:c r="K94" s="125"/>
      <x:c r="L94" s="125"/>
      <x:c r="M94" s="125"/>
      <x:c r="N94" s="125"/>
      <x:c r="O94" s="125"/>
      <x:c r="P94" s="125"/>
      <x:c r="Q94" s="125"/>
    </x:row>
    <x:row r="95">
      <x:c r="A95" s="125"/>
      <x:c r="B95" s="125"/>
      <x:c r="C95" s="125"/>
      <x:c r="D95" s="125"/>
      <x:c r="E95" s="125"/>
      <x:c r="F95" s="125"/>
      <x:c r="G95" s="125"/>
      <x:c r="H95" s="125"/>
      <x:c r="I95" s="125"/>
      <x:c r="J95" s="125"/>
      <x:c r="K95" s="125"/>
      <x:c r="L95" s="125"/>
      <x:c r="M95" s="125"/>
      <x:c r="N95" s="125"/>
      <x:c r="O95" s="125"/>
      <x:c r="P95" s="125"/>
      <x:c r="Q95" s="125"/>
    </x:row>
    <x:row r="96">
      <x:c r="A96" s="125"/>
      <x:c r="B96" s="125"/>
      <x:c r="C96" s="125"/>
      <x:c r="D96" s="125"/>
      <x:c r="E96" s="125"/>
      <x:c r="F96" s="125"/>
      <x:c r="G96" s="125"/>
      <x:c r="H96" s="125"/>
      <x:c r="I96" s="125"/>
      <x:c r="J96" s="125"/>
      <x:c r="K96" s="125"/>
      <x:c r="L96" s="125"/>
      <x:c r="M96" s="125"/>
      <x:c r="N96" s="125"/>
      <x:c r="O96" s="125"/>
      <x:c r="P96" s="125"/>
      <x:c r="Q96" s="125"/>
    </x:row>
    <x:row r="97">
      <x:c r="A97" s="125"/>
      <x:c r="B97" s="125"/>
      <x:c r="C97" s="125"/>
      <x:c r="D97" s="125"/>
      <x:c r="E97" s="125"/>
      <x:c r="F97" s="125"/>
      <x:c r="G97" s="125"/>
      <x:c r="H97" s="125"/>
      <x:c r="I97" s="125"/>
      <x:c r="J97" s="125"/>
      <x:c r="K97" s="125"/>
      <x:c r="L97" s="125"/>
      <x:c r="M97" s="125"/>
      <x:c r="N97" s="125"/>
      <x:c r="O97" s="125"/>
      <x:c r="P97" s="125"/>
      <x:c r="Q97" s="125"/>
    </x:row>
    <x:row r="98">
      <x:c r="A98" s="125"/>
      <x:c r="B98" s="125"/>
      <x:c r="C98" s="125"/>
      <x:c r="D98" s="125"/>
      <x:c r="E98" s="125"/>
      <x:c r="F98" s="125"/>
      <x:c r="G98" s="125"/>
      <x:c r="H98" s="125"/>
      <x:c r="I98" s="125"/>
      <x:c r="J98" s="125"/>
      <x:c r="K98" s="125"/>
      <x:c r="L98" s="125"/>
      <x:c r="M98" s="125"/>
      <x:c r="N98" s="125"/>
      <x:c r="O98" s="125"/>
      <x:c r="P98" s="125"/>
      <x:c r="Q98" s="125"/>
    </x:row>
    <x:row r="99">
      <x:c r="A99" s="125"/>
      <x:c r="B99" s="125"/>
      <x:c r="C99" s="125"/>
      <x:c r="D99" s="125"/>
      <x:c r="E99" s="125"/>
      <x:c r="F99" s="125"/>
      <x:c r="G99" s="125"/>
      <x:c r="H99" s="125"/>
      <x:c r="I99" s="125"/>
      <x:c r="J99" s="125"/>
      <x:c r="K99" s="125"/>
      <x:c r="L99" s="125"/>
      <x:c r="M99" s="125"/>
      <x:c r="N99" s="125"/>
      <x:c r="O99" s="125"/>
      <x:c r="P99" s="125"/>
      <x:c r="Q99" s="125"/>
    </x:row>
    <x:row r="100">
      <x:c r="A100" s="125"/>
      <x:c r="B100" s="125"/>
      <x:c r="C100" s="125"/>
      <x:c r="D100" s="125"/>
      <x:c r="E100" s="125"/>
      <x:c r="F100" s="125"/>
      <x:c r="G100" s="125"/>
      <x:c r="H100" s="125"/>
      <x:c r="I100" s="125"/>
      <x:c r="J100" s="125"/>
      <x:c r="K100" s="125"/>
      <x:c r="L100" s="125"/>
      <x:c r="M100" s="125"/>
      <x:c r="N100" s="125"/>
      <x:c r="O100" s="125"/>
      <x:c r="P100" s="125"/>
      <x:c r="Q100" s="125"/>
    </x:row>
    <x:row r="101">
      <x:c r="A101" s="125"/>
      <x:c r="B101" s="125"/>
      <x:c r="C101" s="125"/>
      <x:c r="D101" s="125"/>
      <x:c r="E101" s="125"/>
      <x:c r="F101" s="125"/>
      <x:c r="G101" s="125"/>
      <x:c r="H101" s="125"/>
      <x:c r="I101" s="125"/>
      <x:c r="J101" s="125"/>
      <x:c r="K101" s="125"/>
      <x:c r="L101" s="125"/>
      <x:c r="M101" s="125"/>
      <x:c r="N101" s="125"/>
      <x:c r="O101" s="125"/>
      <x:c r="P101" s="125"/>
      <x:c r="Q101" s="125"/>
    </x:row>
    <x:row r="102">
      <x:c r="A102" s="125"/>
      <x:c r="B102" s="125"/>
      <x:c r="C102" s="125"/>
      <x:c r="D102" s="125"/>
      <x:c r="E102" s="125"/>
      <x:c r="F102" s="125"/>
      <x:c r="G102" s="125"/>
      <x:c r="H102" s="125"/>
      <x:c r="I102" s="125"/>
      <x:c r="J102" s="125"/>
      <x:c r="K102" s="125"/>
      <x:c r="L102" s="125"/>
      <x:c r="M102" s="125"/>
      <x:c r="N102" s="125"/>
      <x:c r="O102" s="125"/>
      <x:c r="P102" s="125"/>
      <x:c r="Q102" s="125"/>
    </x:row>
    <x:row r="103">
      <x:c r="A103" s="125"/>
      <x:c r="B103" s="125"/>
      <x:c r="C103" s="125"/>
      <x:c r="D103" s="125"/>
      <x:c r="E103" s="125"/>
      <x:c r="F103" s="125"/>
      <x:c r="G103" s="125"/>
      <x:c r="H103" s="125"/>
      <x:c r="I103" s="125"/>
      <x:c r="J103" s="125"/>
      <x:c r="K103" s="125"/>
      <x:c r="L103" s="125"/>
      <x:c r="M103" s="125"/>
      <x:c r="N103" s="125"/>
      <x:c r="O103" s="125"/>
      <x:c r="P103" s="125"/>
      <x:c r="Q103" s="125"/>
    </x:row>
    <x:row r="104">
      <x:c r="A104" s="125"/>
      <x:c r="B104" s="125"/>
      <x:c r="C104" s="125"/>
      <x:c r="D104" s="125"/>
      <x:c r="E104" s="125"/>
      <x:c r="F104" s="125"/>
      <x:c r="G104" s="125"/>
      <x:c r="H104" s="125"/>
      <x:c r="I104" s="125"/>
      <x:c r="J104" s="125"/>
      <x:c r="K104" s="125"/>
      <x:c r="L104" s="125"/>
      <x:c r="M104" s="125"/>
      <x:c r="N104" s="125"/>
      <x:c r="O104" s="125"/>
      <x:c r="P104" s="125"/>
      <x:c r="Q104" s="125"/>
    </x:row>
    <x:row r="105">
      <x:c r="A105" s="125"/>
      <x:c r="B105" s="125"/>
      <x:c r="C105" s="125"/>
      <x:c r="D105" s="125"/>
      <x:c r="E105" s="125"/>
      <x:c r="F105" s="125"/>
      <x:c r="G105" s="125"/>
      <x:c r="H105" s="125"/>
      <x:c r="I105" s="125"/>
      <x:c r="J105" s="125"/>
      <x:c r="K105" s="125"/>
      <x:c r="L105" s="125"/>
      <x:c r="M105" s="125"/>
      <x:c r="N105" s="125"/>
      <x:c r="O105" s="125"/>
      <x:c r="P105" s="125"/>
      <x:c r="Q105" s="125"/>
    </x:row>
    <x:row r="106">
      <x:c r="A106" s="125"/>
      <x:c r="B106" s="125"/>
      <x:c r="C106" s="125"/>
      <x:c r="D106" s="125"/>
      <x:c r="E106" s="125"/>
      <x:c r="F106" s="125"/>
      <x:c r="G106" s="125"/>
      <x:c r="H106" s="125"/>
      <x:c r="I106" s="125"/>
      <x:c r="J106" s="125"/>
      <x:c r="K106" s="125"/>
      <x:c r="L106" s="125"/>
      <x:c r="M106" s="125"/>
      <x:c r="N106" s="125"/>
      <x:c r="O106" s="125"/>
      <x:c r="P106" s="125"/>
      <x:c r="Q106" s="125"/>
    </x:row>
    <x:row r="107">
      <x:c r="A107" s="125"/>
      <x:c r="B107" s="125"/>
      <x:c r="C107" s="125"/>
      <x:c r="D107" s="125"/>
      <x:c r="E107" s="125"/>
      <x:c r="F107" s="125"/>
      <x:c r="G107" s="125"/>
      <x:c r="H107" s="125"/>
      <x:c r="I107" s="125"/>
      <x:c r="J107" s="125"/>
      <x:c r="K107" s="125"/>
      <x:c r="L107" s="125"/>
      <x:c r="M107" s="125"/>
      <x:c r="N107" s="125"/>
      <x:c r="O107" s="125"/>
      <x:c r="P107" s="125"/>
      <x:c r="Q107" s="125"/>
    </x:row>
    <x:row r="108">
      <x:c r="A108" s="125"/>
      <x:c r="B108" s="125"/>
      <x:c r="C108" s="125"/>
      <x:c r="D108" s="125"/>
      <x:c r="E108" s="125"/>
      <x:c r="F108" s="125"/>
      <x:c r="G108" s="125"/>
      <x:c r="H108" s="125"/>
      <x:c r="I108" s="125"/>
      <x:c r="J108" s="125"/>
      <x:c r="K108" s="125"/>
      <x:c r="L108" s="125"/>
      <x:c r="M108" s="125"/>
      <x:c r="N108" s="125"/>
      <x:c r="O108" s="125"/>
      <x:c r="P108" s="125"/>
      <x:c r="Q108" s="125"/>
    </x:row>
    <x:row r="109">
      <x:c r="A109" s="125"/>
      <x:c r="B109" s="125"/>
      <x:c r="C109" s="125"/>
      <x:c r="D109" s="125"/>
      <x:c r="E109" s="125"/>
      <x:c r="F109" s="125"/>
      <x:c r="G109" s="125"/>
      <x:c r="H109" s="125"/>
      <x:c r="I109" s="125"/>
      <x:c r="J109" s="125"/>
      <x:c r="K109" s="125"/>
      <x:c r="L109" s="125"/>
      <x:c r="M109" s="125"/>
      <x:c r="N109" s="125"/>
      <x:c r="O109" s="125"/>
      <x:c r="P109" s="125"/>
      <x:c r="Q109" s="125"/>
    </x:row>
    <x:row r="110">
      <x:c r="A110" s="125"/>
      <x:c r="B110" s="125"/>
      <x:c r="C110" s="125"/>
      <x:c r="D110" s="125"/>
      <x:c r="E110" s="125"/>
      <x:c r="F110" s="125"/>
      <x:c r="G110" s="125"/>
      <x:c r="H110" s="125"/>
      <x:c r="I110" s="125"/>
      <x:c r="J110" s="125"/>
      <x:c r="K110" s="125"/>
      <x:c r="L110" s="125"/>
      <x:c r="M110" s="125"/>
      <x:c r="N110" s="125"/>
      <x:c r="O110" s="125"/>
      <x:c r="P110" s="125"/>
      <x:c r="Q110" s="125"/>
    </x:row>
    <x:row r="111">
      <x:c r="A111" s="125"/>
      <x:c r="B111" s="125"/>
      <x:c r="C111" s="125"/>
      <x:c r="D111" s="125"/>
      <x:c r="E111" s="125"/>
      <x:c r="F111" s="125"/>
      <x:c r="G111" s="125"/>
      <x:c r="H111" s="125"/>
      <x:c r="I111" s="125"/>
      <x:c r="J111" s="125"/>
      <x:c r="K111" s="125"/>
      <x:c r="L111" s="125"/>
      <x:c r="M111" s="125"/>
      <x:c r="N111" s="125"/>
      <x:c r="O111" s="125"/>
      <x:c r="P111" s="125"/>
      <x:c r="Q111" s="125"/>
    </x:row>
    <x:row r="112">
      <x:c r="A112" s="125"/>
      <x:c r="B112" s="125"/>
      <x:c r="C112" s="125"/>
      <x:c r="D112" s="125"/>
      <x:c r="E112" s="125"/>
      <x:c r="F112" s="125"/>
      <x:c r="G112" s="125"/>
      <x:c r="H112" s="125"/>
      <x:c r="I112" s="125"/>
      <x:c r="J112" s="125"/>
      <x:c r="K112" s="125"/>
      <x:c r="L112" s="125"/>
      <x:c r="M112" s="125"/>
      <x:c r="N112" s="125"/>
      <x:c r="O112" s="125"/>
      <x:c r="P112" s="125"/>
      <x:c r="Q112" s="125"/>
    </x:row>
    <x:row r="113">
      <x:c r="A113" s="125"/>
      <x:c r="B113" s="125"/>
      <x:c r="C113" s="125"/>
      <x:c r="D113" s="125"/>
      <x:c r="E113" s="125"/>
      <x:c r="F113" s="125"/>
      <x:c r="G113" s="125"/>
      <x:c r="H113" s="125"/>
      <x:c r="I113" s="125"/>
      <x:c r="J113" s="125"/>
      <x:c r="K113" s="125"/>
      <x:c r="L113" s="125"/>
      <x:c r="M113" s="125"/>
      <x:c r="N113" s="125"/>
      <x:c r="O113" s="125"/>
      <x:c r="P113" s="125"/>
      <x:c r="Q113" s="125"/>
    </x:row>
    <x:row r="114">
      <x:c r="A114" s="125"/>
      <x:c r="B114" s="125"/>
      <x:c r="C114" s="125"/>
      <x:c r="D114" s="125"/>
      <x:c r="E114" s="125"/>
      <x:c r="F114" s="125"/>
      <x:c r="G114" s="125"/>
      <x:c r="H114" s="125"/>
      <x:c r="I114" s="125"/>
      <x:c r="J114" s="125"/>
      <x:c r="K114" s="125"/>
      <x:c r="L114" s="125"/>
      <x:c r="M114" s="125"/>
      <x:c r="N114" s="125"/>
      <x:c r="O114" s="125"/>
      <x:c r="P114" s="125"/>
      <x:c r="Q114" s="125"/>
    </x:row>
    <x:row r="115">
      <x:c r="A115" s="125"/>
      <x:c r="B115" s="125"/>
      <x:c r="C115" s="125"/>
      <x:c r="D115" s="125"/>
      <x:c r="E115" s="125"/>
      <x:c r="F115" s="125"/>
      <x:c r="G115" s="125"/>
      <x:c r="H115" s="125"/>
      <x:c r="I115" s="125"/>
      <x:c r="J115" s="125"/>
      <x:c r="K115" s="125"/>
      <x:c r="L115" s="125"/>
      <x:c r="M115" s="125"/>
      <x:c r="N115" s="125"/>
      <x:c r="O115" s="125"/>
      <x:c r="P115" s="125"/>
      <x:c r="Q115" s="125"/>
    </x:row>
    <x:row r="116">
      <x:c r="A116" s="125"/>
      <x:c r="B116" s="125"/>
      <x:c r="C116" s="125"/>
      <x:c r="D116" s="125"/>
      <x:c r="E116" s="125"/>
      <x:c r="F116" s="125"/>
      <x:c r="G116" s="125"/>
      <x:c r="H116" s="125"/>
      <x:c r="I116" s="125"/>
      <x:c r="J116" s="125"/>
      <x:c r="K116" s="125"/>
      <x:c r="L116" s="125"/>
      <x:c r="M116" s="125"/>
      <x:c r="N116" s="125"/>
      <x:c r="O116" s="125"/>
      <x:c r="P116" s="125"/>
      <x:c r="Q116" s="125"/>
    </x:row>
    <x:row r="117">
      <x:c r="A117" s="125"/>
      <x:c r="B117" s="125"/>
      <x:c r="C117" s="125"/>
      <x:c r="D117" s="125"/>
      <x:c r="E117" s="125"/>
      <x:c r="F117" s="125"/>
      <x:c r="G117" s="125"/>
      <x:c r="H117" s="125"/>
      <x:c r="I117" s="125"/>
      <x:c r="J117" s="125"/>
      <x:c r="K117" s="125"/>
      <x:c r="L117" s="125"/>
      <x:c r="M117" s="125"/>
      <x:c r="N117" s="125"/>
      <x:c r="O117" s="125"/>
      <x:c r="P117" s="125"/>
      <x:c r="Q117" s="125"/>
    </x:row>
    <x:row r="118">
      <x:c r="A118" s="125"/>
      <x:c r="B118" s="125"/>
      <x:c r="C118" s="125"/>
      <x:c r="D118" s="125"/>
      <x:c r="E118" s="125"/>
      <x:c r="F118" s="125"/>
      <x:c r="G118" s="125"/>
      <x:c r="H118" s="125"/>
      <x:c r="I118" s="125"/>
      <x:c r="J118" s="125"/>
      <x:c r="K118" s="125"/>
      <x:c r="L118" s="125"/>
      <x:c r="M118" s="125"/>
      <x:c r="N118" s="125"/>
      <x:c r="O118" s="125"/>
      <x:c r="P118" s="125"/>
      <x:c r="Q118" s="125"/>
    </x:row>
    <x:row r="119">
      <x:c r="A119" s="125"/>
      <x:c r="B119" s="125"/>
      <x:c r="C119" s="125"/>
      <x:c r="D119" s="125"/>
      <x:c r="E119" s="125"/>
      <x:c r="F119" s="125"/>
      <x:c r="G119" s="125"/>
      <x:c r="H119" s="125"/>
      <x:c r="I119" s="125"/>
      <x:c r="J119" s="125"/>
      <x:c r="K119" s="125"/>
      <x:c r="L119" s="125"/>
      <x:c r="M119" s="125"/>
      <x:c r="N119" s="125"/>
      <x:c r="O119" s="125"/>
      <x:c r="P119" s="125"/>
      <x:c r="Q119" s="125"/>
    </x:row>
    <x:row r="120">
      <x:c r="A120" s="125"/>
      <x:c r="B120" s="125"/>
      <x:c r="C120" s="125"/>
      <x:c r="D120" s="125"/>
      <x:c r="E120" s="125"/>
      <x:c r="F120" s="125"/>
      <x:c r="G120" s="125"/>
      <x:c r="H120" s="125"/>
      <x:c r="I120" s="125"/>
      <x:c r="J120" s="125"/>
      <x:c r="K120" s="125"/>
      <x:c r="L120" s="125"/>
      <x:c r="M120" s="125"/>
      <x:c r="N120" s="125"/>
      <x:c r="O120" s="125"/>
      <x:c r="P120" s="125"/>
      <x:c r="Q120" s="125"/>
    </x:row>
    <x:row r="121">
      <x:c r="A121" s="125"/>
      <x:c r="B121" s="125"/>
      <x:c r="C121" s="125"/>
      <x:c r="D121" s="125"/>
      <x:c r="E121" s="125"/>
      <x:c r="F121" s="125"/>
      <x:c r="G121" s="125"/>
      <x:c r="H121" s="125"/>
      <x:c r="I121" s="125"/>
      <x:c r="J121" s="125"/>
      <x:c r="K121" s="125"/>
      <x:c r="L121" s="125"/>
      <x:c r="M121" s="125"/>
      <x:c r="N121" s="125"/>
      <x:c r="O121" s="125"/>
      <x:c r="P121" s="125"/>
      <x:c r="Q121" s="125"/>
    </x:row>
    <x:row r="122">
      <x:c r="A122" s="125"/>
      <x:c r="B122" s="125"/>
      <x:c r="C122" s="125"/>
      <x:c r="D122" s="125"/>
      <x:c r="E122" s="125"/>
      <x:c r="F122" s="125"/>
      <x:c r="G122" s="125"/>
      <x:c r="H122" s="125"/>
      <x:c r="I122" s="125"/>
      <x:c r="J122" s="125"/>
      <x:c r="K122" s="125"/>
      <x:c r="L122" s="125"/>
      <x:c r="M122" s="125"/>
      <x:c r="N122" s="125"/>
      <x:c r="O122" s="125"/>
      <x:c r="P122" s="125"/>
      <x:c r="Q122" s="125"/>
    </x:row>
    <x:row r="123">
      <x:c r="A123" s="125"/>
      <x:c r="B123" s="125"/>
      <x:c r="C123" s="125"/>
      <x:c r="D123" s="125"/>
      <x:c r="E123" s="125"/>
      <x:c r="F123" s="125"/>
      <x:c r="G123" s="125"/>
      <x:c r="H123" s="125"/>
      <x:c r="I123" s="125"/>
      <x:c r="J123" s="125"/>
      <x:c r="K123" s="125"/>
      <x:c r="L123" s="125"/>
      <x:c r="M123" s="125"/>
      <x:c r="N123" s="125"/>
      <x:c r="O123" s="125"/>
      <x:c r="P123" s="125"/>
      <x:c r="Q123" s="125"/>
    </x:row>
    <x:row r="124">
      <x:c r="A124" s="125"/>
      <x:c r="B124" s="125"/>
      <x:c r="C124" s="125"/>
      <x:c r="D124" s="125"/>
      <x:c r="E124" s="125"/>
      <x:c r="F124" s="125"/>
      <x:c r="G124" s="125"/>
      <x:c r="H124" s="125"/>
      <x:c r="I124" s="125"/>
      <x:c r="J124" s="125"/>
      <x:c r="K124" s="125"/>
      <x:c r="L124" s="125"/>
      <x:c r="M124" s="125"/>
      <x:c r="N124" s="125"/>
      <x:c r="O124" s="125"/>
      <x:c r="P124" s="125"/>
      <x:c r="Q124" s="125"/>
    </x:row>
    <x:row r="125">
      <x:c r="A125" s="125"/>
      <x:c r="B125" s="125"/>
      <x:c r="C125" s="125"/>
      <x:c r="D125" s="125"/>
      <x:c r="E125" s="125"/>
      <x:c r="F125" s="125"/>
      <x:c r="G125" s="125"/>
      <x:c r="H125" s="125"/>
      <x:c r="I125" s="125"/>
      <x:c r="J125" s="125"/>
      <x:c r="K125" s="125"/>
      <x:c r="L125" s="125"/>
      <x:c r="M125" s="125"/>
      <x:c r="N125" s="125"/>
      <x:c r="O125" s="125"/>
      <x:c r="P125" s="125"/>
      <x:c r="Q125" s="125"/>
    </x:row>
    <x:row r="126">
      <x:c r="A126" s="125"/>
      <x:c r="B126" s="125"/>
      <x:c r="C126" s="125"/>
      <x:c r="D126" s="125"/>
      <x:c r="E126" s="125"/>
      <x:c r="F126" s="125"/>
      <x:c r="G126" s="125"/>
      <x:c r="H126" s="125"/>
      <x:c r="I126" s="125"/>
      <x:c r="J126" s="125"/>
      <x:c r="K126" s="125"/>
      <x:c r="L126" s="125"/>
      <x:c r="M126" s="125"/>
      <x:c r="N126" s="125"/>
      <x:c r="O126" s="125"/>
      <x:c r="P126" s="125"/>
      <x:c r="Q126" s="125"/>
    </x:row>
    <x:row r="127">
      <x:c r="A127" s="125"/>
      <x:c r="B127" s="125"/>
      <x:c r="C127" s="125"/>
      <x:c r="D127" s="125"/>
      <x:c r="E127" s="125"/>
      <x:c r="F127" s="125"/>
      <x:c r="G127" s="125"/>
      <x:c r="H127" s="125"/>
      <x:c r="I127" s="125"/>
      <x:c r="J127" s="125"/>
      <x:c r="K127" s="125"/>
      <x:c r="L127" s="125"/>
      <x:c r="M127" s="125"/>
      <x:c r="N127" s="125"/>
      <x:c r="O127" s="125"/>
      <x:c r="P127" s="125"/>
      <x:c r="Q127" s="125"/>
    </x:row>
    <x:row r="128">
      <x:c r="A128" s="125"/>
      <x:c r="B128" s="125"/>
      <x:c r="C128" s="125"/>
      <x:c r="D128" s="125"/>
      <x:c r="E128" s="125"/>
      <x:c r="F128" s="125"/>
      <x:c r="G128" s="125"/>
      <x:c r="H128" s="125"/>
      <x:c r="I128" s="125"/>
      <x:c r="J128" s="125"/>
      <x:c r="K128" s="125"/>
      <x:c r="L128" s="125"/>
      <x:c r="M128" s="125"/>
      <x:c r="N128" s="125"/>
      <x:c r="O128" s="125"/>
      <x:c r="P128" s="125"/>
      <x:c r="Q128" s="125"/>
    </x:row>
    <x:row r="129">
      <x:c r="A129" s="125"/>
      <x:c r="B129" s="125"/>
      <x:c r="C129" s="125"/>
      <x:c r="D129" s="125"/>
      <x:c r="E129" s="125"/>
      <x:c r="F129" s="125"/>
      <x:c r="G129" s="125"/>
      <x:c r="H129" s="125"/>
      <x:c r="I129" s="125"/>
      <x:c r="J129" s="125"/>
      <x:c r="K129" s="125"/>
      <x:c r="L129" s="125"/>
      <x:c r="M129" s="125"/>
      <x:c r="N129" s="125"/>
      <x:c r="O129" s="125"/>
      <x:c r="P129" s="125"/>
      <x:c r="Q129" s="125"/>
    </x:row>
    <x:row r="130">
      <x:c r="A130" s="125"/>
      <x:c r="B130" s="125"/>
      <x:c r="C130" s="125"/>
      <x:c r="D130" s="125"/>
      <x:c r="E130" s="125"/>
      <x:c r="F130" s="125"/>
      <x:c r="G130" s="125"/>
      <x:c r="H130" s="125"/>
      <x:c r="I130" s="125"/>
      <x:c r="J130" s="125"/>
      <x:c r="K130" s="125"/>
      <x:c r="L130" s="125"/>
      <x:c r="M130" s="125"/>
      <x:c r="N130" s="125"/>
      <x:c r="O130" s="125"/>
      <x:c r="P130" s="125"/>
      <x:c r="Q130" s="125"/>
    </x:row>
    <x:row r="131">
      <x:c r="A131" s="125"/>
      <x:c r="B131" s="125"/>
      <x:c r="C131" s="125"/>
      <x:c r="D131" s="125"/>
      <x:c r="E131" s="125"/>
      <x:c r="F131" s="125"/>
      <x:c r="G131" s="125"/>
      <x:c r="H131" s="125"/>
      <x:c r="I131" s="125"/>
      <x:c r="J131" s="125"/>
      <x:c r="K131" s="125"/>
      <x:c r="L131" s="125"/>
      <x:c r="M131" s="125"/>
      <x:c r="N131" s="125"/>
      <x:c r="O131" s="125"/>
      <x:c r="P131" s="125"/>
      <x:c r="Q131" s="125"/>
    </x:row>
    <x:row r="132">
      <x:c r="A132" s="125"/>
      <x:c r="B132" s="125"/>
      <x:c r="C132" s="125"/>
      <x:c r="D132" s="125"/>
      <x:c r="E132" s="125"/>
      <x:c r="F132" s="125"/>
      <x:c r="G132" s="125"/>
      <x:c r="H132" s="125"/>
      <x:c r="I132" s="125"/>
      <x:c r="J132" s="125"/>
      <x:c r="K132" s="125"/>
      <x:c r="L132" s="125"/>
      <x:c r="M132" s="125"/>
      <x:c r="N132" s="125"/>
      <x:c r="O132" s="125"/>
      <x:c r="P132" s="125"/>
      <x:c r="Q132" s="125"/>
    </x:row>
    <x:row r="133">
      <x:c r="A133" s="125"/>
      <x:c r="B133" s="125"/>
      <x:c r="C133" s="125"/>
      <x:c r="D133" s="125"/>
      <x:c r="E133" s="125"/>
      <x:c r="F133" s="125"/>
      <x:c r="G133" s="125"/>
      <x:c r="H133" s="125"/>
      <x:c r="I133" s="125"/>
      <x:c r="J133" s="125"/>
      <x:c r="K133" s="125"/>
      <x:c r="L133" s="125"/>
      <x:c r="M133" s="125"/>
      <x:c r="N133" s="125"/>
      <x:c r="O133" s="125"/>
      <x:c r="P133" s="125"/>
      <x:c r="Q133" s="125"/>
    </x:row>
    <x:row r="134">
      <x:c r="A134" s="125"/>
      <x:c r="B134" s="125"/>
      <x:c r="C134" s="125"/>
      <x:c r="D134" s="125"/>
      <x:c r="E134" s="125"/>
      <x:c r="F134" s="125"/>
      <x:c r="G134" s="125"/>
      <x:c r="H134" s="125"/>
      <x:c r="I134" s="125"/>
      <x:c r="J134" s="125"/>
      <x:c r="K134" s="125"/>
      <x:c r="L134" s="125"/>
      <x:c r="M134" s="125"/>
      <x:c r="N134" s="125"/>
      <x:c r="O134" s="125"/>
      <x:c r="P134" s="125"/>
      <x:c r="Q134" s="125"/>
    </x:row>
    <x:row r="135">
      <x:c r="A135" s="125"/>
      <x:c r="B135" s="125"/>
      <x:c r="C135" s="125"/>
      <x:c r="D135" s="125"/>
      <x:c r="E135" s="125"/>
      <x:c r="F135" s="125"/>
      <x:c r="G135" s="125"/>
      <x:c r="H135" s="125"/>
      <x:c r="I135" s="125"/>
      <x:c r="J135" s="125"/>
      <x:c r="K135" s="125"/>
      <x:c r="L135" s="125"/>
      <x:c r="M135" s="125"/>
      <x:c r="N135" s="125"/>
      <x:c r="O135" s="125"/>
      <x:c r="P135" s="125"/>
      <x:c r="Q135" s="125"/>
    </x:row>
    <x:row r="136">
      <x:c r="A136" s="125"/>
      <x:c r="B136" s="125"/>
      <x:c r="C136" s="125"/>
      <x:c r="D136" s="125"/>
      <x:c r="E136" s="125"/>
      <x:c r="F136" s="125"/>
      <x:c r="G136" s="125"/>
      <x:c r="H136" s="125"/>
      <x:c r="I136" s="125"/>
      <x:c r="J136" s="125"/>
      <x:c r="K136" s="125"/>
      <x:c r="L136" s="125"/>
      <x:c r="M136" s="125"/>
      <x:c r="N136" s="125"/>
      <x:c r="O136" s="125"/>
      <x:c r="P136" s="125"/>
      <x:c r="Q136" s="125"/>
    </x:row>
    <x:row r="137">
      <x:c r="A137" s="125"/>
      <x:c r="B137" s="125"/>
      <x:c r="C137" s="125"/>
      <x:c r="D137" s="125"/>
      <x:c r="E137" s="125"/>
      <x:c r="F137" s="125"/>
      <x:c r="G137" s="125"/>
      <x:c r="H137" s="125"/>
      <x:c r="I137" s="125"/>
      <x:c r="J137" s="125"/>
      <x:c r="K137" s="125"/>
      <x:c r="L137" s="125"/>
      <x:c r="M137" s="125"/>
      <x:c r="N137" s="125"/>
      <x:c r="O137" s="125"/>
      <x:c r="P137" s="125"/>
      <x:c r="Q137" s="125"/>
    </x:row>
    <x:row r="138">
      <x:c r="A138" s="125"/>
      <x:c r="B138" s="125"/>
      <x:c r="C138" s="125"/>
      <x:c r="D138" s="125"/>
      <x:c r="E138" s="125"/>
      <x:c r="F138" s="125"/>
      <x:c r="G138" s="125"/>
      <x:c r="H138" s="125"/>
      <x:c r="I138" s="125"/>
      <x:c r="J138" s="125"/>
      <x:c r="K138" s="125"/>
      <x:c r="L138" s="125"/>
      <x:c r="M138" s="125"/>
      <x:c r="N138" s="125"/>
      <x:c r="O138" s="125"/>
      <x:c r="P138" s="125"/>
      <x:c r="Q138" s="125"/>
    </x:row>
    <x:row r="139">
      <x:c r="A139" s="125"/>
      <x:c r="B139" s="125"/>
      <x:c r="C139" s="125"/>
      <x:c r="D139" s="125"/>
      <x:c r="E139" s="125"/>
      <x:c r="F139" s="125"/>
      <x:c r="G139" s="125"/>
      <x:c r="H139" s="125"/>
      <x:c r="I139" s="125"/>
      <x:c r="J139" s="125"/>
      <x:c r="K139" s="125"/>
      <x:c r="L139" s="125"/>
      <x:c r="M139" s="125"/>
      <x:c r="N139" s="125"/>
      <x:c r="O139" s="125"/>
      <x:c r="P139" s="125"/>
      <x:c r="Q139" s="125"/>
    </x:row>
    <x:row r="140">
      <x:c r="A140" s="125"/>
      <x:c r="B140" s="125"/>
      <x:c r="C140" s="125"/>
      <x:c r="D140" s="125"/>
      <x:c r="E140" s="125"/>
      <x:c r="F140" s="125"/>
      <x:c r="G140" s="125"/>
      <x:c r="H140" s="125"/>
      <x:c r="I140" s="125"/>
      <x:c r="J140" s="125"/>
      <x:c r="K140" s="125"/>
      <x:c r="L140" s="125"/>
      <x:c r="M140" s="125"/>
      <x:c r="N140" s="125"/>
      <x:c r="O140" s="125"/>
      <x:c r="P140" s="125"/>
      <x:c r="Q140" s="125"/>
    </x:row>
    <x:row r="141">
      <x:c r="A141" s="125"/>
      <x:c r="B141" s="125"/>
      <x:c r="C141" s="125"/>
      <x:c r="D141" s="125"/>
      <x:c r="E141" s="125"/>
      <x:c r="F141" s="125"/>
      <x:c r="G141" s="125"/>
      <x:c r="H141" s="125"/>
      <x:c r="I141" s="125"/>
      <x:c r="J141" s="125"/>
      <x:c r="K141" s="125"/>
      <x:c r="L141" s="125"/>
      <x:c r="M141" s="125"/>
      <x:c r="N141" s="125"/>
      <x:c r="O141" s="125"/>
      <x:c r="P141" s="125"/>
      <x:c r="Q141" s="125"/>
    </x:row>
    <x:row r="142">
      <x:c r="A142" s="125"/>
      <x:c r="B142" s="125"/>
      <x:c r="C142" s="125"/>
      <x:c r="D142" s="125"/>
      <x:c r="E142" s="125"/>
      <x:c r="F142" s="125"/>
      <x:c r="G142" s="125"/>
      <x:c r="H142" s="125"/>
      <x:c r="I142" s="125"/>
      <x:c r="J142" s="125"/>
      <x:c r="K142" s="125"/>
      <x:c r="L142" s="125"/>
      <x:c r="M142" s="125"/>
      <x:c r="N142" s="125"/>
      <x:c r="O142" s="125"/>
      <x:c r="P142" s="125"/>
      <x:c r="Q142" s="125"/>
    </x:row>
    <x:row r="143">
      <x:c r="A143" s="125"/>
      <x:c r="B143" s="125"/>
      <x:c r="C143" s="125"/>
      <x:c r="D143" s="125"/>
      <x:c r="E143" s="125"/>
      <x:c r="F143" s="125"/>
      <x:c r="G143" s="125"/>
      <x:c r="H143" s="125"/>
      <x:c r="I143" s="125"/>
      <x:c r="J143" s="125"/>
      <x:c r="K143" s="125"/>
      <x:c r="L143" s="125"/>
      <x:c r="M143" s="125"/>
      <x:c r="N143" s="125"/>
      <x:c r="O143" s="125"/>
      <x:c r="P143" s="125"/>
      <x:c r="Q143" s="125"/>
    </x:row>
    <x:row r="144">
      <x:c r="A144" s="125"/>
      <x:c r="B144" s="125"/>
      <x:c r="C144" s="125"/>
      <x:c r="D144" s="125"/>
      <x:c r="E144" s="125"/>
      <x:c r="F144" s="125"/>
      <x:c r="G144" s="125"/>
      <x:c r="H144" s="125"/>
      <x:c r="I144" s="125"/>
      <x:c r="J144" s="125"/>
      <x:c r="K144" s="125"/>
      <x:c r="L144" s="125"/>
      <x:c r="M144" s="125"/>
      <x:c r="N144" s="125"/>
      <x:c r="O144" s="125"/>
      <x:c r="P144" s="125"/>
      <x:c r="Q144" s="125"/>
    </x:row>
    <x:row r="145">
      <x:c r="A145" s="125"/>
      <x:c r="B145" s="125"/>
      <x:c r="C145" s="125"/>
      <x:c r="D145" s="125"/>
      <x:c r="E145" s="125"/>
      <x:c r="F145" s="125"/>
      <x:c r="G145" s="125"/>
      <x:c r="H145" s="125"/>
      <x:c r="I145" s="125"/>
      <x:c r="J145" s="125"/>
      <x:c r="K145" s="125"/>
      <x:c r="L145" s="125"/>
      <x:c r="M145" s="125"/>
      <x:c r="N145" s="125"/>
      <x:c r="O145" s="125"/>
      <x:c r="P145" s="125"/>
      <x:c r="Q145" s="125"/>
    </x:row>
    <x:row r="146">
      <x:c r="A146" s="125"/>
      <x:c r="B146" s="125"/>
      <x:c r="C146" s="125"/>
      <x:c r="D146" s="125"/>
      <x:c r="E146" s="125"/>
      <x:c r="F146" s="125"/>
      <x:c r="G146" s="125"/>
      <x:c r="H146" s="125"/>
      <x:c r="I146" s="125"/>
      <x:c r="J146" s="125"/>
      <x:c r="K146" s="125"/>
      <x:c r="L146" s="125"/>
      <x:c r="M146" s="125"/>
      <x:c r="N146" s="125"/>
      <x:c r="O146" s="125"/>
      <x:c r="P146" s="125"/>
      <x:c r="Q146" s="125"/>
    </x:row>
    <x:row r="147">
      <x:c r="A147" s="125"/>
      <x:c r="B147" s="125"/>
      <x:c r="C147" s="125"/>
      <x:c r="D147" s="125"/>
      <x:c r="E147" s="125"/>
      <x:c r="F147" s="125"/>
      <x:c r="G147" s="125"/>
      <x:c r="H147" s="125"/>
      <x:c r="I147" s="125"/>
      <x:c r="J147" s="125"/>
      <x:c r="K147" s="125"/>
      <x:c r="L147" s="125"/>
      <x:c r="M147" s="125"/>
      <x:c r="N147" s="125"/>
      <x:c r="O147" s="125"/>
      <x:c r="P147" s="125"/>
      <x:c r="Q147" s="125"/>
    </x:row>
    <x:row r="148">
      <x:c r="A148" s="125"/>
      <x:c r="B148" s="125"/>
      <x:c r="C148" s="125"/>
      <x:c r="D148" s="125"/>
      <x:c r="E148" s="125"/>
      <x:c r="F148" s="125"/>
      <x:c r="G148" s="125"/>
      <x:c r="H148" s="125"/>
      <x:c r="I148" s="125"/>
      <x:c r="J148" s="125"/>
      <x:c r="K148" s="125"/>
      <x:c r="L148" s="125"/>
      <x:c r="M148" s="125"/>
      <x:c r="N148" s="125"/>
      <x:c r="O148" s="125"/>
      <x:c r="P148" s="125"/>
      <x:c r="Q148" s="125"/>
    </x:row>
    <x:row r="149">
      <x:c r="A149" s="125"/>
      <x:c r="B149" s="125"/>
      <x:c r="C149" s="125"/>
      <x:c r="D149" s="125"/>
      <x:c r="E149" s="125"/>
      <x:c r="F149" s="125"/>
      <x:c r="G149" s="125"/>
      <x:c r="H149" s="125"/>
      <x:c r="I149" s="125"/>
      <x:c r="J149" s="125"/>
      <x:c r="K149" s="125"/>
      <x:c r="L149" s="125"/>
      <x:c r="M149" s="125"/>
      <x:c r="N149" s="125"/>
      <x:c r="O149" s="125"/>
      <x:c r="P149" s="125"/>
      <x:c r="Q149" s="125"/>
    </x:row>
    <x:row r="150">
      <x:c r="A150" s="125"/>
      <x:c r="B150" s="125"/>
      <x:c r="C150" s="125"/>
      <x:c r="D150" s="125"/>
      <x:c r="E150" s="125"/>
      <x:c r="F150" s="125"/>
      <x:c r="G150" s="125"/>
      <x:c r="H150" s="125"/>
      <x:c r="I150" s="125"/>
      <x:c r="J150" s="125"/>
      <x:c r="K150" s="125"/>
      <x:c r="L150" s="125"/>
      <x:c r="M150" s="125"/>
      <x:c r="N150" s="125"/>
      <x:c r="O150" s="125"/>
      <x:c r="P150" s="125"/>
      <x:c r="Q150" s="125"/>
    </x:row>
    <x:row r="151">
      <x:c r="A151" s="125"/>
      <x:c r="B151" s="125"/>
      <x:c r="C151" s="125"/>
      <x:c r="D151" s="125"/>
      <x:c r="E151" s="125"/>
      <x:c r="F151" s="125"/>
      <x:c r="G151" s="125"/>
      <x:c r="H151" s="125"/>
      <x:c r="I151" s="125"/>
      <x:c r="J151" s="125"/>
      <x:c r="K151" s="125"/>
      <x:c r="L151" s="125"/>
      <x:c r="M151" s="125"/>
      <x:c r="N151" s="125"/>
      <x:c r="O151" s="125"/>
      <x:c r="P151" s="125"/>
      <x:c r="Q151" s="125"/>
    </x:row>
    <x:row r="152">
      <x:c r="A152" s="125"/>
      <x:c r="B152" s="125"/>
      <x:c r="C152" s="125"/>
      <x:c r="D152" s="125"/>
      <x:c r="E152" s="125"/>
      <x:c r="F152" s="125"/>
      <x:c r="G152" s="125"/>
      <x:c r="H152" s="125"/>
      <x:c r="I152" s="125"/>
      <x:c r="J152" s="125"/>
      <x:c r="K152" s="125"/>
      <x:c r="L152" s="125"/>
      <x:c r="M152" s="125"/>
      <x:c r="N152" s="125"/>
      <x:c r="O152" s="125"/>
      <x:c r="P152" s="125"/>
      <x:c r="Q152" s="125"/>
    </x:row>
    <x:row r="153">
      <x:c r="A153" s="125"/>
      <x:c r="B153" s="125"/>
      <x:c r="C153" s="125"/>
      <x:c r="D153" s="125"/>
      <x:c r="E153" s="125"/>
      <x:c r="F153" s="125"/>
      <x:c r="G153" s="125"/>
      <x:c r="H153" s="125"/>
      <x:c r="I153" s="125"/>
      <x:c r="J153" s="125"/>
      <x:c r="K153" s="125"/>
      <x:c r="L153" s="125"/>
      <x:c r="M153" s="125"/>
      <x:c r="N153" s="125"/>
      <x:c r="O153" s="125"/>
      <x:c r="P153" s="125"/>
      <x:c r="Q153" s="125"/>
    </x:row>
    <x:row r="154">
      <x:c r="A154" s="125"/>
      <x:c r="B154" s="125"/>
      <x:c r="C154" s="125"/>
      <x:c r="D154" s="125"/>
      <x:c r="E154" s="125"/>
      <x:c r="F154" s="125"/>
      <x:c r="G154" s="125"/>
      <x:c r="H154" s="125"/>
      <x:c r="I154" s="125"/>
      <x:c r="J154" s="125"/>
      <x:c r="K154" s="125"/>
      <x:c r="L154" s="125"/>
      <x:c r="M154" s="125"/>
      <x:c r="N154" s="125"/>
      <x:c r="O154" s="125"/>
      <x:c r="P154" s="125"/>
      <x:c r="Q154" s="125"/>
    </x:row>
    <x:row r="155">
      <x:c r="A155" s="125"/>
      <x:c r="B155" s="125"/>
      <x:c r="C155" s="125"/>
      <x:c r="D155" s="125"/>
      <x:c r="E155" s="125"/>
      <x:c r="F155" s="125"/>
      <x:c r="G155" s="125"/>
      <x:c r="H155" s="125"/>
      <x:c r="I155" s="125"/>
      <x:c r="J155" s="125"/>
      <x:c r="K155" s="125"/>
      <x:c r="L155" s="125"/>
      <x:c r="M155" s="125"/>
      <x:c r="N155" s="125"/>
      <x:c r="O155" s="125"/>
      <x:c r="P155" s="125"/>
      <x:c r="Q155" s="125"/>
    </x:row>
    <x:row r="156">
      <x:c r="A156" s="125"/>
      <x:c r="B156" s="125"/>
      <x:c r="C156" s="125"/>
      <x:c r="D156" s="125"/>
      <x:c r="E156" s="125"/>
      <x:c r="F156" s="125"/>
      <x:c r="G156" s="125"/>
      <x:c r="H156" s="125"/>
      <x:c r="I156" s="125"/>
      <x:c r="J156" s="125"/>
      <x:c r="K156" s="125"/>
      <x:c r="L156" s="125"/>
      <x:c r="M156" s="125"/>
      <x:c r="N156" s="125"/>
      <x:c r="O156" s="125"/>
      <x:c r="P156" s="125"/>
      <x:c r="Q156" s="125"/>
    </x:row>
    <x:row r="157">
      <x:c r="A157" s="125"/>
      <x:c r="B157" s="125"/>
      <x:c r="C157" s="125"/>
      <x:c r="D157" s="125"/>
      <x:c r="E157" s="125"/>
      <x:c r="F157" s="125"/>
      <x:c r="G157" s="125"/>
      <x:c r="H157" s="125"/>
      <x:c r="I157" s="125"/>
      <x:c r="J157" s="125"/>
      <x:c r="K157" s="125"/>
      <x:c r="L157" s="125"/>
      <x:c r="M157" s="125"/>
      <x:c r="N157" s="125"/>
      <x:c r="O157" s="125"/>
      <x:c r="P157" s="125"/>
      <x:c r="Q157" s="125"/>
    </x:row>
    <x:row r="158">
      <x:c r="A158" s="125"/>
      <x:c r="B158" s="125"/>
      <x:c r="C158" s="125"/>
      <x:c r="D158" s="125"/>
      <x:c r="E158" s="125"/>
      <x:c r="F158" s="125"/>
      <x:c r="G158" s="125"/>
      <x:c r="H158" s="125"/>
      <x:c r="I158" s="125"/>
      <x:c r="J158" s="125"/>
      <x:c r="K158" s="125"/>
      <x:c r="L158" s="125"/>
      <x:c r="M158" s="125"/>
      <x:c r="N158" s="125"/>
      <x:c r="O158" s="125"/>
      <x:c r="P158" s="125"/>
      <x:c r="Q158" s="125"/>
    </x:row>
    <x:row r="159">
      <x:c r="A159" s="125"/>
      <x:c r="B159" s="125"/>
      <x:c r="C159" s="125"/>
      <x:c r="D159" s="125"/>
      <x:c r="E159" s="125"/>
      <x:c r="F159" s="125"/>
      <x:c r="G159" s="125"/>
      <x:c r="H159" s="125"/>
      <x:c r="I159" s="125"/>
      <x:c r="J159" s="125"/>
      <x:c r="K159" s="125"/>
      <x:c r="L159" s="125"/>
      <x:c r="M159" s="125"/>
      <x:c r="N159" s="125"/>
      <x:c r="O159" s="125"/>
      <x:c r="P159" s="125"/>
      <x:c r="Q159" s="125"/>
    </x:row>
    <x:row r="160">
      <x:c r="A160" s="125"/>
      <x:c r="B160" s="125"/>
      <x:c r="C160" s="125"/>
      <x:c r="D160" s="125"/>
      <x:c r="E160" s="125"/>
      <x:c r="F160" s="125"/>
      <x:c r="G160" s="125"/>
      <x:c r="H160" s="125"/>
      <x:c r="I160" s="125"/>
      <x:c r="J160" s="125"/>
      <x:c r="K160" s="125"/>
      <x:c r="L160" s="125"/>
      <x:c r="M160" s="125"/>
      <x:c r="N160" s="125"/>
      <x:c r="O160" s="125"/>
      <x:c r="P160" s="125"/>
      <x:c r="Q160" s="125"/>
    </x:row>
    <x:row r="161">
      <x:c r="A161" s="125"/>
      <x:c r="B161" s="125"/>
      <x:c r="C161" s="125"/>
      <x:c r="D161" s="125"/>
      <x:c r="E161" s="125"/>
      <x:c r="F161" s="125"/>
      <x:c r="G161" s="125"/>
      <x:c r="H161" s="125"/>
      <x:c r="I161" s="125"/>
      <x:c r="J161" s="125"/>
      <x:c r="K161" s="125"/>
      <x:c r="L161" s="125"/>
      <x:c r="M161" s="125"/>
      <x:c r="N161" s="125"/>
      <x:c r="O161" s="125"/>
      <x:c r="P161" s="125"/>
      <x:c r="Q161" s="125"/>
    </x:row>
    <x:row r="162">
      <x:c r="A162" s="125"/>
      <x:c r="B162" s="125"/>
      <x:c r="C162" s="125"/>
      <x:c r="D162" s="125"/>
      <x:c r="E162" s="125"/>
      <x:c r="F162" s="125"/>
      <x:c r="G162" s="125"/>
      <x:c r="H162" s="125"/>
      <x:c r="I162" s="125"/>
      <x:c r="J162" s="125"/>
      <x:c r="K162" s="125"/>
      <x:c r="L162" s="125"/>
      <x:c r="M162" s="125"/>
      <x:c r="N162" s="125"/>
      <x:c r="O162" s="125"/>
      <x:c r="P162" s="125"/>
      <x:c r="Q162" s="125"/>
    </x:row>
    <x:row r="163">
      <x:c r="A163" s="125"/>
      <x:c r="B163" s="125"/>
      <x:c r="C163" s="125"/>
      <x:c r="D163" s="125"/>
      <x:c r="E163" s="125"/>
      <x:c r="F163" s="125"/>
      <x:c r="G163" s="125"/>
      <x:c r="H163" s="125"/>
      <x:c r="I163" s="125"/>
      <x:c r="J163" s="125"/>
      <x:c r="K163" s="125"/>
      <x:c r="L163" s="125"/>
      <x:c r="M163" s="125"/>
      <x:c r="N163" s="125"/>
      <x:c r="O163" s="125"/>
      <x:c r="P163" s="125"/>
      <x:c r="Q163" s="125"/>
    </x:row>
    <x:row r="164">
      <x:c r="A164" s="125"/>
      <x:c r="B164" s="125"/>
      <x:c r="C164" s="125"/>
      <x:c r="D164" s="125"/>
      <x:c r="E164" s="125"/>
      <x:c r="F164" s="125"/>
      <x:c r="G164" s="125"/>
      <x:c r="H164" s="125"/>
      <x:c r="I164" s="125"/>
      <x:c r="J164" s="125"/>
      <x:c r="K164" s="125"/>
      <x:c r="L164" s="125"/>
      <x:c r="M164" s="125"/>
      <x:c r="N164" s="125"/>
      <x:c r="O164" s="125"/>
      <x:c r="P164" s="125"/>
      <x:c r="Q164" s="125"/>
    </x:row>
    <x:row r="165">
      <x:c r="A165" s="125"/>
      <x:c r="B165" s="125"/>
      <x:c r="C165" s="125"/>
      <x:c r="D165" s="125"/>
      <x:c r="E165" s="125"/>
      <x:c r="F165" s="125"/>
      <x:c r="G165" s="125"/>
      <x:c r="H165" s="125"/>
      <x:c r="I165" s="125"/>
      <x:c r="J165" s="125"/>
      <x:c r="K165" s="125"/>
      <x:c r="L165" s="125"/>
      <x:c r="M165" s="125"/>
      <x:c r="N165" s="125"/>
      <x:c r="O165" s="125"/>
      <x:c r="P165" s="125"/>
      <x:c r="Q165" s="125"/>
    </x:row>
    <x:row r="166">
      <x:c r="A166" s="125"/>
      <x:c r="B166" s="125"/>
      <x:c r="C166" s="125"/>
      <x:c r="D166" s="125"/>
      <x:c r="E166" s="125"/>
      <x:c r="F166" s="125"/>
      <x:c r="G166" s="125"/>
      <x:c r="H166" s="125"/>
      <x:c r="I166" s="125"/>
      <x:c r="J166" s="125"/>
      <x:c r="K166" s="125"/>
      <x:c r="L166" s="125"/>
      <x:c r="M166" s="125"/>
      <x:c r="N166" s="125"/>
      <x:c r="O166" s="125"/>
      <x:c r="P166" s="125"/>
      <x:c r="Q166" s="125"/>
    </x:row>
    <x:row r="167">
      <x:c r="A167" s="125"/>
      <x:c r="B167" s="125"/>
      <x:c r="C167" s="125"/>
      <x:c r="D167" s="125"/>
      <x:c r="E167" s="125"/>
      <x:c r="F167" s="125"/>
      <x:c r="G167" s="125"/>
      <x:c r="H167" s="125"/>
      <x:c r="I167" s="125"/>
      <x:c r="J167" s="125"/>
      <x:c r="K167" s="125"/>
      <x:c r="L167" s="125"/>
      <x:c r="M167" s="125"/>
      <x:c r="N167" s="125"/>
      <x:c r="O167" s="125"/>
      <x:c r="P167" s="125"/>
      <x:c r="Q167" s="125"/>
    </x:row>
    <x:row r="168">
      <x:c r="A168" s="125"/>
      <x:c r="B168" s="125"/>
      <x:c r="C168" s="125"/>
      <x:c r="D168" s="125"/>
      <x:c r="E168" s="125"/>
      <x:c r="F168" s="125"/>
      <x:c r="G168" s="125"/>
      <x:c r="H168" s="125"/>
      <x:c r="I168" s="125"/>
      <x:c r="J168" s="125"/>
      <x:c r="K168" s="125"/>
      <x:c r="L168" s="125"/>
      <x:c r="M168" s="125"/>
      <x:c r="N168" s="125"/>
      <x:c r="O168" s="125"/>
      <x:c r="P168" s="125"/>
      <x:c r="Q168" s="125"/>
    </x:row>
    <x:row r="169">
      <x:c r="A169" s="125"/>
      <x:c r="B169" s="125"/>
      <x:c r="C169" s="125"/>
      <x:c r="D169" s="125"/>
      <x:c r="E169" s="125"/>
      <x:c r="F169" s="125"/>
      <x:c r="G169" s="125"/>
      <x:c r="H169" s="125"/>
      <x:c r="I169" s="125"/>
      <x:c r="J169" s="125"/>
      <x:c r="K169" s="125"/>
      <x:c r="L169" s="125"/>
      <x:c r="M169" s="125"/>
      <x:c r="N169" s="125"/>
      <x:c r="O169" s="125"/>
      <x:c r="P169" s="125"/>
      <x:c r="Q169" s="125"/>
    </x:row>
    <x:row r="170">
      <x:c r="A170" s="125"/>
      <x:c r="B170" s="125"/>
      <x:c r="C170" s="125"/>
      <x:c r="D170" s="125"/>
      <x:c r="E170" s="125"/>
      <x:c r="F170" s="125"/>
      <x:c r="G170" s="125"/>
      <x:c r="H170" s="125"/>
      <x:c r="I170" s="125"/>
      <x:c r="J170" s="125"/>
      <x:c r="K170" s="125"/>
      <x:c r="L170" s="125"/>
      <x:c r="M170" s="125"/>
      <x:c r="N170" s="125"/>
      <x:c r="O170" s="125"/>
      <x:c r="P170" s="125"/>
      <x:c r="Q170" s="125"/>
    </x:row>
    <x:row r="171">
      <x:c r="A171" s="125"/>
      <x:c r="B171" s="125"/>
      <x:c r="C171" s="125"/>
      <x:c r="D171" s="125"/>
      <x:c r="E171" s="125"/>
      <x:c r="F171" s="125"/>
      <x:c r="G171" s="125"/>
      <x:c r="H171" s="125"/>
      <x:c r="I171" s="125"/>
      <x:c r="J171" s="125"/>
      <x:c r="K171" s="125"/>
      <x:c r="L171" s="125"/>
      <x:c r="M171" s="125"/>
      <x:c r="N171" s="125"/>
      <x:c r="O171" s="125"/>
      <x:c r="P171" s="125"/>
      <x:c r="Q171" s="125"/>
    </x:row>
    <x:row r="172">
      <x:c r="A172" s="125"/>
      <x:c r="B172" s="125"/>
      <x:c r="C172" s="125"/>
      <x:c r="D172" s="125"/>
      <x:c r="E172" s="125"/>
      <x:c r="F172" s="125"/>
      <x:c r="G172" s="125"/>
      <x:c r="H172" s="125"/>
      <x:c r="I172" s="125"/>
      <x:c r="J172" s="125"/>
      <x:c r="K172" s="125"/>
      <x:c r="L172" s="125"/>
      <x:c r="M172" s="125"/>
      <x:c r="N172" s="125"/>
      <x:c r="O172" s="125"/>
      <x:c r="P172" s="125"/>
      <x:c r="Q172" s="125"/>
    </x:row>
    <x:row r="173">
      <x:c r="A173" s="125"/>
      <x:c r="B173" s="125"/>
      <x:c r="C173" s="125"/>
      <x:c r="D173" s="125"/>
      <x:c r="E173" s="125"/>
      <x:c r="F173" s="125"/>
      <x:c r="G173" s="125"/>
      <x:c r="H173" s="125"/>
      <x:c r="I173" s="125"/>
      <x:c r="J173" s="125"/>
      <x:c r="K173" s="125"/>
      <x:c r="L173" s="125"/>
      <x:c r="M173" s="125"/>
      <x:c r="N173" s="125"/>
      <x:c r="O173" s="125"/>
      <x:c r="P173" s="125"/>
      <x:c r="Q173" s="125"/>
    </x:row>
    <x:row r="174">
      <x:c r="A174" s="125"/>
      <x:c r="B174" s="125"/>
      <x:c r="C174" s="125"/>
      <x:c r="D174" s="125"/>
      <x:c r="E174" s="125"/>
      <x:c r="F174" s="125"/>
      <x:c r="G174" s="125"/>
      <x:c r="H174" s="125"/>
      <x:c r="I174" s="125"/>
      <x:c r="J174" s="125"/>
      <x:c r="K174" s="125"/>
      <x:c r="L174" s="125"/>
      <x:c r="M174" s="125"/>
      <x:c r="N174" s="125"/>
      <x:c r="O174" s="125"/>
      <x:c r="P174" s="125"/>
      <x:c r="Q174" s="125"/>
    </x:row>
    <x:row r="175">
      <x:c r="A175" s="125"/>
      <x:c r="B175" s="125"/>
      <x:c r="C175" s="125"/>
      <x:c r="D175" s="125"/>
      <x:c r="E175" s="125"/>
      <x:c r="F175" s="125"/>
      <x:c r="G175" s="125"/>
      <x:c r="H175" s="125"/>
      <x:c r="I175" s="125"/>
      <x:c r="J175" s="125"/>
      <x:c r="K175" s="125"/>
      <x:c r="L175" s="125"/>
      <x:c r="M175" s="125"/>
      <x:c r="N175" s="125"/>
      <x:c r="O175" s="125"/>
      <x:c r="P175" s="125"/>
      <x:c r="Q175" s="125"/>
    </x:row>
    <x:row r="176">
      <x:c r="A176" s="125"/>
      <x:c r="B176" s="125"/>
      <x:c r="C176" s="125"/>
      <x:c r="D176" s="125"/>
      <x:c r="E176" s="125"/>
      <x:c r="F176" s="125"/>
      <x:c r="G176" s="125"/>
      <x:c r="H176" s="125"/>
      <x:c r="I176" s="125"/>
      <x:c r="J176" s="125"/>
      <x:c r="K176" s="125"/>
      <x:c r="L176" s="125"/>
      <x:c r="M176" s="125"/>
      <x:c r="N176" s="125"/>
      <x:c r="O176" s="125"/>
      <x:c r="P176" s="125"/>
      <x:c r="Q176" s="125"/>
    </x:row>
    <x:row r="177">
      <x:c r="A177" s="125"/>
      <x:c r="B177" s="125"/>
      <x:c r="C177" s="125"/>
      <x:c r="D177" s="125"/>
      <x:c r="E177" s="125"/>
      <x:c r="F177" s="125"/>
      <x:c r="G177" s="125"/>
      <x:c r="H177" s="125"/>
      <x:c r="I177" s="125"/>
      <x:c r="J177" s="125"/>
      <x:c r="K177" s="125"/>
      <x:c r="L177" s="125"/>
      <x:c r="M177" s="125"/>
      <x:c r="N177" s="125"/>
      <x:c r="O177" s="125"/>
      <x:c r="P177" s="125"/>
      <x:c r="Q177" s="125"/>
    </x:row>
    <x:row r="178">
      <x:c r="A178" s="125"/>
      <x:c r="B178" s="125"/>
      <x:c r="C178" s="125"/>
      <x:c r="D178" s="125"/>
      <x:c r="E178" s="125"/>
      <x:c r="F178" s="125"/>
      <x:c r="G178" s="125"/>
      <x:c r="H178" s="125"/>
      <x:c r="I178" s="125"/>
      <x:c r="J178" s="125"/>
      <x:c r="K178" s="125"/>
      <x:c r="L178" s="125"/>
      <x:c r="M178" s="125"/>
      <x:c r="N178" s="125"/>
      <x:c r="O178" s="125"/>
      <x:c r="P178" s="125"/>
      <x:c r="Q178" s="125"/>
    </x:row>
    <x:row r="179">
      <x:c r="A179" s="125"/>
      <x:c r="B179" s="125"/>
      <x:c r="C179" s="125"/>
      <x:c r="D179" s="125"/>
      <x:c r="E179" s="125"/>
      <x:c r="F179" s="125"/>
      <x:c r="G179" s="125"/>
      <x:c r="H179" s="125"/>
      <x:c r="I179" s="125"/>
      <x:c r="J179" s="125"/>
      <x:c r="K179" s="125"/>
      <x:c r="L179" s="125"/>
      <x:c r="M179" s="125"/>
      <x:c r="N179" s="125"/>
      <x:c r="O179" s="125"/>
      <x:c r="P179" s="125"/>
      <x:c r="Q179" s="125"/>
    </x:row>
    <x:row r="180">
      <x:c r="A180" s="125"/>
      <x:c r="B180" s="125"/>
      <x:c r="C180" s="125"/>
      <x:c r="D180" s="125"/>
      <x:c r="E180" s="125"/>
      <x:c r="F180" s="125"/>
      <x:c r="G180" s="125"/>
      <x:c r="H180" s="125"/>
      <x:c r="I180" s="125"/>
      <x:c r="J180" s="125"/>
      <x:c r="K180" s="125"/>
      <x:c r="L180" s="125"/>
      <x:c r="M180" s="125"/>
      <x:c r="N180" s="125"/>
      <x:c r="O180" s="125"/>
      <x:c r="P180" s="125"/>
      <x:c r="Q180" s="125"/>
    </x:row>
    <x:row r="181">
      <x:c r="A181" s="125"/>
      <x:c r="B181" s="125"/>
      <x:c r="C181" s="125"/>
      <x:c r="D181" s="125"/>
      <x:c r="E181" s="125"/>
      <x:c r="F181" s="125"/>
      <x:c r="G181" s="125"/>
      <x:c r="H181" s="125"/>
      <x:c r="I181" s="125"/>
      <x:c r="J181" s="125"/>
      <x:c r="K181" s="125"/>
      <x:c r="L181" s="125"/>
      <x:c r="M181" s="125"/>
      <x:c r="N181" s="125"/>
      <x:c r="O181" s="125"/>
      <x:c r="P181" s="125"/>
      <x:c r="Q181" s="125"/>
    </x:row>
    <x:row r="182">
      <x:c r="A182" s="125"/>
      <x:c r="B182" s="125"/>
      <x:c r="C182" s="125"/>
      <x:c r="D182" s="125"/>
      <x:c r="E182" s="125"/>
      <x:c r="F182" s="125"/>
      <x:c r="G182" s="125"/>
      <x:c r="H182" s="125"/>
      <x:c r="I182" s="125"/>
      <x:c r="J182" s="125"/>
      <x:c r="K182" s="125"/>
      <x:c r="L182" s="125"/>
      <x:c r="M182" s="125"/>
      <x:c r="N182" s="125"/>
      <x:c r="O182" s="125"/>
      <x:c r="P182" s="125"/>
      <x:c r="Q182" s="125"/>
    </x:row>
    <x:row r="183">
      <x:c r="A183" s="125"/>
      <x:c r="B183" s="125"/>
      <x:c r="C183" s="125"/>
      <x:c r="D183" s="125"/>
      <x:c r="E183" s="125"/>
      <x:c r="F183" s="125"/>
      <x:c r="G183" s="125"/>
      <x:c r="H183" s="125"/>
      <x:c r="I183" s="125"/>
      <x:c r="J183" s="125"/>
      <x:c r="K183" s="125"/>
      <x:c r="L183" s="125"/>
      <x:c r="M183" s="125"/>
      <x:c r="N183" s="125"/>
      <x:c r="O183" s="125"/>
      <x:c r="P183" s="125"/>
      <x:c r="Q183" s="125"/>
    </x:row>
    <x:row r="184">
      <x:c r="A184" s="125"/>
      <x:c r="B184" s="125"/>
      <x:c r="C184" s="125"/>
      <x:c r="D184" s="125"/>
      <x:c r="E184" s="125"/>
      <x:c r="F184" s="125"/>
      <x:c r="G184" s="125"/>
      <x:c r="H184" s="125"/>
      <x:c r="I184" s="125"/>
      <x:c r="J184" s="125"/>
      <x:c r="K184" s="125"/>
      <x:c r="L184" s="125"/>
      <x:c r="M184" s="125"/>
      <x:c r="N184" s="125"/>
      <x:c r="O184" s="125"/>
      <x:c r="P184" s="125"/>
      <x:c r="Q184" s="125"/>
    </x:row>
    <x:row r="185">
      <x:c r="A185" s="125"/>
      <x:c r="B185" s="125"/>
      <x:c r="C185" s="125"/>
      <x:c r="D185" s="125"/>
      <x:c r="E185" s="125"/>
      <x:c r="F185" s="125"/>
      <x:c r="G185" s="125"/>
      <x:c r="H185" s="125"/>
      <x:c r="I185" s="125"/>
      <x:c r="J185" s="125"/>
      <x:c r="K185" s="125"/>
      <x:c r="L185" s="125"/>
      <x:c r="M185" s="125"/>
      <x:c r="N185" s="125"/>
      <x:c r="O185" s="125"/>
      <x:c r="P185" s="125"/>
      <x:c r="Q185" s="125"/>
    </x:row>
    <x:row r="186">
      <x:c r="A186" s="125"/>
      <x:c r="B186" s="125"/>
      <x:c r="C186" s="125"/>
      <x:c r="D186" s="125"/>
      <x:c r="E186" s="125"/>
      <x:c r="F186" s="125"/>
      <x:c r="G186" s="125"/>
      <x:c r="H186" s="125"/>
      <x:c r="I186" s="125"/>
      <x:c r="J186" s="125"/>
      <x:c r="K186" s="125"/>
      <x:c r="L186" s="125"/>
      <x:c r="M186" s="125"/>
      <x:c r="N186" s="125"/>
      <x:c r="O186" s="125"/>
      <x:c r="P186" s="125"/>
      <x:c r="Q186" s="125"/>
    </x:row>
    <x:row r="187">
      <x:c r="A187" s="125"/>
      <x:c r="B187" s="125"/>
      <x:c r="C187" s="125"/>
      <x:c r="D187" s="125"/>
      <x:c r="E187" s="125"/>
      <x:c r="F187" s="125"/>
      <x:c r="G187" s="125"/>
      <x:c r="H187" s="125"/>
      <x:c r="I187" s="125"/>
      <x:c r="J187" s="125"/>
      <x:c r="K187" s="125"/>
      <x:c r="L187" s="125"/>
      <x:c r="M187" s="125"/>
      <x:c r="N187" s="125"/>
      <x:c r="O187" s="125"/>
      <x:c r="P187" s="125"/>
      <x:c r="Q187" s="125"/>
    </x:row>
    <x:row r="188">
      <x:c r="A188" s="125"/>
      <x:c r="B188" s="125"/>
      <x:c r="C188" s="125"/>
      <x:c r="D188" s="125"/>
      <x:c r="E188" s="125"/>
      <x:c r="F188" s="125"/>
      <x:c r="G188" s="125"/>
      <x:c r="H188" s="125"/>
      <x:c r="I188" s="125"/>
      <x:c r="J188" s="125"/>
      <x:c r="K188" s="125"/>
      <x:c r="L188" s="125"/>
      <x:c r="M188" s="125"/>
      <x:c r="N188" s="125"/>
      <x:c r="O188" s="125"/>
      <x:c r="P188" s="125"/>
      <x:c r="Q188" s="125"/>
    </x:row>
    <x:row r="189">
      <x:c r="A189" s="125"/>
      <x:c r="B189" s="125"/>
      <x:c r="C189" s="125"/>
      <x:c r="D189" s="125"/>
      <x:c r="E189" s="125"/>
      <x:c r="F189" s="125"/>
      <x:c r="G189" s="125"/>
      <x:c r="H189" s="125"/>
      <x:c r="I189" s="125"/>
      <x:c r="J189" s="125"/>
      <x:c r="K189" s="125"/>
      <x:c r="L189" s="125"/>
      <x:c r="M189" s="125"/>
      <x:c r="N189" s="125"/>
      <x:c r="O189" s="125"/>
      <x:c r="P189" s="125"/>
      <x:c r="Q189" s="125"/>
    </x:row>
    <x:row r="190">
      <x:c r="A190" s="125"/>
      <x:c r="B190" s="125"/>
      <x:c r="C190" s="125"/>
      <x:c r="D190" s="125"/>
      <x:c r="E190" s="125"/>
      <x:c r="F190" s="125"/>
      <x:c r="G190" s="125"/>
      <x:c r="H190" s="125"/>
      <x:c r="I190" s="125"/>
      <x:c r="J190" s="125"/>
      <x:c r="K190" s="125"/>
      <x:c r="L190" s="125"/>
      <x:c r="M190" s="125"/>
      <x:c r="N190" s="125"/>
      <x:c r="O190" s="125"/>
      <x:c r="P190" s="125"/>
      <x:c r="Q190" s="125"/>
    </x:row>
    <x:row r="191">
      <x:c r="A191" s="125"/>
      <x:c r="B191" s="125"/>
      <x:c r="C191" s="125"/>
      <x:c r="D191" s="125"/>
      <x:c r="E191" s="125"/>
      <x:c r="F191" s="125"/>
      <x:c r="G191" s="125"/>
      <x:c r="H191" s="125"/>
      <x:c r="I191" s="125"/>
      <x:c r="J191" s="125"/>
      <x:c r="K191" s="125"/>
      <x:c r="L191" s="125"/>
      <x:c r="M191" s="125"/>
      <x:c r="N191" s="125"/>
      <x:c r="O191" s="125"/>
      <x:c r="P191" s="125"/>
      <x:c r="Q191" s="125"/>
    </x:row>
    <x:row r="192">
      <x:c r="A192" s="125"/>
      <x:c r="B192" s="125"/>
      <x:c r="C192" s="125"/>
      <x:c r="D192" s="125"/>
      <x:c r="E192" s="125"/>
      <x:c r="F192" s="125"/>
      <x:c r="G192" s="125"/>
      <x:c r="H192" s="125"/>
      <x:c r="I192" s="125"/>
      <x:c r="J192" s="125"/>
      <x:c r="K192" s="125"/>
      <x:c r="L192" s="125"/>
      <x:c r="M192" s="125"/>
      <x:c r="N192" s="125"/>
      <x:c r="O192" s="125"/>
      <x:c r="P192" s="125"/>
      <x:c r="Q192" s="125"/>
    </x:row>
    <x:row r="193">
      <x:c r="A193" s="125"/>
      <x:c r="B193" s="125"/>
      <x:c r="C193" s="125"/>
      <x:c r="D193" s="125"/>
      <x:c r="E193" s="125"/>
      <x:c r="F193" s="125"/>
      <x:c r="G193" s="125"/>
      <x:c r="H193" s="125"/>
      <x:c r="I193" s="125"/>
      <x:c r="J193" s="125"/>
      <x:c r="K193" s="125"/>
      <x:c r="L193" s="125"/>
      <x:c r="M193" s="125"/>
      <x:c r="N193" s="125"/>
      <x:c r="O193" s="125"/>
      <x:c r="P193" s="125"/>
      <x:c r="Q193" s="125"/>
    </x:row>
    <x:row r="194">
      <x:c r="A194" s="125"/>
      <x:c r="B194" s="125"/>
      <x:c r="C194" s="125"/>
      <x:c r="D194" s="125"/>
      <x:c r="E194" s="125"/>
      <x:c r="F194" s="125"/>
      <x:c r="G194" s="125"/>
      <x:c r="H194" s="125"/>
      <x:c r="I194" s="125"/>
      <x:c r="J194" s="125"/>
      <x:c r="K194" s="125"/>
      <x:c r="L194" s="125"/>
      <x:c r="M194" s="125"/>
      <x:c r="N194" s="125"/>
      <x:c r="O194" s="125"/>
      <x:c r="P194" s="125"/>
      <x:c r="Q194" s="125"/>
    </x:row>
    <x:row r="195">
      <x:c r="A195" s="125"/>
      <x:c r="B195" s="125"/>
      <x:c r="C195" s="125"/>
      <x:c r="D195" s="125"/>
      <x:c r="E195" s="125"/>
      <x:c r="F195" s="125"/>
      <x:c r="G195" s="125"/>
      <x:c r="H195" s="125"/>
      <x:c r="I195" s="125"/>
      <x:c r="J195" s="125"/>
      <x:c r="K195" s="125"/>
      <x:c r="L195" s="125"/>
      <x:c r="M195" s="125"/>
      <x:c r="N195" s="125"/>
      <x:c r="O195" s="125"/>
      <x:c r="P195" s="125"/>
      <x:c r="Q195" s="125"/>
    </x:row>
    <x:row r="196">
      <x:c r="A196" s="125"/>
      <x:c r="B196" s="125"/>
      <x:c r="C196" s="125"/>
      <x:c r="D196" s="125"/>
      <x:c r="E196" s="125"/>
      <x:c r="F196" s="125"/>
      <x:c r="G196" s="125"/>
      <x:c r="H196" s="125"/>
      <x:c r="I196" s="125"/>
      <x:c r="J196" s="125"/>
      <x:c r="K196" s="125"/>
      <x:c r="L196" s="125"/>
      <x:c r="M196" s="125"/>
      <x:c r="N196" s="125"/>
      <x:c r="O196" s="125"/>
      <x:c r="P196" s="125"/>
      <x:c r="Q196" s="125"/>
    </x:row>
    <x:row r="197">
      <x:c r="A197" s="125"/>
      <x:c r="B197" s="125"/>
      <x:c r="C197" s="125"/>
      <x:c r="D197" s="125"/>
      <x:c r="E197" s="125"/>
      <x:c r="F197" s="125"/>
      <x:c r="G197" s="125"/>
      <x:c r="H197" s="125"/>
      <x:c r="I197" s="125"/>
      <x:c r="J197" s="125"/>
      <x:c r="K197" s="125"/>
      <x:c r="L197" s="125"/>
      <x:c r="M197" s="125"/>
      <x:c r="N197" s="125"/>
      <x:c r="O197" s="125"/>
      <x:c r="P197" s="125"/>
      <x:c r="Q197" s="125"/>
    </x:row>
    <x:row r="198">
      <x:c r="A198" s="125"/>
      <x:c r="B198" s="125"/>
      <x:c r="C198" s="125"/>
      <x:c r="D198" s="125"/>
      <x:c r="E198" s="125"/>
      <x:c r="F198" s="125"/>
      <x:c r="G198" s="125"/>
      <x:c r="H198" s="125"/>
      <x:c r="I198" s="125"/>
      <x:c r="J198" s="125"/>
      <x:c r="K198" s="125"/>
      <x:c r="L198" s="125"/>
      <x:c r="M198" s="125"/>
      <x:c r="N198" s="125"/>
      <x:c r="O198" s="125"/>
      <x:c r="P198" s="125"/>
      <x:c r="Q198" s="125"/>
    </x:row>
    <x:row r="199">
      <x:c r="A199" s="125"/>
      <x:c r="B199" s="125"/>
      <x:c r="C199" s="125"/>
      <x:c r="D199" s="125"/>
      <x:c r="E199" s="125"/>
      <x:c r="F199" s="125"/>
      <x:c r="G199" s="125"/>
      <x:c r="H199" s="125"/>
      <x:c r="I199" s="125"/>
      <x:c r="J199" s="125"/>
      <x:c r="K199" s="125"/>
      <x:c r="L199" s="125"/>
      <x:c r="M199" s="125"/>
      <x:c r="N199" s="125"/>
      <x:c r="O199" s="125"/>
      <x:c r="P199" s="125"/>
      <x:c r="Q199" s="125"/>
    </x:row>
    <x:row r="200">
      <x:c r="A200" s="125"/>
      <x:c r="B200" s="125"/>
      <x:c r="C200" s="125"/>
      <x:c r="D200" s="125"/>
      <x:c r="E200" s="125"/>
      <x:c r="F200" s="125"/>
      <x:c r="G200" s="125"/>
      <x:c r="H200" s="125"/>
      <x:c r="I200" s="125"/>
      <x:c r="J200" s="125"/>
      <x:c r="K200" s="125"/>
      <x:c r="L200" s="125"/>
      <x:c r="M200" s="125"/>
      <x:c r="N200" s="125"/>
      <x:c r="O200" s="125"/>
      <x:c r="P200" s="125"/>
      <x:c r="Q200" s="125"/>
    </x:row>
    <x:row r="201">
      <x:c r="A201" s="125"/>
      <x:c r="B201" s="125"/>
      <x:c r="C201" s="125"/>
      <x:c r="D201" s="125"/>
      <x:c r="E201" s="125"/>
      <x:c r="F201" s="125"/>
      <x:c r="G201" s="125"/>
      <x:c r="H201" s="125"/>
      <x:c r="I201" s="125"/>
      <x:c r="J201" s="125"/>
      <x:c r="K201" s="125"/>
      <x:c r="L201" s="125"/>
      <x:c r="M201" s="125"/>
      <x:c r="N201" s="125"/>
      <x:c r="O201" s="125"/>
      <x:c r="P201" s="125"/>
      <x:c r="Q201" s="125"/>
    </x:row>
    <x:row r="202">
      <x:c r="A202" s="125"/>
      <x:c r="B202" s="125"/>
      <x:c r="C202" s="125"/>
      <x:c r="D202" s="125"/>
      <x:c r="E202" s="125"/>
      <x:c r="F202" s="125"/>
      <x:c r="G202" s="125"/>
      <x:c r="H202" s="125"/>
      <x:c r="I202" s="125"/>
      <x:c r="J202" s="125"/>
      <x:c r="K202" s="125"/>
      <x:c r="L202" s="125"/>
      <x:c r="M202" s="125"/>
      <x:c r="N202" s="125"/>
      <x:c r="O202" s="125"/>
      <x:c r="P202" s="125"/>
      <x:c r="Q202" s="125"/>
    </x:row>
    <x:row r="203">
      <x:c r="A203" s="125"/>
      <x:c r="B203" s="125"/>
      <x:c r="C203" s="125"/>
      <x:c r="D203" s="125"/>
      <x:c r="E203" s="125"/>
      <x:c r="F203" s="125"/>
      <x:c r="G203" s="125"/>
      <x:c r="H203" s="125"/>
      <x:c r="I203" s="125"/>
      <x:c r="J203" s="125"/>
      <x:c r="K203" s="125"/>
      <x:c r="L203" s="125"/>
      <x:c r="M203" s="125"/>
      <x:c r="N203" s="125"/>
      <x:c r="O203" s="125"/>
      <x:c r="P203" s="125"/>
      <x:c r="Q203" s="125"/>
    </x:row>
    <x:row r="204">
      <x:c r="A204" s="125"/>
      <x:c r="B204" s="125"/>
      <x:c r="C204" s="125"/>
      <x:c r="D204" s="125"/>
      <x:c r="E204" s="125"/>
      <x:c r="F204" s="125"/>
      <x:c r="G204" s="125"/>
      <x:c r="H204" s="125"/>
      <x:c r="I204" s="125"/>
      <x:c r="J204" s="125"/>
      <x:c r="K204" s="125"/>
      <x:c r="L204" s="125"/>
      <x:c r="M204" s="125"/>
      <x:c r="N204" s="125"/>
      <x:c r="O204" s="125"/>
      <x:c r="P204" s="125"/>
      <x:c r="Q204" s="125"/>
    </x:row>
    <x:row r="205">
      <x:c r="A205" s="125"/>
      <x:c r="B205" s="125"/>
      <x:c r="C205" s="125"/>
      <x:c r="D205" s="125"/>
      <x:c r="E205" s="125"/>
      <x:c r="F205" s="125"/>
      <x:c r="G205" s="125"/>
      <x:c r="H205" s="125"/>
      <x:c r="I205" s="125"/>
      <x:c r="J205" s="125"/>
      <x:c r="K205" s="125"/>
      <x:c r="L205" s="125"/>
      <x:c r="M205" s="125"/>
      <x:c r="N205" s="125"/>
      <x:c r="O205" s="125"/>
      <x:c r="P205" s="125"/>
      <x:c r="Q205" s="125"/>
    </x:row>
    <x:row r="206">
      <x:c r="A206" s="125"/>
      <x:c r="B206" s="125"/>
      <x:c r="C206" s="125"/>
      <x:c r="D206" s="125"/>
      <x:c r="E206" s="125"/>
      <x:c r="F206" s="125"/>
      <x:c r="G206" s="125"/>
      <x:c r="H206" s="125"/>
      <x:c r="I206" s="125"/>
      <x:c r="J206" s="125"/>
      <x:c r="K206" s="125"/>
      <x:c r="L206" s="125"/>
      <x:c r="M206" s="125"/>
      <x:c r="N206" s="125"/>
      <x:c r="O206" s="125"/>
      <x:c r="P206" s="125"/>
      <x:c r="Q206" s="125"/>
    </x:row>
    <x:row r="207">
      <x:c r="A207" s="125"/>
      <x:c r="B207" s="125"/>
      <x:c r="C207" s="125"/>
      <x:c r="D207" s="125"/>
      <x:c r="E207" s="125"/>
      <x:c r="F207" s="125"/>
      <x:c r="G207" s="125"/>
      <x:c r="H207" s="125"/>
      <x:c r="I207" s="125"/>
      <x:c r="J207" s="125"/>
      <x:c r="K207" s="125"/>
      <x:c r="L207" s="125"/>
      <x:c r="M207" s="125"/>
      <x:c r="N207" s="125"/>
      <x:c r="O207" s="125"/>
      <x:c r="P207" s="125"/>
      <x:c r="Q207" s="125"/>
    </x:row>
    <x:row r="208">
      <x:c r="A208" s="125"/>
      <x:c r="B208" s="125"/>
      <x:c r="C208" s="125"/>
      <x:c r="D208" s="125"/>
      <x:c r="E208" s="125"/>
      <x:c r="F208" s="125"/>
      <x:c r="G208" s="125"/>
      <x:c r="H208" s="125"/>
      <x:c r="I208" s="125"/>
      <x:c r="J208" s="125"/>
      <x:c r="K208" s="125"/>
      <x:c r="L208" s="125"/>
      <x:c r="M208" s="125"/>
      <x:c r="N208" s="125"/>
      <x:c r="O208" s="125"/>
      <x:c r="P208" s="125"/>
      <x:c r="Q208" s="125"/>
    </x:row>
    <x:row r="209">
      <x:c r="A209" s="125"/>
      <x:c r="B209" s="125"/>
      <x:c r="C209" s="125"/>
      <x:c r="D209" s="125"/>
      <x:c r="E209" s="125"/>
      <x:c r="F209" s="125"/>
      <x:c r="G209" s="125"/>
      <x:c r="H209" s="125"/>
      <x:c r="I209" s="125"/>
      <x:c r="J209" s="125"/>
      <x:c r="K209" s="125"/>
      <x:c r="L209" s="125"/>
      <x:c r="M209" s="125"/>
      <x:c r="N209" s="125"/>
      <x:c r="O209" s="125"/>
      <x:c r="P209" s="125"/>
      <x:c r="Q209" s="125"/>
    </x:row>
    <x:row r="210">
      <x:c r="A210" s="125"/>
      <x:c r="B210" s="125"/>
      <x:c r="C210" s="125"/>
      <x:c r="D210" s="125"/>
      <x:c r="E210" s="125"/>
      <x:c r="F210" s="125"/>
      <x:c r="G210" s="125"/>
      <x:c r="H210" s="125"/>
      <x:c r="I210" s="125"/>
      <x:c r="J210" s="125"/>
      <x:c r="K210" s="125"/>
      <x:c r="L210" s="125"/>
      <x:c r="M210" s="125"/>
      <x:c r="N210" s="125"/>
      <x:c r="O210" s="125"/>
      <x:c r="P210" s="125"/>
      <x:c r="Q210" s="125"/>
    </x:row>
    <x:row r="211">
      <x:c r="A211" s="125"/>
      <x:c r="B211" s="125"/>
      <x:c r="C211" s="125"/>
      <x:c r="D211" s="125"/>
      <x:c r="E211" s="125"/>
      <x:c r="F211" s="125"/>
      <x:c r="G211" s="125"/>
      <x:c r="H211" s="125"/>
      <x:c r="I211" s="125"/>
      <x:c r="J211" s="125"/>
      <x:c r="K211" s="125"/>
      <x:c r="L211" s="125"/>
      <x:c r="M211" s="125"/>
      <x:c r="N211" s="125"/>
      <x:c r="O211" s="125"/>
      <x:c r="P211" s="125"/>
      <x:c r="Q211" s="125"/>
    </x:row>
    <x:row r="212">
      <x:c r="A212" s="125"/>
      <x:c r="B212" s="125"/>
      <x:c r="C212" s="125"/>
      <x:c r="D212" s="125"/>
      <x:c r="E212" s="125"/>
      <x:c r="F212" s="125"/>
      <x:c r="G212" s="125"/>
      <x:c r="H212" s="125"/>
      <x:c r="I212" s="125"/>
      <x:c r="J212" s="125"/>
      <x:c r="K212" s="125"/>
      <x:c r="L212" s="125"/>
      <x:c r="M212" s="125"/>
      <x:c r="N212" s="125"/>
      <x:c r="O212" s="125"/>
      <x:c r="P212" s="125"/>
      <x:c r="Q212" s="125"/>
    </x:row>
    <x:row r="213">
      <x:c r="A213" s="125"/>
      <x:c r="B213" s="125"/>
      <x:c r="C213" s="125"/>
      <x:c r="D213" s="125"/>
      <x:c r="E213" s="125"/>
      <x:c r="F213" s="125"/>
      <x:c r="G213" s="125"/>
      <x:c r="H213" s="125"/>
      <x:c r="I213" s="125"/>
      <x:c r="J213" s="125"/>
      <x:c r="K213" s="125"/>
      <x:c r="L213" s="125"/>
      <x:c r="M213" s="125"/>
      <x:c r="N213" s="125"/>
      <x:c r="O213" s="125"/>
      <x:c r="P213" s="125"/>
      <x:c r="Q213" s="125"/>
    </x:row>
    <x:row r="214">
      <x:c r="A214" s="125"/>
      <x:c r="B214" s="125"/>
      <x:c r="C214" s="125"/>
      <x:c r="D214" s="125"/>
      <x:c r="E214" s="125"/>
      <x:c r="F214" s="125"/>
      <x:c r="G214" s="125"/>
      <x:c r="H214" s="125"/>
      <x:c r="I214" s="125"/>
      <x:c r="J214" s="125"/>
      <x:c r="K214" s="125"/>
      <x:c r="L214" s="125"/>
      <x:c r="M214" s="125"/>
      <x:c r="N214" s="125"/>
      <x:c r="O214" s="125"/>
      <x:c r="P214" s="125"/>
      <x:c r="Q214" s="125"/>
    </x:row>
    <x:row r="215">
      <x:c r="A215" s="125"/>
      <x:c r="B215" s="125"/>
      <x:c r="C215" s="125"/>
      <x:c r="D215" s="125"/>
      <x:c r="E215" s="125"/>
      <x:c r="F215" s="125"/>
      <x:c r="G215" s="125"/>
      <x:c r="H215" s="125"/>
      <x:c r="I215" s="125"/>
      <x:c r="J215" s="125"/>
      <x:c r="K215" s="125"/>
      <x:c r="L215" s="125"/>
      <x:c r="M215" s="125"/>
      <x:c r="N215" s="125"/>
      <x:c r="O215" s="125"/>
      <x:c r="P215" s="125"/>
      <x:c r="Q215" s="125"/>
    </x:row>
    <x:row r="216">
      <x:c r="A216" s="125"/>
      <x:c r="B216" s="125"/>
      <x:c r="C216" s="125"/>
      <x:c r="D216" s="125"/>
      <x:c r="E216" s="125"/>
      <x:c r="F216" s="125"/>
      <x:c r="G216" s="125"/>
      <x:c r="H216" s="125"/>
      <x:c r="I216" s="125"/>
      <x:c r="J216" s="125"/>
      <x:c r="K216" s="125"/>
      <x:c r="L216" s="125"/>
      <x:c r="M216" s="125"/>
      <x:c r="N216" s="125"/>
      <x:c r="O216" s="125"/>
      <x:c r="P216" s="125"/>
      <x:c r="Q216" s="125"/>
    </x:row>
    <x:row r="217">
      <x:c r="A217" s="125"/>
      <x:c r="B217" s="125"/>
      <x:c r="C217" s="125"/>
      <x:c r="D217" s="125"/>
      <x:c r="E217" s="125"/>
      <x:c r="F217" s="125"/>
      <x:c r="G217" s="125"/>
      <x:c r="H217" s="125"/>
      <x:c r="I217" s="125"/>
      <x:c r="J217" s="125"/>
      <x:c r="K217" s="125"/>
      <x:c r="L217" s="125"/>
      <x:c r="M217" s="125"/>
      <x:c r="N217" s="125"/>
      <x:c r="O217" s="125"/>
      <x:c r="P217" s="125"/>
      <x:c r="Q217" s="125"/>
    </x:row>
    <x:row r="218">
      <x:c r="A218" s="125"/>
      <x:c r="B218" s="125"/>
      <x:c r="C218" s="125"/>
      <x:c r="D218" s="125"/>
      <x:c r="E218" s="125"/>
      <x:c r="F218" s="125"/>
      <x:c r="G218" s="125"/>
      <x:c r="H218" s="125"/>
      <x:c r="I218" s="125"/>
      <x:c r="J218" s="125"/>
      <x:c r="K218" s="125"/>
      <x:c r="L218" s="125"/>
      <x:c r="M218" s="125"/>
      <x:c r="N218" s="125"/>
      <x:c r="O218" s="125"/>
      <x:c r="P218" s="125"/>
      <x:c r="Q218" s="125"/>
    </x:row>
    <x:row r="219">
      <x:c r="A219" s="125"/>
      <x:c r="B219" s="125"/>
      <x:c r="C219" s="125"/>
      <x:c r="D219" s="125"/>
      <x:c r="E219" s="125"/>
      <x:c r="F219" s="125"/>
      <x:c r="G219" s="125"/>
      <x:c r="H219" s="125"/>
      <x:c r="I219" s="125"/>
      <x:c r="J219" s="125"/>
      <x:c r="K219" s="125"/>
      <x:c r="L219" s="125"/>
      <x:c r="M219" s="125"/>
      <x:c r="N219" s="125"/>
      <x:c r="O219" s="125"/>
      <x:c r="P219" s="125"/>
      <x:c r="Q219" s="125"/>
    </x:row>
    <x:row r="220">
      <x:c r="A220" s="125"/>
      <x:c r="B220" s="125"/>
      <x:c r="C220" s="125"/>
      <x:c r="D220" s="125"/>
      <x:c r="E220" s="125"/>
      <x:c r="F220" s="125"/>
      <x:c r="G220" s="125"/>
      <x:c r="H220" s="125"/>
      <x:c r="I220" s="125"/>
      <x:c r="J220" s="125"/>
      <x:c r="K220" s="125"/>
      <x:c r="L220" s="125"/>
      <x:c r="M220" s="125"/>
      <x:c r="N220" s="125"/>
      <x:c r="O220" s="125"/>
      <x:c r="P220" s="125"/>
      <x:c r="Q220" s="125"/>
    </x:row>
    <x:row r="221">
      <x:c r="A221" s="125"/>
      <x:c r="B221" s="125"/>
      <x:c r="C221" s="125"/>
      <x:c r="D221" s="125"/>
      <x:c r="E221" s="125"/>
      <x:c r="F221" s="125"/>
      <x:c r="G221" s="125"/>
      <x:c r="H221" s="125"/>
      <x:c r="I221" s="125"/>
      <x:c r="J221" s="125"/>
      <x:c r="K221" s="125"/>
      <x:c r="L221" s="125"/>
      <x:c r="M221" s="125"/>
      <x:c r="N221" s="125"/>
      <x:c r="O221" s="125"/>
      <x:c r="P221" s="125"/>
      <x:c r="Q221" s="125"/>
    </x:row>
    <x:row r="222">
      <x:c r="A222" s="125"/>
      <x:c r="B222" s="125"/>
      <x:c r="C222" s="125"/>
      <x:c r="D222" s="125"/>
      <x:c r="E222" s="125"/>
      <x:c r="F222" s="125"/>
      <x:c r="G222" s="125"/>
      <x:c r="H222" s="125"/>
      <x:c r="I222" s="125"/>
      <x:c r="J222" s="125"/>
      <x:c r="K222" s="125"/>
      <x:c r="L222" s="125"/>
      <x:c r="M222" s="125"/>
      <x:c r="N222" s="125"/>
      <x:c r="O222" s="125"/>
      <x:c r="P222" s="125"/>
      <x:c r="Q222" s="125"/>
    </x:row>
    <x:row r="223">
      <x:c r="A223" s="125"/>
      <x:c r="B223" s="125"/>
      <x:c r="C223" s="125"/>
      <x:c r="D223" s="125"/>
      <x:c r="E223" s="125"/>
      <x:c r="F223" s="125"/>
      <x:c r="G223" s="125"/>
      <x:c r="H223" s="125"/>
      <x:c r="I223" s="125"/>
      <x:c r="J223" s="125"/>
      <x:c r="K223" s="125"/>
      <x:c r="L223" s="125"/>
      <x:c r="M223" s="125"/>
      <x:c r="N223" s="125"/>
      <x:c r="O223" s="125"/>
      <x:c r="P223" s="125"/>
      <x:c r="Q223" s="125"/>
    </x:row>
    <x:row r="224">
      <x:c r="A224" s="125"/>
      <x:c r="B224" s="125"/>
      <x:c r="C224" s="125"/>
      <x:c r="D224" s="125"/>
      <x:c r="E224" s="125"/>
      <x:c r="F224" s="125"/>
      <x:c r="G224" s="125"/>
      <x:c r="H224" s="125"/>
      <x:c r="I224" s="125"/>
      <x:c r="J224" s="125"/>
      <x:c r="K224" s="125"/>
      <x:c r="L224" s="125"/>
      <x:c r="M224" s="125"/>
      <x:c r="N224" s="125"/>
      <x:c r="O224" s="125"/>
      <x:c r="P224" s="125"/>
      <x:c r="Q224" s="125"/>
    </x:row>
    <x:row r="225">
      <x:c r="A225" s="125"/>
      <x:c r="B225" s="125"/>
      <x:c r="C225" s="125"/>
      <x:c r="D225" s="125"/>
      <x:c r="E225" s="125"/>
      <x:c r="F225" s="125"/>
      <x:c r="G225" s="125"/>
      <x:c r="H225" s="125"/>
      <x:c r="I225" s="125"/>
      <x:c r="J225" s="125"/>
      <x:c r="K225" s="125"/>
      <x:c r="L225" s="125"/>
      <x:c r="M225" s="125"/>
      <x:c r="N225" s="125"/>
      <x:c r="O225" s="125"/>
      <x:c r="P225" s="125"/>
      <x:c r="Q225" s="125"/>
    </x:row>
    <x:row r="226">
      <x:c r="A226" s="125"/>
      <x:c r="B226" s="125"/>
      <x:c r="C226" s="125"/>
      <x:c r="D226" s="125"/>
      <x:c r="E226" s="125"/>
      <x:c r="F226" s="125"/>
      <x:c r="G226" s="125"/>
      <x:c r="H226" s="125"/>
      <x:c r="I226" s="125"/>
      <x:c r="J226" s="125"/>
      <x:c r="K226" s="125"/>
      <x:c r="L226" s="125"/>
      <x:c r="M226" s="125"/>
      <x:c r="N226" s="125"/>
      <x:c r="O226" s="125"/>
      <x:c r="P226" s="125"/>
      <x:c r="Q226" s="125"/>
    </x:row>
    <x:row r="227">
      <x:c r="A227" s="125"/>
      <x:c r="B227" s="125"/>
      <x:c r="C227" s="125"/>
      <x:c r="D227" s="125"/>
      <x:c r="E227" s="125"/>
      <x:c r="F227" s="125"/>
      <x:c r="G227" s="125"/>
      <x:c r="H227" s="125"/>
      <x:c r="I227" s="125"/>
      <x:c r="J227" s="125"/>
      <x:c r="K227" s="125"/>
      <x:c r="L227" s="125"/>
      <x:c r="M227" s="125"/>
      <x:c r="N227" s="125"/>
      <x:c r="O227" s="125"/>
      <x:c r="P227" s="125"/>
      <x:c r="Q227" s="125"/>
    </x:row>
    <x:row r="228">
      <x:c r="A228" s="125"/>
      <x:c r="B228" s="125"/>
      <x:c r="C228" s="125"/>
      <x:c r="D228" s="125"/>
      <x:c r="E228" s="125"/>
      <x:c r="F228" s="125"/>
      <x:c r="G228" s="125"/>
      <x:c r="H228" s="125"/>
      <x:c r="I228" s="125"/>
      <x:c r="J228" s="125"/>
      <x:c r="K228" s="125"/>
      <x:c r="L228" s="125"/>
      <x:c r="M228" s="125"/>
      <x:c r="N228" s="125"/>
      <x:c r="O228" s="125"/>
      <x:c r="P228" s="125"/>
      <x:c r="Q228" s="125"/>
    </x:row>
    <x:row r="229">
      <x:c r="A229" s="125"/>
      <x:c r="B229" s="125"/>
      <x:c r="C229" s="125"/>
      <x:c r="D229" s="125"/>
      <x:c r="E229" s="125"/>
      <x:c r="F229" s="125"/>
      <x:c r="G229" s="125"/>
      <x:c r="H229" s="125"/>
      <x:c r="I229" s="125"/>
      <x:c r="J229" s="125"/>
      <x:c r="K229" s="125"/>
      <x:c r="L229" s="125"/>
      <x:c r="M229" s="125"/>
      <x:c r="N229" s="125"/>
      <x:c r="O229" s="125"/>
      <x:c r="P229" s="125"/>
      <x:c r="Q229" s="125"/>
    </x:row>
    <x:row r="230">
      <x:c r="A230" s="125"/>
      <x:c r="B230" s="125"/>
      <x:c r="C230" s="125"/>
      <x:c r="D230" s="125"/>
      <x:c r="E230" s="125"/>
      <x:c r="F230" s="125"/>
      <x:c r="G230" s="125"/>
      <x:c r="H230" s="125"/>
      <x:c r="I230" s="125"/>
      <x:c r="J230" s="125"/>
      <x:c r="K230" s="125"/>
      <x:c r="L230" s="125"/>
      <x:c r="M230" s="125"/>
      <x:c r="N230" s="125"/>
      <x:c r="O230" s="125"/>
      <x:c r="P230" s="125"/>
      <x:c r="Q230" s="125"/>
    </x:row>
    <x:row r="231">
      <x:c r="A231" s="125"/>
      <x:c r="B231" s="125"/>
      <x:c r="C231" s="125"/>
      <x:c r="D231" s="125"/>
      <x:c r="E231" s="125"/>
      <x:c r="F231" s="125"/>
      <x:c r="G231" s="125"/>
      <x:c r="H231" s="125"/>
      <x:c r="I231" s="125"/>
      <x:c r="J231" s="125"/>
      <x:c r="K231" s="125"/>
      <x:c r="L231" s="125"/>
      <x:c r="M231" s="125"/>
      <x:c r="N231" s="125"/>
      <x:c r="O231" s="125"/>
      <x:c r="P231" s="125"/>
      <x:c r="Q231" s="125"/>
    </x:row>
    <x:row r="232">
      <x:c r="A232" s="125"/>
      <x:c r="B232" s="125"/>
      <x:c r="C232" s="125"/>
      <x:c r="D232" s="125"/>
      <x:c r="E232" s="125"/>
      <x:c r="F232" s="125"/>
      <x:c r="G232" s="125"/>
      <x:c r="H232" s="125"/>
      <x:c r="I232" s="125"/>
      <x:c r="J232" s="125"/>
      <x:c r="K232" s="125"/>
      <x:c r="L232" s="125"/>
      <x:c r="M232" s="125"/>
      <x:c r="N232" s="125"/>
      <x:c r="O232" s="125"/>
      <x:c r="P232" s="125"/>
      <x:c r="Q232" s="125"/>
    </x:row>
    <x:row r="233">
      <x:c r="A233" s="125"/>
      <x:c r="B233" s="125"/>
      <x:c r="C233" s="125"/>
      <x:c r="D233" s="125"/>
      <x:c r="E233" s="125"/>
      <x:c r="F233" s="125"/>
      <x:c r="G233" s="125"/>
      <x:c r="H233" s="125"/>
      <x:c r="I233" s="125"/>
      <x:c r="J233" s="125"/>
      <x:c r="K233" s="125"/>
      <x:c r="L233" s="125"/>
      <x:c r="M233" s="125"/>
      <x:c r="N233" s="125"/>
      <x:c r="O233" s="125"/>
      <x:c r="P233" s="125"/>
      <x:c r="Q233" s="125"/>
    </x:row>
    <x:row r="234">
      <x:c r="A234" s="125"/>
      <x:c r="B234" s="125"/>
      <x:c r="C234" s="125"/>
      <x:c r="D234" s="125"/>
      <x:c r="E234" s="125"/>
      <x:c r="F234" s="125"/>
      <x:c r="G234" s="125"/>
      <x:c r="H234" s="125"/>
      <x:c r="I234" s="125"/>
      <x:c r="J234" s="125"/>
      <x:c r="K234" s="125"/>
      <x:c r="L234" s="125"/>
      <x:c r="M234" s="125"/>
      <x:c r="N234" s="125"/>
      <x:c r="O234" s="125"/>
      <x:c r="P234" s="125"/>
      <x:c r="Q234" s="125"/>
    </x:row>
    <x:row r="235">
      <x:c r="A235" s="125"/>
      <x:c r="B235" s="125"/>
      <x:c r="C235" s="125"/>
      <x:c r="D235" s="125"/>
      <x:c r="E235" s="125"/>
      <x:c r="F235" s="125"/>
      <x:c r="G235" s="125"/>
      <x:c r="H235" s="125"/>
      <x:c r="I235" s="125"/>
      <x:c r="J235" s="125"/>
      <x:c r="K235" s="125"/>
      <x:c r="L235" s="125"/>
      <x:c r="M235" s="125"/>
      <x:c r="N235" s="125"/>
      <x:c r="O235" s="125"/>
      <x:c r="P235" s="125"/>
      <x:c r="Q235" s="125"/>
    </x:row>
    <x:row r="236">
      <x:c r="A236" s="125"/>
      <x:c r="B236" s="125"/>
      <x:c r="C236" s="125"/>
      <x:c r="D236" s="125"/>
      <x:c r="E236" s="125"/>
      <x:c r="F236" s="125"/>
      <x:c r="G236" s="125"/>
      <x:c r="H236" s="125"/>
      <x:c r="I236" s="125"/>
      <x:c r="J236" s="125"/>
      <x:c r="K236" s="125"/>
      <x:c r="L236" s="125"/>
      <x:c r="M236" s="125"/>
      <x:c r="N236" s="125"/>
      <x:c r="O236" s="125"/>
      <x:c r="P236" s="125"/>
      <x:c r="Q236" s="125"/>
    </x:row>
    <x:row r="237">
      <x:c r="A237" s="125"/>
      <x:c r="B237" s="125"/>
      <x:c r="C237" s="125"/>
      <x:c r="D237" s="125"/>
      <x:c r="E237" s="125"/>
      <x:c r="F237" s="125"/>
      <x:c r="G237" s="125"/>
      <x:c r="H237" s="125"/>
      <x:c r="I237" s="125"/>
      <x:c r="J237" s="125"/>
      <x:c r="K237" s="125"/>
      <x:c r="L237" s="125"/>
      <x:c r="M237" s="125"/>
      <x:c r="N237" s="125"/>
      <x:c r="O237" s="125"/>
      <x:c r="P237" s="125"/>
      <x:c r="Q237" s="125"/>
    </x:row>
    <x:row r="238">
      <x:c r="A238" s="125"/>
      <x:c r="B238" s="125"/>
      <x:c r="C238" s="125"/>
      <x:c r="D238" s="125"/>
      <x:c r="E238" s="125"/>
      <x:c r="F238" s="125"/>
      <x:c r="G238" s="125"/>
      <x:c r="H238" s="125"/>
      <x:c r="I238" s="125"/>
      <x:c r="J238" s="125"/>
      <x:c r="K238" s="125"/>
      <x:c r="L238" s="125"/>
      <x:c r="M238" s="125"/>
      <x:c r="N238" s="125"/>
      <x:c r="O238" s="125"/>
      <x:c r="P238" s="125"/>
      <x:c r="Q238" s="125"/>
    </x:row>
    <x:row r="239">
      <x:c r="A239" s="125"/>
      <x:c r="B239" s="125"/>
      <x:c r="C239" s="125"/>
      <x:c r="D239" s="125"/>
      <x:c r="E239" s="125"/>
      <x:c r="F239" s="125"/>
      <x:c r="G239" s="125"/>
      <x:c r="H239" s="125"/>
      <x:c r="I239" s="125"/>
      <x:c r="J239" s="125"/>
      <x:c r="K239" s="125"/>
      <x:c r="L239" s="125"/>
      <x:c r="M239" s="125"/>
      <x:c r="N239" s="125"/>
      <x:c r="O239" s="125"/>
      <x:c r="P239" s="125"/>
      <x:c r="Q239" s="125"/>
    </x:row>
    <x:row r="240">
      <x:c r="A240" s="125"/>
      <x:c r="B240" s="125"/>
      <x:c r="C240" s="125"/>
      <x:c r="D240" s="125"/>
      <x:c r="E240" s="125"/>
      <x:c r="F240" s="125"/>
      <x:c r="G240" s="125"/>
      <x:c r="H240" s="125"/>
      <x:c r="I240" s="125"/>
      <x:c r="J240" s="125"/>
      <x:c r="K240" s="125"/>
      <x:c r="L240" s="125"/>
      <x:c r="M240" s="125"/>
      <x:c r="N240" s="125"/>
      <x:c r="O240" s="125"/>
      <x:c r="P240" s="125"/>
      <x:c r="Q240" s="125"/>
    </x:row>
    <x:row r="241">
      <x:c r="A241" s="125"/>
      <x:c r="B241" s="125"/>
      <x:c r="C241" s="125"/>
      <x:c r="D241" s="125"/>
      <x:c r="E241" s="125"/>
      <x:c r="F241" s="125"/>
      <x:c r="G241" s="125"/>
      <x:c r="H241" s="125"/>
      <x:c r="I241" s="125"/>
      <x:c r="J241" s="125"/>
      <x:c r="K241" s="125"/>
      <x:c r="L241" s="125"/>
      <x:c r="M241" s="125"/>
      <x:c r="N241" s="125"/>
      <x:c r="O241" s="125"/>
      <x:c r="P241" s="125"/>
      <x:c r="Q241" s="125"/>
    </x:row>
    <x:row r="242">
      <x:c r="A242" s="125"/>
      <x:c r="B242" s="125"/>
      <x:c r="C242" s="125"/>
      <x:c r="D242" s="125"/>
      <x:c r="E242" s="125"/>
      <x:c r="F242" s="125"/>
      <x:c r="G242" s="125"/>
      <x:c r="H242" s="125"/>
      <x:c r="I242" s="125"/>
      <x:c r="J242" s="125"/>
      <x:c r="K242" s="125"/>
      <x:c r="L242" s="125"/>
      <x:c r="M242" s="125"/>
      <x:c r="N242" s="125"/>
      <x:c r="O242" s="125"/>
      <x:c r="P242" s="125"/>
      <x:c r="Q242" s="125"/>
    </x:row>
    <x:row r="243">
      <x:c r="A243" s="125"/>
      <x:c r="B243" s="125"/>
      <x:c r="C243" s="125"/>
      <x:c r="D243" s="125"/>
      <x:c r="E243" s="125"/>
      <x:c r="F243" s="125"/>
      <x:c r="G243" s="125"/>
      <x:c r="H243" s="125"/>
      <x:c r="I243" s="125"/>
      <x:c r="J243" s="125"/>
      <x:c r="K243" s="125"/>
      <x:c r="L243" s="125"/>
      <x:c r="M243" s="125"/>
      <x:c r="N243" s="125"/>
      <x:c r="O243" s="125"/>
      <x:c r="P243" s="125"/>
      <x:c r="Q243" s="125"/>
    </x:row>
    <x:row r="244">
      <x:c r="A244" s="125"/>
      <x:c r="B244" s="125"/>
      <x:c r="C244" s="125"/>
      <x:c r="D244" s="125"/>
      <x:c r="E244" s="125"/>
      <x:c r="F244" s="125"/>
      <x:c r="G244" s="125"/>
      <x:c r="H244" s="125"/>
      <x:c r="I244" s="125"/>
      <x:c r="J244" s="125"/>
      <x:c r="K244" s="125"/>
      <x:c r="L244" s="125"/>
      <x:c r="M244" s="125"/>
      <x:c r="N244" s="125"/>
      <x:c r="O244" s="125"/>
      <x:c r="P244" s="125"/>
      <x:c r="Q244" s="125"/>
    </x:row>
    <x:row r="245">
      <x:c r="A245" s="125"/>
      <x:c r="B245" s="125"/>
      <x:c r="C245" s="125"/>
      <x:c r="D245" s="125"/>
      <x:c r="E245" s="125"/>
      <x:c r="F245" s="125"/>
      <x:c r="G245" s="125"/>
      <x:c r="H245" s="125"/>
      <x:c r="I245" s="125"/>
      <x:c r="J245" s="125"/>
      <x:c r="K245" s="125"/>
      <x:c r="L245" s="125"/>
      <x:c r="M245" s="125"/>
      <x:c r="N245" s="125"/>
      <x:c r="O245" s="125"/>
      <x:c r="P245" s="125"/>
      <x:c r="Q245" s="125"/>
    </x:row>
    <x:row r="246">
      <x:c r="A246" s="125"/>
      <x:c r="B246" s="125"/>
      <x:c r="C246" s="125"/>
      <x:c r="D246" s="125"/>
      <x:c r="E246" s="125"/>
      <x:c r="F246" s="125"/>
      <x:c r="G246" s="125"/>
      <x:c r="H246" s="125"/>
      <x:c r="I246" s="125"/>
      <x:c r="J246" s="125"/>
      <x:c r="K246" s="125"/>
      <x:c r="L246" s="125"/>
      <x:c r="M246" s="125"/>
      <x:c r="N246" s="125"/>
      <x:c r="O246" s="125"/>
      <x:c r="P246" s="125"/>
      <x:c r="Q246" s="125"/>
    </x:row>
    <x:row r="247">
      <x:c r="A247" s="125"/>
      <x:c r="B247" s="125"/>
      <x:c r="C247" s="125"/>
      <x:c r="D247" s="125"/>
      <x:c r="E247" s="125"/>
      <x:c r="F247" s="125"/>
      <x:c r="G247" s="125"/>
      <x:c r="H247" s="125"/>
      <x:c r="I247" s="125"/>
      <x:c r="J247" s="125"/>
      <x:c r="K247" s="125"/>
      <x:c r="L247" s="125"/>
      <x:c r="M247" s="125"/>
      <x:c r="N247" s="125"/>
      <x:c r="O247" s="125"/>
      <x:c r="P247" s="125"/>
      <x:c r="Q247" s="125"/>
    </x:row>
    <x:row r="248">
      <x:c r="A248" s="125"/>
      <x:c r="B248" s="125"/>
      <x:c r="C248" s="125"/>
      <x:c r="D248" s="125"/>
      <x:c r="E248" s="125"/>
      <x:c r="F248" s="125"/>
      <x:c r="G248" s="125"/>
      <x:c r="H248" s="125"/>
      <x:c r="I248" s="125"/>
      <x:c r="J248" s="125"/>
      <x:c r="K248" s="125"/>
      <x:c r="L248" s="125"/>
      <x:c r="M248" s="125"/>
      <x:c r="N248" s="125"/>
      <x:c r="O248" s="125"/>
      <x:c r="P248" s="125"/>
      <x:c r="Q248" s="125"/>
    </x:row>
    <x:row r="249">
      <x:c r="A249" s="125"/>
      <x:c r="B249" s="125"/>
      <x:c r="C249" s="125"/>
      <x:c r="D249" s="125"/>
      <x:c r="E249" s="125"/>
      <x:c r="F249" s="125"/>
      <x:c r="G249" s="125"/>
      <x:c r="H249" s="125"/>
      <x:c r="I249" s="125"/>
      <x:c r="J249" s="125"/>
      <x:c r="K249" s="125"/>
      <x:c r="L249" s="125"/>
      <x:c r="M249" s="125"/>
      <x:c r="N249" s="125"/>
      <x:c r="O249" s="125"/>
      <x:c r="P249" s="125"/>
      <x:c r="Q249" s="125"/>
    </x:row>
    <x:row r="250">
      <x:c r="A250" s="125"/>
      <x:c r="B250" s="125"/>
      <x:c r="C250" s="125"/>
      <x:c r="D250" s="125"/>
      <x:c r="E250" s="125"/>
      <x:c r="F250" s="125"/>
      <x:c r="G250" s="125"/>
      <x:c r="H250" s="125"/>
      <x:c r="I250" s="125"/>
      <x:c r="J250" s="125"/>
      <x:c r="K250" s="125"/>
      <x:c r="L250" s="125"/>
      <x:c r="M250" s="125"/>
      <x:c r="N250" s="125"/>
      <x:c r="O250" s="125"/>
      <x:c r="P250" s="125"/>
      <x:c r="Q250" s="125"/>
    </x:row>
  </x:sheetData>
  <x:mergeCells>
    <x:mergeCell ref="A1:H1"/>
    <x:mergeCell ref="A2:H2"/>
  </x:mergeCells>
  <x:pageMargins left="0.7" right="0.7" top="0.75" bottom="0.75" header="0.3" footer="0.3"/>
</x:worksheet>
</file>

<file path=xl/worksheets/sheet5.xml><?xml version="1.0" encoding="utf-8"?>
<x:worksheet xmlns:x="http://schemas.openxmlformats.org/spreadsheetml/2006/main">
  <x:sheetFormatPr defaultRowHeight="15"/>
  <x:cols>
    <x:col min="1" max="1" width="14" hidden="0" customWidth="1"/>
    <x:col min="2" max="2" width="48" hidden="0" customWidth="1"/>
    <x:col min="3" max="3" width="24" hidden="0" customWidth="1"/>
    <x:col min="4" max="4" width="16" hidden="0" customWidth="1"/>
    <x:col min="5" max="5" width="22" hidden="0" customWidth="1"/>
    <x:col min="6" max="6" width="36" hidden="0" customWidth="1"/>
    <x:col min="7" max="7" width="18" hidden="0" customWidth="1"/>
    <x:col min="8" max="8" width="18" hidden="0" customWidth="1"/>
    <x:col min="9" max="9" width="48" hidden="0" customWidth="1"/>
    <x:col min="10" max="10" width="26" hidden="0" customWidth="1"/>
  </x:cols>
  <x:sheetData>
    <x:row r="1" ht="24" customHeight="1">
      <x:c r="A1" s="200" t="str">
        <x:v>STG_SOURCE_INTAKE — Source Package Log</x:v>
      </x:c>
      <x:c r="B1" s="198"/>
      <x:c r="C1" s="198"/>
      <x:c r="D1" s="198"/>
      <x:c r="E1" s="198"/>
      <x:c r="F1" s="198"/>
      <x:c r="G1" s="198"/>
      <x:c r="H1" s="198"/>
      <x:c r="I1" s="198"/>
      <x:c r="J1" s="198"/>
      <x:c r="K1" s="198"/>
      <x:c r="L1" s="125"/>
      <x:c r="M1" s="125"/>
      <x:c r="N1" s="125"/>
      <x:c r="O1" s="125"/>
      <x:c r="P1" s="125"/>
      <x:c r="Q1" s="125"/>
    </x:row>
    <x:row r="2" ht="34" customHeight="1">
      <x:c r="A2" s="126" t="str">
        <x:v>Blue cells are writable. SRC-001 is the standing IREI architecture reference; log each organization's own source files starting at SRC-002.</x:v>
      </x:c>
      <x:c r="B2" s="125"/>
      <x:c r="C2" s="125"/>
      <x:c r="D2" s="125"/>
      <x:c r="E2" s="125"/>
      <x:c r="F2" s="125"/>
      <x:c r="G2" s="125"/>
      <x:c r="H2" s="125"/>
      <x:c r="I2" s="125"/>
      <x:c r="J2" s="125"/>
      <x:c r="K2" s="125"/>
      <x:c r="L2" s="125"/>
      <x:c r="M2" s="125"/>
      <x:c r="N2" s="125"/>
      <x:c r="O2" s="125"/>
      <x:c r="P2" s="125"/>
      <x:c r="Q2" s="125"/>
    </x:row>
    <x:row r="3">
      <x:c r="A3" s="125"/>
      <x:c r="B3" s="125"/>
      <x:c r="C3" s="125"/>
      <x:c r="D3" s="125"/>
      <x:c r="E3" s="125"/>
      <x:c r="F3" s="125"/>
      <x:c r="G3" s="125"/>
      <x:c r="H3" s="125"/>
      <x:c r="I3" s="125"/>
      <x:c r="J3" s="125"/>
      <x:c r="K3" s="125"/>
      <x:c r="L3" s="125"/>
      <x:c r="M3" s="125"/>
      <x:c r="N3" s="125"/>
      <x:c r="O3" s="125"/>
      <x:c r="P3" s="125"/>
      <x:c r="Q3" s="125"/>
    </x:row>
    <x:row r="4" ht="26" customHeight="1">
      <x:c r="A4" s="127" t="str">
        <x:v>Source_ID</x:v>
      </x:c>
      <x:c r="B4" s="127" t="str">
        <x:v>File / Source Name</x:v>
      </x:c>
      <x:c r="C4" s="127" t="str">
        <x:v>Source Type</x:v>
      </x:c>
      <x:c r="D4" s="127" t="str">
        <x:v>Version / Date</x:v>
      </x:c>
      <x:c r="E4" s="127" t="str">
        <x:v>Priority</x:v>
      </x:c>
      <x:c r="F4" s="127" t="str">
        <x:v>Used For</x:v>
      </x:c>
      <x:c r="G4" s="127" t="str">
        <x:v>Review Status</x:v>
      </x:c>
      <x:c r="H4" s="127" t="str">
        <x:v>Owner</x:v>
      </x:c>
      <x:c r="I4" s="127" t="str">
        <x:v>Notes</x:v>
      </x:c>
      <x:c r="J4" s="127" t="str">
        <x:v>Supersedes / Related</x:v>
      </x:c>
      <x:c r="K4" s="125"/>
      <x:c r="L4" s="125"/>
      <x:c r="M4" s="125"/>
      <x:c r="N4" s="125"/>
      <x:c r="O4" s="125"/>
      <x:c r="P4" s="125"/>
      <x:c r="Q4" s="125"/>
    </x:row>
    <x:row r="5">
      <x:c r="A5" s="128" t="str">
        <x:v>SRC-001</x:v>
      </x:c>
      <x:c r="B5" s="128" t="str">
        <x:v>NGO_B_Modeling_2026-07-07 Structural change v12 final(2).xlsx</x:v>
      </x:c>
      <x:c r="C5" s="128" t="str">
        <x:v>IREI prototype workbook</x:v>
      </x:c>
      <x:c r="D5" s="128" t="str">
        <x:v>2026-07-07</x:v>
      </x:c>
      <x:c r="E5" s="128" t="str">
        <x:v>Reference / architecture</x:v>
      </x:c>
      <x:c r="F5" s="128" t="str">
        <x:v>Business logic, property structure, DATA/OUT layer pattern</x:v>
      </x:c>
      <x:c r="G5" s="128" t="str">
        <x:v>Reviewed for MVP extraction</x:v>
      </x:c>
      <x:c r="H5" s="128" t="str">
        <x:v>Kelly / IREI</x:v>
      </x:c>
      <x:c r="I5" s="128" t="str">
        <x:v>Use as source workbook, not as digital build architecture.</x:v>
      </x:c>
      <x:c r="J5" s="128" t="str">
        <x:v>Earlier v12 working model</x:v>
      </x:c>
      <x:c r="K5" s="125"/>
      <x:c r="L5" s="125"/>
      <x:c r="M5" s="125"/>
      <x:c r="N5" s="125"/>
      <x:c r="O5" s="125"/>
      <x:c r="P5" s="125"/>
      <x:c r="Q5" s="125"/>
    </x:row>
    <x:row r="6">
      <x:c r="A6" s="128"/>
      <x:c r="B6" s="128"/>
      <x:c r="C6" s="128"/>
      <x:c r="D6" s="128"/>
      <x:c r="E6" s="128"/>
      <x:c r="F6" s="128"/>
      <x:c r="G6" s="128"/>
      <x:c r="H6" s="128"/>
      <x:c r="I6" s="128"/>
      <x:c r="J6" s="128"/>
      <x:c r="K6" s="125"/>
      <x:c r="L6" s="125"/>
      <x:c r="M6" s="125"/>
      <x:c r="N6" s="125"/>
      <x:c r="O6" s="125"/>
      <x:c r="P6" s="125"/>
      <x:c r="Q6" s="125"/>
    </x:row>
    <x:row r="7">
      <x:c r="A7" s="128"/>
      <x:c r="B7" s="128"/>
      <x:c r="C7" s="128"/>
      <x:c r="D7" s="128"/>
      <x:c r="E7" s="128"/>
      <x:c r="F7" s="128"/>
      <x:c r="G7" s="128"/>
      <x:c r="H7" s="128"/>
      <x:c r="I7" s="128"/>
      <x:c r="J7" s="128"/>
      <x:c r="K7" s="125"/>
      <x:c r="L7" s="125"/>
      <x:c r="M7" s="125"/>
      <x:c r="N7" s="125"/>
      <x:c r="O7" s="125"/>
      <x:c r="P7" s="125"/>
      <x:c r="Q7" s="125"/>
    </x:row>
    <x:row r="8">
      <x:c r="A8" s="128"/>
      <x:c r="B8" s="128"/>
      <x:c r="C8" s="128"/>
      <x:c r="D8" s="128"/>
      <x:c r="E8" s="128"/>
      <x:c r="F8" s="128"/>
      <x:c r="G8" s="128"/>
      <x:c r="H8" s="128"/>
      <x:c r="I8" s="128"/>
      <x:c r="J8" s="128"/>
      <x:c r="K8" s="125"/>
      <x:c r="L8" s="125"/>
      <x:c r="M8" s="125"/>
      <x:c r="N8" s="125"/>
      <x:c r="O8" s="125"/>
      <x:c r="P8" s="125"/>
      <x:c r="Q8" s="125"/>
    </x:row>
    <x:row r="9">
      <x:c r="A9" s="128"/>
      <x:c r="B9" s="128"/>
      <x:c r="C9" s="128"/>
      <x:c r="D9" s="128"/>
      <x:c r="E9" s="128"/>
      <x:c r="F9" s="128"/>
      <x:c r="G9" s="128"/>
      <x:c r="H9" s="128"/>
      <x:c r="I9" s="128"/>
      <x:c r="J9" s="128"/>
      <x:c r="K9" s="125"/>
      <x:c r="L9" s="125"/>
      <x:c r="M9" s="125"/>
      <x:c r="N9" s="125"/>
      <x:c r="O9" s="125"/>
      <x:c r="P9" s="125"/>
      <x:c r="Q9" s="125"/>
    </x:row>
    <x:row r="10">
      <x:c r="A10" s="125"/>
      <x:c r="B10" s="125"/>
      <x:c r="C10" s="125"/>
      <x:c r="D10" s="125"/>
      <x:c r="E10" s="125"/>
      <x:c r="F10" s="125"/>
      <x:c r="G10" s="125"/>
      <x:c r="H10" s="125"/>
      <x:c r="I10" s="125"/>
      <x:c r="J10" s="125"/>
      <x:c r="K10" s="125"/>
      <x:c r="L10" s="125"/>
      <x:c r="M10" s="125"/>
      <x:c r="N10" s="125"/>
      <x:c r="O10" s="125"/>
      <x:c r="P10" s="125"/>
      <x:c r="Q10" s="125"/>
    </x:row>
    <x:row r="11">
      <x:c r="A11" s="125"/>
      <x:c r="B11" s="125"/>
      <x:c r="C11" s="125"/>
      <x:c r="D11" s="125"/>
      <x:c r="E11" s="125"/>
      <x:c r="F11" s="125"/>
      <x:c r="G11" s="125"/>
      <x:c r="H11" s="125"/>
      <x:c r="I11" s="125"/>
      <x:c r="J11" s="125"/>
      <x:c r="K11" s="125"/>
      <x:c r="L11" s="125"/>
      <x:c r="M11" s="125"/>
      <x:c r="N11" s="125"/>
      <x:c r="O11" s="125"/>
      <x:c r="P11" s="125"/>
      <x:c r="Q11" s="125"/>
    </x:row>
    <x:row r="12">
      <x:c r="A12" s="125"/>
      <x:c r="B12" s="125"/>
      <x:c r="C12" s="125"/>
      <x:c r="D12" s="125"/>
      <x:c r="E12" s="125"/>
      <x:c r="F12" s="125"/>
      <x:c r="G12" s="125"/>
      <x:c r="H12" s="125"/>
      <x:c r="I12" s="125"/>
      <x:c r="J12" s="125"/>
      <x:c r="K12" s="125"/>
      <x:c r="L12" s="125"/>
      <x:c r="M12" s="125"/>
      <x:c r="N12" s="125"/>
      <x:c r="O12" s="125"/>
      <x:c r="P12" s="125"/>
      <x:c r="Q12" s="125"/>
    </x:row>
    <x:row r="13">
      <x:c r="A13" s="125"/>
      <x:c r="B13" s="125"/>
      <x:c r="C13" s="125"/>
      <x:c r="D13" s="125"/>
      <x:c r="E13" s="125"/>
      <x:c r="F13" s="125"/>
      <x:c r="G13" s="125"/>
      <x:c r="H13" s="125"/>
      <x:c r="I13" s="125"/>
      <x:c r="J13" s="125"/>
      <x:c r="K13" s="125"/>
      <x:c r="L13" s="125"/>
      <x:c r="M13" s="125"/>
      <x:c r="N13" s="125"/>
      <x:c r="O13" s="125"/>
      <x:c r="P13" s="125"/>
      <x:c r="Q13" s="125"/>
    </x:row>
    <x:row r="14">
      <x:c r="A14" s="125"/>
      <x:c r="B14" s="125"/>
      <x:c r="C14" s="125"/>
      <x:c r="D14" s="125"/>
      <x:c r="E14" s="125"/>
      <x:c r="F14" s="125"/>
      <x:c r="G14" s="125"/>
      <x:c r="H14" s="125"/>
      <x:c r="I14" s="125"/>
      <x:c r="J14" s="125"/>
      <x:c r="K14" s="125"/>
      <x:c r="L14" s="125"/>
      <x:c r="M14" s="125"/>
      <x:c r="N14" s="125"/>
      <x:c r="O14" s="125"/>
      <x:c r="P14" s="125"/>
      <x:c r="Q14" s="125"/>
    </x:row>
    <x:row r="15">
      <x:c r="A15" s="125"/>
      <x:c r="B15" s="125"/>
      <x:c r="C15" s="125"/>
      <x:c r="D15" s="125"/>
      <x:c r="E15" s="125"/>
      <x:c r="F15" s="125"/>
      <x:c r="G15" s="125"/>
      <x:c r="H15" s="125"/>
      <x:c r="I15" s="125"/>
      <x:c r="J15" s="125"/>
      <x:c r="K15" s="125"/>
      <x:c r="L15" s="125"/>
      <x:c r="M15" s="125"/>
      <x:c r="N15" s="125"/>
      <x:c r="O15" s="125"/>
      <x:c r="P15" s="125"/>
      <x:c r="Q15" s="125"/>
    </x:row>
    <x:row r="16">
      <x:c r="A16" s="125"/>
      <x:c r="B16" s="125"/>
      <x:c r="C16" s="125"/>
      <x:c r="D16" s="125"/>
      <x:c r="E16" s="125"/>
      <x:c r="F16" s="125"/>
      <x:c r="G16" s="125"/>
      <x:c r="H16" s="125"/>
      <x:c r="I16" s="125"/>
      <x:c r="J16" s="125"/>
      <x:c r="K16" s="125"/>
      <x:c r="L16" s="125"/>
      <x:c r="M16" s="125"/>
      <x:c r="N16" s="125"/>
      <x:c r="O16" s="125"/>
      <x:c r="P16" s="125"/>
      <x:c r="Q16" s="125"/>
    </x:row>
    <x:row r="17">
      <x:c r="A17" s="125"/>
      <x:c r="B17" s="125"/>
      <x:c r="C17" s="125"/>
      <x:c r="D17" s="125"/>
      <x:c r="E17" s="125"/>
      <x:c r="F17" s="125"/>
      <x:c r="G17" s="125"/>
      <x:c r="H17" s="125"/>
      <x:c r="I17" s="125"/>
      <x:c r="J17" s="125"/>
      <x:c r="K17" s="125"/>
      <x:c r="L17" s="125"/>
      <x:c r="M17" s="125"/>
      <x:c r="N17" s="125"/>
      <x:c r="O17" s="125"/>
      <x:c r="P17" s="125"/>
      <x:c r="Q17" s="125"/>
    </x:row>
    <x:row r="18">
      <x:c r="A18" s="125"/>
      <x:c r="B18" s="125"/>
      <x:c r="C18" s="125"/>
      <x:c r="D18" s="125"/>
      <x:c r="E18" s="125"/>
      <x:c r="F18" s="125"/>
      <x:c r="G18" s="125"/>
      <x:c r="H18" s="125"/>
      <x:c r="I18" s="125"/>
      <x:c r="J18" s="125"/>
      <x:c r="K18" s="125"/>
      <x:c r="L18" s="125"/>
      <x:c r="M18" s="125"/>
      <x:c r="N18" s="125"/>
      <x:c r="O18" s="125"/>
      <x:c r="P18" s="125"/>
      <x:c r="Q18" s="125"/>
    </x:row>
    <x:row r="19">
      <x:c r="A19" s="125"/>
      <x:c r="B19" s="125"/>
      <x:c r="C19" s="125"/>
      <x:c r="D19" s="125"/>
      <x:c r="E19" s="125"/>
      <x:c r="F19" s="125"/>
      <x:c r="G19" s="125"/>
      <x:c r="H19" s="125"/>
      <x:c r="I19" s="125"/>
      <x:c r="J19" s="125"/>
      <x:c r="K19" s="125"/>
      <x:c r="L19" s="125"/>
      <x:c r="M19" s="125"/>
      <x:c r="N19" s="125"/>
      <x:c r="O19" s="125"/>
      <x:c r="P19" s="125"/>
      <x:c r="Q19" s="125"/>
    </x:row>
    <x:row r="20">
      <x:c r="A20" s="125"/>
      <x:c r="B20" s="125"/>
      <x:c r="C20" s="125"/>
      <x:c r="D20" s="125"/>
      <x:c r="E20" s="125"/>
      <x:c r="F20" s="125"/>
      <x:c r="G20" s="125"/>
      <x:c r="H20" s="125"/>
      <x:c r="I20" s="125"/>
      <x:c r="J20" s="125"/>
      <x:c r="K20" s="125"/>
      <x:c r="L20" s="125"/>
      <x:c r="M20" s="125"/>
      <x:c r="N20" s="125"/>
      <x:c r="O20" s="125"/>
      <x:c r="P20" s="125"/>
      <x:c r="Q20" s="125"/>
    </x:row>
    <x:row r="21">
      <x:c r="A21" s="125"/>
      <x:c r="B21" s="125"/>
      <x:c r="C21" s="125"/>
      <x:c r="D21" s="125"/>
      <x:c r="E21" s="125"/>
      <x:c r="F21" s="125"/>
      <x:c r="G21" s="125"/>
      <x:c r="H21" s="125"/>
      <x:c r="I21" s="125"/>
      <x:c r="J21" s="125"/>
      <x:c r="K21" s="125"/>
      <x:c r="L21" s="125"/>
      <x:c r="M21" s="125"/>
      <x:c r="N21" s="125"/>
      <x:c r="O21" s="125"/>
      <x:c r="P21" s="125"/>
      <x:c r="Q21" s="125"/>
    </x:row>
    <x:row r="22">
      <x:c r="A22" s="125"/>
      <x:c r="B22" s="125"/>
      <x:c r="C22" s="125"/>
      <x:c r="D22" s="125"/>
      <x:c r="E22" s="125"/>
      <x:c r="F22" s="125"/>
      <x:c r="G22" s="125"/>
      <x:c r="H22" s="125"/>
      <x:c r="I22" s="125"/>
      <x:c r="J22" s="125"/>
      <x:c r="K22" s="125"/>
      <x:c r="L22" s="125"/>
      <x:c r="M22" s="125"/>
      <x:c r="N22" s="125"/>
      <x:c r="O22" s="125"/>
      <x:c r="P22" s="125"/>
      <x:c r="Q22" s="125"/>
    </x:row>
    <x:row r="23">
      <x:c r="A23" s="125"/>
      <x:c r="B23" s="125"/>
      <x:c r="C23" s="125"/>
      <x:c r="D23" s="125"/>
      <x:c r="E23" s="125"/>
      <x:c r="F23" s="125"/>
      <x:c r="G23" s="125"/>
      <x:c r="H23" s="125"/>
      <x:c r="I23" s="125"/>
      <x:c r="J23" s="125"/>
      <x:c r="K23" s="125"/>
      <x:c r="L23" s="125"/>
      <x:c r="M23" s="125"/>
      <x:c r="N23" s="125"/>
      <x:c r="O23" s="125"/>
      <x:c r="P23" s="125"/>
      <x:c r="Q23" s="125"/>
    </x:row>
    <x:row r="24">
      <x:c r="A24" s="125"/>
      <x:c r="B24" s="125"/>
      <x:c r="C24" s="125"/>
      <x:c r="D24" s="125"/>
      <x:c r="E24" s="125"/>
      <x:c r="F24" s="125"/>
      <x:c r="G24" s="125"/>
      <x:c r="H24" s="125"/>
      <x:c r="I24" s="125"/>
      <x:c r="J24" s="125"/>
      <x:c r="K24" s="125"/>
      <x:c r="L24" s="125"/>
      <x:c r="M24" s="125"/>
      <x:c r="N24" s="125"/>
      <x:c r="O24" s="125"/>
      <x:c r="P24" s="125"/>
      <x:c r="Q24" s="125"/>
    </x:row>
    <x:row r="25">
      <x:c r="A25" s="125"/>
      <x:c r="B25" s="125"/>
      <x:c r="C25" s="125"/>
      <x:c r="D25" s="125"/>
      <x:c r="E25" s="125"/>
      <x:c r="F25" s="125"/>
      <x:c r="G25" s="125"/>
      <x:c r="H25" s="125"/>
      <x:c r="I25" s="125"/>
      <x:c r="J25" s="125"/>
      <x:c r="K25" s="125"/>
      <x:c r="L25" s="125"/>
      <x:c r="M25" s="125"/>
      <x:c r="N25" s="125"/>
      <x:c r="O25" s="125"/>
      <x:c r="P25" s="125"/>
      <x:c r="Q25" s="125"/>
    </x:row>
    <x:row r="26">
      <x:c r="A26" s="125"/>
      <x:c r="B26" s="125"/>
      <x:c r="C26" s="125"/>
      <x:c r="D26" s="125"/>
      <x:c r="E26" s="125"/>
      <x:c r="F26" s="125"/>
      <x:c r="G26" s="125"/>
      <x:c r="H26" s="125"/>
      <x:c r="I26" s="125"/>
      <x:c r="J26" s="125"/>
      <x:c r="K26" s="125"/>
      <x:c r="L26" s="125"/>
      <x:c r="M26" s="125"/>
      <x:c r="N26" s="125"/>
      <x:c r="O26" s="125"/>
      <x:c r="P26" s="125"/>
      <x:c r="Q26" s="125"/>
    </x:row>
    <x:row r="27">
      <x:c r="A27" s="125"/>
      <x:c r="B27" s="125"/>
      <x:c r="C27" s="125"/>
      <x:c r="D27" s="125"/>
      <x:c r="E27" s="125"/>
      <x:c r="F27" s="125"/>
      <x:c r="G27" s="125"/>
      <x:c r="H27" s="125"/>
      <x:c r="I27" s="125"/>
      <x:c r="J27" s="125"/>
      <x:c r="K27" s="125"/>
      <x:c r="L27" s="125"/>
      <x:c r="M27" s="125"/>
      <x:c r="N27" s="125"/>
      <x:c r="O27" s="125"/>
      <x:c r="P27" s="125"/>
      <x:c r="Q27" s="125"/>
    </x:row>
    <x:row r="28">
      <x:c r="A28" s="125"/>
      <x:c r="B28" s="125"/>
      <x:c r="C28" s="125"/>
      <x:c r="D28" s="125"/>
      <x:c r="E28" s="125"/>
      <x:c r="F28" s="125"/>
      <x:c r="G28" s="125"/>
      <x:c r="H28" s="125"/>
      <x:c r="I28" s="125"/>
      <x:c r="J28" s="125"/>
      <x:c r="K28" s="125"/>
      <x:c r="L28" s="125"/>
      <x:c r="M28" s="125"/>
      <x:c r="N28" s="125"/>
      <x:c r="O28" s="125"/>
      <x:c r="P28" s="125"/>
      <x:c r="Q28" s="125"/>
    </x:row>
    <x:row r="29">
      <x:c r="A29" s="125"/>
      <x:c r="B29" s="125"/>
      <x:c r="C29" s="125"/>
      <x:c r="D29" s="125"/>
      <x:c r="E29" s="125"/>
      <x:c r="F29" s="125"/>
      <x:c r="G29" s="125"/>
      <x:c r="H29" s="125"/>
      <x:c r="I29" s="125"/>
      <x:c r="J29" s="125"/>
      <x:c r="K29" s="125"/>
      <x:c r="L29" s="125"/>
      <x:c r="M29" s="125"/>
      <x:c r="N29" s="125"/>
      <x:c r="O29" s="125"/>
      <x:c r="P29" s="125"/>
      <x:c r="Q29" s="125"/>
    </x:row>
    <x:row r="30">
      <x:c r="A30" s="125"/>
      <x:c r="B30" s="125"/>
      <x:c r="C30" s="125"/>
      <x:c r="D30" s="125"/>
      <x:c r="E30" s="125"/>
      <x:c r="F30" s="125"/>
      <x:c r="G30" s="125"/>
      <x:c r="H30" s="125"/>
      <x:c r="I30" s="125"/>
      <x:c r="J30" s="125"/>
      <x:c r="K30" s="125"/>
      <x:c r="L30" s="125"/>
      <x:c r="M30" s="125"/>
      <x:c r="N30" s="125"/>
      <x:c r="O30" s="125"/>
      <x:c r="P30" s="125"/>
      <x:c r="Q30" s="125"/>
    </x:row>
    <x:row r="31">
      <x:c r="A31" s="125"/>
      <x:c r="B31" s="125"/>
      <x:c r="C31" s="125"/>
      <x:c r="D31" s="125"/>
      <x:c r="E31" s="125"/>
      <x:c r="F31" s="125"/>
      <x:c r="G31" s="125"/>
      <x:c r="H31" s="125"/>
      <x:c r="I31" s="125"/>
      <x:c r="J31" s="125"/>
      <x:c r="K31" s="125"/>
      <x:c r="L31" s="125"/>
      <x:c r="M31" s="125"/>
      <x:c r="N31" s="125"/>
      <x:c r="O31" s="125"/>
      <x:c r="P31" s="125"/>
      <x:c r="Q31" s="125"/>
    </x:row>
    <x:row r="32">
      <x:c r="A32" s="125"/>
      <x:c r="B32" s="125"/>
      <x:c r="C32" s="125"/>
      <x:c r="D32" s="125"/>
      <x:c r="E32" s="125"/>
      <x:c r="F32" s="125"/>
      <x:c r="G32" s="125"/>
      <x:c r="H32" s="125"/>
      <x:c r="I32" s="125"/>
      <x:c r="J32" s="125"/>
      <x:c r="K32" s="125"/>
      <x:c r="L32" s="125"/>
      <x:c r="M32" s="125"/>
      <x:c r="N32" s="125"/>
      <x:c r="O32" s="125"/>
      <x:c r="P32" s="125"/>
      <x:c r="Q32" s="125"/>
    </x:row>
    <x:row r="33">
      <x:c r="A33" s="125"/>
      <x:c r="B33" s="125"/>
      <x:c r="C33" s="125"/>
      <x:c r="D33" s="125"/>
      <x:c r="E33" s="125"/>
      <x:c r="F33" s="125"/>
      <x:c r="G33" s="125"/>
      <x:c r="H33" s="125"/>
      <x:c r="I33" s="125"/>
      <x:c r="J33" s="125"/>
      <x:c r="K33" s="125"/>
      <x:c r="L33" s="125"/>
      <x:c r="M33" s="125"/>
      <x:c r="N33" s="125"/>
      <x:c r="O33" s="125"/>
      <x:c r="P33" s="125"/>
      <x:c r="Q33" s="125"/>
    </x:row>
    <x:row r="34">
      <x:c r="A34" s="125"/>
      <x:c r="B34" s="125"/>
      <x:c r="C34" s="125"/>
      <x:c r="D34" s="125"/>
      <x:c r="E34" s="125"/>
      <x:c r="F34" s="125"/>
      <x:c r="G34" s="125"/>
      <x:c r="H34" s="125"/>
      <x:c r="I34" s="125"/>
      <x:c r="J34" s="125"/>
      <x:c r="K34" s="125"/>
      <x:c r="L34" s="125"/>
      <x:c r="M34" s="125"/>
      <x:c r="N34" s="125"/>
      <x:c r="O34" s="125"/>
      <x:c r="P34" s="125"/>
      <x:c r="Q34" s="125"/>
    </x:row>
    <x:row r="35">
      <x:c r="A35" s="125"/>
      <x:c r="B35" s="125"/>
      <x:c r="C35" s="125"/>
      <x:c r="D35" s="125"/>
      <x:c r="E35" s="125"/>
      <x:c r="F35" s="125"/>
      <x:c r="G35" s="125"/>
      <x:c r="H35" s="125"/>
      <x:c r="I35" s="125"/>
      <x:c r="J35" s="125"/>
      <x:c r="K35" s="125"/>
      <x:c r="L35" s="125"/>
      <x:c r="M35" s="125"/>
      <x:c r="N35" s="125"/>
      <x:c r="O35" s="125"/>
      <x:c r="P35" s="125"/>
      <x:c r="Q35" s="125"/>
    </x:row>
    <x:row r="36">
      <x:c r="A36" s="125"/>
      <x:c r="B36" s="125"/>
      <x:c r="C36" s="125"/>
      <x:c r="D36" s="125"/>
      <x:c r="E36" s="125"/>
      <x:c r="F36" s="125"/>
      <x:c r="G36" s="125"/>
      <x:c r="H36" s="125"/>
      <x:c r="I36" s="125"/>
      <x:c r="J36" s="125"/>
      <x:c r="K36" s="125"/>
      <x:c r="L36" s="125"/>
      <x:c r="M36" s="125"/>
      <x:c r="N36" s="125"/>
      <x:c r="O36" s="125"/>
      <x:c r="P36" s="125"/>
      <x:c r="Q36" s="125"/>
    </x:row>
    <x:row r="37">
      <x:c r="A37" s="125"/>
      <x:c r="B37" s="125"/>
      <x:c r="C37" s="125"/>
      <x:c r="D37" s="125"/>
      <x:c r="E37" s="125"/>
      <x:c r="F37" s="125"/>
      <x:c r="G37" s="125"/>
      <x:c r="H37" s="125"/>
      <x:c r="I37" s="125"/>
      <x:c r="J37" s="125"/>
      <x:c r="K37" s="125"/>
      <x:c r="L37" s="125"/>
      <x:c r="M37" s="125"/>
      <x:c r="N37" s="125"/>
      <x:c r="O37" s="125"/>
      <x:c r="P37" s="125"/>
      <x:c r="Q37" s="125"/>
    </x:row>
    <x:row r="38">
      <x:c r="A38" s="125"/>
      <x:c r="B38" s="125"/>
      <x:c r="C38" s="125"/>
      <x:c r="D38" s="125"/>
      <x:c r="E38" s="125"/>
      <x:c r="F38" s="125"/>
      <x:c r="G38" s="125"/>
      <x:c r="H38" s="125"/>
      <x:c r="I38" s="125"/>
      <x:c r="J38" s="125"/>
      <x:c r="K38" s="125"/>
      <x:c r="L38" s="125"/>
      <x:c r="M38" s="125"/>
      <x:c r="N38" s="125"/>
      <x:c r="O38" s="125"/>
      <x:c r="P38" s="125"/>
      <x:c r="Q38" s="125"/>
    </x:row>
    <x:row r="39">
      <x:c r="A39" s="125"/>
      <x:c r="B39" s="125"/>
      <x:c r="C39" s="125"/>
      <x:c r="D39" s="125"/>
      <x:c r="E39" s="125"/>
      <x:c r="F39" s="125"/>
      <x:c r="G39" s="125"/>
      <x:c r="H39" s="125"/>
      <x:c r="I39" s="125"/>
      <x:c r="J39" s="125"/>
      <x:c r="K39" s="125"/>
      <x:c r="L39" s="125"/>
      <x:c r="M39" s="125"/>
      <x:c r="N39" s="125"/>
      <x:c r="O39" s="125"/>
      <x:c r="P39" s="125"/>
      <x:c r="Q39" s="125"/>
    </x:row>
    <x:row r="40">
      <x:c r="A40" s="125"/>
      <x:c r="B40" s="125"/>
      <x:c r="C40" s="125"/>
      <x:c r="D40" s="125"/>
      <x:c r="E40" s="125"/>
      <x:c r="F40" s="125"/>
      <x:c r="G40" s="125"/>
      <x:c r="H40" s="125"/>
      <x:c r="I40" s="125"/>
      <x:c r="J40" s="125"/>
      <x:c r="K40" s="125"/>
      <x:c r="L40" s="125"/>
      <x:c r="M40" s="125"/>
      <x:c r="N40" s="125"/>
      <x:c r="O40" s="125"/>
      <x:c r="P40" s="125"/>
      <x:c r="Q40" s="125"/>
    </x:row>
    <x:row r="41">
      <x:c r="A41" s="125"/>
      <x:c r="B41" s="125"/>
      <x:c r="C41" s="125"/>
      <x:c r="D41" s="125"/>
      <x:c r="E41" s="125"/>
      <x:c r="F41" s="125"/>
      <x:c r="G41" s="125"/>
      <x:c r="H41" s="125"/>
      <x:c r="I41" s="125"/>
      <x:c r="J41" s="125"/>
      <x:c r="K41" s="125"/>
      <x:c r="L41" s="125"/>
      <x:c r="M41" s="125"/>
      <x:c r="N41" s="125"/>
      <x:c r="O41" s="125"/>
      <x:c r="P41" s="125"/>
      <x:c r="Q41" s="125"/>
    </x:row>
    <x:row r="42">
      <x:c r="A42" s="125"/>
      <x:c r="B42" s="125"/>
      <x:c r="C42" s="125"/>
      <x:c r="D42" s="125"/>
      <x:c r="E42" s="125"/>
      <x:c r="F42" s="125"/>
      <x:c r="G42" s="125"/>
      <x:c r="H42" s="125"/>
      <x:c r="I42" s="125"/>
      <x:c r="J42" s="125"/>
      <x:c r="K42" s="125"/>
      <x:c r="L42" s="125"/>
      <x:c r="M42" s="125"/>
      <x:c r="N42" s="125"/>
      <x:c r="O42" s="125"/>
      <x:c r="P42" s="125"/>
      <x:c r="Q42" s="125"/>
    </x:row>
    <x:row r="43">
      <x:c r="A43" s="125"/>
      <x:c r="B43" s="125"/>
      <x:c r="C43" s="125"/>
      <x:c r="D43" s="125"/>
      <x:c r="E43" s="125"/>
      <x:c r="F43" s="125"/>
      <x:c r="G43" s="125"/>
      <x:c r="H43" s="125"/>
      <x:c r="I43" s="125"/>
      <x:c r="J43" s="125"/>
      <x:c r="K43" s="125"/>
      <x:c r="L43" s="125"/>
      <x:c r="M43" s="125"/>
      <x:c r="N43" s="125"/>
      <x:c r="O43" s="125"/>
      <x:c r="P43" s="125"/>
      <x:c r="Q43" s="125"/>
    </x:row>
    <x:row r="44">
      <x:c r="A44" s="125"/>
      <x:c r="B44" s="125"/>
      <x:c r="C44" s="125"/>
      <x:c r="D44" s="125"/>
      <x:c r="E44" s="125"/>
      <x:c r="F44" s="125"/>
      <x:c r="G44" s="125"/>
      <x:c r="H44" s="125"/>
      <x:c r="I44" s="125"/>
      <x:c r="J44" s="125"/>
      <x:c r="K44" s="125"/>
      <x:c r="L44" s="125"/>
      <x:c r="M44" s="125"/>
      <x:c r="N44" s="125"/>
      <x:c r="O44" s="125"/>
      <x:c r="P44" s="125"/>
      <x:c r="Q44" s="125"/>
    </x:row>
    <x:row r="45">
      <x:c r="A45" s="125"/>
      <x:c r="B45" s="125"/>
      <x:c r="C45" s="125"/>
      <x:c r="D45" s="125"/>
      <x:c r="E45" s="125"/>
      <x:c r="F45" s="125"/>
      <x:c r="G45" s="125"/>
      <x:c r="H45" s="125"/>
      <x:c r="I45" s="125"/>
      <x:c r="J45" s="125"/>
      <x:c r="K45" s="125"/>
      <x:c r="L45" s="125"/>
      <x:c r="M45" s="125"/>
      <x:c r="N45" s="125"/>
      <x:c r="O45" s="125"/>
      <x:c r="P45" s="125"/>
      <x:c r="Q45" s="125"/>
    </x:row>
    <x:row r="46">
      <x:c r="A46" s="125"/>
      <x:c r="B46" s="125"/>
      <x:c r="C46" s="125"/>
      <x:c r="D46" s="125"/>
      <x:c r="E46" s="125"/>
      <x:c r="F46" s="125"/>
      <x:c r="G46" s="125"/>
      <x:c r="H46" s="125"/>
      <x:c r="I46" s="125"/>
      <x:c r="J46" s="125"/>
      <x:c r="K46" s="125"/>
      <x:c r="L46" s="125"/>
      <x:c r="M46" s="125"/>
      <x:c r="N46" s="125"/>
      <x:c r="O46" s="125"/>
      <x:c r="P46" s="125"/>
      <x:c r="Q46" s="125"/>
    </x:row>
    <x:row r="47">
      <x:c r="A47" s="125"/>
      <x:c r="B47" s="125"/>
      <x:c r="C47" s="125"/>
      <x:c r="D47" s="125"/>
      <x:c r="E47" s="125"/>
      <x:c r="F47" s="125"/>
      <x:c r="G47" s="125"/>
      <x:c r="H47" s="125"/>
      <x:c r="I47" s="125"/>
      <x:c r="J47" s="125"/>
      <x:c r="K47" s="125"/>
      <x:c r="L47" s="125"/>
      <x:c r="M47" s="125"/>
      <x:c r="N47" s="125"/>
      <x:c r="O47" s="125"/>
      <x:c r="P47" s="125"/>
      <x:c r="Q47" s="125"/>
    </x:row>
    <x:row r="48">
      <x:c r="A48" s="125"/>
      <x:c r="B48" s="125"/>
      <x:c r="C48" s="125"/>
      <x:c r="D48" s="125"/>
      <x:c r="E48" s="125"/>
      <x:c r="F48" s="125"/>
      <x:c r="G48" s="125"/>
      <x:c r="H48" s="125"/>
      <x:c r="I48" s="125"/>
      <x:c r="J48" s="125"/>
      <x:c r="K48" s="125"/>
      <x:c r="L48" s="125"/>
      <x:c r="M48" s="125"/>
      <x:c r="N48" s="125"/>
      <x:c r="O48" s="125"/>
      <x:c r="P48" s="125"/>
      <x:c r="Q48" s="125"/>
    </x:row>
    <x:row r="49">
      <x:c r="A49" s="125"/>
      <x:c r="B49" s="125"/>
      <x:c r="C49" s="125"/>
      <x:c r="D49" s="125"/>
      <x:c r="E49" s="125"/>
      <x:c r="F49" s="125"/>
      <x:c r="G49" s="125"/>
      <x:c r="H49" s="125"/>
      <x:c r="I49" s="125"/>
      <x:c r="J49" s="125"/>
      <x:c r="K49" s="125"/>
      <x:c r="L49" s="125"/>
      <x:c r="M49" s="125"/>
      <x:c r="N49" s="125"/>
      <x:c r="O49" s="125"/>
      <x:c r="P49" s="125"/>
      <x:c r="Q49" s="125"/>
    </x:row>
    <x:row r="50">
      <x:c r="A50" s="125"/>
      <x:c r="B50" s="125"/>
      <x:c r="C50" s="125"/>
      <x:c r="D50" s="125"/>
      <x:c r="E50" s="125"/>
      <x:c r="F50" s="125"/>
      <x:c r="G50" s="125"/>
      <x:c r="H50" s="125"/>
      <x:c r="I50" s="125"/>
      <x:c r="J50" s="125"/>
      <x:c r="K50" s="125"/>
      <x:c r="L50" s="125"/>
      <x:c r="M50" s="125"/>
      <x:c r="N50" s="125"/>
      <x:c r="O50" s="125"/>
      <x:c r="P50" s="125"/>
      <x:c r="Q50" s="125"/>
    </x:row>
    <x:row r="51">
      <x:c r="A51" s="125"/>
      <x:c r="B51" s="125"/>
      <x:c r="C51" s="125"/>
      <x:c r="D51" s="125"/>
      <x:c r="E51" s="125"/>
      <x:c r="F51" s="125"/>
      <x:c r="G51" s="125"/>
      <x:c r="H51" s="125"/>
      <x:c r="I51" s="125"/>
      <x:c r="J51" s="125"/>
      <x:c r="K51" s="125"/>
      <x:c r="L51" s="125"/>
      <x:c r="M51" s="125"/>
      <x:c r="N51" s="125"/>
      <x:c r="O51" s="125"/>
      <x:c r="P51" s="125"/>
      <x:c r="Q51" s="125"/>
    </x:row>
    <x:row r="52">
      <x:c r="A52" s="125"/>
      <x:c r="B52" s="125"/>
      <x:c r="C52" s="125"/>
      <x:c r="D52" s="125"/>
      <x:c r="E52" s="125"/>
      <x:c r="F52" s="125"/>
      <x:c r="G52" s="125"/>
      <x:c r="H52" s="125"/>
      <x:c r="I52" s="125"/>
      <x:c r="J52" s="125"/>
      <x:c r="K52" s="125"/>
      <x:c r="L52" s="125"/>
      <x:c r="M52" s="125"/>
      <x:c r="N52" s="125"/>
      <x:c r="O52" s="125"/>
      <x:c r="P52" s="125"/>
      <x:c r="Q52" s="125"/>
    </x:row>
    <x:row r="53">
      <x:c r="A53" s="125"/>
      <x:c r="B53" s="125"/>
      <x:c r="C53" s="125"/>
      <x:c r="D53" s="125"/>
      <x:c r="E53" s="125"/>
      <x:c r="F53" s="125"/>
      <x:c r="G53" s="125"/>
      <x:c r="H53" s="125"/>
      <x:c r="I53" s="125"/>
      <x:c r="J53" s="125"/>
      <x:c r="K53" s="125"/>
      <x:c r="L53" s="125"/>
      <x:c r="M53" s="125"/>
      <x:c r="N53" s="125"/>
      <x:c r="O53" s="125"/>
      <x:c r="P53" s="125"/>
      <x:c r="Q53" s="125"/>
    </x:row>
    <x:row r="54">
      <x:c r="A54" s="125"/>
      <x:c r="B54" s="125"/>
      <x:c r="C54" s="125"/>
      <x:c r="D54" s="125"/>
      <x:c r="E54" s="125"/>
      <x:c r="F54" s="125"/>
      <x:c r="G54" s="125"/>
      <x:c r="H54" s="125"/>
      <x:c r="I54" s="125"/>
      <x:c r="J54" s="125"/>
      <x:c r="K54" s="125"/>
      <x:c r="L54" s="125"/>
      <x:c r="M54" s="125"/>
      <x:c r="N54" s="125"/>
      <x:c r="O54" s="125"/>
      <x:c r="P54" s="125"/>
      <x:c r="Q54" s="125"/>
    </x:row>
    <x:row r="55">
      <x:c r="A55" s="125"/>
      <x:c r="B55" s="125"/>
      <x:c r="C55" s="125"/>
      <x:c r="D55" s="125"/>
      <x:c r="E55" s="125"/>
      <x:c r="F55" s="125"/>
      <x:c r="G55" s="125"/>
      <x:c r="H55" s="125"/>
      <x:c r="I55" s="125"/>
      <x:c r="J55" s="125"/>
      <x:c r="K55" s="125"/>
      <x:c r="L55" s="125"/>
      <x:c r="M55" s="125"/>
      <x:c r="N55" s="125"/>
      <x:c r="O55" s="125"/>
      <x:c r="P55" s="125"/>
      <x:c r="Q55" s="125"/>
    </x:row>
    <x:row r="56">
      <x:c r="A56" s="125"/>
      <x:c r="B56" s="125"/>
      <x:c r="C56" s="125"/>
      <x:c r="D56" s="125"/>
      <x:c r="E56" s="125"/>
      <x:c r="F56" s="125"/>
      <x:c r="G56" s="125"/>
      <x:c r="H56" s="125"/>
      <x:c r="I56" s="125"/>
      <x:c r="J56" s="125"/>
      <x:c r="K56" s="125"/>
      <x:c r="L56" s="125"/>
      <x:c r="M56" s="125"/>
      <x:c r="N56" s="125"/>
      <x:c r="O56" s="125"/>
      <x:c r="P56" s="125"/>
      <x:c r="Q56" s="125"/>
    </x:row>
    <x:row r="57">
      <x:c r="A57" s="125"/>
      <x:c r="B57" s="125"/>
      <x:c r="C57" s="125"/>
      <x:c r="D57" s="125"/>
      <x:c r="E57" s="125"/>
      <x:c r="F57" s="125"/>
      <x:c r="G57" s="125"/>
      <x:c r="H57" s="125"/>
      <x:c r="I57" s="125"/>
      <x:c r="J57" s="125"/>
      <x:c r="K57" s="125"/>
      <x:c r="L57" s="125"/>
      <x:c r="M57" s="125"/>
      <x:c r="N57" s="125"/>
      <x:c r="O57" s="125"/>
      <x:c r="P57" s="125"/>
      <x:c r="Q57" s="125"/>
    </x:row>
    <x:row r="58">
      <x:c r="A58" s="125"/>
      <x:c r="B58" s="125"/>
      <x:c r="C58" s="125"/>
      <x:c r="D58" s="125"/>
      <x:c r="E58" s="125"/>
      <x:c r="F58" s="125"/>
      <x:c r="G58" s="125"/>
      <x:c r="H58" s="125"/>
      <x:c r="I58" s="125"/>
      <x:c r="J58" s="125"/>
      <x:c r="K58" s="125"/>
      <x:c r="L58" s="125"/>
      <x:c r="M58" s="125"/>
      <x:c r="N58" s="125"/>
      <x:c r="O58" s="125"/>
      <x:c r="P58" s="125"/>
      <x:c r="Q58" s="125"/>
    </x:row>
    <x:row r="59">
      <x:c r="A59" s="125"/>
      <x:c r="B59" s="125"/>
      <x:c r="C59" s="125"/>
      <x:c r="D59" s="125"/>
      <x:c r="E59" s="125"/>
      <x:c r="F59" s="125"/>
      <x:c r="G59" s="125"/>
      <x:c r="H59" s="125"/>
      <x:c r="I59" s="125"/>
      <x:c r="J59" s="125"/>
      <x:c r="K59" s="125"/>
      <x:c r="L59" s="125"/>
      <x:c r="M59" s="125"/>
      <x:c r="N59" s="125"/>
      <x:c r="O59" s="125"/>
      <x:c r="P59" s="125"/>
      <x:c r="Q59" s="125"/>
    </x:row>
    <x:row r="60">
      <x:c r="A60" s="125"/>
      <x:c r="B60" s="125"/>
      <x:c r="C60" s="125"/>
      <x:c r="D60" s="125"/>
      <x:c r="E60" s="125"/>
      <x:c r="F60" s="125"/>
      <x:c r="G60" s="125"/>
      <x:c r="H60" s="125"/>
      <x:c r="I60" s="125"/>
      <x:c r="J60" s="125"/>
      <x:c r="K60" s="125"/>
      <x:c r="L60" s="125"/>
      <x:c r="M60" s="125"/>
      <x:c r="N60" s="125"/>
      <x:c r="O60" s="125"/>
      <x:c r="P60" s="125"/>
      <x:c r="Q60" s="125"/>
    </x:row>
    <x:row r="61">
      <x:c r="A61" s="125"/>
      <x:c r="B61" s="125"/>
      <x:c r="C61" s="125"/>
      <x:c r="D61" s="125"/>
      <x:c r="E61" s="125"/>
      <x:c r="F61" s="125"/>
      <x:c r="G61" s="125"/>
      <x:c r="H61" s="125"/>
      <x:c r="I61" s="125"/>
      <x:c r="J61" s="125"/>
      <x:c r="K61" s="125"/>
      <x:c r="L61" s="125"/>
      <x:c r="M61" s="125"/>
      <x:c r="N61" s="125"/>
      <x:c r="O61" s="125"/>
      <x:c r="P61" s="125"/>
      <x:c r="Q61" s="125"/>
    </x:row>
    <x:row r="62">
      <x:c r="A62" s="125"/>
      <x:c r="B62" s="125"/>
      <x:c r="C62" s="125"/>
      <x:c r="D62" s="125"/>
      <x:c r="E62" s="125"/>
      <x:c r="F62" s="125"/>
      <x:c r="G62" s="125"/>
      <x:c r="H62" s="125"/>
      <x:c r="I62" s="125"/>
      <x:c r="J62" s="125"/>
      <x:c r="K62" s="125"/>
      <x:c r="L62" s="125"/>
      <x:c r="M62" s="125"/>
      <x:c r="N62" s="125"/>
      <x:c r="O62" s="125"/>
      <x:c r="P62" s="125"/>
      <x:c r="Q62" s="125"/>
    </x:row>
    <x:row r="63">
      <x:c r="A63" s="125"/>
      <x:c r="B63" s="125"/>
      <x:c r="C63" s="125"/>
      <x:c r="D63" s="125"/>
      <x:c r="E63" s="125"/>
      <x:c r="F63" s="125"/>
      <x:c r="G63" s="125"/>
      <x:c r="H63" s="125"/>
      <x:c r="I63" s="125"/>
      <x:c r="J63" s="125"/>
      <x:c r="K63" s="125"/>
      <x:c r="L63" s="125"/>
      <x:c r="M63" s="125"/>
      <x:c r="N63" s="125"/>
      <x:c r="O63" s="125"/>
      <x:c r="P63" s="125"/>
      <x:c r="Q63" s="125"/>
    </x:row>
    <x:row r="64">
      <x:c r="A64" s="125"/>
      <x:c r="B64" s="125"/>
      <x:c r="C64" s="125"/>
      <x:c r="D64" s="125"/>
      <x:c r="E64" s="125"/>
      <x:c r="F64" s="125"/>
      <x:c r="G64" s="125"/>
      <x:c r="H64" s="125"/>
      <x:c r="I64" s="125"/>
      <x:c r="J64" s="125"/>
      <x:c r="K64" s="125"/>
      <x:c r="L64" s="125"/>
      <x:c r="M64" s="125"/>
      <x:c r="N64" s="125"/>
      <x:c r="O64" s="125"/>
      <x:c r="P64" s="125"/>
      <x:c r="Q64" s="125"/>
    </x:row>
    <x:row r="65">
      <x:c r="A65" s="125"/>
      <x:c r="B65" s="125"/>
      <x:c r="C65" s="125"/>
      <x:c r="D65" s="125"/>
      <x:c r="E65" s="125"/>
      <x:c r="F65" s="125"/>
      <x:c r="G65" s="125"/>
      <x:c r="H65" s="125"/>
      <x:c r="I65" s="125"/>
      <x:c r="J65" s="125"/>
      <x:c r="K65" s="125"/>
      <x:c r="L65" s="125"/>
      <x:c r="M65" s="125"/>
      <x:c r="N65" s="125"/>
      <x:c r="O65" s="125"/>
      <x:c r="P65" s="125"/>
      <x:c r="Q65" s="125"/>
    </x:row>
    <x:row r="66">
      <x:c r="A66" s="125"/>
      <x:c r="B66" s="125"/>
      <x:c r="C66" s="125"/>
      <x:c r="D66" s="125"/>
      <x:c r="E66" s="125"/>
      <x:c r="F66" s="125"/>
      <x:c r="G66" s="125"/>
      <x:c r="H66" s="125"/>
      <x:c r="I66" s="125"/>
      <x:c r="J66" s="125"/>
      <x:c r="K66" s="125"/>
      <x:c r="L66" s="125"/>
      <x:c r="M66" s="125"/>
      <x:c r="N66" s="125"/>
      <x:c r="O66" s="125"/>
      <x:c r="P66" s="125"/>
      <x:c r="Q66" s="125"/>
    </x:row>
    <x:row r="67">
      <x:c r="A67" s="125"/>
      <x:c r="B67" s="125"/>
      <x:c r="C67" s="125"/>
      <x:c r="D67" s="125"/>
      <x:c r="E67" s="125"/>
      <x:c r="F67" s="125"/>
      <x:c r="G67" s="125"/>
      <x:c r="H67" s="125"/>
      <x:c r="I67" s="125"/>
      <x:c r="J67" s="125"/>
      <x:c r="K67" s="125"/>
      <x:c r="L67" s="125"/>
      <x:c r="M67" s="125"/>
      <x:c r="N67" s="125"/>
      <x:c r="O67" s="125"/>
      <x:c r="P67" s="125"/>
      <x:c r="Q67" s="125"/>
    </x:row>
    <x:row r="68">
      <x:c r="A68" s="125"/>
      <x:c r="B68" s="125"/>
      <x:c r="C68" s="125"/>
      <x:c r="D68" s="125"/>
      <x:c r="E68" s="125"/>
      <x:c r="F68" s="125"/>
      <x:c r="G68" s="125"/>
      <x:c r="H68" s="125"/>
      <x:c r="I68" s="125"/>
      <x:c r="J68" s="125"/>
      <x:c r="K68" s="125"/>
      <x:c r="L68" s="125"/>
      <x:c r="M68" s="125"/>
      <x:c r="N68" s="125"/>
      <x:c r="O68" s="125"/>
      <x:c r="P68" s="125"/>
      <x:c r="Q68" s="125"/>
    </x:row>
    <x:row r="69">
      <x:c r="A69" s="125"/>
      <x:c r="B69" s="125"/>
      <x:c r="C69" s="125"/>
      <x:c r="D69" s="125"/>
      <x:c r="E69" s="125"/>
      <x:c r="F69" s="125"/>
      <x:c r="G69" s="125"/>
      <x:c r="H69" s="125"/>
      <x:c r="I69" s="125"/>
      <x:c r="J69" s="125"/>
      <x:c r="K69" s="125"/>
      <x:c r="L69" s="125"/>
      <x:c r="M69" s="125"/>
      <x:c r="N69" s="125"/>
      <x:c r="O69" s="125"/>
      <x:c r="P69" s="125"/>
      <x:c r="Q69" s="125"/>
    </x:row>
    <x:row r="70">
      <x:c r="A70" s="125"/>
      <x:c r="B70" s="125"/>
      <x:c r="C70" s="125"/>
      <x:c r="D70" s="125"/>
      <x:c r="E70" s="125"/>
      <x:c r="F70" s="125"/>
      <x:c r="G70" s="125"/>
      <x:c r="H70" s="125"/>
      <x:c r="I70" s="125"/>
      <x:c r="J70" s="125"/>
      <x:c r="K70" s="125"/>
      <x:c r="L70" s="125"/>
      <x:c r="M70" s="125"/>
      <x:c r="N70" s="125"/>
      <x:c r="O70" s="125"/>
      <x:c r="P70" s="125"/>
      <x:c r="Q70" s="125"/>
    </x:row>
    <x:row r="71">
      <x:c r="A71" s="125"/>
      <x:c r="B71" s="125"/>
      <x:c r="C71" s="125"/>
      <x:c r="D71" s="125"/>
      <x:c r="E71" s="125"/>
      <x:c r="F71" s="125"/>
      <x:c r="G71" s="125"/>
      <x:c r="H71" s="125"/>
      <x:c r="I71" s="125"/>
      <x:c r="J71" s="125"/>
      <x:c r="K71" s="125"/>
      <x:c r="L71" s="125"/>
      <x:c r="M71" s="125"/>
      <x:c r="N71" s="125"/>
      <x:c r="O71" s="125"/>
      <x:c r="P71" s="125"/>
      <x:c r="Q71" s="125"/>
    </x:row>
    <x:row r="72">
      <x:c r="A72" s="125"/>
      <x:c r="B72" s="125"/>
      <x:c r="C72" s="125"/>
      <x:c r="D72" s="125"/>
      <x:c r="E72" s="125"/>
      <x:c r="F72" s="125"/>
      <x:c r="G72" s="125"/>
      <x:c r="H72" s="125"/>
      <x:c r="I72" s="125"/>
      <x:c r="J72" s="125"/>
      <x:c r="K72" s="125"/>
      <x:c r="L72" s="125"/>
      <x:c r="M72" s="125"/>
      <x:c r="N72" s="125"/>
      <x:c r="O72" s="125"/>
      <x:c r="P72" s="125"/>
      <x:c r="Q72" s="125"/>
    </x:row>
    <x:row r="73">
      <x:c r="A73" s="125"/>
      <x:c r="B73" s="125"/>
      <x:c r="C73" s="125"/>
      <x:c r="D73" s="125"/>
      <x:c r="E73" s="125"/>
      <x:c r="F73" s="125"/>
      <x:c r="G73" s="125"/>
      <x:c r="H73" s="125"/>
      <x:c r="I73" s="125"/>
      <x:c r="J73" s="125"/>
      <x:c r="K73" s="125"/>
      <x:c r="L73" s="125"/>
      <x:c r="M73" s="125"/>
      <x:c r="N73" s="125"/>
      <x:c r="O73" s="125"/>
      <x:c r="P73" s="125"/>
      <x:c r="Q73" s="125"/>
    </x:row>
    <x:row r="74">
      <x:c r="A74" s="125"/>
      <x:c r="B74" s="125"/>
      <x:c r="C74" s="125"/>
      <x:c r="D74" s="125"/>
      <x:c r="E74" s="125"/>
      <x:c r="F74" s="125"/>
      <x:c r="G74" s="125"/>
      <x:c r="H74" s="125"/>
      <x:c r="I74" s="125"/>
      <x:c r="J74" s="125"/>
      <x:c r="K74" s="125"/>
      <x:c r="L74" s="125"/>
      <x:c r="M74" s="125"/>
      <x:c r="N74" s="125"/>
      <x:c r="O74" s="125"/>
      <x:c r="P74" s="125"/>
      <x:c r="Q74" s="125"/>
    </x:row>
    <x:row r="75">
      <x:c r="A75" s="125"/>
      <x:c r="B75" s="125"/>
      <x:c r="C75" s="125"/>
      <x:c r="D75" s="125"/>
      <x:c r="E75" s="125"/>
      <x:c r="F75" s="125"/>
      <x:c r="G75" s="125"/>
      <x:c r="H75" s="125"/>
      <x:c r="I75" s="125"/>
      <x:c r="J75" s="125"/>
      <x:c r="K75" s="125"/>
      <x:c r="L75" s="125"/>
      <x:c r="M75" s="125"/>
      <x:c r="N75" s="125"/>
      <x:c r="O75" s="125"/>
      <x:c r="P75" s="125"/>
      <x:c r="Q75" s="125"/>
    </x:row>
    <x:row r="76">
      <x:c r="A76" s="125"/>
      <x:c r="B76" s="125"/>
      <x:c r="C76" s="125"/>
      <x:c r="D76" s="125"/>
      <x:c r="E76" s="125"/>
      <x:c r="F76" s="125"/>
      <x:c r="G76" s="125"/>
      <x:c r="H76" s="125"/>
      <x:c r="I76" s="125"/>
      <x:c r="J76" s="125"/>
      <x:c r="K76" s="125"/>
      <x:c r="L76" s="125"/>
      <x:c r="M76" s="125"/>
      <x:c r="N76" s="125"/>
      <x:c r="O76" s="125"/>
      <x:c r="P76" s="125"/>
      <x:c r="Q76" s="125"/>
    </x:row>
    <x:row r="77">
      <x:c r="A77" s="125"/>
      <x:c r="B77" s="125"/>
      <x:c r="C77" s="125"/>
      <x:c r="D77" s="125"/>
      <x:c r="E77" s="125"/>
      <x:c r="F77" s="125"/>
      <x:c r="G77" s="125"/>
      <x:c r="H77" s="125"/>
      <x:c r="I77" s="125"/>
      <x:c r="J77" s="125"/>
      <x:c r="K77" s="125"/>
      <x:c r="L77" s="125"/>
      <x:c r="M77" s="125"/>
      <x:c r="N77" s="125"/>
      <x:c r="O77" s="125"/>
      <x:c r="P77" s="125"/>
      <x:c r="Q77" s="125"/>
    </x:row>
    <x:row r="78">
      <x:c r="A78" s="125"/>
      <x:c r="B78" s="125"/>
      <x:c r="C78" s="125"/>
      <x:c r="D78" s="125"/>
      <x:c r="E78" s="125"/>
      <x:c r="F78" s="125"/>
      <x:c r="G78" s="125"/>
      <x:c r="H78" s="125"/>
      <x:c r="I78" s="125"/>
      <x:c r="J78" s="125"/>
      <x:c r="K78" s="125"/>
      <x:c r="L78" s="125"/>
      <x:c r="M78" s="125"/>
      <x:c r="N78" s="125"/>
      <x:c r="O78" s="125"/>
      <x:c r="P78" s="125"/>
      <x:c r="Q78" s="125"/>
    </x:row>
    <x:row r="79">
      <x:c r="A79" s="125"/>
      <x:c r="B79" s="125"/>
      <x:c r="C79" s="125"/>
      <x:c r="D79" s="125"/>
      <x:c r="E79" s="125"/>
      <x:c r="F79" s="125"/>
      <x:c r="G79" s="125"/>
      <x:c r="H79" s="125"/>
      <x:c r="I79" s="125"/>
      <x:c r="J79" s="125"/>
      <x:c r="K79" s="125"/>
      <x:c r="L79" s="125"/>
      <x:c r="M79" s="125"/>
      <x:c r="N79" s="125"/>
      <x:c r="O79" s="125"/>
      <x:c r="P79" s="125"/>
      <x:c r="Q79" s="125"/>
    </x:row>
    <x:row r="80">
      <x:c r="A80" s="125"/>
      <x:c r="B80" s="125"/>
      <x:c r="C80" s="125"/>
      <x:c r="D80" s="125"/>
      <x:c r="E80" s="125"/>
      <x:c r="F80" s="125"/>
      <x:c r="G80" s="125"/>
      <x:c r="H80" s="125"/>
      <x:c r="I80" s="125"/>
      <x:c r="J80" s="125"/>
      <x:c r="K80" s="125"/>
      <x:c r="L80" s="125"/>
      <x:c r="M80" s="125"/>
      <x:c r="N80" s="125"/>
      <x:c r="O80" s="125"/>
      <x:c r="P80" s="125"/>
      <x:c r="Q80" s="125"/>
    </x:row>
    <x:row r="81">
      <x:c r="A81" s="125"/>
      <x:c r="B81" s="125"/>
      <x:c r="C81" s="125"/>
      <x:c r="D81" s="125"/>
      <x:c r="E81" s="125"/>
      <x:c r="F81" s="125"/>
      <x:c r="G81" s="125"/>
      <x:c r="H81" s="125"/>
      <x:c r="I81" s="125"/>
      <x:c r="J81" s="125"/>
      <x:c r="K81" s="125"/>
      <x:c r="L81" s="125"/>
      <x:c r="M81" s="125"/>
      <x:c r="N81" s="125"/>
      <x:c r="O81" s="125"/>
      <x:c r="P81" s="125"/>
      <x:c r="Q81" s="125"/>
    </x:row>
    <x:row r="82">
      <x:c r="A82" s="125"/>
      <x:c r="B82" s="125"/>
      <x:c r="C82" s="125"/>
      <x:c r="D82" s="125"/>
      <x:c r="E82" s="125"/>
      <x:c r="F82" s="125"/>
      <x:c r="G82" s="125"/>
      <x:c r="H82" s="125"/>
      <x:c r="I82" s="125"/>
      <x:c r="J82" s="125"/>
      <x:c r="K82" s="125"/>
      <x:c r="L82" s="125"/>
      <x:c r="M82" s="125"/>
      <x:c r="N82" s="125"/>
      <x:c r="O82" s="125"/>
      <x:c r="P82" s="125"/>
      <x:c r="Q82" s="125"/>
    </x:row>
    <x:row r="83">
      <x:c r="A83" s="125"/>
      <x:c r="B83" s="125"/>
      <x:c r="C83" s="125"/>
      <x:c r="D83" s="125"/>
      <x:c r="E83" s="125"/>
      <x:c r="F83" s="125"/>
      <x:c r="G83" s="125"/>
      <x:c r="H83" s="125"/>
      <x:c r="I83" s="125"/>
      <x:c r="J83" s="125"/>
      <x:c r="K83" s="125"/>
      <x:c r="L83" s="125"/>
      <x:c r="M83" s="125"/>
      <x:c r="N83" s="125"/>
      <x:c r="O83" s="125"/>
      <x:c r="P83" s="125"/>
      <x:c r="Q83" s="125"/>
    </x:row>
    <x:row r="84">
      <x:c r="A84" s="125"/>
      <x:c r="B84" s="125"/>
      <x:c r="C84" s="125"/>
      <x:c r="D84" s="125"/>
      <x:c r="E84" s="125"/>
      <x:c r="F84" s="125"/>
      <x:c r="G84" s="125"/>
      <x:c r="H84" s="125"/>
      <x:c r="I84" s="125"/>
      <x:c r="J84" s="125"/>
      <x:c r="K84" s="125"/>
      <x:c r="L84" s="125"/>
      <x:c r="M84" s="125"/>
      <x:c r="N84" s="125"/>
      <x:c r="O84" s="125"/>
      <x:c r="P84" s="125"/>
      <x:c r="Q84" s="125"/>
    </x:row>
    <x:row r="85">
      <x:c r="A85" s="125"/>
      <x:c r="B85" s="125"/>
      <x:c r="C85" s="125"/>
      <x:c r="D85" s="125"/>
      <x:c r="E85" s="125"/>
      <x:c r="F85" s="125"/>
      <x:c r="G85" s="125"/>
      <x:c r="H85" s="125"/>
      <x:c r="I85" s="125"/>
      <x:c r="J85" s="125"/>
      <x:c r="K85" s="125"/>
      <x:c r="L85" s="125"/>
      <x:c r="M85" s="125"/>
      <x:c r="N85" s="125"/>
      <x:c r="O85" s="125"/>
      <x:c r="P85" s="125"/>
      <x:c r="Q85" s="125"/>
    </x:row>
    <x:row r="86">
      <x:c r="A86" s="125"/>
      <x:c r="B86" s="125"/>
      <x:c r="C86" s="125"/>
      <x:c r="D86" s="125"/>
      <x:c r="E86" s="125"/>
      <x:c r="F86" s="125"/>
      <x:c r="G86" s="125"/>
      <x:c r="H86" s="125"/>
      <x:c r="I86" s="125"/>
      <x:c r="J86" s="125"/>
      <x:c r="K86" s="125"/>
      <x:c r="L86" s="125"/>
      <x:c r="M86" s="125"/>
      <x:c r="N86" s="125"/>
      <x:c r="O86" s="125"/>
      <x:c r="P86" s="125"/>
      <x:c r="Q86" s="125"/>
    </x:row>
    <x:row r="87">
      <x:c r="A87" s="125"/>
      <x:c r="B87" s="125"/>
      <x:c r="C87" s="125"/>
      <x:c r="D87" s="125"/>
      <x:c r="E87" s="125"/>
      <x:c r="F87" s="125"/>
      <x:c r="G87" s="125"/>
      <x:c r="H87" s="125"/>
      <x:c r="I87" s="125"/>
      <x:c r="J87" s="125"/>
      <x:c r="K87" s="125"/>
      <x:c r="L87" s="125"/>
      <x:c r="M87" s="125"/>
      <x:c r="N87" s="125"/>
      <x:c r="O87" s="125"/>
      <x:c r="P87" s="125"/>
      <x:c r="Q87" s="125"/>
    </x:row>
    <x:row r="88">
      <x:c r="A88" s="125"/>
      <x:c r="B88" s="125"/>
      <x:c r="C88" s="125"/>
      <x:c r="D88" s="125"/>
      <x:c r="E88" s="125"/>
      <x:c r="F88" s="125"/>
      <x:c r="G88" s="125"/>
      <x:c r="H88" s="125"/>
      <x:c r="I88" s="125"/>
      <x:c r="J88" s="125"/>
      <x:c r="K88" s="125"/>
      <x:c r="L88" s="125"/>
      <x:c r="M88" s="125"/>
      <x:c r="N88" s="125"/>
      <x:c r="O88" s="125"/>
      <x:c r="P88" s="125"/>
      <x:c r="Q88" s="125"/>
    </x:row>
    <x:row r="89">
      <x:c r="A89" s="125"/>
      <x:c r="B89" s="125"/>
      <x:c r="C89" s="125"/>
      <x:c r="D89" s="125"/>
      <x:c r="E89" s="125"/>
      <x:c r="F89" s="125"/>
      <x:c r="G89" s="125"/>
      <x:c r="H89" s="125"/>
      <x:c r="I89" s="125"/>
      <x:c r="J89" s="125"/>
      <x:c r="K89" s="125"/>
      <x:c r="L89" s="125"/>
      <x:c r="M89" s="125"/>
      <x:c r="N89" s="125"/>
      <x:c r="O89" s="125"/>
      <x:c r="P89" s="125"/>
      <x:c r="Q89" s="125"/>
    </x:row>
    <x:row r="90">
      <x:c r="A90" s="125"/>
      <x:c r="B90" s="125"/>
      <x:c r="C90" s="125"/>
      <x:c r="D90" s="125"/>
      <x:c r="E90" s="125"/>
      <x:c r="F90" s="125"/>
      <x:c r="G90" s="125"/>
      <x:c r="H90" s="125"/>
      <x:c r="I90" s="125"/>
      <x:c r="J90" s="125"/>
      <x:c r="K90" s="125"/>
      <x:c r="L90" s="125"/>
      <x:c r="M90" s="125"/>
      <x:c r="N90" s="125"/>
      <x:c r="O90" s="125"/>
      <x:c r="P90" s="125"/>
      <x:c r="Q90" s="125"/>
    </x:row>
    <x:row r="91">
      <x:c r="A91" s="125"/>
      <x:c r="B91" s="125"/>
      <x:c r="C91" s="125"/>
      <x:c r="D91" s="125"/>
      <x:c r="E91" s="125"/>
      <x:c r="F91" s="125"/>
      <x:c r="G91" s="125"/>
      <x:c r="H91" s="125"/>
      <x:c r="I91" s="125"/>
      <x:c r="J91" s="125"/>
      <x:c r="K91" s="125"/>
      <x:c r="L91" s="125"/>
      <x:c r="M91" s="125"/>
      <x:c r="N91" s="125"/>
      <x:c r="O91" s="125"/>
      <x:c r="P91" s="125"/>
      <x:c r="Q91" s="125"/>
    </x:row>
    <x:row r="92">
      <x:c r="A92" s="125"/>
      <x:c r="B92" s="125"/>
      <x:c r="C92" s="125"/>
      <x:c r="D92" s="125"/>
      <x:c r="E92" s="125"/>
      <x:c r="F92" s="125"/>
      <x:c r="G92" s="125"/>
      <x:c r="H92" s="125"/>
      <x:c r="I92" s="125"/>
      <x:c r="J92" s="125"/>
      <x:c r="K92" s="125"/>
      <x:c r="L92" s="125"/>
      <x:c r="M92" s="125"/>
      <x:c r="N92" s="125"/>
      <x:c r="O92" s="125"/>
      <x:c r="P92" s="125"/>
      <x:c r="Q92" s="125"/>
    </x:row>
    <x:row r="93">
      <x:c r="A93" s="125"/>
      <x:c r="B93" s="125"/>
      <x:c r="C93" s="125"/>
      <x:c r="D93" s="125"/>
      <x:c r="E93" s="125"/>
      <x:c r="F93" s="125"/>
      <x:c r="G93" s="125"/>
      <x:c r="H93" s="125"/>
      <x:c r="I93" s="125"/>
      <x:c r="J93" s="125"/>
      <x:c r="K93" s="125"/>
      <x:c r="L93" s="125"/>
      <x:c r="M93" s="125"/>
      <x:c r="N93" s="125"/>
      <x:c r="O93" s="125"/>
      <x:c r="P93" s="125"/>
      <x:c r="Q93" s="125"/>
    </x:row>
    <x:row r="94">
      <x:c r="A94" s="125"/>
      <x:c r="B94" s="125"/>
      <x:c r="C94" s="125"/>
      <x:c r="D94" s="125"/>
      <x:c r="E94" s="125"/>
      <x:c r="F94" s="125"/>
      <x:c r="G94" s="125"/>
      <x:c r="H94" s="125"/>
      <x:c r="I94" s="125"/>
      <x:c r="J94" s="125"/>
      <x:c r="K94" s="125"/>
      <x:c r="L94" s="125"/>
      <x:c r="M94" s="125"/>
      <x:c r="N94" s="125"/>
      <x:c r="O94" s="125"/>
      <x:c r="P94" s="125"/>
      <x:c r="Q94" s="125"/>
    </x:row>
    <x:row r="95">
      <x:c r="A95" s="125"/>
      <x:c r="B95" s="125"/>
      <x:c r="C95" s="125"/>
      <x:c r="D95" s="125"/>
      <x:c r="E95" s="125"/>
      <x:c r="F95" s="125"/>
      <x:c r="G95" s="125"/>
      <x:c r="H95" s="125"/>
      <x:c r="I95" s="125"/>
      <x:c r="J95" s="125"/>
      <x:c r="K95" s="125"/>
      <x:c r="L95" s="125"/>
      <x:c r="M95" s="125"/>
      <x:c r="N95" s="125"/>
      <x:c r="O95" s="125"/>
      <x:c r="P95" s="125"/>
      <x:c r="Q95" s="125"/>
    </x:row>
    <x:row r="96">
      <x:c r="A96" s="125"/>
      <x:c r="B96" s="125"/>
      <x:c r="C96" s="125"/>
      <x:c r="D96" s="125"/>
      <x:c r="E96" s="125"/>
      <x:c r="F96" s="125"/>
      <x:c r="G96" s="125"/>
      <x:c r="H96" s="125"/>
      <x:c r="I96" s="125"/>
      <x:c r="J96" s="125"/>
      <x:c r="K96" s="125"/>
      <x:c r="L96" s="125"/>
      <x:c r="M96" s="125"/>
      <x:c r="N96" s="125"/>
      <x:c r="O96" s="125"/>
      <x:c r="P96" s="125"/>
      <x:c r="Q96" s="125"/>
    </x:row>
    <x:row r="97">
      <x:c r="A97" s="125"/>
      <x:c r="B97" s="125"/>
      <x:c r="C97" s="125"/>
      <x:c r="D97" s="125"/>
      <x:c r="E97" s="125"/>
      <x:c r="F97" s="125"/>
      <x:c r="G97" s="125"/>
      <x:c r="H97" s="125"/>
      <x:c r="I97" s="125"/>
      <x:c r="J97" s="125"/>
      <x:c r="K97" s="125"/>
      <x:c r="L97" s="125"/>
      <x:c r="M97" s="125"/>
      <x:c r="N97" s="125"/>
      <x:c r="O97" s="125"/>
      <x:c r="P97" s="125"/>
      <x:c r="Q97" s="125"/>
    </x:row>
    <x:row r="98">
      <x:c r="A98" s="125"/>
      <x:c r="B98" s="125"/>
      <x:c r="C98" s="125"/>
      <x:c r="D98" s="125"/>
      <x:c r="E98" s="125"/>
      <x:c r="F98" s="125"/>
      <x:c r="G98" s="125"/>
      <x:c r="H98" s="125"/>
      <x:c r="I98" s="125"/>
      <x:c r="J98" s="125"/>
      <x:c r="K98" s="125"/>
      <x:c r="L98" s="125"/>
      <x:c r="M98" s="125"/>
      <x:c r="N98" s="125"/>
      <x:c r="O98" s="125"/>
      <x:c r="P98" s="125"/>
      <x:c r="Q98" s="125"/>
    </x:row>
    <x:row r="99">
      <x:c r="A99" s="125"/>
      <x:c r="B99" s="125"/>
      <x:c r="C99" s="125"/>
      <x:c r="D99" s="125"/>
      <x:c r="E99" s="125"/>
      <x:c r="F99" s="125"/>
      <x:c r="G99" s="125"/>
      <x:c r="H99" s="125"/>
      <x:c r="I99" s="125"/>
      <x:c r="J99" s="125"/>
      <x:c r="K99" s="125"/>
      <x:c r="L99" s="125"/>
      <x:c r="M99" s="125"/>
      <x:c r="N99" s="125"/>
      <x:c r="O99" s="125"/>
      <x:c r="P99" s="125"/>
      <x:c r="Q99" s="125"/>
    </x:row>
    <x:row r="100">
      <x:c r="A100" s="125"/>
      <x:c r="B100" s="125"/>
      <x:c r="C100" s="125"/>
      <x:c r="D100" s="125"/>
      <x:c r="E100" s="125"/>
      <x:c r="F100" s="125"/>
      <x:c r="G100" s="125"/>
      <x:c r="H100" s="125"/>
      <x:c r="I100" s="125"/>
      <x:c r="J100" s="125"/>
      <x:c r="K100" s="125"/>
      <x:c r="L100" s="125"/>
      <x:c r="M100" s="125"/>
      <x:c r="N100" s="125"/>
      <x:c r="O100" s="125"/>
      <x:c r="P100" s="125"/>
      <x:c r="Q100" s="125"/>
    </x:row>
    <x:row r="101">
      <x:c r="A101" s="125"/>
      <x:c r="B101" s="125"/>
      <x:c r="C101" s="125"/>
      <x:c r="D101" s="125"/>
      <x:c r="E101" s="125"/>
      <x:c r="F101" s="125"/>
      <x:c r="G101" s="125"/>
      <x:c r="H101" s="125"/>
      <x:c r="I101" s="125"/>
      <x:c r="J101" s="125"/>
      <x:c r="K101" s="125"/>
      <x:c r="L101" s="125"/>
      <x:c r="M101" s="125"/>
      <x:c r="N101" s="125"/>
      <x:c r="O101" s="125"/>
      <x:c r="P101" s="125"/>
      <x:c r="Q101" s="125"/>
    </x:row>
    <x:row r="102">
      <x:c r="A102" s="125"/>
      <x:c r="B102" s="125"/>
      <x:c r="C102" s="125"/>
      <x:c r="D102" s="125"/>
      <x:c r="E102" s="125"/>
      <x:c r="F102" s="125"/>
      <x:c r="G102" s="125"/>
      <x:c r="H102" s="125"/>
      <x:c r="I102" s="125"/>
      <x:c r="J102" s="125"/>
      <x:c r="K102" s="125"/>
      <x:c r="L102" s="125"/>
      <x:c r="M102" s="125"/>
      <x:c r="N102" s="125"/>
      <x:c r="O102" s="125"/>
      <x:c r="P102" s="125"/>
      <x:c r="Q102" s="125"/>
    </x:row>
    <x:row r="103">
      <x:c r="A103" s="125"/>
      <x:c r="B103" s="125"/>
      <x:c r="C103" s="125"/>
      <x:c r="D103" s="125"/>
      <x:c r="E103" s="125"/>
      <x:c r="F103" s="125"/>
      <x:c r="G103" s="125"/>
      <x:c r="H103" s="125"/>
      <x:c r="I103" s="125"/>
      <x:c r="J103" s="125"/>
      <x:c r="K103" s="125"/>
      <x:c r="L103" s="125"/>
      <x:c r="M103" s="125"/>
      <x:c r="N103" s="125"/>
      <x:c r="O103" s="125"/>
      <x:c r="P103" s="125"/>
      <x:c r="Q103" s="125"/>
    </x:row>
    <x:row r="104">
      <x:c r="A104" s="125"/>
      <x:c r="B104" s="125"/>
      <x:c r="C104" s="125"/>
      <x:c r="D104" s="125"/>
      <x:c r="E104" s="125"/>
      <x:c r="F104" s="125"/>
      <x:c r="G104" s="125"/>
      <x:c r="H104" s="125"/>
      <x:c r="I104" s="125"/>
      <x:c r="J104" s="125"/>
      <x:c r="K104" s="125"/>
      <x:c r="L104" s="125"/>
      <x:c r="M104" s="125"/>
      <x:c r="N104" s="125"/>
      <x:c r="O104" s="125"/>
      <x:c r="P104" s="125"/>
      <x:c r="Q104" s="125"/>
    </x:row>
    <x:row r="105">
      <x:c r="A105" s="125"/>
      <x:c r="B105" s="125"/>
      <x:c r="C105" s="125"/>
      <x:c r="D105" s="125"/>
      <x:c r="E105" s="125"/>
      <x:c r="F105" s="125"/>
      <x:c r="G105" s="125"/>
      <x:c r="H105" s="125"/>
      <x:c r="I105" s="125"/>
      <x:c r="J105" s="125"/>
      <x:c r="K105" s="125"/>
      <x:c r="L105" s="125"/>
      <x:c r="M105" s="125"/>
      <x:c r="N105" s="125"/>
      <x:c r="O105" s="125"/>
      <x:c r="P105" s="125"/>
      <x:c r="Q105" s="125"/>
    </x:row>
    <x:row r="106">
      <x:c r="A106" s="125"/>
      <x:c r="B106" s="125"/>
      <x:c r="C106" s="125"/>
      <x:c r="D106" s="125"/>
      <x:c r="E106" s="125"/>
      <x:c r="F106" s="125"/>
      <x:c r="G106" s="125"/>
      <x:c r="H106" s="125"/>
      <x:c r="I106" s="125"/>
      <x:c r="J106" s="125"/>
      <x:c r="K106" s="125"/>
      <x:c r="L106" s="125"/>
      <x:c r="M106" s="125"/>
      <x:c r="N106" s="125"/>
      <x:c r="O106" s="125"/>
      <x:c r="P106" s="125"/>
      <x:c r="Q106" s="125"/>
    </x:row>
    <x:row r="107">
      <x:c r="A107" s="125"/>
      <x:c r="B107" s="125"/>
      <x:c r="C107" s="125"/>
      <x:c r="D107" s="125"/>
      <x:c r="E107" s="125"/>
      <x:c r="F107" s="125"/>
      <x:c r="G107" s="125"/>
      <x:c r="H107" s="125"/>
      <x:c r="I107" s="125"/>
      <x:c r="J107" s="125"/>
      <x:c r="K107" s="125"/>
      <x:c r="L107" s="125"/>
      <x:c r="M107" s="125"/>
      <x:c r="N107" s="125"/>
      <x:c r="O107" s="125"/>
      <x:c r="P107" s="125"/>
      <x:c r="Q107" s="125"/>
    </x:row>
    <x:row r="108">
      <x:c r="A108" s="125"/>
      <x:c r="B108" s="125"/>
      <x:c r="C108" s="125"/>
      <x:c r="D108" s="125"/>
      <x:c r="E108" s="125"/>
      <x:c r="F108" s="125"/>
      <x:c r="G108" s="125"/>
      <x:c r="H108" s="125"/>
      <x:c r="I108" s="125"/>
      <x:c r="J108" s="125"/>
      <x:c r="K108" s="125"/>
      <x:c r="L108" s="125"/>
      <x:c r="M108" s="125"/>
      <x:c r="N108" s="125"/>
      <x:c r="O108" s="125"/>
      <x:c r="P108" s="125"/>
      <x:c r="Q108" s="125"/>
    </x:row>
    <x:row r="109">
      <x:c r="A109" s="125"/>
      <x:c r="B109" s="125"/>
      <x:c r="C109" s="125"/>
      <x:c r="D109" s="125"/>
      <x:c r="E109" s="125"/>
      <x:c r="F109" s="125"/>
      <x:c r="G109" s="125"/>
      <x:c r="H109" s="125"/>
      <x:c r="I109" s="125"/>
      <x:c r="J109" s="125"/>
      <x:c r="K109" s="125"/>
      <x:c r="L109" s="125"/>
      <x:c r="M109" s="125"/>
      <x:c r="N109" s="125"/>
      <x:c r="O109" s="125"/>
      <x:c r="P109" s="125"/>
      <x:c r="Q109" s="125"/>
    </x:row>
    <x:row r="110">
      <x:c r="A110" s="125"/>
      <x:c r="B110" s="125"/>
      <x:c r="C110" s="125"/>
      <x:c r="D110" s="125"/>
      <x:c r="E110" s="125"/>
      <x:c r="F110" s="125"/>
      <x:c r="G110" s="125"/>
      <x:c r="H110" s="125"/>
      <x:c r="I110" s="125"/>
      <x:c r="J110" s="125"/>
      <x:c r="K110" s="125"/>
      <x:c r="L110" s="125"/>
      <x:c r="M110" s="125"/>
      <x:c r="N110" s="125"/>
      <x:c r="O110" s="125"/>
      <x:c r="P110" s="125"/>
      <x:c r="Q110" s="125"/>
    </x:row>
    <x:row r="111">
      <x:c r="A111" s="125"/>
      <x:c r="B111" s="125"/>
      <x:c r="C111" s="125"/>
      <x:c r="D111" s="125"/>
      <x:c r="E111" s="125"/>
      <x:c r="F111" s="125"/>
      <x:c r="G111" s="125"/>
      <x:c r="H111" s="125"/>
      <x:c r="I111" s="125"/>
      <x:c r="J111" s="125"/>
      <x:c r="K111" s="125"/>
      <x:c r="L111" s="125"/>
      <x:c r="M111" s="125"/>
      <x:c r="N111" s="125"/>
      <x:c r="O111" s="125"/>
      <x:c r="P111" s="125"/>
      <x:c r="Q111" s="125"/>
    </x:row>
    <x:row r="112">
      <x:c r="A112" s="125"/>
      <x:c r="B112" s="125"/>
      <x:c r="C112" s="125"/>
      <x:c r="D112" s="125"/>
      <x:c r="E112" s="125"/>
      <x:c r="F112" s="125"/>
      <x:c r="G112" s="125"/>
      <x:c r="H112" s="125"/>
      <x:c r="I112" s="125"/>
      <x:c r="J112" s="125"/>
      <x:c r="K112" s="125"/>
      <x:c r="L112" s="125"/>
      <x:c r="M112" s="125"/>
      <x:c r="N112" s="125"/>
      <x:c r="O112" s="125"/>
      <x:c r="P112" s="125"/>
      <x:c r="Q112" s="125"/>
    </x:row>
    <x:row r="113">
      <x:c r="A113" s="125"/>
      <x:c r="B113" s="125"/>
      <x:c r="C113" s="125"/>
      <x:c r="D113" s="125"/>
      <x:c r="E113" s="125"/>
      <x:c r="F113" s="125"/>
      <x:c r="G113" s="125"/>
      <x:c r="H113" s="125"/>
      <x:c r="I113" s="125"/>
      <x:c r="J113" s="125"/>
      <x:c r="K113" s="125"/>
      <x:c r="L113" s="125"/>
      <x:c r="M113" s="125"/>
      <x:c r="N113" s="125"/>
      <x:c r="O113" s="125"/>
      <x:c r="P113" s="125"/>
      <x:c r="Q113" s="125"/>
    </x:row>
    <x:row r="114">
      <x:c r="A114" s="125"/>
      <x:c r="B114" s="125"/>
      <x:c r="C114" s="125"/>
      <x:c r="D114" s="125"/>
      <x:c r="E114" s="125"/>
      <x:c r="F114" s="125"/>
      <x:c r="G114" s="125"/>
      <x:c r="H114" s="125"/>
      <x:c r="I114" s="125"/>
      <x:c r="J114" s="125"/>
      <x:c r="K114" s="125"/>
      <x:c r="L114" s="125"/>
      <x:c r="M114" s="125"/>
      <x:c r="N114" s="125"/>
      <x:c r="O114" s="125"/>
      <x:c r="P114" s="125"/>
      <x:c r="Q114" s="125"/>
    </x:row>
    <x:row r="115">
      <x:c r="A115" s="125"/>
      <x:c r="B115" s="125"/>
      <x:c r="C115" s="125"/>
      <x:c r="D115" s="125"/>
      <x:c r="E115" s="125"/>
      <x:c r="F115" s="125"/>
      <x:c r="G115" s="125"/>
      <x:c r="H115" s="125"/>
      <x:c r="I115" s="125"/>
      <x:c r="J115" s="125"/>
      <x:c r="K115" s="125"/>
      <x:c r="L115" s="125"/>
      <x:c r="M115" s="125"/>
      <x:c r="N115" s="125"/>
      <x:c r="O115" s="125"/>
      <x:c r="P115" s="125"/>
      <x:c r="Q115" s="125"/>
    </x:row>
    <x:row r="116">
      <x:c r="A116" s="125"/>
      <x:c r="B116" s="125"/>
      <x:c r="C116" s="125"/>
      <x:c r="D116" s="125"/>
      <x:c r="E116" s="125"/>
      <x:c r="F116" s="125"/>
      <x:c r="G116" s="125"/>
      <x:c r="H116" s="125"/>
      <x:c r="I116" s="125"/>
      <x:c r="J116" s="125"/>
      <x:c r="K116" s="125"/>
      <x:c r="L116" s="125"/>
      <x:c r="M116" s="125"/>
      <x:c r="N116" s="125"/>
      <x:c r="O116" s="125"/>
      <x:c r="P116" s="125"/>
      <x:c r="Q116" s="125"/>
    </x:row>
    <x:row r="117">
      <x:c r="A117" s="125"/>
      <x:c r="B117" s="125"/>
      <x:c r="C117" s="125"/>
      <x:c r="D117" s="125"/>
      <x:c r="E117" s="125"/>
      <x:c r="F117" s="125"/>
      <x:c r="G117" s="125"/>
      <x:c r="H117" s="125"/>
      <x:c r="I117" s="125"/>
      <x:c r="J117" s="125"/>
      <x:c r="K117" s="125"/>
      <x:c r="L117" s="125"/>
      <x:c r="M117" s="125"/>
      <x:c r="N117" s="125"/>
      <x:c r="O117" s="125"/>
      <x:c r="P117" s="125"/>
      <x:c r="Q117" s="125"/>
    </x:row>
    <x:row r="118">
      <x:c r="A118" s="125"/>
      <x:c r="B118" s="125"/>
      <x:c r="C118" s="125"/>
      <x:c r="D118" s="125"/>
      <x:c r="E118" s="125"/>
      <x:c r="F118" s="125"/>
      <x:c r="G118" s="125"/>
      <x:c r="H118" s="125"/>
      <x:c r="I118" s="125"/>
      <x:c r="J118" s="125"/>
      <x:c r="K118" s="125"/>
      <x:c r="L118" s="125"/>
      <x:c r="M118" s="125"/>
      <x:c r="N118" s="125"/>
      <x:c r="O118" s="125"/>
      <x:c r="P118" s="125"/>
      <x:c r="Q118" s="125"/>
    </x:row>
    <x:row r="119">
      <x:c r="A119" s="125"/>
      <x:c r="B119" s="125"/>
      <x:c r="C119" s="125"/>
      <x:c r="D119" s="125"/>
      <x:c r="E119" s="125"/>
      <x:c r="F119" s="125"/>
      <x:c r="G119" s="125"/>
      <x:c r="H119" s="125"/>
      <x:c r="I119" s="125"/>
      <x:c r="J119" s="125"/>
      <x:c r="K119" s="125"/>
      <x:c r="L119" s="125"/>
      <x:c r="M119" s="125"/>
      <x:c r="N119" s="125"/>
      <x:c r="O119" s="125"/>
      <x:c r="P119" s="125"/>
      <x:c r="Q119" s="125"/>
    </x:row>
    <x:row r="120">
      <x:c r="A120" s="125"/>
      <x:c r="B120" s="125"/>
      <x:c r="C120" s="125"/>
      <x:c r="D120" s="125"/>
      <x:c r="E120" s="125"/>
      <x:c r="F120" s="125"/>
      <x:c r="G120" s="125"/>
      <x:c r="H120" s="125"/>
      <x:c r="I120" s="125"/>
      <x:c r="J120" s="125"/>
      <x:c r="K120" s="125"/>
      <x:c r="L120" s="125"/>
      <x:c r="M120" s="125"/>
      <x:c r="N120" s="125"/>
      <x:c r="O120" s="125"/>
      <x:c r="P120" s="125"/>
      <x:c r="Q120" s="125"/>
    </x:row>
    <x:row r="121">
      <x:c r="A121" s="125"/>
      <x:c r="B121" s="125"/>
      <x:c r="C121" s="125"/>
      <x:c r="D121" s="125"/>
      <x:c r="E121" s="125"/>
      <x:c r="F121" s="125"/>
      <x:c r="G121" s="125"/>
      <x:c r="H121" s="125"/>
      <x:c r="I121" s="125"/>
      <x:c r="J121" s="125"/>
      <x:c r="K121" s="125"/>
      <x:c r="L121" s="125"/>
      <x:c r="M121" s="125"/>
      <x:c r="N121" s="125"/>
      <x:c r="O121" s="125"/>
      <x:c r="P121" s="125"/>
      <x:c r="Q121" s="125"/>
    </x:row>
    <x:row r="122">
      <x:c r="A122" s="125"/>
      <x:c r="B122" s="125"/>
      <x:c r="C122" s="125"/>
      <x:c r="D122" s="125"/>
      <x:c r="E122" s="125"/>
      <x:c r="F122" s="125"/>
      <x:c r="G122" s="125"/>
      <x:c r="H122" s="125"/>
      <x:c r="I122" s="125"/>
      <x:c r="J122" s="125"/>
      <x:c r="K122" s="125"/>
      <x:c r="L122" s="125"/>
      <x:c r="M122" s="125"/>
      <x:c r="N122" s="125"/>
      <x:c r="O122" s="125"/>
      <x:c r="P122" s="125"/>
      <x:c r="Q122" s="125"/>
    </x:row>
    <x:row r="123">
      <x:c r="A123" s="125"/>
      <x:c r="B123" s="125"/>
      <x:c r="C123" s="125"/>
      <x:c r="D123" s="125"/>
      <x:c r="E123" s="125"/>
      <x:c r="F123" s="125"/>
      <x:c r="G123" s="125"/>
      <x:c r="H123" s="125"/>
      <x:c r="I123" s="125"/>
      <x:c r="J123" s="125"/>
      <x:c r="K123" s="125"/>
      <x:c r="L123" s="125"/>
      <x:c r="M123" s="125"/>
      <x:c r="N123" s="125"/>
      <x:c r="O123" s="125"/>
      <x:c r="P123" s="125"/>
      <x:c r="Q123" s="125"/>
    </x:row>
    <x:row r="124">
      <x:c r="A124" s="125"/>
      <x:c r="B124" s="125"/>
      <x:c r="C124" s="125"/>
      <x:c r="D124" s="125"/>
      <x:c r="E124" s="125"/>
      <x:c r="F124" s="125"/>
      <x:c r="G124" s="125"/>
      <x:c r="H124" s="125"/>
      <x:c r="I124" s="125"/>
      <x:c r="J124" s="125"/>
      <x:c r="K124" s="125"/>
      <x:c r="L124" s="125"/>
      <x:c r="M124" s="125"/>
      <x:c r="N124" s="125"/>
      <x:c r="O124" s="125"/>
      <x:c r="P124" s="125"/>
      <x:c r="Q124" s="125"/>
    </x:row>
    <x:row r="125">
      <x:c r="A125" s="125"/>
      <x:c r="B125" s="125"/>
      <x:c r="C125" s="125"/>
      <x:c r="D125" s="125"/>
      <x:c r="E125" s="125"/>
      <x:c r="F125" s="125"/>
      <x:c r="G125" s="125"/>
      <x:c r="H125" s="125"/>
      <x:c r="I125" s="125"/>
      <x:c r="J125" s="125"/>
      <x:c r="K125" s="125"/>
      <x:c r="L125" s="125"/>
      <x:c r="M125" s="125"/>
      <x:c r="N125" s="125"/>
      <x:c r="O125" s="125"/>
      <x:c r="P125" s="125"/>
      <x:c r="Q125" s="125"/>
    </x:row>
    <x:row r="126">
      <x:c r="A126" s="125"/>
      <x:c r="B126" s="125"/>
      <x:c r="C126" s="125"/>
      <x:c r="D126" s="125"/>
      <x:c r="E126" s="125"/>
      <x:c r="F126" s="125"/>
      <x:c r="G126" s="125"/>
      <x:c r="H126" s="125"/>
      <x:c r="I126" s="125"/>
      <x:c r="J126" s="125"/>
      <x:c r="K126" s="125"/>
      <x:c r="L126" s="125"/>
      <x:c r="M126" s="125"/>
      <x:c r="N126" s="125"/>
      <x:c r="O126" s="125"/>
      <x:c r="P126" s="125"/>
      <x:c r="Q126" s="125"/>
    </x:row>
    <x:row r="127">
      <x:c r="A127" s="125"/>
      <x:c r="B127" s="125"/>
      <x:c r="C127" s="125"/>
      <x:c r="D127" s="125"/>
      <x:c r="E127" s="125"/>
      <x:c r="F127" s="125"/>
      <x:c r="G127" s="125"/>
      <x:c r="H127" s="125"/>
      <x:c r="I127" s="125"/>
      <x:c r="J127" s="125"/>
      <x:c r="K127" s="125"/>
      <x:c r="L127" s="125"/>
      <x:c r="M127" s="125"/>
      <x:c r="N127" s="125"/>
      <x:c r="O127" s="125"/>
      <x:c r="P127" s="125"/>
      <x:c r="Q127" s="125"/>
    </x:row>
    <x:row r="128">
      <x:c r="A128" s="125"/>
      <x:c r="B128" s="125"/>
      <x:c r="C128" s="125"/>
      <x:c r="D128" s="125"/>
      <x:c r="E128" s="125"/>
      <x:c r="F128" s="125"/>
      <x:c r="G128" s="125"/>
      <x:c r="H128" s="125"/>
      <x:c r="I128" s="125"/>
      <x:c r="J128" s="125"/>
      <x:c r="K128" s="125"/>
      <x:c r="L128" s="125"/>
      <x:c r="M128" s="125"/>
      <x:c r="N128" s="125"/>
      <x:c r="O128" s="125"/>
      <x:c r="P128" s="125"/>
      <x:c r="Q128" s="125"/>
    </x:row>
    <x:row r="129">
      <x:c r="A129" s="125"/>
      <x:c r="B129" s="125"/>
      <x:c r="C129" s="125"/>
      <x:c r="D129" s="125"/>
      <x:c r="E129" s="125"/>
      <x:c r="F129" s="125"/>
      <x:c r="G129" s="125"/>
      <x:c r="H129" s="125"/>
      <x:c r="I129" s="125"/>
      <x:c r="J129" s="125"/>
      <x:c r="K129" s="125"/>
      <x:c r="L129" s="125"/>
      <x:c r="M129" s="125"/>
      <x:c r="N129" s="125"/>
      <x:c r="O129" s="125"/>
      <x:c r="P129" s="125"/>
      <x:c r="Q129" s="125"/>
    </x:row>
    <x:row r="130">
      <x:c r="A130" s="125"/>
      <x:c r="B130" s="125"/>
      <x:c r="C130" s="125"/>
      <x:c r="D130" s="125"/>
      <x:c r="E130" s="125"/>
      <x:c r="F130" s="125"/>
      <x:c r="G130" s="125"/>
      <x:c r="H130" s="125"/>
      <x:c r="I130" s="125"/>
      <x:c r="J130" s="125"/>
      <x:c r="K130" s="125"/>
      <x:c r="L130" s="125"/>
      <x:c r="M130" s="125"/>
      <x:c r="N130" s="125"/>
      <x:c r="O130" s="125"/>
      <x:c r="P130" s="125"/>
      <x:c r="Q130" s="125"/>
    </x:row>
    <x:row r="131">
      <x:c r="A131" s="125"/>
      <x:c r="B131" s="125"/>
      <x:c r="C131" s="125"/>
      <x:c r="D131" s="125"/>
      <x:c r="E131" s="125"/>
      <x:c r="F131" s="125"/>
      <x:c r="G131" s="125"/>
      <x:c r="H131" s="125"/>
      <x:c r="I131" s="125"/>
      <x:c r="J131" s="125"/>
      <x:c r="K131" s="125"/>
      <x:c r="L131" s="125"/>
      <x:c r="M131" s="125"/>
      <x:c r="N131" s="125"/>
      <x:c r="O131" s="125"/>
      <x:c r="P131" s="125"/>
      <x:c r="Q131" s="125"/>
    </x:row>
    <x:row r="132">
      <x:c r="A132" s="125"/>
      <x:c r="B132" s="125"/>
      <x:c r="C132" s="125"/>
      <x:c r="D132" s="125"/>
      <x:c r="E132" s="125"/>
      <x:c r="F132" s="125"/>
      <x:c r="G132" s="125"/>
      <x:c r="H132" s="125"/>
      <x:c r="I132" s="125"/>
      <x:c r="J132" s="125"/>
      <x:c r="K132" s="125"/>
      <x:c r="L132" s="125"/>
      <x:c r="M132" s="125"/>
      <x:c r="N132" s="125"/>
      <x:c r="O132" s="125"/>
      <x:c r="P132" s="125"/>
      <x:c r="Q132" s="125"/>
    </x:row>
    <x:row r="133">
      <x:c r="A133" s="125"/>
      <x:c r="B133" s="125"/>
      <x:c r="C133" s="125"/>
      <x:c r="D133" s="125"/>
      <x:c r="E133" s="125"/>
      <x:c r="F133" s="125"/>
      <x:c r="G133" s="125"/>
      <x:c r="H133" s="125"/>
      <x:c r="I133" s="125"/>
      <x:c r="J133" s="125"/>
      <x:c r="K133" s="125"/>
      <x:c r="L133" s="125"/>
      <x:c r="M133" s="125"/>
      <x:c r="N133" s="125"/>
      <x:c r="O133" s="125"/>
      <x:c r="P133" s="125"/>
      <x:c r="Q133" s="125"/>
    </x:row>
    <x:row r="134">
      <x:c r="A134" s="125"/>
      <x:c r="B134" s="125"/>
      <x:c r="C134" s="125"/>
      <x:c r="D134" s="125"/>
      <x:c r="E134" s="125"/>
      <x:c r="F134" s="125"/>
      <x:c r="G134" s="125"/>
      <x:c r="H134" s="125"/>
      <x:c r="I134" s="125"/>
      <x:c r="J134" s="125"/>
      <x:c r="K134" s="125"/>
      <x:c r="L134" s="125"/>
      <x:c r="M134" s="125"/>
      <x:c r="N134" s="125"/>
      <x:c r="O134" s="125"/>
      <x:c r="P134" s="125"/>
      <x:c r="Q134" s="125"/>
    </x:row>
    <x:row r="135">
      <x:c r="A135" s="125"/>
      <x:c r="B135" s="125"/>
      <x:c r="C135" s="125"/>
      <x:c r="D135" s="125"/>
      <x:c r="E135" s="125"/>
      <x:c r="F135" s="125"/>
      <x:c r="G135" s="125"/>
      <x:c r="H135" s="125"/>
      <x:c r="I135" s="125"/>
      <x:c r="J135" s="125"/>
      <x:c r="K135" s="125"/>
      <x:c r="L135" s="125"/>
      <x:c r="M135" s="125"/>
      <x:c r="N135" s="125"/>
      <x:c r="O135" s="125"/>
      <x:c r="P135" s="125"/>
      <x:c r="Q135" s="125"/>
    </x:row>
    <x:row r="136">
      <x:c r="A136" s="125"/>
      <x:c r="B136" s="125"/>
      <x:c r="C136" s="125"/>
      <x:c r="D136" s="125"/>
      <x:c r="E136" s="125"/>
      <x:c r="F136" s="125"/>
      <x:c r="G136" s="125"/>
      <x:c r="H136" s="125"/>
      <x:c r="I136" s="125"/>
      <x:c r="J136" s="125"/>
      <x:c r="K136" s="125"/>
      <x:c r="L136" s="125"/>
      <x:c r="M136" s="125"/>
      <x:c r="N136" s="125"/>
      <x:c r="O136" s="125"/>
      <x:c r="P136" s="125"/>
      <x:c r="Q136" s="125"/>
    </x:row>
    <x:row r="137">
      <x:c r="A137" s="125"/>
      <x:c r="B137" s="125"/>
      <x:c r="C137" s="125"/>
      <x:c r="D137" s="125"/>
      <x:c r="E137" s="125"/>
      <x:c r="F137" s="125"/>
      <x:c r="G137" s="125"/>
      <x:c r="H137" s="125"/>
      <x:c r="I137" s="125"/>
      <x:c r="J137" s="125"/>
      <x:c r="K137" s="125"/>
      <x:c r="L137" s="125"/>
      <x:c r="M137" s="125"/>
      <x:c r="N137" s="125"/>
      <x:c r="O137" s="125"/>
      <x:c r="P137" s="125"/>
      <x:c r="Q137" s="125"/>
    </x:row>
    <x:row r="138">
      <x:c r="A138" s="125"/>
      <x:c r="B138" s="125"/>
      <x:c r="C138" s="125"/>
      <x:c r="D138" s="125"/>
      <x:c r="E138" s="125"/>
      <x:c r="F138" s="125"/>
      <x:c r="G138" s="125"/>
      <x:c r="H138" s="125"/>
      <x:c r="I138" s="125"/>
      <x:c r="J138" s="125"/>
      <x:c r="K138" s="125"/>
      <x:c r="L138" s="125"/>
      <x:c r="M138" s="125"/>
      <x:c r="N138" s="125"/>
      <x:c r="O138" s="125"/>
      <x:c r="P138" s="125"/>
      <x:c r="Q138" s="125"/>
    </x:row>
    <x:row r="139">
      <x:c r="A139" s="125"/>
      <x:c r="B139" s="125"/>
      <x:c r="C139" s="125"/>
      <x:c r="D139" s="125"/>
      <x:c r="E139" s="125"/>
      <x:c r="F139" s="125"/>
      <x:c r="G139" s="125"/>
      <x:c r="H139" s="125"/>
      <x:c r="I139" s="125"/>
      <x:c r="J139" s="125"/>
      <x:c r="K139" s="125"/>
      <x:c r="L139" s="125"/>
      <x:c r="M139" s="125"/>
      <x:c r="N139" s="125"/>
      <x:c r="O139" s="125"/>
      <x:c r="P139" s="125"/>
      <x:c r="Q139" s="125"/>
    </x:row>
    <x:row r="140">
      <x:c r="A140" s="125"/>
      <x:c r="B140" s="125"/>
      <x:c r="C140" s="125"/>
      <x:c r="D140" s="125"/>
      <x:c r="E140" s="125"/>
      <x:c r="F140" s="125"/>
      <x:c r="G140" s="125"/>
      <x:c r="H140" s="125"/>
      <x:c r="I140" s="125"/>
      <x:c r="J140" s="125"/>
      <x:c r="K140" s="125"/>
      <x:c r="L140" s="125"/>
      <x:c r="M140" s="125"/>
      <x:c r="N140" s="125"/>
      <x:c r="O140" s="125"/>
      <x:c r="P140" s="125"/>
      <x:c r="Q140" s="125"/>
    </x:row>
    <x:row r="141">
      <x:c r="A141" s="125"/>
      <x:c r="B141" s="125"/>
      <x:c r="C141" s="125"/>
      <x:c r="D141" s="125"/>
      <x:c r="E141" s="125"/>
      <x:c r="F141" s="125"/>
      <x:c r="G141" s="125"/>
      <x:c r="H141" s="125"/>
      <x:c r="I141" s="125"/>
      <x:c r="J141" s="125"/>
      <x:c r="K141" s="125"/>
      <x:c r="L141" s="125"/>
      <x:c r="M141" s="125"/>
      <x:c r="N141" s="125"/>
      <x:c r="O141" s="125"/>
      <x:c r="P141" s="125"/>
      <x:c r="Q141" s="125"/>
    </x:row>
    <x:row r="142">
      <x:c r="A142" s="125"/>
      <x:c r="B142" s="125"/>
      <x:c r="C142" s="125"/>
      <x:c r="D142" s="125"/>
      <x:c r="E142" s="125"/>
      <x:c r="F142" s="125"/>
      <x:c r="G142" s="125"/>
      <x:c r="H142" s="125"/>
      <x:c r="I142" s="125"/>
      <x:c r="J142" s="125"/>
      <x:c r="K142" s="125"/>
      <x:c r="L142" s="125"/>
      <x:c r="M142" s="125"/>
      <x:c r="N142" s="125"/>
      <x:c r="O142" s="125"/>
      <x:c r="P142" s="125"/>
      <x:c r="Q142" s="125"/>
    </x:row>
    <x:row r="143">
      <x:c r="A143" s="125"/>
      <x:c r="B143" s="125"/>
      <x:c r="C143" s="125"/>
      <x:c r="D143" s="125"/>
      <x:c r="E143" s="125"/>
      <x:c r="F143" s="125"/>
      <x:c r="G143" s="125"/>
      <x:c r="H143" s="125"/>
      <x:c r="I143" s="125"/>
      <x:c r="J143" s="125"/>
      <x:c r="K143" s="125"/>
      <x:c r="L143" s="125"/>
      <x:c r="M143" s="125"/>
      <x:c r="N143" s="125"/>
      <x:c r="O143" s="125"/>
      <x:c r="P143" s="125"/>
      <x:c r="Q143" s="125"/>
    </x:row>
    <x:row r="144">
      <x:c r="A144" s="125"/>
      <x:c r="B144" s="125"/>
      <x:c r="C144" s="125"/>
      <x:c r="D144" s="125"/>
      <x:c r="E144" s="125"/>
      <x:c r="F144" s="125"/>
      <x:c r="G144" s="125"/>
      <x:c r="H144" s="125"/>
      <x:c r="I144" s="125"/>
      <x:c r="J144" s="125"/>
      <x:c r="K144" s="125"/>
      <x:c r="L144" s="125"/>
      <x:c r="M144" s="125"/>
      <x:c r="N144" s="125"/>
      <x:c r="O144" s="125"/>
      <x:c r="P144" s="125"/>
      <x:c r="Q144" s="125"/>
    </x:row>
    <x:row r="145">
      <x:c r="A145" s="125"/>
      <x:c r="B145" s="125"/>
      <x:c r="C145" s="125"/>
      <x:c r="D145" s="125"/>
      <x:c r="E145" s="125"/>
      <x:c r="F145" s="125"/>
      <x:c r="G145" s="125"/>
      <x:c r="H145" s="125"/>
      <x:c r="I145" s="125"/>
      <x:c r="J145" s="125"/>
      <x:c r="K145" s="125"/>
      <x:c r="L145" s="125"/>
      <x:c r="M145" s="125"/>
      <x:c r="N145" s="125"/>
      <x:c r="O145" s="125"/>
      <x:c r="P145" s="125"/>
      <x:c r="Q145" s="125"/>
    </x:row>
    <x:row r="146">
      <x:c r="A146" s="125"/>
      <x:c r="B146" s="125"/>
      <x:c r="C146" s="125"/>
      <x:c r="D146" s="125"/>
      <x:c r="E146" s="125"/>
      <x:c r="F146" s="125"/>
      <x:c r="G146" s="125"/>
      <x:c r="H146" s="125"/>
      <x:c r="I146" s="125"/>
      <x:c r="J146" s="125"/>
      <x:c r="K146" s="125"/>
      <x:c r="L146" s="125"/>
      <x:c r="M146" s="125"/>
      <x:c r="N146" s="125"/>
      <x:c r="O146" s="125"/>
      <x:c r="P146" s="125"/>
      <x:c r="Q146" s="125"/>
    </x:row>
    <x:row r="147">
      <x:c r="A147" s="125"/>
      <x:c r="B147" s="125"/>
      <x:c r="C147" s="125"/>
      <x:c r="D147" s="125"/>
      <x:c r="E147" s="125"/>
      <x:c r="F147" s="125"/>
      <x:c r="G147" s="125"/>
      <x:c r="H147" s="125"/>
      <x:c r="I147" s="125"/>
      <x:c r="J147" s="125"/>
      <x:c r="K147" s="125"/>
      <x:c r="L147" s="125"/>
      <x:c r="M147" s="125"/>
      <x:c r="N147" s="125"/>
      <x:c r="O147" s="125"/>
      <x:c r="P147" s="125"/>
      <x:c r="Q147" s="125"/>
    </x:row>
    <x:row r="148">
      <x:c r="A148" s="125"/>
      <x:c r="B148" s="125"/>
      <x:c r="C148" s="125"/>
      <x:c r="D148" s="125"/>
      <x:c r="E148" s="125"/>
      <x:c r="F148" s="125"/>
      <x:c r="G148" s="125"/>
      <x:c r="H148" s="125"/>
      <x:c r="I148" s="125"/>
      <x:c r="J148" s="125"/>
      <x:c r="K148" s="125"/>
      <x:c r="L148" s="125"/>
      <x:c r="M148" s="125"/>
      <x:c r="N148" s="125"/>
      <x:c r="O148" s="125"/>
      <x:c r="P148" s="125"/>
      <x:c r="Q148" s="125"/>
    </x:row>
    <x:row r="149">
      <x:c r="A149" s="125"/>
      <x:c r="B149" s="125"/>
      <x:c r="C149" s="125"/>
      <x:c r="D149" s="125"/>
      <x:c r="E149" s="125"/>
      <x:c r="F149" s="125"/>
      <x:c r="G149" s="125"/>
      <x:c r="H149" s="125"/>
      <x:c r="I149" s="125"/>
      <x:c r="J149" s="125"/>
      <x:c r="K149" s="125"/>
      <x:c r="L149" s="125"/>
      <x:c r="M149" s="125"/>
      <x:c r="N149" s="125"/>
      <x:c r="O149" s="125"/>
      <x:c r="P149" s="125"/>
      <x:c r="Q149" s="125"/>
    </x:row>
    <x:row r="150">
      <x:c r="A150" s="125"/>
      <x:c r="B150" s="125"/>
      <x:c r="C150" s="125"/>
      <x:c r="D150" s="125"/>
      <x:c r="E150" s="125"/>
      <x:c r="F150" s="125"/>
      <x:c r="G150" s="125"/>
      <x:c r="H150" s="125"/>
      <x:c r="I150" s="125"/>
      <x:c r="J150" s="125"/>
      <x:c r="K150" s="125"/>
      <x:c r="L150" s="125"/>
      <x:c r="M150" s="125"/>
      <x:c r="N150" s="125"/>
      <x:c r="O150" s="125"/>
      <x:c r="P150" s="125"/>
      <x:c r="Q150" s="125"/>
    </x:row>
    <x:row r="151">
      <x:c r="A151" s="125"/>
      <x:c r="B151" s="125"/>
      <x:c r="C151" s="125"/>
      <x:c r="D151" s="125"/>
      <x:c r="E151" s="125"/>
      <x:c r="F151" s="125"/>
      <x:c r="G151" s="125"/>
      <x:c r="H151" s="125"/>
      <x:c r="I151" s="125"/>
      <x:c r="J151" s="125"/>
      <x:c r="K151" s="125"/>
      <x:c r="L151" s="125"/>
      <x:c r="M151" s="125"/>
      <x:c r="N151" s="125"/>
      <x:c r="O151" s="125"/>
      <x:c r="P151" s="125"/>
      <x:c r="Q151" s="125"/>
    </x:row>
    <x:row r="152">
      <x:c r="A152" s="125"/>
      <x:c r="B152" s="125"/>
      <x:c r="C152" s="125"/>
      <x:c r="D152" s="125"/>
      <x:c r="E152" s="125"/>
      <x:c r="F152" s="125"/>
      <x:c r="G152" s="125"/>
      <x:c r="H152" s="125"/>
      <x:c r="I152" s="125"/>
      <x:c r="J152" s="125"/>
      <x:c r="K152" s="125"/>
      <x:c r="L152" s="125"/>
      <x:c r="M152" s="125"/>
      <x:c r="N152" s="125"/>
      <x:c r="O152" s="125"/>
      <x:c r="P152" s="125"/>
      <x:c r="Q152" s="125"/>
    </x:row>
    <x:row r="153">
      <x:c r="A153" s="125"/>
      <x:c r="B153" s="125"/>
      <x:c r="C153" s="125"/>
      <x:c r="D153" s="125"/>
      <x:c r="E153" s="125"/>
      <x:c r="F153" s="125"/>
      <x:c r="G153" s="125"/>
      <x:c r="H153" s="125"/>
      <x:c r="I153" s="125"/>
      <x:c r="J153" s="125"/>
      <x:c r="K153" s="125"/>
      <x:c r="L153" s="125"/>
      <x:c r="M153" s="125"/>
      <x:c r="N153" s="125"/>
      <x:c r="O153" s="125"/>
      <x:c r="P153" s="125"/>
      <x:c r="Q153" s="125"/>
    </x:row>
    <x:row r="154">
      <x:c r="A154" s="125"/>
      <x:c r="B154" s="125"/>
      <x:c r="C154" s="125"/>
      <x:c r="D154" s="125"/>
      <x:c r="E154" s="125"/>
      <x:c r="F154" s="125"/>
      <x:c r="G154" s="125"/>
      <x:c r="H154" s="125"/>
      <x:c r="I154" s="125"/>
      <x:c r="J154" s="125"/>
      <x:c r="K154" s="125"/>
      <x:c r="L154" s="125"/>
      <x:c r="M154" s="125"/>
      <x:c r="N154" s="125"/>
      <x:c r="O154" s="125"/>
      <x:c r="P154" s="125"/>
      <x:c r="Q154" s="125"/>
    </x:row>
    <x:row r="155">
      <x:c r="A155" s="125"/>
      <x:c r="B155" s="125"/>
      <x:c r="C155" s="125"/>
      <x:c r="D155" s="125"/>
      <x:c r="E155" s="125"/>
      <x:c r="F155" s="125"/>
      <x:c r="G155" s="125"/>
      <x:c r="H155" s="125"/>
      <x:c r="I155" s="125"/>
      <x:c r="J155" s="125"/>
      <x:c r="K155" s="125"/>
      <x:c r="L155" s="125"/>
      <x:c r="M155" s="125"/>
      <x:c r="N155" s="125"/>
      <x:c r="O155" s="125"/>
      <x:c r="P155" s="125"/>
      <x:c r="Q155" s="125"/>
    </x:row>
    <x:row r="156">
      <x:c r="A156" s="125"/>
      <x:c r="B156" s="125"/>
      <x:c r="C156" s="125"/>
      <x:c r="D156" s="125"/>
      <x:c r="E156" s="125"/>
      <x:c r="F156" s="125"/>
      <x:c r="G156" s="125"/>
      <x:c r="H156" s="125"/>
      <x:c r="I156" s="125"/>
      <x:c r="J156" s="125"/>
      <x:c r="K156" s="125"/>
      <x:c r="L156" s="125"/>
      <x:c r="M156" s="125"/>
      <x:c r="N156" s="125"/>
      <x:c r="O156" s="125"/>
      <x:c r="P156" s="125"/>
      <x:c r="Q156" s="125"/>
    </x:row>
    <x:row r="157">
      <x:c r="A157" s="125"/>
      <x:c r="B157" s="125"/>
      <x:c r="C157" s="125"/>
      <x:c r="D157" s="125"/>
      <x:c r="E157" s="125"/>
      <x:c r="F157" s="125"/>
      <x:c r="G157" s="125"/>
      <x:c r="H157" s="125"/>
      <x:c r="I157" s="125"/>
      <x:c r="J157" s="125"/>
      <x:c r="K157" s="125"/>
      <x:c r="L157" s="125"/>
      <x:c r="M157" s="125"/>
      <x:c r="N157" s="125"/>
      <x:c r="O157" s="125"/>
      <x:c r="P157" s="125"/>
      <x:c r="Q157" s="125"/>
    </x:row>
    <x:row r="158">
      <x:c r="A158" s="125"/>
      <x:c r="B158" s="125"/>
      <x:c r="C158" s="125"/>
      <x:c r="D158" s="125"/>
      <x:c r="E158" s="125"/>
      <x:c r="F158" s="125"/>
      <x:c r="G158" s="125"/>
      <x:c r="H158" s="125"/>
      <x:c r="I158" s="125"/>
      <x:c r="J158" s="125"/>
      <x:c r="K158" s="125"/>
      <x:c r="L158" s="125"/>
      <x:c r="M158" s="125"/>
      <x:c r="N158" s="125"/>
      <x:c r="O158" s="125"/>
      <x:c r="P158" s="125"/>
      <x:c r="Q158" s="125"/>
    </x:row>
    <x:row r="159">
      <x:c r="A159" s="125"/>
      <x:c r="B159" s="125"/>
      <x:c r="C159" s="125"/>
      <x:c r="D159" s="125"/>
      <x:c r="E159" s="125"/>
      <x:c r="F159" s="125"/>
      <x:c r="G159" s="125"/>
      <x:c r="H159" s="125"/>
      <x:c r="I159" s="125"/>
      <x:c r="J159" s="125"/>
      <x:c r="K159" s="125"/>
      <x:c r="L159" s="125"/>
      <x:c r="M159" s="125"/>
      <x:c r="N159" s="125"/>
      <x:c r="O159" s="125"/>
      <x:c r="P159" s="125"/>
      <x:c r="Q159" s="125"/>
    </x:row>
    <x:row r="160">
      <x:c r="A160" s="125"/>
      <x:c r="B160" s="125"/>
      <x:c r="C160" s="125"/>
      <x:c r="D160" s="125"/>
      <x:c r="E160" s="125"/>
      <x:c r="F160" s="125"/>
      <x:c r="G160" s="125"/>
      <x:c r="H160" s="125"/>
      <x:c r="I160" s="125"/>
      <x:c r="J160" s="125"/>
      <x:c r="K160" s="125"/>
      <x:c r="L160" s="125"/>
      <x:c r="M160" s="125"/>
      <x:c r="N160" s="125"/>
      <x:c r="O160" s="125"/>
      <x:c r="P160" s="125"/>
      <x:c r="Q160" s="125"/>
    </x:row>
    <x:row r="161">
      <x:c r="A161" s="125"/>
      <x:c r="B161" s="125"/>
      <x:c r="C161" s="125"/>
      <x:c r="D161" s="125"/>
      <x:c r="E161" s="125"/>
      <x:c r="F161" s="125"/>
      <x:c r="G161" s="125"/>
      <x:c r="H161" s="125"/>
      <x:c r="I161" s="125"/>
      <x:c r="J161" s="125"/>
      <x:c r="K161" s="125"/>
      <x:c r="L161" s="125"/>
      <x:c r="M161" s="125"/>
      <x:c r="N161" s="125"/>
      <x:c r="O161" s="125"/>
      <x:c r="P161" s="125"/>
      <x:c r="Q161" s="125"/>
    </x:row>
    <x:row r="162">
      <x:c r="A162" s="125"/>
      <x:c r="B162" s="125"/>
      <x:c r="C162" s="125"/>
      <x:c r="D162" s="125"/>
      <x:c r="E162" s="125"/>
      <x:c r="F162" s="125"/>
      <x:c r="G162" s="125"/>
      <x:c r="H162" s="125"/>
      <x:c r="I162" s="125"/>
      <x:c r="J162" s="125"/>
      <x:c r="K162" s="125"/>
      <x:c r="L162" s="125"/>
      <x:c r="M162" s="125"/>
      <x:c r="N162" s="125"/>
      <x:c r="O162" s="125"/>
      <x:c r="P162" s="125"/>
      <x:c r="Q162" s="125"/>
    </x:row>
    <x:row r="163">
      <x:c r="A163" s="125"/>
      <x:c r="B163" s="125"/>
      <x:c r="C163" s="125"/>
      <x:c r="D163" s="125"/>
      <x:c r="E163" s="125"/>
      <x:c r="F163" s="125"/>
      <x:c r="G163" s="125"/>
      <x:c r="H163" s="125"/>
      <x:c r="I163" s="125"/>
      <x:c r="J163" s="125"/>
      <x:c r="K163" s="125"/>
      <x:c r="L163" s="125"/>
      <x:c r="M163" s="125"/>
      <x:c r="N163" s="125"/>
      <x:c r="O163" s="125"/>
      <x:c r="P163" s="125"/>
      <x:c r="Q163" s="125"/>
    </x:row>
    <x:row r="164">
      <x:c r="A164" s="125"/>
      <x:c r="B164" s="125"/>
      <x:c r="C164" s="125"/>
      <x:c r="D164" s="125"/>
      <x:c r="E164" s="125"/>
      <x:c r="F164" s="125"/>
      <x:c r="G164" s="125"/>
      <x:c r="H164" s="125"/>
      <x:c r="I164" s="125"/>
      <x:c r="J164" s="125"/>
      <x:c r="K164" s="125"/>
      <x:c r="L164" s="125"/>
      <x:c r="M164" s="125"/>
      <x:c r="N164" s="125"/>
      <x:c r="O164" s="125"/>
      <x:c r="P164" s="125"/>
      <x:c r="Q164" s="125"/>
    </x:row>
    <x:row r="165">
      <x:c r="A165" s="125"/>
      <x:c r="B165" s="125"/>
      <x:c r="C165" s="125"/>
      <x:c r="D165" s="125"/>
      <x:c r="E165" s="125"/>
      <x:c r="F165" s="125"/>
      <x:c r="G165" s="125"/>
      <x:c r="H165" s="125"/>
      <x:c r="I165" s="125"/>
      <x:c r="J165" s="125"/>
      <x:c r="K165" s="125"/>
      <x:c r="L165" s="125"/>
      <x:c r="M165" s="125"/>
      <x:c r="N165" s="125"/>
      <x:c r="O165" s="125"/>
      <x:c r="P165" s="125"/>
      <x:c r="Q165" s="125"/>
    </x:row>
    <x:row r="166">
      <x:c r="A166" s="125"/>
      <x:c r="B166" s="125"/>
      <x:c r="C166" s="125"/>
      <x:c r="D166" s="125"/>
      <x:c r="E166" s="125"/>
      <x:c r="F166" s="125"/>
      <x:c r="G166" s="125"/>
      <x:c r="H166" s="125"/>
      <x:c r="I166" s="125"/>
      <x:c r="J166" s="125"/>
      <x:c r="K166" s="125"/>
      <x:c r="L166" s="125"/>
      <x:c r="M166" s="125"/>
      <x:c r="N166" s="125"/>
      <x:c r="O166" s="125"/>
      <x:c r="P166" s="125"/>
      <x:c r="Q166" s="125"/>
    </x:row>
    <x:row r="167">
      <x:c r="A167" s="125"/>
      <x:c r="B167" s="125"/>
      <x:c r="C167" s="125"/>
      <x:c r="D167" s="125"/>
      <x:c r="E167" s="125"/>
      <x:c r="F167" s="125"/>
      <x:c r="G167" s="125"/>
      <x:c r="H167" s="125"/>
      <x:c r="I167" s="125"/>
      <x:c r="J167" s="125"/>
      <x:c r="K167" s="125"/>
      <x:c r="L167" s="125"/>
      <x:c r="M167" s="125"/>
      <x:c r="N167" s="125"/>
      <x:c r="O167" s="125"/>
      <x:c r="P167" s="125"/>
      <x:c r="Q167" s="125"/>
    </x:row>
    <x:row r="168">
      <x:c r="A168" s="125"/>
      <x:c r="B168" s="125"/>
      <x:c r="C168" s="125"/>
      <x:c r="D168" s="125"/>
      <x:c r="E168" s="125"/>
      <x:c r="F168" s="125"/>
      <x:c r="G168" s="125"/>
      <x:c r="H168" s="125"/>
      <x:c r="I168" s="125"/>
      <x:c r="J168" s="125"/>
      <x:c r="K168" s="125"/>
      <x:c r="L168" s="125"/>
      <x:c r="M168" s="125"/>
      <x:c r="N168" s="125"/>
      <x:c r="O168" s="125"/>
      <x:c r="P168" s="125"/>
      <x:c r="Q168" s="125"/>
    </x:row>
    <x:row r="169">
      <x:c r="A169" s="125"/>
      <x:c r="B169" s="125"/>
      <x:c r="C169" s="125"/>
      <x:c r="D169" s="125"/>
      <x:c r="E169" s="125"/>
      <x:c r="F169" s="125"/>
      <x:c r="G169" s="125"/>
      <x:c r="H169" s="125"/>
      <x:c r="I169" s="125"/>
      <x:c r="J169" s="125"/>
      <x:c r="K169" s="125"/>
      <x:c r="L169" s="125"/>
      <x:c r="M169" s="125"/>
      <x:c r="N169" s="125"/>
      <x:c r="O169" s="125"/>
      <x:c r="P169" s="125"/>
      <x:c r="Q169" s="125"/>
    </x:row>
    <x:row r="170">
      <x:c r="A170" s="125"/>
      <x:c r="B170" s="125"/>
      <x:c r="C170" s="125"/>
      <x:c r="D170" s="125"/>
      <x:c r="E170" s="125"/>
      <x:c r="F170" s="125"/>
      <x:c r="G170" s="125"/>
      <x:c r="H170" s="125"/>
      <x:c r="I170" s="125"/>
      <x:c r="J170" s="125"/>
      <x:c r="K170" s="125"/>
      <x:c r="L170" s="125"/>
      <x:c r="M170" s="125"/>
      <x:c r="N170" s="125"/>
      <x:c r="O170" s="125"/>
      <x:c r="P170" s="125"/>
      <x:c r="Q170" s="125"/>
    </x:row>
    <x:row r="171">
      <x:c r="A171" s="125"/>
      <x:c r="B171" s="125"/>
      <x:c r="C171" s="125"/>
      <x:c r="D171" s="125"/>
      <x:c r="E171" s="125"/>
      <x:c r="F171" s="125"/>
      <x:c r="G171" s="125"/>
      <x:c r="H171" s="125"/>
      <x:c r="I171" s="125"/>
      <x:c r="J171" s="125"/>
      <x:c r="K171" s="125"/>
      <x:c r="L171" s="125"/>
      <x:c r="M171" s="125"/>
      <x:c r="N171" s="125"/>
      <x:c r="O171" s="125"/>
      <x:c r="P171" s="125"/>
      <x:c r="Q171" s="125"/>
    </x:row>
    <x:row r="172">
      <x:c r="A172" s="125"/>
      <x:c r="B172" s="125"/>
      <x:c r="C172" s="125"/>
      <x:c r="D172" s="125"/>
      <x:c r="E172" s="125"/>
      <x:c r="F172" s="125"/>
      <x:c r="G172" s="125"/>
      <x:c r="H172" s="125"/>
      <x:c r="I172" s="125"/>
      <x:c r="J172" s="125"/>
      <x:c r="K172" s="125"/>
      <x:c r="L172" s="125"/>
      <x:c r="M172" s="125"/>
      <x:c r="N172" s="125"/>
      <x:c r="O172" s="125"/>
      <x:c r="P172" s="125"/>
      <x:c r="Q172" s="125"/>
    </x:row>
    <x:row r="173">
      <x:c r="A173" s="125"/>
      <x:c r="B173" s="125"/>
      <x:c r="C173" s="125"/>
      <x:c r="D173" s="125"/>
      <x:c r="E173" s="125"/>
      <x:c r="F173" s="125"/>
      <x:c r="G173" s="125"/>
      <x:c r="H173" s="125"/>
      <x:c r="I173" s="125"/>
      <x:c r="J173" s="125"/>
      <x:c r="K173" s="125"/>
      <x:c r="L173" s="125"/>
      <x:c r="M173" s="125"/>
      <x:c r="N173" s="125"/>
      <x:c r="O173" s="125"/>
      <x:c r="P173" s="125"/>
      <x:c r="Q173" s="125"/>
    </x:row>
    <x:row r="174">
      <x:c r="A174" s="125"/>
      <x:c r="B174" s="125"/>
      <x:c r="C174" s="125"/>
      <x:c r="D174" s="125"/>
      <x:c r="E174" s="125"/>
      <x:c r="F174" s="125"/>
      <x:c r="G174" s="125"/>
      <x:c r="H174" s="125"/>
      <x:c r="I174" s="125"/>
      <x:c r="J174" s="125"/>
      <x:c r="K174" s="125"/>
      <x:c r="L174" s="125"/>
      <x:c r="M174" s="125"/>
      <x:c r="N174" s="125"/>
      <x:c r="O174" s="125"/>
      <x:c r="P174" s="125"/>
      <x:c r="Q174" s="125"/>
    </x:row>
    <x:row r="175">
      <x:c r="A175" s="125"/>
      <x:c r="B175" s="125"/>
      <x:c r="C175" s="125"/>
      <x:c r="D175" s="125"/>
      <x:c r="E175" s="125"/>
      <x:c r="F175" s="125"/>
      <x:c r="G175" s="125"/>
      <x:c r="H175" s="125"/>
      <x:c r="I175" s="125"/>
      <x:c r="J175" s="125"/>
      <x:c r="K175" s="125"/>
      <x:c r="L175" s="125"/>
      <x:c r="M175" s="125"/>
      <x:c r="N175" s="125"/>
      <x:c r="O175" s="125"/>
      <x:c r="P175" s="125"/>
      <x:c r="Q175" s="125"/>
    </x:row>
    <x:row r="176">
      <x:c r="A176" s="125"/>
      <x:c r="B176" s="125"/>
      <x:c r="C176" s="125"/>
      <x:c r="D176" s="125"/>
      <x:c r="E176" s="125"/>
      <x:c r="F176" s="125"/>
      <x:c r="G176" s="125"/>
      <x:c r="H176" s="125"/>
      <x:c r="I176" s="125"/>
      <x:c r="J176" s="125"/>
      <x:c r="K176" s="125"/>
      <x:c r="L176" s="125"/>
      <x:c r="M176" s="125"/>
      <x:c r="N176" s="125"/>
      <x:c r="O176" s="125"/>
      <x:c r="P176" s="125"/>
      <x:c r="Q176" s="125"/>
    </x:row>
    <x:row r="177">
      <x:c r="A177" s="125"/>
      <x:c r="B177" s="125"/>
      <x:c r="C177" s="125"/>
      <x:c r="D177" s="125"/>
      <x:c r="E177" s="125"/>
      <x:c r="F177" s="125"/>
      <x:c r="G177" s="125"/>
      <x:c r="H177" s="125"/>
      <x:c r="I177" s="125"/>
      <x:c r="J177" s="125"/>
      <x:c r="K177" s="125"/>
      <x:c r="L177" s="125"/>
      <x:c r="M177" s="125"/>
      <x:c r="N177" s="125"/>
      <x:c r="O177" s="125"/>
      <x:c r="P177" s="125"/>
      <x:c r="Q177" s="125"/>
    </x:row>
    <x:row r="178">
      <x:c r="A178" s="125"/>
      <x:c r="B178" s="125"/>
      <x:c r="C178" s="125"/>
      <x:c r="D178" s="125"/>
      <x:c r="E178" s="125"/>
      <x:c r="F178" s="125"/>
      <x:c r="G178" s="125"/>
      <x:c r="H178" s="125"/>
      <x:c r="I178" s="125"/>
      <x:c r="J178" s="125"/>
      <x:c r="K178" s="125"/>
      <x:c r="L178" s="125"/>
      <x:c r="M178" s="125"/>
      <x:c r="N178" s="125"/>
      <x:c r="O178" s="125"/>
      <x:c r="P178" s="125"/>
      <x:c r="Q178" s="125"/>
    </x:row>
    <x:row r="179">
      <x:c r="A179" s="125"/>
      <x:c r="B179" s="125"/>
      <x:c r="C179" s="125"/>
      <x:c r="D179" s="125"/>
      <x:c r="E179" s="125"/>
      <x:c r="F179" s="125"/>
      <x:c r="G179" s="125"/>
      <x:c r="H179" s="125"/>
      <x:c r="I179" s="125"/>
      <x:c r="J179" s="125"/>
      <x:c r="K179" s="125"/>
      <x:c r="L179" s="125"/>
      <x:c r="M179" s="125"/>
      <x:c r="N179" s="125"/>
      <x:c r="O179" s="125"/>
      <x:c r="P179" s="125"/>
      <x:c r="Q179" s="125"/>
    </x:row>
    <x:row r="180">
      <x:c r="A180" s="125"/>
      <x:c r="B180" s="125"/>
      <x:c r="C180" s="125"/>
      <x:c r="D180" s="125"/>
      <x:c r="E180" s="125"/>
      <x:c r="F180" s="125"/>
      <x:c r="G180" s="125"/>
      <x:c r="H180" s="125"/>
      <x:c r="I180" s="125"/>
      <x:c r="J180" s="125"/>
      <x:c r="K180" s="125"/>
      <x:c r="L180" s="125"/>
      <x:c r="M180" s="125"/>
      <x:c r="N180" s="125"/>
      <x:c r="O180" s="125"/>
      <x:c r="P180" s="125"/>
      <x:c r="Q180" s="125"/>
    </x:row>
    <x:row r="181">
      <x:c r="A181" s="125"/>
      <x:c r="B181" s="125"/>
      <x:c r="C181" s="125"/>
      <x:c r="D181" s="125"/>
      <x:c r="E181" s="125"/>
      <x:c r="F181" s="125"/>
      <x:c r="G181" s="125"/>
      <x:c r="H181" s="125"/>
      <x:c r="I181" s="125"/>
      <x:c r="J181" s="125"/>
      <x:c r="K181" s="125"/>
      <x:c r="L181" s="125"/>
      <x:c r="M181" s="125"/>
      <x:c r="N181" s="125"/>
      <x:c r="O181" s="125"/>
      <x:c r="P181" s="125"/>
      <x:c r="Q181" s="125"/>
    </x:row>
    <x:row r="182">
      <x:c r="A182" s="125"/>
      <x:c r="B182" s="125"/>
      <x:c r="C182" s="125"/>
      <x:c r="D182" s="125"/>
      <x:c r="E182" s="125"/>
      <x:c r="F182" s="125"/>
      <x:c r="G182" s="125"/>
      <x:c r="H182" s="125"/>
      <x:c r="I182" s="125"/>
      <x:c r="J182" s="125"/>
      <x:c r="K182" s="125"/>
      <x:c r="L182" s="125"/>
      <x:c r="M182" s="125"/>
      <x:c r="N182" s="125"/>
      <x:c r="O182" s="125"/>
      <x:c r="P182" s="125"/>
      <x:c r="Q182" s="125"/>
    </x:row>
    <x:row r="183">
      <x:c r="A183" s="125"/>
      <x:c r="B183" s="125"/>
      <x:c r="C183" s="125"/>
      <x:c r="D183" s="125"/>
      <x:c r="E183" s="125"/>
      <x:c r="F183" s="125"/>
      <x:c r="G183" s="125"/>
      <x:c r="H183" s="125"/>
      <x:c r="I183" s="125"/>
      <x:c r="J183" s="125"/>
      <x:c r="K183" s="125"/>
      <x:c r="L183" s="125"/>
      <x:c r="M183" s="125"/>
      <x:c r="N183" s="125"/>
      <x:c r="O183" s="125"/>
      <x:c r="P183" s="125"/>
      <x:c r="Q183" s="125"/>
    </x:row>
    <x:row r="184">
      <x:c r="A184" s="125"/>
      <x:c r="B184" s="125"/>
      <x:c r="C184" s="125"/>
      <x:c r="D184" s="125"/>
      <x:c r="E184" s="125"/>
      <x:c r="F184" s="125"/>
      <x:c r="G184" s="125"/>
      <x:c r="H184" s="125"/>
      <x:c r="I184" s="125"/>
      <x:c r="J184" s="125"/>
      <x:c r="K184" s="125"/>
      <x:c r="L184" s="125"/>
      <x:c r="M184" s="125"/>
      <x:c r="N184" s="125"/>
      <x:c r="O184" s="125"/>
      <x:c r="P184" s="125"/>
      <x:c r="Q184" s="125"/>
    </x:row>
    <x:row r="185">
      <x:c r="A185" s="125"/>
      <x:c r="B185" s="125"/>
      <x:c r="C185" s="125"/>
      <x:c r="D185" s="125"/>
      <x:c r="E185" s="125"/>
      <x:c r="F185" s="125"/>
      <x:c r="G185" s="125"/>
      <x:c r="H185" s="125"/>
      <x:c r="I185" s="125"/>
      <x:c r="J185" s="125"/>
      <x:c r="K185" s="125"/>
      <x:c r="L185" s="125"/>
      <x:c r="M185" s="125"/>
      <x:c r="N185" s="125"/>
      <x:c r="O185" s="125"/>
      <x:c r="P185" s="125"/>
      <x:c r="Q185" s="125"/>
    </x:row>
    <x:row r="186">
      <x:c r="A186" s="125"/>
      <x:c r="B186" s="125"/>
      <x:c r="C186" s="125"/>
      <x:c r="D186" s="125"/>
      <x:c r="E186" s="125"/>
      <x:c r="F186" s="125"/>
      <x:c r="G186" s="125"/>
      <x:c r="H186" s="125"/>
      <x:c r="I186" s="125"/>
      <x:c r="J186" s="125"/>
      <x:c r="K186" s="125"/>
      <x:c r="L186" s="125"/>
      <x:c r="M186" s="125"/>
      <x:c r="N186" s="125"/>
      <x:c r="O186" s="125"/>
      <x:c r="P186" s="125"/>
      <x:c r="Q186" s="125"/>
    </x:row>
    <x:row r="187">
      <x:c r="A187" s="125"/>
      <x:c r="B187" s="125"/>
      <x:c r="C187" s="125"/>
      <x:c r="D187" s="125"/>
      <x:c r="E187" s="125"/>
      <x:c r="F187" s="125"/>
      <x:c r="G187" s="125"/>
      <x:c r="H187" s="125"/>
      <x:c r="I187" s="125"/>
      <x:c r="J187" s="125"/>
      <x:c r="K187" s="125"/>
      <x:c r="L187" s="125"/>
      <x:c r="M187" s="125"/>
      <x:c r="N187" s="125"/>
      <x:c r="O187" s="125"/>
      <x:c r="P187" s="125"/>
      <x:c r="Q187" s="125"/>
    </x:row>
    <x:row r="188">
      <x:c r="A188" s="125"/>
      <x:c r="B188" s="125"/>
      <x:c r="C188" s="125"/>
      <x:c r="D188" s="125"/>
      <x:c r="E188" s="125"/>
      <x:c r="F188" s="125"/>
      <x:c r="G188" s="125"/>
      <x:c r="H188" s="125"/>
      <x:c r="I188" s="125"/>
      <x:c r="J188" s="125"/>
      <x:c r="K188" s="125"/>
      <x:c r="L188" s="125"/>
      <x:c r="M188" s="125"/>
      <x:c r="N188" s="125"/>
      <x:c r="O188" s="125"/>
      <x:c r="P188" s="125"/>
      <x:c r="Q188" s="125"/>
    </x:row>
    <x:row r="189">
      <x:c r="A189" s="125"/>
      <x:c r="B189" s="125"/>
      <x:c r="C189" s="125"/>
      <x:c r="D189" s="125"/>
      <x:c r="E189" s="125"/>
      <x:c r="F189" s="125"/>
      <x:c r="G189" s="125"/>
      <x:c r="H189" s="125"/>
      <x:c r="I189" s="125"/>
      <x:c r="J189" s="125"/>
      <x:c r="K189" s="125"/>
      <x:c r="L189" s="125"/>
      <x:c r="M189" s="125"/>
      <x:c r="N189" s="125"/>
      <x:c r="O189" s="125"/>
      <x:c r="P189" s="125"/>
      <x:c r="Q189" s="125"/>
    </x:row>
    <x:row r="190">
      <x:c r="A190" s="125"/>
      <x:c r="B190" s="125"/>
      <x:c r="C190" s="125"/>
      <x:c r="D190" s="125"/>
      <x:c r="E190" s="125"/>
      <x:c r="F190" s="125"/>
      <x:c r="G190" s="125"/>
      <x:c r="H190" s="125"/>
      <x:c r="I190" s="125"/>
      <x:c r="J190" s="125"/>
      <x:c r="K190" s="125"/>
      <x:c r="L190" s="125"/>
      <x:c r="M190" s="125"/>
      <x:c r="N190" s="125"/>
      <x:c r="O190" s="125"/>
      <x:c r="P190" s="125"/>
      <x:c r="Q190" s="125"/>
    </x:row>
    <x:row r="191">
      <x:c r="A191" s="125"/>
      <x:c r="B191" s="125"/>
      <x:c r="C191" s="125"/>
      <x:c r="D191" s="125"/>
      <x:c r="E191" s="125"/>
      <x:c r="F191" s="125"/>
      <x:c r="G191" s="125"/>
      <x:c r="H191" s="125"/>
      <x:c r="I191" s="125"/>
      <x:c r="J191" s="125"/>
      <x:c r="K191" s="125"/>
      <x:c r="L191" s="125"/>
      <x:c r="M191" s="125"/>
      <x:c r="N191" s="125"/>
      <x:c r="O191" s="125"/>
      <x:c r="P191" s="125"/>
      <x:c r="Q191" s="125"/>
    </x:row>
    <x:row r="192">
      <x:c r="A192" s="125"/>
      <x:c r="B192" s="125"/>
      <x:c r="C192" s="125"/>
      <x:c r="D192" s="125"/>
      <x:c r="E192" s="125"/>
      <x:c r="F192" s="125"/>
      <x:c r="G192" s="125"/>
      <x:c r="H192" s="125"/>
      <x:c r="I192" s="125"/>
      <x:c r="J192" s="125"/>
      <x:c r="K192" s="125"/>
      <x:c r="L192" s="125"/>
      <x:c r="M192" s="125"/>
      <x:c r="N192" s="125"/>
      <x:c r="O192" s="125"/>
      <x:c r="P192" s="125"/>
      <x:c r="Q192" s="125"/>
    </x:row>
    <x:row r="193">
      <x:c r="A193" s="125"/>
      <x:c r="B193" s="125"/>
      <x:c r="C193" s="125"/>
      <x:c r="D193" s="125"/>
      <x:c r="E193" s="125"/>
      <x:c r="F193" s="125"/>
      <x:c r="G193" s="125"/>
      <x:c r="H193" s="125"/>
      <x:c r="I193" s="125"/>
      <x:c r="J193" s="125"/>
      <x:c r="K193" s="125"/>
      <x:c r="L193" s="125"/>
      <x:c r="M193" s="125"/>
      <x:c r="N193" s="125"/>
      <x:c r="O193" s="125"/>
      <x:c r="P193" s="125"/>
      <x:c r="Q193" s="125"/>
    </x:row>
    <x:row r="194">
      <x:c r="A194" s="125"/>
      <x:c r="B194" s="125"/>
      <x:c r="C194" s="125"/>
      <x:c r="D194" s="125"/>
      <x:c r="E194" s="125"/>
      <x:c r="F194" s="125"/>
      <x:c r="G194" s="125"/>
      <x:c r="H194" s="125"/>
      <x:c r="I194" s="125"/>
      <x:c r="J194" s="125"/>
      <x:c r="K194" s="125"/>
      <x:c r="L194" s="125"/>
      <x:c r="M194" s="125"/>
      <x:c r="N194" s="125"/>
      <x:c r="O194" s="125"/>
      <x:c r="P194" s="125"/>
      <x:c r="Q194" s="125"/>
    </x:row>
    <x:row r="195">
      <x:c r="A195" s="125"/>
      <x:c r="B195" s="125"/>
      <x:c r="C195" s="125"/>
      <x:c r="D195" s="125"/>
      <x:c r="E195" s="125"/>
      <x:c r="F195" s="125"/>
      <x:c r="G195" s="125"/>
      <x:c r="H195" s="125"/>
      <x:c r="I195" s="125"/>
      <x:c r="J195" s="125"/>
      <x:c r="K195" s="125"/>
      <x:c r="L195" s="125"/>
      <x:c r="M195" s="125"/>
      <x:c r="N195" s="125"/>
      <x:c r="O195" s="125"/>
      <x:c r="P195" s="125"/>
      <x:c r="Q195" s="125"/>
    </x:row>
    <x:row r="196">
      <x:c r="A196" s="125"/>
      <x:c r="B196" s="125"/>
      <x:c r="C196" s="125"/>
      <x:c r="D196" s="125"/>
      <x:c r="E196" s="125"/>
      <x:c r="F196" s="125"/>
      <x:c r="G196" s="125"/>
      <x:c r="H196" s="125"/>
      <x:c r="I196" s="125"/>
      <x:c r="J196" s="125"/>
      <x:c r="K196" s="125"/>
      <x:c r="L196" s="125"/>
      <x:c r="M196" s="125"/>
      <x:c r="N196" s="125"/>
      <x:c r="O196" s="125"/>
      <x:c r="P196" s="125"/>
      <x:c r="Q196" s="125"/>
    </x:row>
    <x:row r="197">
      <x:c r="A197" s="125"/>
      <x:c r="B197" s="125"/>
      <x:c r="C197" s="125"/>
      <x:c r="D197" s="125"/>
      <x:c r="E197" s="125"/>
      <x:c r="F197" s="125"/>
      <x:c r="G197" s="125"/>
      <x:c r="H197" s="125"/>
      <x:c r="I197" s="125"/>
      <x:c r="J197" s="125"/>
      <x:c r="K197" s="125"/>
      <x:c r="L197" s="125"/>
      <x:c r="M197" s="125"/>
      <x:c r="N197" s="125"/>
      <x:c r="O197" s="125"/>
      <x:c r="P197" s="125"/>
      <x:c r="Q197" s="125"/>
    </x:row>
    <x:row r="198">
      <x:c r="A198" s="125"/>
      <x:c r="B198" s="125"/>
      <x:c r="C198" s="125"/>
      <x:c r="D198" s="125"/>
      <x:c r="E198" s="125"/>
      <x:c r="F198" s="125"/>
      <x:c r="G198" s="125"/>
      <x:c r="H198" s="125"/>
      <x:c r="I198" s="125"/>
      <x:c r="J198" s="125"/>
      <x:c r="K198" s="125"/>
      <x:c r="L198" s="125"/>
      <x:c r="M198" s="125"/>
      <x:c r="N198" s="125"/>
      <x:c r="O198" s="125"/>
      <x:c r="P198" s="125"/>
      <x:c r="Q198" s="125"/>
    </x:row>
    <x:row r="199">
      <x:c r="A199" s="125"/>
      <x:c r="B199" s="125"/>
      <x:c r="C199" s="125"/>
      <x:c r="D199" s="125"/>
      <x:c r="E199" s="125"/>
      <x:c r="F199" s="125"/>
      <x:c r="G199" s="125"/>
      <x:c r="H199" s="125"/>
      <x:c r="I199" s="125"/>
      <x:c r="J199" s="125"/>
      <x:c r="K199" s="125"/>
      <x:c r="L199" s="125"/>
      <x:c r="M199" s="125"/>
      <x:c r="N199" s="125"/>
      <x:c r="O199" s="125"/>
      <x:c r="P199" s="125"/>
      <x:c r="Q199" s="125"/>
    </x:row>
    <x:row r="200">
      <x:c r="A200" s="125"/>
      <x:c r="B200" s="125"/>
      <x:c r="C200" s="125"/>
      <x:c r="D200" s="125"/>
      <x:c r="E200" s="125"/>
      <x:c r="F200" s="125"/>
      <x:c r="G200" s="125"/>
      <x:c r="H200" s="125"/>
      <x:c r="I200" s="125"/>
      <x:c r="J200" s="125"/>
      <x:c r="K200" s="125"/>
      <x:c r="L200" s="125"/>
      <x:c r="M200" s="125"/>
      <x:c r="N200" s="125"/>
      <x:c r="O200" s="125"/>
      <x:c r="P200" s="125"/>
      <x:c r="Q200" s="125"/>
    </x:row>
    <x:row r="201">
      <x:c r="A201" s="125"/>
      <x:c r="B201" s="125"/>
      <x:c r="C201" s="125"/>
      <x:c r="D201" s="125"/>
      <x:c r="E201" s="125"/>
      <x:c r="F201" s="125"/>
      <x:c r="G201" s="125"/>
      <x:c r="H201" s="125"/>
      <x:c r="I201" s="125"/>
      <x:c r="J201" s="125"/>
      <x:c r="K201" s="125"/>
      <x:c r="L201" s="125"/>
      <x:c r="M201" s="125"/>
      <x:c r="N201" s="125"/>
      <x:c r="O201" s="125"/>
      <x:c r="P201" s="125"/>
      <x:c r="Q201" s="125"/>
    </x:row>
    <x:row r="202">
      <x:c r="A202" s="125"/>
      <x:c r="B202" s="125"/>
      <x:c r="C202" s="125"/>
      <x:c r="D202" s="125"/>
      <x:c r="E202" s="125"/>
      <x:c r="F202" s="125"/>
      <x:c r="G202" s="125"/>
      <x:c r="H202" s="125"/>
      <x:c r="I202" s="125"/>
      <x:c r="J202" s="125"/>
      <x:c r="K202" s="125"/>
      <x:c r="L202" s="125"/>
      <x:c r="M202" s="125"/>
      <x:c r="N202" s="125"/>
      <x:c r="O202" s="125"/>
      <x:c r="P202" s="125"/>
      <x:c r="Q202" s="125"/>
    </x:row>
    <x:row r="203">
      <x:c r="A203" s="125"/>
      <x:c r="B203" s="125"/>
      <x:c r="C203" s="125"/>
      <x:c r="D203" s="125"/>
      <x:c r="E203" s="125"/>
      <x:c r="F203" s="125"/>
      <x:c r="G203" s="125"/>
      <x:c r="H203" s="125"/>
      <x:c r="I203" s="125"/>
      <x:c r="J203" s="125"/>
      <x:c r="K203" s="125"/>
      <x:c r="L203" s="125"/>
      <x:c r="M203" s="125"/>
      <x:c r="N203" s="125"/>
      <x:c r="O203" s="125"/>
      <x:c r="P203" s="125"/>
      <x:c r="Q203" s="125"/>
    </x:row>
    <x:row r="204">
      <x:c r="A204" s="125"/>
      <x:c r="B204" s="125"/>
      <x:c r="C204" s="125"/>
      <x:c r="D204" s="125"/>
      <x:c r="E204" s="125"/>
      <x:c r="F204" s="125"/>
      <x:c r="G204" s="125"/>
      <x:c r="H204" s="125"/>
      <x:c r="I204" s="125"/>
      <x:c r="J204" s="125"/>
      <x:c r="K204" s="125"/>
      <x:c r="L204" s="125"/>
      <x:c r="M204" s="125"/>
      <x:c r="N204" s="125"/>
      <x:c r="O204" s="125"/>
      <x:c r="P204" s="125"/>
      <x:c r="Q204" s="125"/>
    </x:row>
    <x:row r="205">
      <x:c r="A205" s="125"/>
      <x:c r="B205" s="125"/>
      <x:c r="C205" s="125"/>
      <x:c r="D205" s="125"/>
      <x:c r="E205" s="125"/>
      <x:c r="F205" s="125"/>
      <x:c r="G205" s="125"/>
      <x:c r="H205" s="125"/>
      <x:c r="I205" s="125"/>
      <x:c r="J205" s="125"/>
      <x:c r="K205" s="125"/>
      <x:c r="L205" s="125"/>
      <x:c r="M205" s="125"/>
      <x:c r="N205" s="125"/>
      <x:c r="O205" s="125"/>
      <x:c r="P205" s="125"/>
      <x:c r="Q205" s="125"/>
    </x:row>
    <x:row r="206">
      <x:c r="A206" s="125"/>
      <x:c r="B206" s="125"/>
      <x:c r="C206" s="125"/>
      <x:c r="D206" s="125"/>
      <x:c r="E206" s="125"/>
      <x:c r="F206" s="125"/>
      <x:c r="G206" s="125"/>
      <x:c r="H206" s="125"/>
      <x:c r="I206" s="125"/>
      <x:c r="J206" s="125"/>
      <x:c r="K206" s="125"/>
      <x:c r="L206" s="125"/>
      <x:c r="M206" s="125"/>
      <x:c r="N206" s="125"/>
      <x:c r="O206" s="125"/>
      <x:c r="P206" s="125"/>
      <x:c r="Q206" s="125"/>
    </x:row>
    <x:row r="207">
      <x:c r="A207" s="125"/>
      <x:c r="B207" s="125"/>
      <x:c r="C207" s="125"/>
      <x:c r="D207" s="125"/>
      <x:c r="E207" s="125"/>
      <x:c r="F207" s="125"/>
      <x:c r="G207" s="125"/>
      <x:c r="H207" s="125"/>
      <x:c r="I207" s="125"/>
      <x:c r="J207" s="125"/>
      <x:c r="K207" s="125"/>
      <x:c r="L207" s="125"/>
      <x:c r="M207" s="125"/>
      <x:c r="N207" s="125"/>
      <x:c r="O207" s="125"/>
      <x:c r="P207" s="125"/>
      <x:c r="Q207" s="125"/>
    </x:row>
    <x:row r="208">
      <x:c r="A208" s="125"/>
      <x:c r="B208" s="125"/>
      <x:c r="C208" s="125"/>
      <x:c r="D208" s="125"/>
      <x:c r="E208" s="125"/>
      <x:c r="F208" s="125"/>
      <x:c r="G208" s="125"/>
      <x:c r="H208" s="125"/>
      <x:c r="I208" s="125"/>
      <x:c r="J208" s="125"/>
      <x:c r="K208" s="125"/>
      <x:c r="L208" s="125"/>
      <x:c r="M208" s="125"/>
      <x:c r="N208" s="125"/>
      <x:c r="O208" s="125"/>
      <x:c r="P208" s="125"/>
      <x:c r="Q208" s="125"/>
    </x:row>
    <x:row r="209">
      <x:c r="A209" s="125"/>
      <x:c r="B209" s="125"/>
      <x:c r="C209" s="125"/>
      <x:c r="D209" s="125"/>
      <x:c r="E209" s="125"/>
      <x:c r="F209" s="125"/>
      <x:c r="G209" s="125"/>
      <x:c r="H209" s="125"/>
      <x:c r="I209" s="125"/>
      <x:c r="J209" s="125"/>
      <x:c r="K209" s="125"/>
      <x:c r="L209" s="125"/>
      <x:c r="M209" s="125"/>
      <x:c r="N209" s="125"/>
      <x:c r="O209" s="125"/>
      <x:c r="P209" s="125"/>
      <x:c r="Q209" s="125"/>
    </x:row>
    <x:row r="210">
      <x:c r="A210" s="125"/>
      <x:c r="B210" s="125"/>
      <x:c r="C210" s="125"/>
      <x:c r="D210" s="125"/>
      <x:c r="E210" s="125"/>
      <x:c r="F210" s="125"/>
      <x:c r="G210" s="125"/>
      <x:c r="H210" s="125"/>
      <x:c r="I210" s="125"/>
      <x:c r="J210" s="125"/>
      <x:c r="K210" s="125"/>
      <x:c r="L210" s="125"/>
      <x:c r="M210" s="125"/>
      <x:c r="N210" s="125"/>
      <x:c r="O210" s="125"/>
      <x:c r="P210" s="125"/>
      <x:c r="Q210" s="125"/>
    </x:row>
    <x:row r="211">
      <x:c r="A211" s="125"/>
      <x:c r="B211" s="125"/>
      <x:c r="C211" s="125"/>
      <x:c r="D211" s="125"/>
      <x:c r="E211" s="125"/>
      <x:c r="F211" s="125"/>
      <x:c r="G211" s="125"/>
      <x:c r="H211" s="125"/>
      <x:c r="I211" s="125"/>
      <x:c r="J211" s="125"/>
      <x:c r="K211" s="125"/>
      <x:c r="L211" s="125"/>
      <x:c r="M211" s="125"/>
      <x:c r="N211" s="125"/>
      <x:c r="O211" s="125"/>
      <x:c r="P211" s="125"/>
      <x:c r="Q211" s="125"/>
    </x:row>
    <x:row r="212">
      <x:c r="A212" s="125"/>
      <x:c r="B212" s="125"/>
      <x:c r="C212" s="125"/>
      <x:c r="D212" s="125"/>
      <x:c r="E212" s="125"/>
      <x:c r="F212" s="125"/>
      <x:c r="G212" s="125"/>
      <x:c r="H212" s="125"/>
      <x:c r="I212" s="125"/>
      <x:c r="J212" s="125"/>
      <x:c r="K212" s="125"/>
      <x:c r="L212" s="125"/>
      <x:c r="M212" s="125"/>
      <x:c r="N212" s="125"/>
      <x:c r="O212" s="125"/>
      <x:c r="P212" s="125"/>
      <x:c r="Q212" s="125"/>
    </x:row>
    <x:row r="213">
      <x:c r="A213" s="125"/>
      <x:c r="B213" s="125"/>
      <x:c r="C213" s="125"/>
      <x:c r="D213" s="125"/>
      <x:c r="E213" s="125"/>
      <x:c r="F213" s="125"/>
      <x:c r="G213" s="125"/>
      <x:c r="H213" s="125"/>
      <x:c r="I213" s="125"/>
      <x:c r="J213" s="125"/>
      <x:c r="K213" s="125"/>
      <x:c r="L213" s="125"/>
      <x:c r="M213" s="125"/>
      <x:c r="N213" s="125"/>
      <x:c r="O213" s="125"/>
      <x:c r="P213" s="125"/>
      <x:c r="Q213" s="125"/>
    </x:row>
    <x:row r="214">
      <x:c r="A214" s="125"/>
      <x:c r="B214" s="125"/>
      <x:c r="C214" s="125"/>
      <x:c r="D214" s="125"/>
      <x:c r="E214" s="125"/>
      <x:c r="F214" s="125"/>
      <x:c r="G214" s="125"/>
      <x:c r="H214" s="125"/>
      <x:c r="I214" s="125"/>
      <x:c r="J214" s="125"/>
      <x:c r="K214" s="125"/>
      <x:c r="L214" s="125"/>
      <x:c r="M214" s="125"/>
      <x:c r="N214" s="125"/>
      <x:c r="O214" s="125"/>
      <x:c r="P214" s="125"/>
      <x:c r="Q214" s="125"/>
    </x:row>
    <x:row r="215">
      <x:c r="A215" s="125"/>
      <x:c r="B215" s="125"/>
      <x:c r="C215" s="125"/>
      <x:c r="D215" s="125"/>
      <x:c r="E215" s="125"/>
      <x:c r="F215" s="125"/>
      <x:c r="G215" s="125"/>
      <x:c r="H215" s="125"/>
      <x:c r="I215" s="125"/>
      <x:c r="J215" s="125"/>
      <x:c r="K215" s="125"/>
      <x:c r="L215" s="125"/>
      <x:c r="M215" s="125"/>
      <x:c r="N215" s="125"/>
      <x:c r="O215" s="125"/>
      <x:c r="P215" s="125"/>
      <x:c r="Q215" s="125"/>
    </x:row>
    <x:row r="216">
      <x:c r="A216" s="125"/>
      <x:c r="B216" s="125"/>
      <x:c r="C216" s="125"/>
      <x:c r="D216" s="125"/>
      <x:c r="E216" s="125"/>
      <x:c r="F216" s="125"/>
      <x:c r="G216" s="125"/>
      <x:c r="H216" s="125"/>
      <x:c r="I216" s="125"/>
      <x:c r="J216" s="125"/>
      <x:c r="K216" s="125"/>
      <x:c r="L216" s="125"/>
      <x:c r="M216" s="125"/>
      <x:c r="N216" s="125"/>
      <x:c r="O216" s="125"/>
      <x:c r="P216" s="125"/>
      <x:c r="Q216" s="125"/>
    </x:row>
    <x:row r="217">
      <x:c r="A217" s="125"/>
      <x:c r="B217" s="125"/>
      <x:c r="C217" s="125"/>
      <x:c r="D217" s="125"/>
      <x:c r="E217" s="125"/>
      <x:c r="F217" s="125"/>
      <x:c r="G217" s="125"/>
      <x:c r="H217" s="125"/>
      <x:c r="I217" s="125"/>
      <x:c r="J217" s="125"/>
      <x:c r="K217" s="125"/>
      <x:c r="L217" s="125"/>
      <x:c r="M217" s="125"/>
      <x:c r="N217" s="125"/>
      <x:c r="O217" s="125"/>
      <x:c r="P217" s="125"/>
      <x:c r="Q217" s="125"/>
    </x:row>
    <x:row r="218">
      <x:c r="A218" s="125"/>
      <x:c r="B218" s="125"/>
      <x:c r="C218" s="125"/>
      <x:c r="D218" s="125"/>
      <x:c r="E218" s="125"/>
      <x:c r="F218" s="125"/>
      <x:c r="G218" s="125"/>
      <x:c r="H218" s="125"/>
      <x:c r="I218" s="125"/>
      <x:c r="J218" s="125"/>
      <x:c r="K218" s="125"/>
      <x:c r="L218" s="125"/>
      <x:c r="M218" s="125"/>
      <x:c r="N218" s="125"/>
      <x:c r="O218" s="125"/>
      <x:c r="P218" s="125"/>
      <x:c r="Q218" s="125"/>
    </x:row>
    <x:row r="219">
      <x:c r="A219" s="125"/>
      <x:c r="B219" s="125"/>
      <x:c r="C219" s="125"/>
      <x:c r="D219" s="125"/>
      <x:c r="E219" s="125"/>
      <x:c r="F219" s="125"/>
      <x:c r="G219" s="125"/>
      <x:c r="H219" s="125"/>
      <x:c r="I219" s="125"/>
      <x:c r="J219" s="125"/>
      <x:c r="K219" s="125"/>
      <x:c r="L219" s="125"/>
      <x:c r="M219" s="125"/>
      <x:c r="N219" s="125"/>
      <x:c r="O219" s="125"/>
      <x:c r="P219" s="125"/>
      <x:c r="Q219" s="125"/>
    </x:row>
    <x:row r="220">
      <x:c r="A220" s="125"/>
      <x:c r="B220" s="125"/>
      <x:c r="C220" s="125"/>
      <x:c r="D220" s="125"/>
      <x:c r="E220" s="125"/>
      <x:c r="F220" s="125"/>
      <x:c r="G220" s="125"/>
      <x:c r="H220" s="125"/>
      <x:c r="I220" s="125"/>
      <x:c r="J220" s="125"/>
      <x:c r="K220" s="125"/>
      <x:c r="L220" s="125"/>
      <x:c r="M220" s="125"/>
      <x:c r="N220" s="125"/>
      <x:c r="O220" s="125"/>
      <x:c r="P220" s="125"/>
      <x:c r="Q220" s="125"/>
    </x:row>
    <x:row r="221">
      <x:c r="A221" s="125"/>
      <x:c r="B221" s="125"/>
      <x:c r="C221" s="125"/>
      <x:c r="D221" s="125"/>
      <x:c r="E221" s="125"/>
      <x:c r="F221" s="125"/>
      <x:c r="G221" s="125"/>
      <x:c r="H221" s="125"/>
      <x:c r="I221" s="125"/>
      <x:c r="J221" s="125"/>
      <x:c r="K221" s="125"/>
      <x:c r="L221" s="125"/>
      <x:c r="M221" s="125"/>
      <x:c r="N221" s="125"/>
      <x:c r="O221" s="125"/>
      <x:c r="P221" s="125"/>
      <x:c r="Q221" s="125"/>
    </x:row>
    <x:row r="222">
      <x:c r="A222" s="125"/>
      <x:c r="B222" s="125"/>
      <x:c r="C222" s="125"/>
      <x:c r="D222" s="125"/>
      <x:c r="E222" s="125"/>
      <x:c r="F222" s="125"/>
      <x:c r="G222" s="125"/>
      <x:c r="H222" s="125"/>
      <x:c r="I222" s="125"/>
      <x:c r="J222" s="125"/>
      <x:c r="K222" s="125"/>
      <x:c r="L222" s="125"/>
      <x:c r="M222" s="125"/>
      <x:c r="N222" s="125"/>
      <x:c r="O222" s="125"/>
      <x:c r="P222" s="125"/>
      <x:c r="Q222" s="125"/>
    </x:row>
    <x:row r="223">
      <x:c r="A223" s="125"/>
      <x:c r="B223" s="125"/>
      <x:c r="C223" s="125"/>
      <x:c r="D223" s="125"/>
      <x:c r="E223" s="125"/>
      <x:c r="F223" s="125"/>
      <x:c r="G223" s="125"/>
      <x:c r="H223" s="125"/>
      <x:c r="I223" s="125"/>
      <x:c r="J223" s="125"/>
      <x:c r="K223" s="125"/>
      <x:c r="L223" s="125"/>
      <x:c r="M223" s="125"/>
      <x:c r="N223" s="125"/>
      <x:c r="O223" s="125"/>
      <x:c r="P223" s="125"/>
      <x:c r="Q223" s="125"/>
    </x:row>
    <x:row r="224">
      <x:c r="A224" s="125"/>
      <x:c r="B224" s="125"/>
      <x:c r="C224" s="125"/>
      <x:c r="D224" s="125"/>
      <x:c r="E224" s="125"/>
      <x:c r="F224" s="125"/>
      <x:c r="G224" s="125"/>
      <x:c r="H224" s="125"/>
      <x:c r="I224" s="125"/>
      <x:c r="J224" s="125"/>
      <x:c r="K224" s="125"/>
      <x:c r="L224" s="125"/>
      <x:c r="M224" s="125"/>
      <x:c r="N224" s="125"/>
      <x:c r="O224" s="125"/>
      <x:c r="P224" s="125"/>
      <x:c r="Q224" s="125"/>
    </x:row>
    <x:row r="225">
      <x:c r="A225" s="125"/>
      <x:c r="B225" s="125"/>
      <x:c r="C225" s="125"/>
      <x:c r="D225" s="125"/>
      <x:c r="E225" s="125"/>
      <x:c r="F225" s="125"/>
      <x:c r="G225" s="125"/>
      <x:c r="H225" s="125"/>
      <x:c r="I225" s="125"/>
      <x:c r="J225" s="125"/>
      <x:c r="K225" s="125"/>
      <x:c r="L225" s="125"/>
      <x:c r="M225" s="125"/>
      <x:c r="N225" s="125"/>
      <x:c r="O225" s="125"/>
      <x:c r="P225" s="125"/>
      <x:c r="Q225" s="125"/>
    </x:row>
    <x:row r="226">
      <x:c r="A226" s="125"/>
      <x:c r="B226" s="125"/>
      <x:c r="C226" s="125"/>
      <x:c r="D226" s="125"/>
      <x:c r="E226" s="125"/>
      <x:c r="F226" s="125"/>
      <x:c r="G226" s="125"/>
      <x:c r="H226" s="125"/>
      <x:c r="I226" s="125"/>
      <x:c r="J226" s="125"/>
      <x:c r="K226" s="125"/>
      <x:c r="L226" s="125"/>
      <x:c r="M226" s="125"/>
      <x:c r="N226" s="125"/>
      <x:c r="O226" s="125"/>
      <x:c r="P226" s="125"/>
      <x:c r="Q226" s="125"/>
    </x:row>
    <x:row r="227">
      <x:c r="A227" s="125"/>
      <x:c r="B227" s="125"/>
      <x:c r="C227" s="125"/>
      <x:c r="D227" s="125"/>
      <x:c r="E227" s="125"/>
      <x:c r="F227" s="125"/>
      <x:c r="G227" s="125"/>
      <x:c r="H227" s="125"/>
      <x:c r="I227" s="125"/>
      <x:c r="J227" s="125"/>
      <x:c r="K227" s="125"/>
      <x:c r="L227" s="125"/>
      <x:c r="M227" s="125"/>
      <x:c r="N227" s="125"/>
      <x:c r="O227" s="125"/>
      <x:c r="P227" s="125"/>
      <x:c r="Q227" s="125"/>
    </x:row>
    <x:row r="228">
      <x:c r="A228" s="125"/>
      <x:c r="B228" s="125"/>
      <x:c r="C228" s="125"/>
      <x:c r="D228" s="125"/>
      <x:c r="E228" s="125"/>
      <x:c r="F228" s="125"/>
      <x:c r="G228" s="125"/>
      <x:c r="H228" s="125"/>
      <x:c r="I228" s="125"/>
      <x:c r="J228" s="125"/>
      <x:c r="K228" s="125"/>
      <x:c r="L228" s="125"/>
      <x:c r="M228" s="125"/>
      <x:c r="N228" s="125"/>
      <x:c r="O228" s="125"/>
      <x:c r="P228" s="125"/>
      <x:c r="Q228" s="125"/>
    </x:row>
    <x:row r="229">
      <x:c r="A229" s="125"/>
      <x:c r="B229" s="125"/>
      <x:c r="C229" s="125"/>
      <x:c r="D229" s="125"/>
      <x:c r="E229" s="125"/>
      <x:c r="F229" s="125"/>
      <x:c r="G229" s="125"/>
      <x:c r="H229" s="125"/>
      <x:c r="I229" s="125"/>
      <x:c r="J229" s="125"/>
      <x:c r="K229" s="125"/>
      <x:c r="L229" s="125"/>
      <x:c r="M229" s="125"/>
      <x:c r="N229" s="125"/>
      <x:c r="O229" s="125"/>
      <x:c r="P229" s="125"/>
      <x:c r="Q229" s="125"/>
    </x:row>
    <x:row r="230">
      <x:c r="A230" s="125"/>
      <x:c r="B230" s="125"/>
      <x:c r="C230" s="125"/>
      <x:c r="D230" s="125"/>
      <x:c r="E230" s="125"/>
      <x:c r="F230" s="125"/>
      <x:c r="G230" s="125"/>
      <x:c r="H230" s="125"/>
      <x:c r="I230" s="125"/>
      <x:c r="J230" s="125"/>
      <x:c r="K230" s="125"/>
      <x:c r="L230" s="125"/>
      <x:c r="M230" s="125"/>
      <x:c r="N230" s="125"/>
      <x:c r="O230" s="125"/>
      <x:c r="P230" s="125"/>
      <x:c r="Q230" s="125"/>
    </x:row>
    <x:row r="231">
      <x:c r="A231" s="125"/>
      <x:c r="B231" s="125"/>
      <x:c r="C231" s="125"/>
      <x:c r="D231" s="125"/>
      <x:c r="E231" s="125"/>
      <x:c r="F231" s="125"/>
      <x:c r="G231" s="125"/>
      <x:c r="H231" s="125"/>
      <x:c r="I231" s="125"/>
      <x:c r="J231" s="125"/>
      <x:c r="K231" s="125"/>
      <x:c r="L231" s="125"/>
      <x:c r="M231" s="125"/>
      <x:c r="N231" s="125"/>
      <x:c r="O231" s="125"/>
      <x:c r="P231" s="125"/>
      <x:c r="Q231" s="125"/>
    </x:row>
    <x:row r="232">
      <x:c r="A232" s="125"/>
      <x:c r="B232" s="125"/>
      <x:c r="C232" s="125"/>
      <x:c r="D232" s="125"/>
      <x:c r="E232" s="125"/>
      <x:c r="F232" s="125"/>
      <x:c r="G232" s="125"/>
      <x:c r="H232" s="125"/>
      <x:c r="I232" s="125"/>
      <x:c r="J232" s="125"/>
      <x:c r="K232" s="125"/>
      <x:c r="L232" s="125"/>
      <x:c r="M232" s="125"/>
      <x:c r="N232" s="125"/>
      <x:c r="O232" s="125"/>
      <x:c r="P232" s="125"/>
      <x:c r="Q232" s="125"/>
    </x:row>
    <x:row r="233">
      <x:c r="A233" s="125"/>
      <x:c r="B233" s="125"/>
      <x:c r="C233" s="125"/>
      <x:c r="D233" s="125"/>
      <x:c r="E233" s="125"/>
      <x:c r="F233" s="125"/>
      <x:c r="G233" s="125"/>
      <x:c r="H233" s="125"/>
      <x:c r="I233" s="125"/>
      <x:c r="J233" s="125"/>
      <x:c r="K233" s="125"/>
      <x:c r="L233" s="125"/>
      <x:c r="M233" s="125"/>
      <x:c r="N233" s="125"/>
      <x:c r="O233" s="125"/>
      <x:c r="P233" s="125"/>
      <x:c r="Q233" s="125"/>
    </x:row>
    <x:row r="234">
      <x:c r="A234" s="125"/>
      <x:c r="B234" s="125"/>
      <x:c r="C234" s="125"/>
      <x:c r="D234" s="125"/>
      <x:c r="E234" s="125"/>
      <x:c r="F234" s="125"/>
      <x:c r="G234" s="125"/>
      <x:c r="H234" s="125"/>
      <x:c r="I234" s="125"/>
      <x:c r="J234" s="125"/>
      <x:c r="K234" s="125"/>
      <x:c r="L234" s="125"/>
      <x:c r="M234" s="125"/>
      <x:c r="N234" s="125"/>
      <x:c r="O234" s="125"/>
      <x:c r="P234" s="125"/>
      <x:c r="Q234" s="125"/>
    </x:row>
    <x:row r="235">
      <x:c r="A235" s="125"/>
      <x:c r="B235" s="125"/>
      <x:c r="C235" s="125"/>
      <x:c r="D235" s="125"/>
      <x:c r="E235" s="125"/>
      <x:c r="F235" s="125"/>
      <x:c r="G235" s="125"/>
      <x:c r="H235" s="125"/>
      <x:c r="I235" s="125"/>
      <x:c r="J235" s="125"/>
      <x:c r="K235" s="125"/>
      <x:c r="L235" s="125"/>
      <x:c r="M235" s="125"/>
      <x:c r="N235" s="125"/>
      <x:c r="O235" s="125"/>
      <x:c r="P235" s="125"/>
      <x:c r="Q235" s="125"/>
    </x:row>
    <x:row r="236">
      <x:c r="A236" s="125"/>
      <x:c r="B236" s="125"/>
      <x:c r="C236" s="125"/>
      <x:c r="D236" s="125"/>
      <x:c r="E236" s="125"/>
      <x:c r="F236" s="125"/>
      <x:c r="G236" s="125"/>
      <x:c r="H236" s="125"/>
      <x:c r="I236" s="125"/>
      <x:c r="J236" s="125"/>
      <x:c r="K236" s="125"/>
      <x:c r="L236" s="125"/>
      <x:c r="M236" s="125"/>
      <x:c r="N236" s="125"/>
      <x:c r="O236" s="125"/>
      <x:c r="P236" s="125"/>
      <x:c r="Q236" s="125"/>
    </x:row>
    <x:row r="237">
      <x:c r="A237" s="125"/>
      <x:c r="B237" s="125"/>
      <x:c r="C237" s="125"/>
      <x:c r="D237" s="125"/>
      <x:c r="E237" s="125"/>
      <x:c r="F237" s="125"/>
      <x:c r="G237" s="125"/>
      <x:c r="H237" s="125"/>
      <x:c r="I237" s="125"/>
      <x:c r="J237" s="125"/>
      <x:c r="K237" s="125"/>
      <x:c r="L237" s="125"/>
      <x:c r="M237" s="125"/>
      <x:c r="N237" s="125"/>
      <x:c r="O237" s="125"/>
      <x:c r="P237" s="125"/>
      <x:c r="Q237" s="125"/>
    </x:row>
    <x:row r="238">
      <x:c r="A238" s="125"/>
      <x:c r="B238" s="125"/>
      <x:c r="C238" s="125"/>
      <x:c r="D238" s="125"/>
      <x:c r="E238" s="125"/>
      <x:c r="F238" s="125"/>
      <x:c r="G238" s="125"/>
      <x:c r="H238" s="125"/>
      <x:c r="I238" s="125"/>
      <x:c r="J238" s="125"/>
      <x:c r="K238" s="125"/>
      <x:c r="L238" s="125"/>
      <x:c r="M238" s="125"/>
      <x:c r="N238" s="125"/>
      <x:c r="O238" s="125"/>
      <x:c r="P238" s="125"/>
      <x:c r="Q238" s="125"/>
    </x:row>
    <x:row r="239">
      <x:c r="A239" s="125"/>
      <x:c r="B239" s="125"/>
      <x:c r="C239" s="125"/>
      <x:c r="D239" s="125"/>
      <x:c r="E239" s="125"/>
      <x:c r="F239" s="125"/>
      <x:c r="G239" s="125"/>
      <x:c r="H239" s="125"/>
      <x:c r="I239" s="125"/>
      <x:c r="J239" s="125"/>
      <x:c r="K239" s="125"/>
      <x:c r="L239" s="125"/>
      <x:c r="M239" s="125"/>
      <x:c r="N239" s="125"/>
      <x:c r="O239" s="125"/>
      <x:c r="P239" s="125"/>
      <x:c r="Q239" s="125"/>
    </x:row>
    <x:row r="240">
      <x:c r="A240" s="125"/>
      <x:c r="B240" s="125"/>
      <x:c r="C240" s="125"/>
      <x:c r="D240" s="125"/>
      <x:c r="E240" s="125"/>
      <x:c r="F240" s="125"/>
      <x:c r="G240" s="125"/>
      <x:c r="H240" s="125"/>
      <x:c r="I240" s="125"/>
      <x:c r="J240" s="125"/>
      <x:c r="K240" s="125"/>
      <x:c r="L240" s="125"/>
      <x:c r="M240" s="125"/>
      <x:c r="N240" s="125"/>
      <x:c r="O240" s="125"/>
      <x:c r="P240" s="125"/>
      <x:c r="Q240" s="125"/>
    </x:row>
    <x:row r="241">
      <x:c r="A241" s="125"/>
      <x:c r="B241" s="125"/>
      <x:c r="C241" s="125"/>
      <x:c r="D241" s="125"/>
      <x:c r="E241" s="125"/>
      <x:c r="F241" s="125"/>
      <x:c r="G241" s="125"/>
      <x:c r="H241" s="125"/>
      <x:c r="I241" s="125"/>
      <x:c r="J241" s="125"/>
      <x:c r="K241" s="125"/>
      <x:c r="L241" s="125"/>
      <x:c r="M241" s="125"/>
      <x:c r="N241" s="125"/>
      <x:c r="O241" s="125"/>
      <x:c r="P241" s="125"/>
      <x:c r="Q241" s="125"/>
    </x:row>
    <x:row r="242">
      <x:c r="A242" s="125"/>
      <x:c r="B242" s="125"/>
      <x:c r="C242" s="125"/>
      <x:c r="D242" s="125"/>
      <x:c r="E242" s="125"/>
      <x:c r="F242" s="125"/>
      <x:c r="G242" s="125"/>
      <x:c r="H242" s="125"/>
      <x:c r="I242" s="125"/>
      <x:c r="J242" s="125"/>
      <x:c r="K242" s="125"/>
      <x:c r="L242" s="125"/>
      <x:c r="M242" s="125"/>
      <x:c r="N242" s="125"/>
      <x:c r="O242" s="125"/>
      <x:c r="P242" s="125"/>
      <x:c r="Q242" s="125"/>
    </x:row>
    <x:row r="243">
      <x:c r="A243" s="125"/>
      <x:c r="B243" s="125"/>
      <x:c r="C243" s="125"/>
      <x:c r="D243" s="125"/>
      <x:c r="E243" s="125"/>
      <x:c r="F243" s="125"/>
      <x:c r="G243" s="125"/>
      <x:c r="H243" s="125"/>
      <x:c r="I243" s="125"/>
      <x:c r="J243" s="125"/>
      <x:c r="K243" s="125"/>
      <x:c r="L243" s="125"/>
      <x:c r="M243" s="125"/>
      <x:c r="N243" s="125"/>
      <x:c r="O243" s="125"/>
      <x:c r="P243" s="125"/>
      <x:c r="Q243" s="125"/>
    </x:row>
    <x:row r="244">
      <x:c r="A244" s="125"/>
      <x:c r="B244" s="125"/>
      <x:c r="C244" s="125"/>
      <x:c r="D244" s="125"/>
      <x:c r="E244" s="125"/>
      <x:c r="F244" s="125"/>
      <x:c r="G244" s="125"/>
      <x:c r="H244" s="125"/>
      <x:c r="I244" s="125"/>
      <x:c r="J244" s="125"/>
      <x:c r="K244" s="125"/>
      <x:c r="L244" s="125"/>
      <x:c r="M244" s="125"/>
      <x:c r="N244" s="125"/>
      <x:c r="O244" s="125"/>
      <x:c r="P244" s="125"/>
      <x:c r="Q244" s="125"/>
    </x:row>
    <x:row r="245">
      <x:c r="A245" s="125"/>
      <x:c r="B245" s="125"/>
      <x:c r="C245" s="125"/>
      <x:c r="D245" s="125"/>
      <x:c r="E245" s="125"/>
      <x:c r="F245" s="125"/>
      <x:c r="G245" s="125"/>
      <x:c r="H245" s="125"/>
      <x:c r="I245" s="125"/>
      <x:c r="J245" s="125"/>
      <x:c r="K245" s="125"/>
      <x:c r="L245" s="125"/>
      <x:c r="M245" s="125"/>
      <x:c r="N245" s="125"/>
      <x:c r="O245" s="125"/>
      <x:c r="P245" s="125"/>
      <x:c r="Q245" s="125"/>
    </x:row>
    <x:row r="246">
      <x:c r="A246" s="125"/>
      <x:c r="B246" s="125"/>
      <x:c r="C246" s="125"/>
      <x:c r="D246" s="125"/>
      <x:c r="E246" s="125"/>
      <x:c r="F246" s="125"/>
      <x:c r="G246" s="125"/>
      <x:c r="H246" s="125"/>
      <x:c r="I246" s="125"/>
      <x:c r="J246" s="125"/>
      <x:c r="K246" s="125"/>
      <x:c r="L246" s="125"/>
      <x:c r="M246" s="125"/>
      <x:c r="N246" s="125"/>
      <x:c r="O246" s="125"/>
      <x:c r="P246" s="125"/>
      <x:c r="Q246" s="125"/>
    </x:row>
    <x:row r="247">
      <x:c r="A247" s="125"/>
      <x:c r="B247" s="125"/>
      <x:c r="C247" s="125"/>
      <x:c r="D247" s="125"/>
      <x:c r="E247" s="125"/>
      <x:c r="F247" s="125"/>
      <x:c r="G247" s="125"/>
      <x:c r="H247" s="125"/>
      <x:c r="I247" s="125"/>
      <x:c r="J247" s="125"/>
      <x:c r="K247" s="125"/>
      <x:c r="L247" s="125"/>
      <x:c r="M247" s="125"/>
      <x:c r="N247" s="125"/>
      <x:c r="O247" s="125"/>
      <x:c r="P247" s="125"/>
      <x:c r="Q247" s="125"/>
    </x:row>
    <x:row r="248">
      <x:c r="A248" s="125"/>
      <x:c r="B248" s="125"/>
      <x:c r="C248" s="125"/>
      <x:c r="D248" s="125"/>
      <x:c r="E248" s="125"/>
      <x:c r="F248" s="125"/>
      <x:c r="G248" s="125"/>
      <x:c r="H248" s="125"/>
      <x:c r="I248" s="125"/>
      <x:c r="J248" s="125"/>
      <x:c r="K248" s="125"/>
      <x:c r="L248" s="125"/>
      <x:c r="M248" s="125"/>
      <x:c r="N248" s="125"/>
      <x:c r="O248" s="125"/>
      <x:c r="P248" s="125"/>
      <x:c r="Q248" s="125"/>
    </x:row>
    <x:row r="249">
      <x:c r="A249" s="125"/>
      <x:c r="B249" s="125"/>
      <x:c r="C249" s="125"/>
      <x:c r="D249" s="125"/>
      <x:c r="E249" s="125"/>
      <x:c r="F249" s="125"/>
      <x:c r="G249" s="125"/>
      <x:c r="H249" s="125"/>
      <x:c r="I249" s="125"/>
      <x:c r="J249" s="125"/>
      <x:c r="K249" s="125"/>
      <x:c r="L249" s="125"/>
      <x:c r="M249" s="125"/>
      <x:c r="N249" s="125"/>
      <x:c r="O249" s="125"/>
      <x:c r="P249" s="125"/>
      <x:c r="Q249" s="125"/>
    </x:row>
    <x:row r="250">
      <x:c r="A250" s="125"/>
      <x:c r="B250" s="125"/>
      <x:c r="C250" s="125"/>
      <x:c r="D250" s="125"/>
      <x:c r="E250" s="125"/>
      <x:c r="F250" s="125"/>
      <x:c r="G250" s="125"/>
      <x:c r="H250" s="125"/>
      <x:c r="I250" s="125"/>
      <x:c r="J250" s="125"/>
      <x:c r="K250" s="125"/>
      <x:c r="L250" s="125"/>
      <x:c r="M250" s="125"/>
      <x:c r="N250" s="125"/>
      <x:c r="O250" s="125"/>
      <x:c r="P250" s="125"/>
      <x:c r="Q250" s="125"/>
    </x:row>
  </x:sheetData>
  <x:mergeCells>
    <x:mergeCell ref="A1:J1"/>
    <x:mergeCell ref="A2:J2"/>
  </x:mergeCells>
  <x:pageMargins left="0.7" right="0.7" top="0.75" bottom="0.75" header="0.3" footer="0.3"/>
</x:worksheet>
</file>

<file path=xl/worksheets/sheet6.xml><?xml version="1.0" encoding="utf-8"?>
<x:worksheet xmlns:x="http://schemas.openxmlformats.org/spreadsheetml/2006/main">
  <x:sheetFormatPr defaultRowHeight="15"/>
  <x:cols>
    <x:col min="1" max="1" width="12" hidden="0" customWidth="1"/>
    <x:col min="2" max="2" width="34" hidden="0" customWidth="1"/>
    <x:col min="3" max="3" width="28" hidden="0" customWidth="1"/>
    <x:col min="4" max="4" width="32" hidden="0" customWidth="1"/>
    <x:col min="5" max="5" width="18" hidden="0" customWidth="1"/>
    <x:col min="6" max="6" width="34" hidden="0" customWidth="1"/>
    <x:col min="7" max="7" width="12" hidden="0" customWidth="1"/>
    <x:col min="8" max="8" width="50" hidden="0" customWidth="1"/>
  </x:cols>
  <x:sheetData>
    <x:row r="1" ht="24" customHeight="1">
      <x:c r="A1" s="200" t="str">
        <x:v>MAP_FIELD_MAPPING — Source to Canonical MVP Fields</x:v>
      </x:c>
      <x:c r="B1" s="198"/>
      <x:c r="C1" s="198"/>
      <x:c r="D1" s="198"/>
      <x:c r="E1" s="198"/>
      <x:c r="F1" s="198"/>
      <x:c r="G1" s="198"/>
      <x:c r="H1" s="198"/>
      <x:c r="I1" s="198"/>
      <x:c r="J1" s="198"/>
      <x:c r="K1" s="198"/>
      <x:c r="L1" s="125"/>
      <x:c r="M1" s="125"/>
      <x:c r="N1" s="125"/>
      <x:c r="O1" s="125"/>
      <x:c r="P1" s="125"/>
      <x:c r="Q1" s="125"/>
    </x:row>
    <x:row r="2" ht="34" customHeight="1">
      <x:c r="A2" s="126" t="str">
        <x:v>Shows how NGO source material maps into the simplified digital MVP template. Purple rows are generated/structured fields; orange rows require review.</x:v>
      </x:c>
      <x:c r="B2" s="125"/>
      <x:c r="C2" s="125"/>
      <x:c r="D2" s="125"/>
      <x:c r="E2" s="125"/>
      <x:c r="F2" s="125"/>
      <x:c r="G2" s="125"/>
      <x:c r="H2" s="125"/>
      <x:c r="I2" s="125"/>
      <x:c r="J2" s="125"/>
      <x:c r="K2" s="125"/>
      <x:c r="L2" s="125"/>
      <x:c r="M2" s="125"/>
      <x:c r="N2" s="125"/>
      <x:c r="O2" s="125"/>
      <x:c r="P2" s="125"/>
      <x:c r="Q2" s="125"/>
    </x:row>
    <x:row r="3">
      <x:c r="A3" s="125"/>
      <x:c r="B3" s="125"/>
      <x:c r="C3" s="125"/>
      <x:c r="D3" s="125"/>
      <x:c r="E3" s="125"/>
      <x:c r="F3" s="125"/>
      <x:c r="G3" s="125"/>
      <x:c r="H3" s="125"/>
      <x:c r="I3" s="125"/>
      <x:c r="J3" s="125"/>
      <x:c r="K3" s="125"/>
      <x:c r="L3" s="125"/>
      <x:c r="M3" s="125"/>
      <x:c r="N3" s="125"/>
      <x:c r="O3" s="125"/>
      <x:c r="P3" s="125"/>
      <x:c r="Q3" s="125"/>
    </x:row>
    <x:row r="4" ht="26" customHeight="1">
      <x:c r="A4" s="127" t="str">
        <x:v>Map_ID</x:v>
      </x:c>
      <x:c r="B4" s="127" t="str">
        <x:v>Source / Document Field</x:v>
      </x:c>
      <x:c r="C4" s="127" t="str">
        <x:v>Canonical Tab</x:v>
      </x:c>
      <x:c r="D4" s="127" t="str">
        <x:v>Canonical Field</x:v>
      </x:c>
      <x:c r="E4" s="127" t="str">
        <x:v>Required for MVP?</x:v>
      </x:c>
      <x:c r="F4" s="127" t="str">
        <x:v>Current MVP Source</x:v>
      </x:c>
      <x:c r="G4" s="127" t="str">
        <x:v>Status</x:v>
      </x:c>
      <x:c r="H4" s="127" t="str">
        <x:v>Notes</x:v>
      </x:c>
      <x:c r="I4" s="125"/>
      <x:c r="J4" s="125"/>
      <x:c r="K4" s="125"/>
      <x:c r="L4" s="125"/>
      <x:c r="M4" s="125"/>
      <x:c r="N4" s="125"/>
      <x:c r="O4" s="125"/>
      <x:c r="P4" s="125"/>
      <x:c r="Q4" s="125"/>
    </x:row>
    <x:row r="5">
      <x:c r="A5" s="130" t="str">
        <x:v>MAP-001</x:v>
      </x:c>
      <x:c r="B5" s="130" t="str">
        <x:v>Property name / project name</x:v>
      </x:c>
      <x:c r="C5" s="130" t="str">
        <x:v>DATA_PROPERTY_MASTER</x:v>
      </x:c>
      <x:c r="D5" s="130" t="str">
        <x:v>Property_Name</x:v>
      </x:c>
      <x:c r="E5" s="130" t="str">
        <x:v>Yes</x:v>
      </x:c>
      <x:c r="F5" s="130" t="str">
        <x:v>NGO B v12 property master</x:v>
      </x:c>
      <x:c r="G5" s="130" t="str">
        <x:v>Live</x:v>
      </x:c>
      <x:c r="H5" s="130" t="str">
        <x:v>One row per property/project.</x:v>
      </x:c>
      <x:c r="I5" s="125"/>
      <x:c r="J5" s="125"/>
      <x:c r="K5" s="125"/>
      <x:c r="L5" s="125"/>
      <x:c r="M5" s="125"/>
      <x:c r="N5" s="125"/>
      <x:c r="O5" s="125"/>
      <x:c r="P5" s="125"/>
      <x:c r="Q5" s="125"/>
    </x:row>
    <x:row r="6">
      <x:c r="A6" s="130" t="str">
        <x:v>MAP-002</x:v>
      </x:c>
      <x:c r="B6" s="130" t="str">
        <x:v>Property ID / tab ID</x:v>
      </x:c>
      <x:c r="C6" s="130" t="str">
        <x:v>DATA_PROPERTY_MASTER</x:v>
      </x:c>
      <x:c r="D6" s="130" t="str">
        <x:v>Property_ID</x:v>
      </x:c>
      <x:c r="E6" s="130" t="str">
        <x:v>Yes</x:v>
      </x:c>
      <x:c r="F6" s="130" t="str">
        <x:v>NGO B v12</x:v>
      </x:c>
      <x:c r="G6" s="130" t="str">
        <x:v>Live</x:v>
      </x:c>
      <x:c r="H6" s="130" t="str">
        <x:v>Preserves v12 BLD_* identifiers for traceability.</x:v>
      </x:c>
      <x:c r="I6" s="125"/>
      <x:c r="J6" s="125"/>
      <x:c r="K6" s="125"/>
      <x:c r="L6" s="125"/>
      <x:c r="M6" s="125"/>
      <x:c r="N6" s="125"/>
      <x:c r="O6" s="125"/>
      <x:c r="P6" s="125"/>
      <x:c r="Q6" s="125"/>
    </x:row>
    <x:row r="7">
      <x:c r="A7" s="130" t="str">
        <x:v>MAP-003</x:v>
      </x:c>
      <x:c r="B7" s="130" t="str">
        <x:v>Included / excluded scope</x:v>
      </x:c>
      <x:c r="C7" s="130" t="str">
        <x:v>DATA_PROPERTY_MASTER</x:v>
      </x:c>
      <x:c r="D7" s="130" t="str">
        <x:v>Included?</x:v>
      </x:c>
      <x:c r="E7" s="130" t="str">
        <x:v>Yes</x:v>
      </x:c>
      <x:c r="F7" s="130" t="str">
        <x:v>v12 model control</x:v>
      </x:c>
      <x:c r="G7" s="130" t="str">
        <x:v>Live</x:v>
      </x:c>
      <x:c r="H7" s="130" t="str">
        <x:v>Alma Blackwell remains excluded unless changed.</x:v>
      </x:c>
      <x:c r="I7" s="125"/>
      <x:c r="J7" s="125"/>
      <x:c r="K7" s="125"/>
      <x:c r="L7" s="125"/>
      <x:c r="M7" s="125"/>
      <x:c r="N7" s="125"/>
      <x:c r="O7" s="125"/>
      <x:c r="P7" s="125"/>
      <x:c r="Q7" s="125"/>
    </x:row>
    <x:row r="8">
      <x:c r="A8" s="131" t="str">
        <x:v>MAP-004</x:v>
      </x:c>
      <x:c r="B8" s="131" t="str">
        <x:v>Unit count</x:v>
      </x:c>
      <x:c r="C8" s="131" t="str">
        <x:v>DATA_PROPERTY_MASTER</x:v>
      </x:c>
      <x:c r="D8" s="131" t="str">
        <x:v>Modeled_Unit_Count</x:v>
      </x:c>
      <x:c r="E8" s="131" t="str">
        <x:v>Yes</x:v>
      </x:c>
      <x:c r="F8" s="131" t="str">
        <x:v>v12 + Tapestry where updated</x:v>
      </x:c>
      <x:c r="G8" s="131" t="str">
        <x:v>Review</x:v>
      </x:c>
      <x:c r="H8" s="131" t="str">
        <x:v>Port Moody 245 vs 328 unresolved; 800 Commercial source update should be documented.</x:v>
      </x:c>
      <x:c r="I8" s="125"/>
      <x:c r="J8" s="125"/>
      <x:c r="K8" s="125"/>
      <x:c r="L8" s="125"/>
      <x:c r="M8" s="125"/>
      <x:c r="N8" s="125"/>
      <x:c r="O8" s="125"/>
      <x:c r="P8" s="125"/>
      <x:c r="Q8" s="125"/>
    </x:row>
    <x:row r="9">
      <x:c r="A9" s="131" t="str">
        <x:v>MAP-005</x:v>
      </x:c>
      <x:c r="B9" s="131" t="str">
        <x:v>Affordability / unit bands</x:v>
      </x:c>
      <x:c r="C9" s="131" t="str">
        <x:v>DATA_UNIT_MIX</x:v>
      </x:c>
      <x:c r="D9" s="131" t="str">
        <x:v>Affordability_Band; Unit_Count</x:v>
      </x:c>
      <x:c r="E9" s="131" t="str">
        <x:v>Yes, if available</x:v>
      </x:c>
      <x:c r="F9" s="131" t="str">
        <x:v>Tapestry / rent roll / NGO data</x:v>
      </x:c>
      <x:c r="G9" s="131" t="str">
        <x:v>Partial</x:v>
      </x:c>
      <x:c r="H9" s="131" t="str">
        <x:v>Can be partial in MVP.</x:v>
      </x:c>
      <x:c r="I9" s="125"/>
      <x:c r="J9" s="125"/>
      <x:c r="K9" s="125"/>
      <x:c r="L9" s="125"/>
      <x:c r="M9" s="125"/>
      <x:c r="N9" s="125"/>
      <x:c r="O9" s="125"/>
      <x:c r="P9" s="125"/>
      <x:c r="Q9" s="125"/>
    </x:row>
    <x:row r="10">
      <x:c r="A10" s="131" t="str">
        <x:v>MAP-006</x:v>
      </x:c>
      <x:c r="B10" s="131" t="str">
        <x:v>Operating budget / actuals</x:v>
      </x:c>
      <x:c r="C10" s="131" t="str">
        <x:v>DATA_OPERATING_ACTUALS</x:v>
      </x:c>
      <x:c r="D10" s="131" t="str">
        <x:v>IREI_Category; Amount</x:v>
      </x:c>
      <x:c r="E10" s="131" t="str">
        <x:v>Yes</x:v>
      </x:c>
      <x:c r="F10" s="131" t="str">
        <x:v>Tapestry / budgets</x:v>
      </x:c>
      <x:c r="G10" s="131" t="str">
        <x:v>Partial</x:v>
      </x:c>
      <x:c r="H10" s="131" t="str">
        <x:v>Core financial snapshot input.</x:v>
      </x:c>
      <x:c r="I10" s="125"/>
      <x:c r="J10" s="125"/>
      <x:c r="K10" s="125"/>
      <x:c r="L10" s="125"/>
      <x:c r="M10" s="125"/>
      <x:c r="N10" s="125"/>
      <x:c r="O10" s="125"/>
      <x:c r="P10" s="125"/>
      <x:c r="Q10" s="125"/>
    </x:row>
    <x:row r="11">
      <x:c r="A11" s="131" t="str">
        <x:v>MAP-007</x:v>
      </x:c>
      <x:c r="B11" s="131" t="str">
        <x:v>Mortgage / debt schedule</x:v>
      </x:c>
      <x:c r="C11" s="131" t="str">
        <x:v>DATA_DEBT_MASTER</x:v>
      </x:c>
      <x:c r="D11" s="131" t="str">
        <x:v>Principal; Rate; Amortization; Debt Service</x:v>
      </x:c>
      <x:c r="E11" s="131" t="str">
        <x:v>Yes</x:v>
      </x:c>
      <x:c r="F11" s="131" t="str">
        <x:v>Tapestry + amortization schedule</x:v>
      </x:c>
      <x:c r="G11" s="131" t="str">
        <x:v>Partial</x:v>
      </x:c>
      <x:c r="H11" s="131" t="str">
        <x:v>Use latest Tapestry assumptions for four projects.</x:v>
      </x:c>
      <x:c r="I11" s="125"/>
      <x:c r="J11" s="125"/>
      <x:c r="K11" s="125"/>
      <x:c r="L11" s="125"/>
      <x:c r="M11" s="125"/>
      <x:c r="N11" s="125"/>
      <x:c r="O11" s="125"/>
      <x:c r="P11" s="125"/>
      <x:c r="Q11" s="125"/>
    </x:row>
    <x:row r="12">
      <x:c r="A12" s="131" t="str">
        <x:v>MAP-008</x:v>
      </x:c>
      <x:c r="B12" s="131" t="str">
        <x:v>Cash balance / reserves</x:v>
      </x:c>
      <x:c r="C12" s="131" t="str">
        <x:v>DATA_CASH_RESERVES</x:v>
      </x:c>
      <x:c r="D12" s="131" t="str">
        <x:v>Restricted / unrestricted / available flags</x:v>
      </x:c>
      <x:c r="E12" s="131" t="str">
        <x:v>Yes</x:v>
      </x:c>
      <x:c r="F12" s="131" t="str">
        <x:v>Tapestry / financials</x:v>
      </x:c>
      <x:c r="G12" s="131" t="str">
        <x:v>Review</x:v>
      </x:c>
      <x:c r="H12" s="131" t="str">
        <x:v>Restricted cash may remain unknown.</x:v>
      </x:c>
      <x:c r="I12" s="125"/>
      <x:c r="J12" s="125"/>
      <x:c r="K12" s="125"/>
      <x:c r="L12" s="125"/>
      <x:c r="M12" s="125"/>
      <x:c r="N12" s="125"/>
      <x:c r="O12" s="125"/>
      <x:c r="P12" s="125"/>
      <x:c r="Q12" s="125"/>
    </x:row>
    <x:row r="13">
      <x:c r="A13" s="131" t="str">
        <x:v>MAP-009</x:v>
      </x:c>
      <x:c r="B13" s="131" t="str">
        <x:v>Capital plan / BCA</x:v>
      </x:c>
      <x:c r="C13" s="131" t="str">
        <x:v>DATA_CAPITAL_NEEDS</x:v>
      </x:c>
      <x:c r="D13" s="131" t="str">
        <x:v>Estimated cost; timing; funded status</x:v>
      </x:c>
      <x:c r="E13" s="131" t="str">
        <x:v>Placeholder</x:v>
      </x:c>
      <x:c r="F13" s="131" t="str">
        <x:v>Not fully available</x:v>
      </x:c>
      <x:c r="G13" s="131" t="str">
        <x:v>Open</x:v>
      </x:c>
      <x:c r="H13" s="131" t="str">
        <x:v>MVP should flag the gap, not hide it.</x:v>
      </x:c>
      <x:c r="I13" s="125"/>
      <x:c r="J13" s="125"/>
      <x:c r="K13" s="125"/>
      <x:c r="L13" s="125"/>
      <x:c r="M13" s="125"/>
      <x:c r="N13" s="125"/>
      <x:c r="O13" s="125"/>
      <x:c r="P13" s="125"/>
      <x:c r="Q13" s="125"/>
    </x:row>
    <x:row r="14">
      <x:c r="A14" s="131" t="str">
        <x:v>MAP-010</x:v>
      </x:c>
      <x:c r="B14" s="131" t="str">
        <x:v>Operating agreements / covenants</x:v>
      </x:c>
      <x:c r="C14" s="131" t="str">
        <x:v>DATA_AGREEMENTS</x:v>
      </x:c>
      <x:c r="D14" s="131" t="str">
        <x:v>Restriction fields</x:v>
      </x:c>
      <x:c r="E14" s="131" t="str">
        <x:v>Placeholder</x:v>
      </x:c>
      <x:c r="F14" s="131" t="str">
        <x:v>Not fully reviewed</x:v>
      </x:c>
      <x:c r="G14" s="131" t="str">
        <x:v>Open</x:v>
      </x:c>
      <x:c r="H14" s="131" t="str">
        <x:v>Mission/restriction review remains partial.</x:v>
      </x:c>
      <x:c r="I14" s="125"/>
      <x:c r="J14" s="125"/>
      <x:c r="K14" s="125"/>
      <x:c r="L14" s="125"/>
      <x:c r="M14" s="125"/>
      <x:c r="N14" s="125"/>
      <x:c r="O14" s="125"/>
      <x:c r="P14" s="125"/>
      <x:c r="Q14" s="125"/>
    </x:row>
    <x:row r="15">
      <x:c r="A15" s="130" t="str">
        <x:v>MAP-011</x:v>
      </x:c>
      <x:c r="B15" s="130" t="str">
        <x:v>Quality checks</x:v>
      </x:c>
      <x:c r="C15" s="130" t="str">
        <x:v>DATA_QUALITY_CHECKS</x:v>
      </x:c>
      <x:c r="D15" s="130" t="str">
        <x:v>Status</x:v>
      </x:c>
      <x:c r="E15" s="130" t="str">
        <x:v>Yes</x:v>
      </x:c>
      <x:c r="F15" s="130" t="str">
        <x:v>Formulas</x:v>
      </x:c>
      <x:c r="G15" s="130" t="str">
        <x:v>Live</x:v>
      </x:c>
      <x:c r="H15" s="130" t="str">
        <x:v>Calculates from source logs and flags.</x:v>
      </x:c>
      <x:c r="I15" s="125"/>
      <x:c r="J15" s="125"/>
      <x:c r="K15" s="125"/>
      <x:c r="L15" s="125"/>
      <x:c r="M15" s="125"/>
      <x:c r="N15" s="125"/>
      <x:c r="O15" s="125"/>
      <x:c r="P15" s="125"/>
      <x:c r="Q15" s="125"/>
    </x:row>
    <x:row r="16">
      <x:c r="A16" s="130" t="str">
        <x:v>MAP-012</x:v>
      </x:c>
      <x:c r="B16" s="130" t="str">
        <x:v>Readiness outcome</x:v>
      </x:c>
      <x:c r="C16" s="130" t="str">
        <x:v>OUT_STAGE1_READINESS_SNAPSHOT</x:v>
      </x:c>
      <x:c r="D16" s="130" t="str">
        <x:v>Overall status</x:v>
      </x:c>
      <x:c r="E16" s="130" t="str">
        <x:v>Yes</x:v>
      </x:c>
      <x:c r="F16" s="130" t="str">
        <x:v>Formulas</x:v>
      </x:c>
      <x:c r="G16" s="130" t="str">
        <x:v>Live</x:v>
      </x:c>
      <x:c r="H16" s="130" t="str">
        <x:v>MVP final output.</x:v>
      </x:c>
      <x:c r="I16" s="125"/>
      <x:c r="J16" s="125"/>
      <x:c r="K16" s="125"/>
      <x:c r="L16" s="125"/>
      <x:c r="M16" s="125"/>
      <x:c r="N16" s="125"/>
      <x:c r="O16" s="125"/>
      <x:c r="P16" s="125"/>
      <x:c r="Q16" s="125"/>
    </x:row>
    <x:row r="17">
      <x:c r="A17" s="125"/>
      <x:c r="B17" s="125"/>
      <x:c r="C17" s="125"/>
      <x:c r="D17" s="125"/>
      <x:c r="E17" s="125"/>
      <x:c r="F17" s="125"/>
      <x:c r="G17" s="125"/>
      <x:c r="H17" s="125"/>
      <x:c r="I17" s="125"/>
      <x:c r="J17" s="125"/>
      <x:c r="K17" s="125"/>
      <x:c r="L17" s="125"/>
      <x:c r="M17" s="125"/>
      <x:c r="N17" s="125"/>
      <x:c r="O17" s="125"/>
      <x:c r="P17" s="125"/>
      <x:c r="Q17" s="125"/>
    </x:row>
    <x:row r="18">
      <x:c r="A18" s="125"/>
      <x:c r="B18" s="125"/>
      <x:c r="C18" s="125"/>
      <x:c r="D18" s="125"/>
      <x:c r="E18" s="125"/>
      <x:c r="F18" s="125"/>
      <x:c r="G18" s="125"/>
      <x:c r="H18" s="125"/>
      <x:c r="I18" s="125"/>
      <x:c r="J18" s="125"/>
      <x:c r="K18" s="125"/>
      <x:c r="L18" s="125"/>
      <x:c r="M18" s="125"/>
      <x:c r="N18" s="125"/>
      <x:c r="O18" s="125"/>
      <x:c r="P18" s="125"/>
      <x:c r="Q18" s="125"/>
    </x:row>
    <x:row r="19">
      <x:c r="A19" s="125"/>
      <x:c r="B19" s="125"/>
      <x:c r="C19" s="125"/>
      <x:c r="D19" s="125"/>
      <x:c r="E19" s="125"/>
      <x:c r="F19" s="125"/>
      <x:c r="G19" s="125"/>
      <x:c r="H19" s="125"/>
      <x:c r="I19" s="125"/>
      <x:c r="J19" s="125"/>
      <x:c r="K19" s="125"/>
      <x:c r="L19" s="125"/>
      <x:c r="M19" s="125"/>
      <x:c r="N19" s="125"/>
      <x:c r="O19" s="125"/>
      <x:c r="P19" s="125"/>
      <x:c r="Q19" s="125"/>
    </x:row>
    <x:row r="20">
      <x:c r="A20" s="125"/>
      <x:c r="B20" s="125"/>
      <x:c r="C20" s="125"/>
      <x:c r="D20" s="125"/>
      <x:c r="E20" s="125"/>
      <x:c r="F20" s="125"/>
      <x:c r="G20" s="125"/>
      <x:c r="H20" s="125"/>
      <x:c r="I20" s="125"/>
      <x:c r="J20" s="125"/>
      <x:c r="K20" s="125"/>
      <x:c r="L20" s="125"/>
      <x:c r="M20" s="125"/>
      <x:c r="N20" s="125"/>
      <x:c r="O20" s="125"/>
      <x:c r="P20" s="125"/>
      <x:c r="Q20" s="125"/>
    </x:row>
    <x:row r="21">
      <x:c r="A21" s="125"/>
      <x:c r="B21" s="125"/>
      <x:c r="C21" s="125"/>
      <x:c r="D21" s="125"/>
      <x:c r="E21" s="125"/>
      <x:c r="F21" s="125"/>
      <x:c r="G21" s="125"/>
      <x:c r="H21" s="125"/>
      <x:c r="I21" s="125"/>
      <x:c r="J21" s="125"/>
      <x:c r="K21" s="125"/>
      <x:c r="L21" s="125"/>
      <x:c r="M21" s="125"/>
      <x:c r="N21" s="125"/>
      <x:c r="O21" s="125"/>
      <x:c r="P21" s="125"/>
      <x:c r="Q21" s="125"/>
    </x:row>
    <x:row r="22">
      <x:c r="A22" s="125"/>
      <x:c r="B22" s="125"/>
      <x:c r="C22" s="125"/>
      <x:c r="D22" s="125"/>
      <x:c r="E22" s="125"/>
      <x:c r="F22" s="125"/>
      <x:c r="G22" s="125"/>
      <x:c r="H22" s="125"/>
      <x:c r="I22" s="125"/>
      <x:c r="J22" s="125"/>
      <x:c r="K22" s="125"/>
      <x:c r="L22" s="125"/>
      <x:c r="M22" s="125"/>
      <x:c r="N22" s="125"/>
      <x:c r="O22" s="125"/>
      <x:c r="P22" s="125"/>
      <x:c r="Q22" s="125"/>
    </x:row>
    <x:row r="23">
      <x:c r="A23" s="125"/>
      <x:c r="B23" s="125"/>
      <x:c r="C23" s="125"/>
      <x:c r="D23" s="125"/>
      <x:c r="E23" s="125"/>
      <x:c r="F23" s="125"/>
      <x:c r="G23" s="125"/>
      <x:c r="H23" s="125"/>
      <x:c r="I23" s="125"/>
      <x:c r="J23" s="125"/>
      <x:c r="K23" s="125"/>
      <x:c r="L23" s="125"/>
      <x:c r="M23" s="125"/>
      <x:c r="N23" s="125"/>
      <x:c r="O23" s="125"/>
      <x:c r="P23" s="125"/>
      <x:c r="Q23" s="125"/>
    </x:row>
    <x:row r="24">
      <x:c r="A24" s="125"/>
      <x:c r="B24" s="125"/>
      <x:c r="C24" s="125"/>
      <x:c r="D24" s="125"/>
      <x:c r="E24" s="125"/>
      <x:c r="F24" s="125"/>
      <x:c r="G24" s="125"/>
      <x:c r="H24" s="125"/>
      <x:c r="I24" s="125"/>
      <x:c r="J24" s="125"/>
      <x:c r="K24" s="125"/>
      <x:c r="L24" s="125"/>
      <x:c r="M24" s="125"/>
      <x:c r="N24" s="125"/>
      <x:c r="O24" s="125"/>
      <x:c r="P24" s="125"/>
      <x:c r="Q24" s="125"/>
    </x:row>
    <x:row r="25">
      <x:c r="A25" s="125"/>
      <x:c r="B25" s="125"/>
      <x:c r="C25" s="125"/>
      <x:c r="D25" s="125"/>
      <x:c r="E25" s="125"/>
      <x:c r="F25" s="125"/>
      <x:c r="G25" s="125"/>
      <x:c r="H25" s="125"/>
      <x:c r="I25" s="125"/>
      <x:c r="J25" s="125"/>
      <x:c r="K25" s="125"/>
      <x:c r="L25" s="125"/>
      <x:c r="M25" s="125"/>
      <x:c r="N25" s="125"/>
      <x:c r="O25" s="125"/>
      <x:c r="P25" s="125"/>
      <x:c r="Q25" s="125"/>
    </x:row>
    <x:row r="26">
      <x:c r="A26" s="125"/>
      <x:c r="B26" s="125"/>
      <x:c r="C26" s="125"/>
      <x:c r="D26" s="125"/>
      <x:c r="E26" s="125"/>
      <x:c r="F26" s="125"/>
      <x:c r="G26" s="125"/>
      <x:c r="H26" s="125"/>
      <x:c r="I26" s="125"/>
      <x:c r="J26" s="125"/>
      <x:c r="K26" s="125"/>
      <x:c r="L26" s="125"/>
      <x:c r="M26" s="125"/>
      <x:c r="N26" s="125"/>
      <x:c r="O26" s="125"/>
      <x:c r="P26" s="125"/>
      <x:c r="Q26" s="125"/>
    </x:row>
    <x:row r="27">
      <x:c r="A27" s="125"/>
      <x:c r="B27" s="125"/>
      <x:c r="C27" s="125"/>
      <x:c r="D27" s="125"/>
      <x:c r="E27" s="125"/>
      <x:c r="F27" s="125"/>
      <x:c r="G27" s="125"/>
      <x:c r="H27" s="125"/>
      <x:c r="I27" s="125"/>
      <x:c r="J27" s="125"/>
      <x:c r="K27" s="125"/>
      <x:c r="L27" s="125"/>
      <x:c r="M27" s="125"/>
      <x:c r="N27" s="125"/>
      <x:c r="O27" s="125"/>
      <x:c r="P27" s="125"/>
      <x:c r="Q27" s="125"/>
    </x:row>
    <x:row r="28">
      <x:c r="A28" s="125"/>
      <x:c r="B28" s="125"/>
      <x:c r="C28" s="125"/>
      <x:c r="D28" s="125"/>
      <x:c r="E28" s="125"/>
      <x:c r="F28" s="125"/>
      <x:c r="G28" s="125"/>
      <x:c r="H28" s="125"/>
      <x:c r="I28" s="125"/>
      <x:c r="J28" s="125"/>
      <x:c r="K28" s="125"/>
      <x:c r="L28" s="125"/>
      <x:c r="M28" s="125"/>
      <x:c r="N28" s="125"/>
      <x:c r="O28" s="125"/>
      <x:c r="P28" s="125"/>
      <x:c r="Q28" s="125"/>
    </x:row>
    <x:row r="29">
      <x:c r="A29" s="125"/>
      <x:c r="B29" s="125"/>
      <x:c r="C29" s="125"/>
      <x:c r="D29" s="125"/>
      <x:c r="E29" s="125"/>
      <x:c r="F29" s="125"/>
      <x:c r="G29" s="125"/>
      <x:c r="H29" s="125"/>
      <x:c r="I29" s="125"/>
      <x:c r="J29" s="125"/>
      <x:c r="K29" s="125"/>
      <x:c r="L29" s="125"/>
      <x:c r="M29" s="125"/>
      <x:c r="N29" s="125"/>
      <x:c r="O29" s="125"/>
      <x:c r="P29" s="125"/>
      <x:c r="Q29" s="125"/>
    </x:row>
    <x:row r="30">
      <x:c r="A30" s="125"/>
      <x:c r="B30" s="125"/>
      <x:c r="C30" s="125"/>
      <x:c r="D30" s="125"/>
      <x:c r="E30" s="125"/>
      <x:c r="F30" s="125"/>
      <x:c r="G30" s="125"/>
      <x:c r="H30" s="125"/>
      <x:c r="I30" s="125"/>
      <x:c r="J30" s="125"/>
      <x:c r="K30" s="125"/>
      <x:c r="L30" s="125"/>
      <x:c r="M30" s="125"/>
      <x:c r="N30" s="125"/>
      <x:c r="O30" s="125"/>
      <x:c r="P30" s="125"/>
      <x:c r="Q30" s="125"/>
    </x:row>
    <x:row r="31">
      <x:c r="A31" s="125"/>
      <x:c r="B31" s="125"/>
      <x:c r="C31" s="125"/>
      <x:c r="D31" s="125"/>
      <x:c r="E31" s="125"/>
      <x:c r="F31" s="125"/>
      <x:c r="G31" s="125"/>
      <x:c r="H31" s="125"/>
      <x:c r="I31" s="125"/>
      <x:c r="J31" s="125"/>
      <x:c r="K31" s="125"/>
      <x:c r="L31" s="125"/>
      <x:c r="M31" s="125"/>
      <x:c r="N31" s="125"/>
      <x:c r="O31" s="125"/>
      <x:c r="P31" s="125"/>
      <x:c r="Q31" s="125"/>
    </x:row>
    <x:row r="32">
      <x:c r="A32" s="125"/>
      <x:c r="B32" s="125"/>
      <x:c r="C32" s="125"/>
      <x:c r="D32" s="125"/>
      <x:c r="E32" s="125"/>
      <x:c r="F32" s="125"/>
      <x:c r="G32" s="125"/>
      <x:c r="H32" s="125"/>
      <x:c r="I32" s="125"/>
      <x:c r="J32" s="125"/>
      <x:c r="K32" s="125"/>
      <x:c r="L32" s="125"/>
      <x:c r="M32" s="125"/>
      <x:c r="N32" s="125"/>
      <x:c r="O32" s="125"/>
      <x:c r="P32" s="125"/>
      <x:c r="Q32" s="125"/>
    </x:row>
    <x:row r="33">
      <x:c r="A33" s="125"/>
      <x:c r="B33" s="125"/>
      <x:c r="C33" s="125"/>
      <x:c r="D33" s="125"/>
      <x:c r="E33" s="125"/>
      <x:c r="F33" s="125"/>
      <x:c r="G33" s="125"/>
      <x:c r="H33" s="125"/>
      <x:c r="I33" s="125"/>
      <x:c r="J33" s="125"/>
      <x:c r="K33" s="125"/>
      <x:c r="L33" s="125"/>
      <x:c r="M33" s="125"/>
      <x:c r="N33" s="125"/>
      <x:c r="O33" s="125"/>
      <x:c r="P33" s="125"/>
      <x:c r="Q33" s="125"/>
    </x:row>
    <x:row r="34">
      <x:c r="A34" s="125"/>
      <x:c r="B34" s="125"/>
      <x:c r="C34" s="125"/>
      <x:c r="D34" s="125"/>
      <x:c r="E34" s="125"/>
      <x:c r="F34" s="125"/>
      <x:c r="G34" s="125"/>
      <x:c r="H34" s="125"/>
      <x:c r="I34" s="125"/>
      <x:c r="J34" s="125"/>
      <x:c r="K34" s="125"/>
      <x:c r="L34" s="125"/>
      <x:c r="M34" s="125"/>
      <x:c r="N34" s="125"/>
      <x:c r="O34" s="125"/>
      <x:c r="P34" s="125"/>
      <x:c r="Q34" s="125"/>
    </x:row>
    <x:row r="35">
      <x:c r="A35" s="125"/>
      <x:c r="B35" s="125"/>
      <x:c r="C35" s="125"/>
      <x:c r="D35" s="125"/>
      <x:c r="E35" s="125"/>
      <x:c r="F35" s="125"/>
      <x:c r="G35" s="125"/>
      <x:c r="H35" s="125"/>
      <x:c r="I35" s="125"/>
      <x:c r="J35" s="125"/>
      <x:c r="K35" s="125"/>
      <x:c r="L35" s="125"/>
      <x:c r="M35" s="125"/>
      <x:c r="N35" s="125"/>
      <x:c r="O35" s="125"/>
      <x:c r="P35" s="125"/>
      <x:c r="Q35" s="125"/>
    </x:row>
    <x:row r="36">
      <x:c r="A36" s="125"/>
      <x:c r="B36" s="125"/>
      <x:c r="C36" s="125"/>
      <x:c r="D36" s="125"/>
      <x:c r="E36" s="125"/>
      <x:c r="F36" s="125"/>
      <x:c r="G36" s="125"/>
      <x:c r="H36" s="125"/>
      <x:c r="I36" s="125"/>
      <x:c r="J36" s="125"/>
      <x:c r="K36" s="125"/>
      <x:c r="L36" s="125"/>
      <x:c r="M36" s="125"/>
      <x:c r="N36" s="125"/>
      <x:c r="O36" s="125"/>
      <x:c r="P36" s="125"/>
      <x:c r="Q36" s="125"/>
    </x:row>
    <x:row r="37">
      <x:c r="A37" s="125"/>
      <x:c r="B37" s="125"/>
      <x:c r="C37" s="125"/>
      <x:c r="D37" s="125"/>
      <x:c r="E37" s="125"/>
      <x:c r="F37" s="125"/>
      <x:c r="G37" s="125"/>
      <x:c r="H37" s="125"/>
      <x:c r="I37" s="125"/>
      <x:c r="J37" s="125"/>
      <x:c r="K37" s="125"/>
      <x:c r="L37" s="125"/>
      <x:c r="M37" s="125"/>
      <x:c r="N37" s="125"/>
      <x:c r="O37" s="125"/>
      <x:c r="P37" s="125"/>
      <x:c r="Q37" s="125"/>
    </x:row>
    <x:row r="38">
      <x:c r="A38" s="125"/>
      <x:c r="B38" s="125"/>
      <x:c r="C38" s="125"/>
      <x:c r="D38" s="125"/>
      <x:c r="E38" s="125"/>
      <x:c r="F38" s="125"/>
      <x:c r="G38" s="125"/>
      <x:c r="H38" s="125"/>
      <x:c r="I38" s="125"/>
      <x:c r="J38" s="125"/>
      <x:c r="K38" s="125"/>
      <x:c r="L38" s="125"/>
      <x:c r="M38" s="125"/>
      <x:c r="N38" s="125"/>
      <x:c r="O38" s="125"/>
      <x:c r="P38" s="125"/>
      <x:c r="Q38" s="125"/>
    </x:row>
    <x:row r="39">
      <x:c r="A39" s="125"/>
      <x:c r="B39" s="125"/>
      <x:c r="C39" s="125"/>
      <x:c r="D39" s="125"/>
      <x:c r="E39" s="125"/>
      <x:c r="F39" s="125"/>
      <x:c r="G39" s="125"/>
      <x:c r="H39" s="125"/>
      <x:c r="I39" s="125"/>
      <x:c r="J39" s="125"/>
      <x:c r="K39" s="125"/>
      <x:c r="L39" s="125"/>
      <x:c r="M39" s="125"/>
      <x:c r="N39" s="125"/>
      <x:c r="O39" s="125"/>
      <x:c r="P39" s="125"/>
      <x:c r="Q39" s="125"/>
    </x:row>
    <x:row r="40">
      <x:c r="A40" s="125"/>
      <x:c r="B40" s="125"/>
      <x:c r="C40" s="125"/>
      <x:c r="D40" s="125"/>
      <x:c r="E40" s="125"/>
      <x:c r="F40" s="125"/>
      <x:c r="G40" s="125"/>
      <x:c r="H40" s="125"/>
      <x:c r="I40" s="125"/>
      <x:c r="J40" s="125"/>
      <x:c r="K40" s="125"/>
      <x:c r="L40" s="125"/>
      <x:c r="M40" s="125"/>
      <x:c r="N40" s="125"/>
      <x:c r="O40" s="125"/>
      <x:c r="P40" s="125"/>
      <x:c r="Q40" s="125"/>
    </x:row>
    <x:row r="41">
      <x:c r="A41" s="125"/>
      <x:c r="B41" s="125"/>
      <x:c r="C41" s="125"/>
      <x:c r="D41" s="125"/>
      <x:c r="E41" s="125"/>
      <x:c r="F41" s="125"/>
      <x:c r="G41" s="125"/>
      <x:c r="H41" s="125"/>
      <x:c r="I41" s="125"/>
      <x:c r="J41" s="125"/>
      <x:c r="K41" s="125"/>
      <x:c r="L41" s="125"/>
      <x:c r="M41" s="125"/>
      <x:c r="N41" s="125"/>
      <x:c r="O41" s="125"/>
      <x:c r="P41" s="125"/>
      <x:c r="Q41" s="125"/>
    </x:row>
    <x:row r="42">
      <x:c r="A42" s="125"/>
      <x:c r="B42" s="125"/>
      <x:c r="C42" s="125"/>
      <x:c r="D42" s="125"/>
      <x:c r="E42" s="125"/>
      <x:c r="F42" s="125"/>
      <x:c r="G42" s="125"/>
      <x:c r="H42" s="125"/>
      <x:c r="I42" s="125"/>
      <x:c r="J42" s="125"/>
      <x:c r="K42" s="125"/>
      <x:c r="L42" s="125"/>
      <x:c r="M42" s="125"/>
      <x:c r="N42" s="125"/>
      <x:c r="O42" s="125"/>
      <x:c r="P42" s="125"/>
      <x:c r="Q42" s="125"/>
    </x:row>
    <x:row r="43">
      <x:c r="A43" s="125"/>
      <x:c r="B43" s="125"/>
      <x:c r="C43" s="125"/>
      <x:c r="D43" s="125"/>
      <x:c r="E43" s="125"/>
      <x:c r="F43" s="125"/>
      <x:c r="G43" s="125"/>
      <x:c r="H43" s="125"/>
      <x:c r="I43" s="125"/>
      <x:c r="J43" s="125"/>
      <x:c r="K43" s="125"/>
      <x:c r="L43" s="125"/>
      <x:c r="M43" s="125"/>
      <x:c r="N43" s="125"/>
      <x:c r="O43" s="125"/>
      <x:c r="P43" s="125"/>
      <x:c r="Q43" s="125"/>
    </x:row>
    <x:row r="44">
      <x:c r="A44" s="125"/>
      <x:c r="B44" s="125"/>
      <x:c r="C44" s="125"/>
      <x:c r="D44" s="125"/>
      <x:c r="E44" s="125"/>
      <x:c r="F44" s="125"/>
      <x:c r="G44" s="125"/>
      <x:c r="H44" s="125"/>
      <x:c r="I44" s="125"/>
      <x:c r="J44" s="125"/>
      <x:c r="K44" s="125"/>
      <x:c r="L44" s="125"/>
      <x:c r="M44" s="125"/>
      <x:c r="N44" s="125"/>
      <x:c r="O44" s="125"/>
      <x:c r="P44" s="125"/>
      <x:c r="Q44" s="125"/>
    </x:row>
    <x:row r="45">
      <x:c r="A45" s="125"/>
      <x:c r="B45" s="125"/>
      <x:c r="C45" s="125"/>
      <x:c r="D45" s="125"/>
      <x:c r="E45" s="125"/>
      <x:c r="F45" s="125"/>
      <x:c r="G45" s="125"/>
      <x:c r="H45" s="125"/>
      <x:c r="I45" s="125"/>
      <x:c r="J45" s="125"/>
      <x:c r="K45" s="125"/>
      <x:c r="L45" s="125"/>
      <x:c r="M45" s="125"/>
      <x:c r="N45" s="125"/>
      <x:c r="O45" s="125"/>
      <x:c r="P45" s="125"/>
      <x:c r="Q45" s="125"/>
    </x:row>
    <x:row r="46">
      <x:c r="A46" s="125"/>
      <x:c r="B46" s="125"/>
      <x:c r="C46" s="125"/>
      <x:c r="D46" s="125"/>
      <x:c r="E46" s="125"/>
      <x:c r="F46" s="125"/>
      <x:c r="G46" s="125"/>
      <x:c r="H46" s="125"/>
      <x:c r="I46" s="125"/>
      <x:c r="J46" s="125"/>
      <x:c r="K46" s="125"/>
      <x:c r="L46" s="125"/>
      <x:c r="M46" s="125"/>
      <x:c r="N46" s="125"/>
      <x:c r="O46" s="125"/>
      <x:c r="P46" s="125"/>
      <x:c r="Q46" s="125"/>
    </x:row>
    <x:row r="47">
      <x:c r="A47" s="125"/>
      <x:c r="B47" s="125"/>
      <x:c r="C47" s="125"/>
      <x:c r="D47" s="125"/>
      <x:c r="E47" s="125"/>
      <x:c r="F47" s="125"/>
      <x:c r="G47" s="125"/>
      <x:c r="H47" s="125"/>
      <x:c r="I47" s="125"/>
      <x:c r="J47" s="125"/>
      <x:c r="K47" s="125"/>
      <x:c r="L47" s="125"/>
      <x:c r="M47" s="125"/>
      <x:c r="N47" s="125"/>
      <x:c r="O47" s="125"/>
      <x:c r="P47" s="125"/>
      <x:c r="Q47" s="125"/>
    </x:row>
    <x:row r="48">
      <x:c r="A48" s="125"/>
      <x:c r="B48" s="125"/>
      <x:c r="C48" s="125"/>
      <x:c r="D48" s="125"/>
      <x:c r="E48" s="125"/>
      <x:c r="F48" s="125"/>
      <x:c r="G48" s="125"/>
      <x:c r="H48" s="125"/>
      <x:c r="I48" s="125"/>
      <x:c r="J48" s="125"/>
      <x:c r="K48" s="125"/>
      <x:c r="L48" s="125"/>
      <x:c r="M48" s="125"/>
      <x:c r="N48" s="125"/>
      <x:c r="O48" s="125"/>
      <x:c r="P48" s="125"/>
      <x:c r="Q48" s="125"/>
    </x:row>
    <x:row r="49">
      <x:c r="A49" s="125"/>
      <x:c r="B49" s="125"/>
      <x:c r="C49" s="125"/>
      <x:c r="D49" s="125"/>
      <x:c r="E49" s="125"/>
      <x:c r="F49" s="125"/>
      <x:c r="G49" s="125"/>
      <x:c r="H49" s="125"/>
      <x:c r="I49" s="125"/>
      <x:c r="J49" s="125"/>
      <x:c r="K49" s="125"/>
      <x:c r="L49" s="125"/>
      <x:c r="M49" s="125"/>
      <x:c r="N49" s="125"/>
      <x:c r="O49" s="125"/>
      <x:c r="P49" s="125"/>
      <x:c r="Q49" s="125"/>
    </x:row>
    <x:row r="50">
      <x:c r="A50" s="125"/>
      <x:c r="B50" s="125"/>
      <x:c r="C50" s="125"/>
      <x:c r="D50" s="125"/>
      <x:c r="E50" s="125"/>
      <x:c r="F50" s="125"/>
      <x:c r="G50" s="125"/>
      <x:c r="H50" s="125"/>
      <x:c r="I50" s="125"/>
      <x:c r="J50" s="125"/>
      <x:c r="K50" s="125"/>
      <x:c r="L50" s="125"/>
      <x:c r="M50" s="125"/>
      <x:c r="N50" s="125"/>
      <x:c r="O50" s="125"/>
      <x:c r="P50" s="125"/>
      <x:c r="Q50" s="125"/>
    </x:row>
    <x:row r="51">
      <x:c r="A51" s="125"/>
      <x:c r="B51" s="125"/>
      <x:c r="C51" s="125"/>
      <x:c r="D51" s="125"/>
      <x:c r="E51" s="125"/>
      <x:c r="F51" s="125"/>
      <x:c r="G51" s="125"/>
      <x:c r="H51" s="125"/>
      <x:c r="I51" s="125"/>
      <x:c r="J51" s="125"/>
      <x:c r="K51" s="125"/>
      <x:c r="L51" s="125"/>
      <x:c r="M51" s="125"/>
      <x:c r="N51" s="125"/>
      <x:c r="O51" s="125"/>
      <x:c r="P51" s="125"/>
      <x:c r="Q51" s="125"/>
    </x:row>
    <x:row r="52">
      <x:c r="A52" s="125"/>
      <x:c r="B52" s="125"/>
      <x:c r="C52" s="125"/>
      <x:c r="D52" s="125"/>
      <x:c r="E52" s="125"/>
      <x:c r="F52" s="125"/>
      <x:c r="G52" s="125"/>
      <x:c r="H52" s="125"/>
      <x:c r="I52" s="125"/>
      <x:c r="J52" s="125"/>
      <x:c r="K52" s="125"/>
      <x:c r="L52" s="125"/>
      <x:c r="M52" s="125"/>
      <x:c r="N52" s="125"/>
      <x:c r="O52" s="125"/>
      <x:c r="P52" s="125"/>
      <x:c r="Q52" s="125"/>
    </x:row>
    <x:row r="53">
      <x:c r="A53" s="125"/>
      <x:c r="B53" s="125"/>
      <x:c r="C53" s="125"/>
      <x:c r="D53" s="125"/>
      <x:c r="E53" s="125"/>
      <x:c r="F53" s="125"/>
      <x:c r="G53" s="125"/>
      <x:c r="H53" s="125"/>
      <x:c r="I53" s="125"/>
      <x:c r="J53" s="125"/>
      <x:c r="K53" s="125"/>
      <x:c r="L53" s="125"/>
      <x:c r="M53" s="125"/>
      <x:c r="N53" s="125"/>
      <x:c r="O53" s="125"/>
      <x:c r="P53" s="125"/>
      <x:c r="Q53" s="125"/>
    </x:row>
    <x:row r="54">
      <x:c r="A54" s="125"/>
      <x:c r="B54" s="125"/>
      <x:c r="C54" s="125"/>
      <x:c r="D54" s="125"/>
      <x:c r="E54" s="125"/>
      <x:c r="F54" s="125"/>
      <x:c r="G54" s="125"/>
      <x:c r="H54" s="125"/>
      <x:c r="I54" s="125"/>
      <x:c r="J54" s="125"/>
      <x:c r="K54" s="125"/>
      <x:c r="L54" s="125"/>
      <x:c r="M54" s="125"/>
      <x:c r="N54" s="125"/>
      <x:c r="O54" s="125"/>
      <x:c r="P54" s="125"/>
      <x:c r="Q54" s="125"/>
    </x:row>
    <x:row r="55">
      <x:c r="A55" s="125"/>
      <x:c r="B55" s="125"/>
      <x:c r="C55" s="125"/>
      <x:c r="D55" s="125"/>
      <x:c r="E55" s="125"/>
      <x:c r="F55" s="125"/>
      <x:c r="G55" s="125"/>
      <x:c r="H55" s="125"/>
      <x:c r="I55" s="125"/>
      <x:c r="J55" s="125"/>
      <x:c r="K55" s="125"/>
      <x:c r="L55" s="125"/>
      <x:c r="M55" s="125"/>
      <x:c r="N55" s="125"/>
      <x:c r="O55" s="125"/>
      <x:c r="P55" s="125"/>
      <x:c r="Q55" s="125"/>
    </x:row>
    <x:row r="56">
      <x:c r="A56" s="125"/>
      <x:c r="B56" s="125"/>
      <x:c r="C56" s="125"/>
      <x:c r="D56" s="125"/>
      <x:c r="E56" s="125"/>
      <x:c r="F56" s="125"/>
      <x:c r="G56" s="125"/>
      <x:c r="H56" s="125"/>
      <x:c r="I56" s="125"/>
      <x:c r="J56" s="125"/>
      <x:c r="K56" s="125"/>
      <x:c r="L56" s="125"/>
      <x:c r="M56" s="125"/>
      <x:c r="N56" s="125"/>
      <x:c r="O56" s="125"/>
      <x:c r="P56" s="125"/>
      <x:c r="Q56" s="125"/>
    </x:row>
    <x:row r="57">
      <x:c r="A57" s="125"/>
      <x:c r="B57" s="125"/>
      <x:c r="C57" s="125"/>
      <x:c r="D57" s="125"/>
      <x:c r="E57" s="125"/>
      <x:c r="F57" s="125"/>
      <x:c r="G57" s="125"/>
      <x:c r="H57" s="125"/>
      <x:c r="I57" s="125"/>
      <x:c r="J57" s="125"/>
      <x:c r="K57" s="125"/>
      <x:c r="L57" s="125"/>
      <x:c r="M57" s="125"/>
      <x:c r="N57" s="125"/>
      <x:c r="O57" s="125"/>
      <x:c r="P57" s="125"/>
      <x:c r="Q57" s="125"/>
    </x:row>
    <x:row r="58">
      <x:c r="A58" s="125"/>
      <x:c r="B58" s="125"/>
      <x:c r="C58" s="125"/>
      <x:c r="D58" s="125"/>
      <x:c r="E58" s="125"/>
      <x:c r="F58" s="125"/>
      <x:c r="G58" s="125"/>
      <x:c r="H58" s="125"/>
      <x:c r="I58" s="125"/>
      <x:c r="J58" s="125"/>
      <x:c r="K58" s="125"/>
      <x:c r="L58" s="125"/>
      <x:c r="M58" s="125"/>
      <x:c r="N58" s="125"/>
      <x:c r="O58" s="125"/>
      <x:c r="P58" s="125"/>
      <x:c r="Q58" s="125"/>
    </x:row>
    <x:row r="59">
      <x:c r="A59" s="125"/>
      <x:c r="B59" s="125"/>
      <x:c r="C59" s="125"/>
      <x:c r="D59" s="125"/>
      <x:c r="E59" s="125"/>
      <x:c r="F59" s="125"/>
      <x:c r="G59" s="125"/>
      <x:c r="H59" s="125"/>
      <x:c r="I59" s="125"/>
      <x:c r="J59" s="125"/>
      <x:c r="K59" s="125"/>
      <x:c r="L59" s="125"/>
      <x:c r="M59" s="125"/>
      <x:c r="N59" s="125"/>
      <x:c r="O59" s="125"/>
      <x:c r="P59" s="125"/>
      <x:c r="Q59" s="125"/>
    </x:row>
    <x:row r="60">
      <x:c r="A60" s="125"/>
      <x:c r="B60" s="125"/>
      <x:c r="C60" s="125"/>
      <x:c r="D60" s="125"/>
      <x:c r="E60" s="125"/>
      <x:c r="F60" s="125"/>
      <x:c r="G60" s="125"/>
      <x:c r="H60" s="125"/>
      <x:c r="I60" s="125"/>
      <x:c r="J60" s="125"/>
      <x:c r="K60" s="125"/>
      <x:c r="L60" s="125"/>
      <x:c r="M60" s="125"/>
      <x:c r="N60" s="125"/>
      <x:c r="O60" s="125"/>
      <x:c r="P60" s="125"/>
      <x:c r="Q60" s="125"/>
    </x:row>
    <x:row r="61">
      <x:c r="A61" s="125"/>
      <x:c r="B61" s="125"/>
      <x:c r="C61" s="125"/>
      <x:c r="D61" s="125"/>
      <x:c r="E61" s="125"/>
      <x:c r="F61" s="125"/>
      <x:c r="G61" s="125"/>
      <x:c r="H61" s="125"/>
      <x:c r="I61" s="125"/>
      <x:c r="J61" s="125"/>
      <x:c r="K61" s="125"/>
      <x:c r="L61" s="125"/>
      <x:c r="M61" s="125"/>
      <x:c r="N61" s="125"/>
      <x:c r="O61" s="125"/>
      <x:c r="P61" s="125"/>
      <x:c r="Q61" s="125"/>
    </x:row>
    <x:row r="62">
      <x:c r="A62" s="125"/>
      <x:c r="B62" s="125"/>
      <x:c r="C62" s="125"/>
      <x:c r="D62" s="125"/>
      <x:c r="E62" s="125"/>
      <x:c r="F62" s="125"/>
      <x:c r="G62" s="125"/>
      <x:c r="H62" s="125"/>
      <x:c r="I62" s="125"/>
      <x:c r="J62" s="125"/>
      <x:c r="K62" s="125"/>
      <x:c r="L62" s="125"/>
      <x:c r="M62" s="125"/>
      <x:c r="N62" s="125"/>
      <x:c r="O62" s="125"/>
      <x:c r="P62" s="125"/>
      <x:c r="Q62" s="125"/>
    </x:row>
    <x:row r="63">
      <x:c r="A63" s="125"/>
      <x:c r="B63" s="125"/>
      <x:c r="C63" s="125"/>
      <x:c r="D63" s="125"/>
      <x:c r="E63" s="125"/>
      <x:c r="F63" s="125"/>
      <x:c r="G63" s="125"/>
      <x:c r="H63" s="125"/>
      <x:c r="I63" s="125"/>
      <x:c r="J63" s="125"/>
      <x:c r="K63" s="125"/>
      <x:c r="L63" s="125"/>
      <x:c r="M63" s="125"/>
      <x:c r="N63" s="125"/>
      <x:c r="O63" s="125"/>
      <x:c r="P63" s="125"/>
      <x:c r="Q63" s="125"/>
    </x:row>
    <x:row r="64">
      <x:c r="A64" s="125"/>
      <x:c r="B64" s="125"/>
      <x:c r="C64" s="125"/>
      <x:c r="D64" s="125"/>
      <x:c r="E64" s="125"/>
      <x:c r="F64" s="125"/>
      <x:c r="G64" s="125"/>
      <x:c r="H64" s="125"/>
      <x:c r="I64" s="125"/>
      <x:c r="J64" s="125"/>
      <x:c r="K64" s="125"/>
      <x:c r="L64" s="125"/>
      <x:c r="M64" s="125"/>
      <x:c r="N64" s="125"/>
      <x:c r="O64" s="125"/>
      <x:c r="P64" s="125"/>
      <x:c r="Q64" s="125"/>
    </x:row>
    <x:row r="65">
      <x:c r="A65" s="125"/>
      <x:c r="B65" s="125"/>
      <x:c r="C65" s="125"/>
      <x:c r="D65" s="125"/>
      <x:c r="E65" s="125"/>
      <x:c r="F65" s="125"/>
      <x:c r="G65" s="125"/>
      <x:c r="H65" s="125"/>
      <x:c r="I65" s="125"/>
      <x:c r="J65" s="125"/>
      <x:c r="K65" s="125"/>
      <x:c r="L65" s="125"/>
      <x:c r="M65" s="125"/>
      <x:c r="N65" s="125"/>
      <x:c r="O65" s="125"/>
      <x:c r="P65" s="125"/>
      <x:c r="Q65" s="125"/>
    </x:row>
    <x:row r="66">
      <x:c r="A66" s="125"/>
      <x:c r="B66" s="125"/>
      <x:c r="C66" s="125"/>
      <x:c r="D66" s="125"/>
      <x:c r="E66" s="125"/>
      <x:c r="F66" s="125"/>
      <x:c r="G66" s="125"/>
      <x:c r="H66" s="125"/>
      <x:c r="I66" s="125"/>
      <x:c r="J66" s="125"/>
      <x:c r="K66" s="125"/>
      <x:c r="L66" s="125"/>
      <x:c r="M66" s="125"/>
      <x:c r="N66" s="125"/>
      <x:c r="O66" s="125"/>
      <x:c r="P66" s="125"/>
      <x:c r="Q66" s="125"/>
    </x:row>
    <x:row r="67">
      <x:c r="A67" s="125"/>
      <x:c r="B67" s="125"/>
      <x:c r="C67" s="125"/>
      <x:c r="D67" s="125"/>
      <x:c r="E67" s="125"/>
      <x:c r="F67" s="125"/>
      <x:c r="G67" s="125"/>
      <x:c r="H67" s="125"/>
      <x:c r="I67" s="125"/>
      <x:c r="J67" s="125"/>
      <x:c r="K67" s="125"/>
      <x:c r="L67" s="125"/>
      <x:c r="M67" s="125"/>
      <x:c r="N67" s="125"/>
      <x:c r="O67" s="125"/>
      <x:c r="P67" s="125"/>
      <x:c r="Q67" s="125"/>
    </x:row>
    <x:row r="68">
      <x:c r="A68" s="125"/>
      <x:c r="B68" s="125"/>
      <x:c r="C68" s="125"/>
      <x:c r="D68" s="125"/>
      <x:c r="E68" s="125"/>
      <x:c r="F68" s="125"/>
      <x:c r="G68" s="125"/>
      <x:c r="H68" s="125"/>
      <x:c r="I68" s="125"/>
      <x:c r="J68" s="125"/>
      <x:c r="K68" s="125"/>
      <x:c r="L68" s="125"/>
      <x:c r="M68" s="125"/>
      <x:c r="N68" s="125"/>
      <x:c r="O68" s="125"/>
      <x:c r="P68" s="125"/>
      <x:c r="Q68" s="125"/>
    </x:row>
    <x:row r="69">
      <x:c r="A69" s="125"/>
      <x:c r="B69" s="125"/>
      <x:c r="C69" s="125"/>
      <x:c r="D69" s="125"/>
      <x:c r="E69" s="125"/>
      <x:c r="F69" s="125"/>
      <x:c r="G69" s="125"/>
      <x:c r="H69" s="125"/>
      <x:c r="I69" s="125"/>
      <x:c r="J69" s="125"/>
      <x:c r="K69" s="125"/>
      <x:c r="L69" s="125"/>
      <x:c r="M69" s="125"/>
      <x:c r="N69" s="125"/>
      <x:c r="O69" s="125"/>
      <x:c r="P69" s="125"/>
      <x:c r="Q69" s="125"/>
    </x:row>
    <x:row r="70">
      <x:c r="A70" s="125"/>
      <x:c r="B70" s="125"/>
      <x:c r="C70" s="125"/>
      <x:c r="D70" s="125"/>
      <x:c r="E70" s="125"/>
      <x:c r="F70" s="125"/>
      <x:c r="G70" s="125"/>
      <x:c r="H70" s="125"/>
      <x:c r="I70" s="125"/>
      <x:c r="J70" s="125"/>
      <x:c r="K70" s="125"/>
      <x:c r="L70" s="125"/>
      <x:c r="M70" s="125"/>
      <x:c r="N70" s="125"/>
      <x:c r="O70" s="125"/>
      <x:c r="P70" s="125"/>
      <x:c r="Q70" s="125"/>
    </x:row>
    <x:row r="71">
      <x:c r="A71" s="125"/>
      <x:c r="B71" s="125"/>
      <x:c r="C71" s="125"/>
      <x:c r="D71" s="125"/>
      <x:c r="E71" s="125"/>
      <x:c r="F71" s="125"/>
      <x:c r="G71" s="125"/>
      <x:c r="H71" s="125"/>
      <x:c r="I71" s="125"/>
      <x:c r="J71" s="125"/>
      <x:c r="K71" s="125"/>
      <x:c r="L71" s="125"/>
      <x:c r="M71" s="125"/>
      <x:c r="N71" s="125"/>
      <x:c r="O71" s="125"/>
      <x:c r="P71" s="125"/>
      <x:c r="Q71" s="125"/>
    </x:row>
    <x:row r="72">
      <x:c r="A72" s="125"/>
      <x:c r="B72" s="125"/>
      <x:c r="C72" s="125"/>
      <x:c r="D72" s="125"/>
      <x:c r="E72" s="125"/>
      <x:c r="F72" s="125"/>
      <x:c r="G72" s="125"/>
      <x:c r="H72" s="125"/>
      <x:c r="I72" s="125"/>
      <x:c r="J72" s="125"/>
      <x:c r="K72" s="125"/>
      <x:c r="L72" s="125"/>
      <x:c r="M72" s="125"/>
      <x:c r="N72" s="125"/>
      <x:c r="O72" s="125"/>
      <x:c r="P72" s="125"/>
      <x:c r="Q72" s="125"/>
    </x:row>
    <x:row r="73">
      <x:c r="A73" s="125"/>
      <x:c r="B73" s="125"/>
      <x:c r="C73" s="125"/>
      <x:c r="D73" s="125"/>
      <x:c r="E73" s="125"/>
      <x:c r="F73" s="125"/>
      <x:c r="G73" s="125"/>
      <x:c r="H73" s="125"/>
      <x:c r="I73" s="125"/>
      <x:c r="J73" s="125"/>
      <x:c r="K73" s="125"/>
      <x:c r="L73" s="125"/>
      <x:c r="M73" s="125"/>
      <x:c r="N73" s="125"/>
      <x:c r="O73" s="125"/>
      <x:c r="P73" s="125"/>
      <x:c r="Q73" s="125"/>
    </x:row>
    <x:row r="74">
      <x:c r="A74" s="125"/>
      <x:c r="B74" s="125"/>
      <x:c r="C74" s="125"/>
      <x:c r="D74" s="125"/>
      <x:c r="E74" s="125"/>
      <x:c r="F74" s="125"/>
      <x:c r="G74" s="125"/>
      <x:c r="H74" s="125"/>
      <x:c r="I74" s="125"/>
      <x:c r="J74" s="125"/>
      <x:c r="K74" s="125"/>
      <x:c r="L74" s="125"/>
      <x:c r="M74" s="125"/>
      <x:c r="N74" s="125"/>
      <x:c r="O74" s="125"/>
      <x:c r="P74" s="125"/>
      <x:c r="Q74" s="125"/>
    </x:row>
    <x:row r="75">
      <x:c r="A75" s="125"/>
      <x:c r="B75" s="125"/>
      <x:c r="C75" s="125"/>
      <x:c r="D75" s="125"/>
      <x:c r="E75" s="125"/>
      <x:c r="F75" s="125"/>
      <x:c r="G75" s="125"/>
      <x:c r="H75" s="125"/>
      <x:c r="I75" s="125"/>
      <x:c r="J75" s="125"/>
      <x:c r="K75" s="125"/>
      <x:c r="L75" s="125"/>
      <x:c r="M75" s="125"/>
      <x:c r="N75" s="125"/>
      <x:c r="O75" s="125"/>
      <x:c r="P75" s="125"/>
      <x:c r="Q75" s="125"/>
    </x:row>
    <x:row r="76">
      <x:c r="A76" s="125"/>
      <x:c r="B76" s="125"/>
      <x:c r="C76" s="125"/>
      <x:c r="D76" s="125"/>
      <x:c r="E76" s="125"/>
      <x:c r="F76" s="125"/>
      <x:c r="G76" s="125"/>
      <x:c r="H76" s="125"/>
      <x:c r="I76" s="125"/>
      <x:c r="J76" s="125"/>
      <x:c r="K76" s="125"/>
      <x:c r="L76" s="125"/>
      <x:c r="M76" s="125"/>
      <x:c r="N76" s="125"/>
      <x:c r="O76" s="125"/>
      <x:c r="P76" s="125"/>
      <x:c r="Q76" s="125"/>
    </x:row>
    <x:row r="77">
      <x:c r="A77" s="125"/>
      <x:c r="B77" s="125"/>
      <x:c r="C77" s="125"/>
      <x:c r="D77" s="125"/>
      <x:c r="E77" s="125"/>
      <x:c r="F77" s="125"/>
      <x:c r="G77" s="125"/>
      <x:c r="H77" s="125"/>
      <x:c r="I77" s="125"/>
      <x:c r="J77" s="125"/>
      <x:c r="K77" s="125"/>
      <x:c r="L77" s="125"/>
      <x:c r="M77" s="125"/>
      <x:c r="N77" s="125"/>
      <x:c r="O77" s="125"/>
      <x:c r="P77" s="125"/>
      <x:c r="Q77" s="125"/>
    </x:row>
    <x:row r="78">
      <x:c r="A78" s="125"/>
      <x:c r="B78" s="125"/>
      <x:c r="C78" s="125"/>
      <x:c r="D78" s="125"/>
      <x:c r="E78" s="125"/>
      <x:c r="F78" s="125"/>
      <x:c r="G78" s="125"/>
      <x:c r="H78" s="125"/>
      <x:c r="I78" s="125"/>
      <x:c r="J78" s="125"/>
      <x:c r="K78" s="125"/>
      <x:c r="L78" s="125"/>
      <x:c r="M78" s="125"/>
      <x:c r="N78" s="125"/>
      <x:c r="O78" s="125"/>
      <x:c r="P78" s="125"/>
      <x:c r="Q78" s="125"/>
    </x:row>
    <x:row r="79">
      <x:c r="A79" s="125"/>
      <x:c r="B79" s="125"/>
      <x:c r="C79" s="125"/>
      <x:c r="D79" s="125"/>
      <x:c r="E79" s="125"/>
      <x:c r="F79" s="125"/>
      <x:c r="G79" s="125"/>
      <x:c r="H79" s="125"/>
      <x:c r="I79" s="125"/>
      <x:c r="J79" s="125"/>
      <x:c r="K79" s="125"/>
      <x:c r="L79" s="125"/>
      <x:c r="M79" s="125"/>
      <x:c r="N79" s="125"/>
      <x:c r="O79" s="125"/>
      <x:c r="P79" s="125"/>
      <x:c r="Q79" s="125"/>
    </x:row>
    <x:row r="80">
      <x:c r="A80" s="125"/>
      <x:c r="B80" s="125"/>
      <x:c r="C80" s="125"/>
      <x:c r="D80" s="125"/>
      <x:c r="E80" s="125"/>
      <x:c r="F80" s="125"/>
      <x:c r="G80" s="125"/>
      <x:c r="H80" s="125"/>
      <x:c r="I80" s="125"/>
      <x:c r="J80" s="125"/>
      <x:c r="K80" s="125"/>
      <x:c r="L80" s="125"/>
      <x:c r="M80" s="125"/>
      <x:c r="N80" s="125"/>
      <x:c r="O80" s="125"/>
      <x:c r="P80" s="125"/>
      <x:c r="Q80" s="125"/>
    </x:row>
    <x:row r="81">
      <x:c r="A81" s="125"/>
      <x:c r="B81" s="125"/>
      <x:c r="C81" s="125"/>
      <x:c r="D81" s="125"/>
      <x:c r="E81" s="125"/>
      <x:c r="F81" s="125"/>
      <x:c r="G81" s="125"/>
      <x:c r="H81" s="125"/>
      <x:c r="I81" s="125"/>
      <x:c r="J81" s="125"/>
      <x:c r="K81" s="125"/>
      <x:c r="L81" s="125"/>
      <x:c r="M81" s="125"/>
      <x:c r="N81" s="125"/>
      <x:c r="O81" s="125"/>
      <x:c r="P81" s="125"/>
      <x:c r="Q81" s="125"/>
    </x:row>
    <x:row r="82">
      <x:c r="A82" s="125"/>
      <x:c r="B82" s="125"/>
      <x:c r="C82" s="125"/>
      <x:c r="D82" s="125"/>
      <x:c r="E82" s="125"/>
      <x:c r="F82" s="125"/>
      <x:c r="G82" s="125"/>
      <x:c r="H82" s="125"/>
      <x:c r="I82" s="125"/>
      <x:c r="J82" s="125"/>
      <x:c r="K82" s="125"/>
      <x:c r="L82" s="125"/>
      <x:c r="M82" s="125"/>
      <x:c r="N82" s="125"/>
      <x:c r="O82" s="125"/>
      <x:c r="P82" s="125"/>
      <x:c r="Q82" s="125"/>
    </x:row>
    <x:row r="83">
      <x:c r="A83" s="125"/>
      <x:c r="B83" s="125"/>
      <x:c r="C83" s="125"/>
      <x:c r="D83" s="125"/>
      <x:c r="E83" s="125"/>
      <x:c r="F83" s="125"/>
      <x:c r="G83" s="125"/>
      <x:c r="H83" s="125"/>
      <x:c r="I83" s="125"/>
      <x:c r="J83" s="125"/>
      <x:c r="K83" s="125"/>
      <x:c r="L83" s="125"/>
      <x:c r="M83" s="125"/>
      <x:c r="N83" s="125"/>
      <x:c r="O83" s="125"/>
      <x:c r="P83" s="125"/>
      <x:c r="Q83" s="125"/>
    </x:row>
    <x:row r="84">
      <x:c r="A84" s="125"/>
      <x:c r="B84" s="125"/>
      <x:c r="C84" s="125"/>
      <x:c r="D84" s="125"/>
      <x:c r="E84" s="125"/>
      <x:c r="F84" s="125"/>
      <x:c r="G84" s="125"/>
      <x:c r="H84" s="125"/>
      <x:c r="I84" s="125"/>
      <x:c r="J84" s="125"/>
      <x:c r="K84" s="125"/>
      <x:c r="L84" s="125"/>
      <x:c r="M84" s="125"/>
      <x:c r="N84" s="125"/>
      <x:c r="O84" s="125"/>
      <x:c r="P84" s="125"/>
      <x:c r="Q84" s="125"/>
    </x:row>
    <x:row r="85">
      <x:c r="A85" s="125"/>
      <x:c r="B85" s="125"/>
      <x:c r="C85" s="125"/>
      <x:c r="D85" s="125"/>
      <x:c r="E85" s="125"/>
      <x:c r="F85" s="125"/>
      <x:c r="G85" s="125"/>
      <x:c r="H85" s="125"/>
      <x:c r="I85" s="125"/>
      <x:c r="J85" s="125"/>
      <x:c r="K85" s="125"/>
      <x:c r="L85" s="125"/>
      <x:c r="M85" s="125"/>
      <x:c r="N85" s="125"/>
      <x:c r="O85" s="125"/>
      <x:c r="P85" s="125"/>
      <x:c r="Q85" s="125"/>
    </x:row>
    <x:row r="86">
      <x:c r="A86" s="125"/>
      <x:c r="B86" s="125"/>
      <x:c r="C86" s="125"/>
      <x:c r="D86" s="125"/>
      <x:c r="E86" s="125"/>
      <x:c r="F86" s="125"/>
      <x:c r="G86" s="125"/>
      <x:c r="H86" s="125"/>
      <x:c r="I86" s="125"/>
      <x:c r="J86" s="125"/>
      <x:c r="K86" s="125"/>
      <x:c r="L86" s="125"/>
      <x:c r="M86" s="125"/>
      <x:c r="N86" s="125"/>
      <x:c r="O86" s="125"/>
      <x:c r="P86" s="125"/>
      <x:c r="Q86" s="125"/>
    </x:row>
    <x:row r="87">
      <x:c r="A87" s="125"/>
      <x:c r="B87" s="125"/>
      <x:c r="C87" s="125"/>
      <x:c r="D87" s="125"/>
      <x:c r="E87" s="125"/>
      <x:c r="F87" s="125"/>
      <x:c r="G87" s="125"/>
      <x:c r="H87" s="125"/>
      <x:c r="I87" s="125"/>
      <x:c r="J87" s="125"/>
      <x:c r="K87" s="125"/>
      <x:c r="L87" s="125"/>
      <x:c r="M87" s="125"/>
      <x:c r="N87" s="125"/>
      <x:c r="O87" s="125"/>
      <x:c r="P87" s="125"/>
      <x:c r="Q87" s="125"/>
    </x:row>
    <x:row r="88">
      <x:c r="A88" s="125"/>
      <x:c r="B88" s="125"/>
      <x:c r="C88" s="125"/>
      <x:c r="D88" s="125"/>
      <x:c r="E88" s="125"/>
      <x:c r="F88" s="125"/>
      <x:c r="G88" s="125"/>
      <x:c r="H88" s="125"/>
      <x:c r="I88" s="125"/>
      <x:c r="J88" s="125"/>
      <x:c r="K88" s="125"/>
      <x:c r="L88" s="125"/>
      <x:c r="M88" s="125"/>
      <x:c r="N88" s="125"/>
      <x:c r="O88" s="125"/>
      <x:c r="P88" s="125"/>
      <x:c r="Q88" s="125"/>
    </x:row>
    <x:row r="89">
      <x:c r="A89" s="125"/>
      <x:c r="B89" s="125"/>
      <x:c r="C89" s="125"/>
      <x:c r="D89" s="125"/>
      <x:c r="E89" s="125"/>
      <x:c r="F89" s="125"/>
      <x:c r="G89" s="125"/>
      <x:c r="H89" s="125"/>
      <x:c r="I89" s="125"/>
      <x:c r="J89" s="125"/>
      <x:c r="K89" s="125"/>
      <x:c r="L89" s="125"/>
      <x:c r="M89" s="125"/>
      <x:c r="N89" s="125"/>
      <x:c r="O89" s="125"/>
      <x:c r="P89" s="125"/>
      <x:c r="Q89" s="125"/>
    </x:row>
    <x:row r="90">
      <x:c r="A90" s="125"/>
      <x:c r="B90" s="125"/>
      <x:c r="C90" s="125"/>
      <x:c r="D90" s="125"/>
      <x:c r="E90" s="125"/>
      <x:c r="F90" s="125"/>
      <x:c r="G90" s="125"/>
      <x:c r="H90" s="125"/>
      <x:c r="I90" s="125"/>
      <x:c r="J90" s="125"/>
      <x:c r="K90" s="125"/>
      <x:c r="L90" s="125"/>
      <x:c r="M90" s="125"/>
      <x:c r="N90" s="125"/>
      <x:c r="O90" s="125"/>
      <x:c r="P90" s="125"/>
      <x:c r="Q90" s="125"/>
    </x:row>
    <x:row r="91">
      <x:c r="A91" s="125"/>
      <x:c r="B91" s="125"/>
      <x:c r="C91" s="125"/>
      <x:c r="D91" s="125"/>
      <x:c r="E91" s="125"/>
      <x:c r="F91" s="125"/>
      <x:c r="G91" s="125"/>
      <x:c r="H91" s="125"/>
      <x:c r="I91" s="125"/>
      <x:c r="J91" s="125"/>
      <x:c r="K91" s="125"/>
      <x:c r="L91" s="125"/>
      <x:c r="M91" s="125"/>
      <x:c r="N91" s="125"/>
      <x:c r="O91" s="125"/>
      <x:c r="P91" s="125"/>
      <x:c r="Q91" s="125"/>
    </x:row>
    <x:row r="92">
      <x:c r="A92" s="125"/>
      <x:c r="B92" s="125"/>
      <x:c r="C92" s="125"/>
      <x:c r="D92" s="125"/>
      <x:c r="E92" s="125"/>
      <x:c r="F92" s="125"/>
      <x:c r="G92" s="125"/>
      <x:c r="H92" s="125"/>
      <x:c r="I92" s="125"/>
      <x:c r="J92" s="125"/>
      <x:c r="K92" s="125"/>
      <x:c r="L92" s="125"/>
      <x:c r="M92" s="125"/>
      <x:c r="N92" s="125"/>
      <x:c r="O92" s="125"/>
      <x:c r="P92" s="125"/>
      <x:c r="Q92" s="125"/>
    </x:row>
    <x:row r="93">
      <x:c r="A93" s="125"/>
      <x:c r="B93" s="125"/>
      <x:c r="C93" s="125"/>
      <x:c r="D93" s="125"/>
      <x:c r="E93" s="125"/>
      <x:c r="F93" s="125"/>
      <x:c r="G93" s="125"/>
      <x:c r="H93" s="125"/>
      <x:c r="I93" s="125"/>
      <x:c r="J93" s="125"/>
      <x:c r="K93" s="125"/>
      <x:c r="L93" s="125"/>
      <x:c r="M93" s="125"/>
      <x:c r="N93" s="125"/>
      <x:c r="O93" s="125"/>
      <x:c r="P93" s="125"/>
      <x:c r="Q93" s="125"/>
    </x:row>
    <x:row r="94">
      <x:c r="A94" s="125"/>
      <x:c r="B94" s="125"/>
      <x:c r="C94" s="125"/>
      <x:c r="D94" s="125"/>
      <x:c r="E94" s="125"/>
      <x:c r="F94" s="125"/>
      <x:c r="G94" s="125"/>
      <x:c r="H94" s="125"/>
      <x:c r="I94" s="125"/>
      <x:c r="J94" s="125"/>
      <x:c r="K94" s="125"/>
      <x:c r="L94" s="125"/>
      <x:c r="M94" s="125"/>
      <x:c r="N94" s="125"/>
      <x:c r="O94" s="125"/>
      <x:c r="P94" s="125"/>
      <x:c r="Q94" s="125"/>
    </x:row>
    <x:row r="95">
      <x:c r="A95" s="125"/>
      <x:c r="B95" s="125"/>
      <x:c r="C95" s="125"/>
      <x:c r="D95" s="125"/>
      <x:c r="E95" s="125"/>
      <x:c r="F95" s="125"/>
      <x:c r="G95" s="125"/>
      <x:c r="H95" s="125"/>
      <x:c r="I95" s="125"/>
      <x:c r="J95" s="125"/>
      <x:c r="K95" s="125"/>
      <x:c r="L95" s="125"/>
      <x:c r="M95" s="125"/>
      <x:c r="N95" s="125"/>
      <x:c r="O95" s="125"/>
      <x:c r="P95" s="125"/>
      <x:c r="Q95" s="125"/>
    </x:row>
    <x:row r="96">
      <x:c r="A96" s="125"/>
      <x:c r="B96" s="125"/>
      <x:c r="C96" s="125"/>
      <x:c r="D96" s="125"/>
      <x:c r="E96" s="125"/>
      <x:c r="F96" s="125"/>
      <x:c r="G96" s="125"/>
      <x:c r="H96" s="125"/>
      <x:c r="I96" s="125"/>
      <x:c r="J96" s="125"/>
      <x:c r="K96" s="125"/>
      <x:c r="L96" s="125"/>
      <x:c r="M96" s="125"/>
      <x:c r="N96" s="125"/>
      <x:c r="O96" s="125"/>
      <x:c r="P96" s="125"/>
      <x:c r="Q96" s="125"/>
    </x:row>
    <x:row r="97">
      <x:c r="A97" s="125"/>
      <x:c r="B97" s="125"/>
      <x:c r="C97" s="125"/>
      <x:c r="D97" s="125"/>
      <x:c r="E97" s="125"/>
      <x:c r="F97" s="125"/>
      <x:c r="G97" s="125"/>
      <x:c r="H97" s="125"/>
      <x:c r="I97" s="125"/>
      <x:c r="J97" s="125"/>
      <x:c r="K97" s="125"/>
      <x:c r="L97" s="125"/>
      <x:c r="M97" s="125"/>
      <x:c r="N97" s="125"/>
      <x:c r="O97" s="125"/>
      <x:c r="P97" s="125"/>
      <x:c r="Q97" s="125"/>
    </x:row>
    <x:row r="98">
      <x:c r="A98" s="125"/>
      <x:c r="B98" s="125"/>
      <x:c r="C98" s="125"/>
      <x:c r="D98" s="125"/>
      <x:c r="E98" s="125"/>
      <x:c r="F98" s="125"/>
      <x:c r="G98" s="125"/>
      <x:c r="H98" s="125"/>
      <x:c r="I98" s="125"/>
      <x:c r="J98" s="125"/>
      <x:c r="K98" s="125"/>
      <x:c r="L98" s="125"/>
      <x:c r="M98" s="125"/>
      <x:c r="N98" s="125"/>
      <x:c r="O98" s="125"/>
      <x:c r="P98" s="125"/>
      <x:c r="Q98" s="125"/>
    </x:row>
    <x:row r="99">
      <x:c r="A99" s="125"/>
      <x:c r="B99" s="125"/>
      <x:c r="C99" s="125"/>
      <x:c r="D99" s="125"/>
      <x:c r="E99" s="125"/>
      <x:c r="F99" s="125"/>
      <x:c r="G99" s="125"/>
      <x:c r="H99" s="125"/>
      <x:c r="I99" s="125"/>
      <x:c r="J99" s="125"/>
      <x:c r="K99" s="125"/>
      <x:c r="L99" s="125"/>
      <x:c r="M99" s="125"/>
      <x:c r="N99" s="125"/>
      <x:c r="O99" s="125"/>
      <x:c r="P99" s="125"/>
      <x:c r="Q99" s="125"/>
    </x:row>
    <x:row r="100">
      <x:c r="A100" s="125"/>
      <x:c r="B100" s="125"/>
      <x:c r="C100" s="125"/>
      <x:c r="D100" s="125"/>
      <x:c r="E100" s="125"/>
      <x:c r="F100" s="125"/>
      <x:c r="G100" s="125"/>
      <x:c r="H100" s="125"/>
      <x:c r="I100" s="125"/>
      <x:c r="J100" s="125"/>
      <x:c r="K100" s="125"/>
      <x:c r="L100" s="125"/>
      <x:c r="M100" s="125"/>
      <x:c r="N100" s="125"/>
      <x:c r="O100" s="125"/>
      <x:c r="P100" s="125"/>
      <x:c r="Q100" s="125"/>
    </x:row>
    <x:row r="101">
      <x:c r="A101" s="125"/>
      <x:c r="B101" s="125"/>
      <x:c r="C101" s="125"/>
      <x:c r="D101" s="125"/>
      <x:c r="E101" s="125"/>
      <x:c r="F101" s="125"/>
      <x:c r="G101" s="125"/>
      <x:c r="H101" s="125"/>
      <x:c r="I101" s="125"/>
      <x:c r="J101" s="125"/>
      <x:c r="K101" s="125"/>
      <x:c r="L101" s="125"/>
      <x:c r="M101" s="125"/>
      <x:c r="N101" s="125"/>
      <x:c r="O101" s="125"/>
      <x:c r="P101" s="125"/>
      <x:c r="Q101" s="125"/>
    </x:row>
    <x:row r="102">
      <x:c r="A102" s="125"/>
      <x:c r="B102" s="125"/>
      <x:c r="C102" s="125"/>
      <x:c r="D102" s="125"/>
      <x:c r="E102" s="125"/>
      <x:c r="F102" s="125"/>
      <x:c r="G102" s="125"/>
      <x:c r="H102" s="125"/>
      <x:c r="I102" s="125"/>
      <x:c r="J102" s="125"/>
      <x:c r="K102" s="125"/>
      <x:c r="L102" s="125"/>
      <x:c r="M102" s="125"/>
      <x:c r="N102" s="125"/>
      <x:c r="O102" s="125"/>
      <x:c r="P102" s="125"/>
      <x:c r="Q102" s="125"/>
    </x:row>
    <x:row r="103">
      <x:c r="A103" s="125"/>
      <x:c r="B103" s="125"/>
      <x:c r="C103" s="125"/>
      <x:c r="D103" s="125"/>
      <x:c r="E103" s="125"/>
      <x:c r="F103" s="125"/>
      <x:c r="G103" s="125"/>
      <x:c r="H103" s="125"/>
      <x:c r="I103" s="125"/>
      <x:c r="J103" s="125"/>
      <x:c r="K103" s="125"/>
      <x:c r="L103" s="125"/>
      <x:c r="M103" s="125"/>
      <x:c r="N103" s="125"/>
      <x:c r="O103" s="125"/>
      <x:c r="P103" s="125"/>
      <x:c r="Q103" s="125"/>
    </x:row>
    <x:row r="104">
      <x:c r="A104" s="125"/>
      <x:c r="B104" s="125"/>
      <x:c r="C104" s="125"/>
      <x:c r="D104" s="125"/>
      <x:c r="E104" s="125"/>
      <x:c r="F104" s="125"/>
      <x:c r="G104" s="125"/>
      <x:c r="H104" s="125"/>
      <x:c r="I104" s="125"/>
      <x:c r="J104" s="125"/>
      <x:c r="K104" s="125"/>
      <x:c r="L104" s="125"/>
      <x:c r="M104" s="125"/>
      <x:c r="N104" s="125"/>
      <x:c r="O104" s="125"/>
      <x:c r="P104" s="125"/>
      <x:c r="Q104" s="125"/>
    </x:row>
    <x:row r="105">
      <x:c r="A105" s="125"/>
      <x:c r="B105" s="125"/>
      <x:c r="C105" s="125"/>
      <x:c r="D105" s="125"/>
      <x:c r="E105" s="125"/>
      <x:c r="F105" s="125"/>
      <x:c r="G105" s="125"/>
      <x:c r="H105" s="125"/>
      <x:c r="I105" s="125"/>
      <x:c r="J105" s="125"/>
      <x:c r="K105" s="125"/>
      <x:c r="L105" s="125"/>
      <x:c r="M105" s="125"/>
      <x:c r="N105" s="125"/>
      <x:c r="O105" s="125"/>
      <x:c r="P105" s="125"/>
      <x:c r="Q105" s="125"/>
    </x:row>
    <x:row r="106">
      <x:c r="A106" s="125"/>
      <x:c r="B106" s="125"/>
      <x:c r="C106" s="125"/>
      <x:c r="D106" s="125"/>
      <x:c r="E106" s="125"/>
      <x:c r="F106" s="125"/>
      <x:c r="G106" s="125"/>
      <x:c r="H106" s="125"/>
      <x:c r="I106" s="125"/>
      <x:c r="J106" s="125"/>
      <x:c r="K106" s="125"/>
      <x:c r="L106" s="125"/>
      <x:c r="M106" s="125"/>
      <x:c r="N106" s="125"/>
      <x:c r="O106" s="125"/>
      <x:c r="P106" s="125"/>
      <x:c r="Q106" s="125"/>
    </x:row>
    <x:row r="107">
      <x:c r="A107" s="125"/>
      <x:c r="B107" s="125"/>
      <x:c r="C107" s="125"/>
      <x:c r="D107" s="125"/>
      <x:c r="E107" s="125"/>
      <x:c r="F107" s="125"/>
      <x:c r="G107" s="125"/>
      <x:c r="H107" s="125"/>
      <x:c r="I107" s="125"/>
      <x:c r="J107" s="125"/>
      <x:c r="K107" s="125"/>
      <x:c r="L107" s="125"/>
      <x:c r="M107" s="125"/>
      <x:c r="N107" s="125"/>
      <x:c r="O107" s="125"/>
      <x:c r="P107" s="125"/>
      <x:c r="Q107" s="125"/>
    </x:row>
    <x:row r="108">
      <x:c r="A108" s="125"/>
      <x:c r="B108" s="125"/>
      <x:c r="C108" s="125"/>
      <x:c r="D108" s="125"/>
      <x:c r="E108" s="125"/>
      <x:c r="F108" s="125"/>
      <x:c r="G108" s="125"/>
      <x:c r="H108" s="125"/>
      <x:c r="I108" s="125"/>
      <x:c r="J108" s="125"/>
      <x:c r="K108" s="125"/>
      <x:c r="L108" s="125"/>
      <x:c r="M108" s="125"/>
      <x:c r="N108" s="125"/>
      <x:c r="O108" s="125"/>
      <x:c r="P108" s="125"/>
      <x:c r="Q108" s="125"/>
    </x:row>
    <x:row r="109">
      <x:c r="A109" s="125"/>
      <x:c r="B109" s="125"/>
      <x:c r="C109" s="125"/>
      <x:c r="D109" s="125"/>
      <x:c r="E109" s="125"/>
      <x:c r="F109" s="125"/>
      <x:c r="G109" s="125"/>
      <x:c r="H109" s="125"/>
      <x:c r="I109" s="125"/>
      <x:c r="J109" s="125"/>
      <x:c r="K109" s="125"/>
      <x:c r="L109" s="125"/>
      <x:c r="M109" s="125"/>
      <x:c r="N109" s="125"/>
      <x:c r="O109" s="125"/>
      <x:c r="P109" s="125"/>
      <x:c r="Q109" s="125"/>
    </x:row>
    <x:row r="110">
      <x:c r="A110" s="125"/>
      <x:c r="B110" s="125"/>
      <x:c r="C110" s="125"/>
      <x:c r="D110" s="125"/>
      <x:c r="E110" s="125"/>
      <x:c r="F110" s="125"/>
      <x:c r="G110" s="125"/>
      <x:c r="H110" s="125"/>
      <x:c r="I110" s="125"/>
      <x:c r="J110" s="125"/>
      <x:c r="K110" s="125"/>
      <x:c r="L110" s="125"/>
      <x:c r="M110" s="125"/>
      <x:c r="N110" s="125"/>
      <x:c r="O110" s="125"/>
      <x:c r="P110" s="125"/>
      <x:c r="Q110" s="125"/>
    </x:row>
    <x:row r="111">
      <x:c r="A111" s="125"/>
      <x:c r="B111" s="125"/>
      <x:c r="C111" s="125"/>
      <x:c r="D111" s="125"/>
      <x:c r="E111" s="125"/>
      <x:c r="F111" s="125"/>
      <x:c r="G111" s="125"/>
      <x:c r="H111" s="125"/>
      <x:c r="I111" s="125"/>
      <x:c r="J111" s="125"/>
      <x:c r="K111" s="125"/>
      <x:c r="L111" s="125"/>
      <x:c r="M111" s="125"/>
      <x:c r="N111" s="125"/>
      <x:c r="O111" s="125"/>
      <x:c r="P111" s="125"/>
      <x:c r="Q111" s="125"/>
    </x:row>
    <x:row r="112">
      <x:c r="A112" s="125"/>
      <x:c r="B112" s="125"/>
      <x:c r="C112" s="125"/>
      <x:c r="D112" s="125"/>
      <x:c r="E112" s="125"/>
      <x:c r="F112" s="125"/>
      <x:c r="G112" s="125"/>
      <x:c r="H112" s="125"/>
      <x:c r="I112" s="125"/>
      <x:c r="J112" s="125"/>
      <x:c r="K112" s="125"/>
      <x:c r="L112" s="125"/>
      <x:c r="M112" s="125"/>
      <x:c r="N112" s="125"/>
      <x:c r="O112" s="125"/>
      <x:c r="P112" s="125"/>
      <x:c r="Q112" s="125"/>
    </x:row>
    <x:row r="113">
      <x:c r="A113" s="125"/>
      <x:c r="B113" s="125"/>
      <x:c r="C113" s="125"/>
      <x:c r="D113" s="125"/>
      <x:c r="E113" s="125"/>
      <x:c r="F113" s="125"/>
      <x:c r="G113" s="125"/>
      <x:c r="H113" s="125"/>
      <x:c r="I113" s="125"/>
      <x:c r="J113" s="125"/>
      <x:c r="K113" s="125"/>
      <x:c r="L113" s="125"/>
      <x:c r="M113" s="125"/>
      <x:c r="N113" s="125"/>
      <x:c r="O113" s="125"/>
      <x:c r="P113" s="125"/>
      <x:c r="Q113" s="125"/>
    </x:row>
    <x:row r="114">
      <x:c r="A114" s="125"/>
      <x:c r="B114" s="125"/>
      <x:c r="C114" s="125"/>
      <x:c r="D114" s="125"/>
      <x:c r="E114" s="125"/>
      <x:c r="F114" s="125"/>
      <x:c r="G114" s="125"/>
      <x:c r="H114" s="125"/>
      <x:c r="I114" s="125"/>
      <x:c r="J114" s="125"/>
      <x:c r="K114" s="125"/>
      <x:c r="L114" s="125"/>
      <x:c r="M114" s="125"/>
      <x:c r="N114" s="125"/>
      <x:c r="O114" s="125"/>
      <x:c r="P114" s="125"/>
      <x:c r="Q114" s="125"/>
    </x:row>
    <x:row r="115">
      <x:c r="A115" s="125"/>
      <x:c r="B115" s="125"/>
      <x:c r="C115" s="125"/>
      <x:c r="D115" s="125"/>
      <x:c r="E115" s="125"/>
      <x:c r="F115" s="125"/>
      <x:c r="G115" s="125"/>
      <x:c r="H115" s="125"/>
      <x:c r="I115" s="125"/>
      <x:c r="J115" s="125"/>
      <x:c r="K115" s="125"/>
      <x:c r="L115" s="125"/>
      <x:c r="M115" s="125"/>
      <x:c r="N115" s="125"/>
      <x:c r="O115" s="125"/>
      <x:c r="P115" s="125"/>
      <x:c r="Q115" s="125"/>
    </x:row>
    <x:row r="116">
      <x:c r="A116" s="125"/>
      <x:c r="B116" s="125"/>
      <x:c r="C116" s="125"/>
      <x:c r="D116" s="125"/>
      <x:c r="E116" s="125"/>
      <x:c r="F116" s="125"/>
      <x:c r="G116" s="125"/>
      <x:c r="H116" s="125"/>
      <x:c r="I116" s="125"/>
      <x:c r="J116" s="125"/>
      <x:c r="K116" s="125"/>
      <x:c r="L116" s="125"/>
      <x:c r="M116" s="125"/>
      <x:c r="N116" s="125"/>
      <x:c r="O116" s="125"/>
      <x:c r="P116" s="125"/>
      <x:c r="Q116" s="125"/>
    </x:row>
    <x:row r="117">
      <x:c r="A117" s="125"/>
      <x:c r="B117" s="125"/>
      <x:c r="C117" s="125"/>
      <x:c r="D117" s="125"/>
      <x:c r="E117" s="125"/>
      <x:c r="F117" s="125"/>
      <x:c r="G117" s="125"/>
      <x:c r="H117" s="125"/>
      <x:c r="I117" s="125"/>
      <x:c r="J117" s="125"/>
      <x:c r="K117" s="125"/>
      <x:c r="L117" s="125"/>
      <x:c r="M117" s="125"/>
      <x:c r="N117" s="125"/>
      <x:c r="O117" s="125"/>
      <x:c r="P117" s="125"/>
      <x:c r="Q117" s="125"/>
    </x:row>
    <x:row r="118">
      <x:c r="A118" s="125"/>
      <x:c r="B118" s="125"/>
      <x:c r="C118" s="125"/>
      <x:c r="D118" s="125"/>
      <x:c r="E118" s="125"/>
      <x:c r="F118" s="125"/>
      <x:c r="G118" s="125"/>
      <x:c r="H118" s="125"/>
      <x:c r="I118" s="125"/>
      <x:c r="J118" s="125"/>
      <x:c r="K118" s="125"/>
      <x:c r="L118" s="125"/>
      <x:c r="M118" s="125"/>
      <x:c r="N118" s="125"/>
      <x:c r="O118" s="125"/>
      <x:c r="P118" s="125"/>
      <x:c r="Q118" s="125"/>
    </x:row>
    <x:row r="119">
      <x:c r="A119" s="125"/>
      <x:c r="B119" s="125"/>
      <x:c r="C119" s="125"/>
      <x:c r="D119" s="125"/>
      <x:c r="E119" s="125"/>
      <x:c r="F119" s="125"/>
      <x:c r="G119" s="125"/>
      <x:c r="H119" s="125"/>
      <x:c r="I119" s="125"/>
      <x:c r="J119" s="125"/>
      <x:c r="K119" s="125"/>
      <x:c r="L119" s="125"/>
      <x:c r="M119" s="125"/>
      <x:c r="N119" s="125"/>
      <x:c r="O119" s="125"/>
      <x:c r="P119" s="125"/>
      <x:c r="Q119" s="125"/>
    </x:row>
    <x:row r="120">
      <x:c r="A120" s="125"/>
      <x:c r="B120" s="125"/>
      <x:c r="C120" s="125"/>
      <x:c r="D120" s="125"/>
      <x:c r="E120" s="125"/>
      <x:c r="F120" s="125"/>
      <x:c r="G120" s="125"/>
      <x:c r="H120" s="125"/>
      <x:c r="I120" s="125"/>
      <x:c r="J120" s="125"/>
      <x:c r="K120" s="125"/>
      <x:c r="L120" s="125"/>
      <x:c r="M120" s="125"/>
      <x:c r="N120" s="125"/>
      <x:c r="O120" s="125"/>
      <x:c r="P120" s="125"/>
      <x:c r="Q120" s="125"/>
    </x:row>
    <x:row r="121">
      <x:c r="A121" s="125"/>
      <x:c r="B121" s="125"/>
      <x:c r="C121" s="125"/>
      <x:c r="D121" s="125"/>
      <x:c r="E121" s="125"/>
      <x:c r="F121" s="125"/>
      <x:c r="G121" s="125"/>
      <x:c r="H121" s="125"/>
      <x:c r="I121" s="125"/>
      <x:c r="J121" s="125"/>
      <x:c r="K121" s="125"/>
      <x:c r="L121" s="125"/>
      <x:c r="M121" s="125"/>
      <x:c r="N121" s="125"/>
      <x:c r="O121" s="125"/>
      <x:c r="P121" s="125"/>
      <x:c r="Q121" s="125"/>
    </x:row>
    <x:row r="122">
      <x:c r="A122" s="125"/>
      <x:c r="B122" s="125"/>
      <x:c r="C122" s="125"/>
      <x:c r="D122" s="125"/>
      <x:c r="E122" s="125"/>
      <x:c r="F122" s="125"/>
      <x:c r="G122" s="125"/>
      <x:c r="H122" s="125"/>
      <x:c r="I122" s="125"/>
      <x:c r="J122" s="125"/>
      <x:c r="K122" s="125"/>
      <x:c r="L122" s="125"/>
      <x:c r="M122" s="125"/>
      <x:c r="N122" s="125"/>
      <x:c r="O122" s="125"/>
      <x:c r="P122" s="125"/>
      <x:c r="Q122" s="125"/>
    </x:row>
    <x:row r="123">
      <x:c r="A123" s="125"/>
      <x:c r="B123" s="125"/>
      <x:c r="C123" s="125"/>
      <x:c r="D123" s="125"/>
      <x:c r="E123" s="125"/>
      <x:c r="F123" s="125"/>
      <x:c r="G123" s="125"/>
      <x:c r="H123" s="125"/>
      <x:c r="I123" s="125"/>
      <x:c r="J123" s="125"/>
      <x:c r="K123" s="125"/>
      <x:c r="L123" s="125"/>
      <x:c r="M123" s="125"/>
      <x:c r="N123" s="125"/>
      <x:c r="O123" s="125"/>
      <x:c r="P123" s="125"/>
      <x:c r="Q123" s="125"/>
    </x:row>
    <x:row r="124">
      <x:c r="A124" s="125"/>
      <x:c r="B124" s="125"/>
      <x:c r="C124" s="125"/>
      <x:c r="D124" s="125"/>
      <x:c r="E124" s="125"/>
      <x:c r="F124" s="125"/>
      <x:c r="G124" s="125"/>
      <x:c r="H124" s="125"/>
      <x:c r="I124" s="125"/>
      <x:c r="J124" s="125"/>
      <x:c r="K124" s="125"/>
      <x:c r="L124" s="125"/>
      <x:c r="M124" s="125"/>
      <x:c r="N124" s="125"/>
      <x:c r="O124" s="125"/>
      <x:c r="P124" s="125"/>
      <x:c r="Q124" s="125"/>
    </x:row>
    <x:row r="125">
      <x:c r="A125" s="125"/>
      <x:c r="B125" s="125"/>
      <x:c r="C125" s="125"/>
      <x:c r="D125" s="125"/>
      <x:c r="E125" s="125"/>
      <x:c r="F125" s="125"/>
      <x:c r="G125" s="125"/>
      <x:c r="H125" s="125"/>
      <x:c r="I125" s="125"/>
      <x:c r="J125" s="125"/>
      <x:c r="K125" s="125"/>
      <x:c r="L125" s="125"/>
      <x:c r="M125" s="125"/>
      <x:c r="N125" s="125"/>
      <x:c r="O125" s="125"/>
      <x:c r="P125" s="125"/>
      <x:c r="Q125" s="125"/>
    </x:row>
    <x:row r="126">
      <x:c r="A126" s="125"/>
      <x:c r="B126" s="125"/>
      <x:c r="C126" s="125"/>
      <x:c r="D126" s="125"/>
      <x:c r="E126" s="125"/>
      <x:c r="F126" s="125"/>
      <x:c r="G126" s="125"/>
      <x:c r="H126" s="125"/>
      <x:c r="I126" s="125"/>
      <x:c r="J126" s="125"/>
      <x:c r="K126" s="125"/>
      <x:c r="L126" s="125"/>
      <x:c r="M126" s="125"/>
      <x:c r="N126" s="125"/>
      <x:c r="O126" s="125"/>
      <x:c r="P126" s="125"/>
      <x:c r="Q126" s="125"/>
    </x:row>
    <x:row r="127">
      <x:c r="A127" s="125"/>
      <x:c r="B127" s="125"/>
      <x:c r="C127" s="125"/>
      <x:c r="D127" s="125"/>
      <x:c r="E127" s="125"/>
      <x:c r="F127" s="125"/>
      <x:c r="G127" s="125"/>
      <x:c r="H127" s="125"/>
      <x:c r="I127" s="125"/>
      <x:c r="J127" s="125"/>
      <x:c r="K127" s="125"/>
      <x:c r="L127" s="125"/>
      <x:c r="M127" s="125"/>
      <x:c r="N127" s="125"/>
      <x:c r="O127" s="125"/>
      <x:c r="P127" s="125"/>
      <x:c r="Q127" s="125"/>
    </x:row>
    <x:row r="128">
      <x:c r="A128" s="125"/>
      <x:c r="B128" s="125"/>
      <x:c r="C128" s="125"/>
      <x:c r="D128" s="125"/>
      <x:c r="E128" s="125"/>
      <x:c r="F128" s="125"/>
      <x:c r="G128" s="125"/>
      <x:c r="H128" s="125"/>
      <x:c r="I128" s="125"/>
      <x:c r="J128" s="125"/>
      <x:c r="K128" s="125"/>
      <x:c r="L128" s="125"/>
      <x:c r="M128" s="125"/>
      <x:c r="N128" s="125"/>
      <x:c r="O128" s="125"/>
      <x:c r="P128" s="125"/>
      <x:c r="Q128" s="125"/>
    </x:row>
    <x:row r="129">
      <x:c r="A129" s="125"/>
      <x:c r="B129" s="125"/>
      <x:c r="C129" s="125"/>
      <x:c r="D129" s="125"/>
      <x:c r="E129" s="125"/>
      <x:c r="F129" s="125"/>
      <x:c r="G129" s="125"/>
      <x:c r="H129" s="125"/>
      <x:c r="I129" s="125"/>
      <x:c r="J129" s="125"/>
      <x:c r="K129" s="125"/>
      <x:c r="L129" s="125"/>
      <x:c r="M129" s="125"/>
      <x:c r="N129" s="125"/>
      <x:c r="O129" s="125"/>
      <x:c r="P129" s="125"/>
      <x:c r="Q129" s="125"/>
    </x:row>
    <x:row r="130">
      <x:c r="A130" s="125"/>
      <x:c r="B130" s="125"/>
      <x:c r="C130" s="125"/>
      <x:c r="D130" s="125"/>
      <x:c r="E130" s="125"/>
      <x:c r="F130" s="125"/>
      <x:c r="G130" s="125"/>
      <x:c r="H130" s="125"/>
      <x:c r="I130" s="125"/>
      <x:c r="J130" s="125"/>
      <x:c r="K130" s="125"/>
      <x:c r="L130" s="125"/>
      <x:c r="M130" s="125"/>
      <x:c r="N130" s="125"/>
      <x:c r="O130" s="125"/>
      <x:c r="P130" s="125"/>
      <x:c r="Q130" s="125"/>
    </x:row>
    <x:row r="131">
      <x:c r="A131" s="125"/>
      <x:c r="B131" s="125"/>
      <x:c r="C131" s="125"/>
      <x:c r="D131" s="125"/>
      <x:c r="E131" s="125"/>
      <x:c r="F131" s="125"/>
      <x:c r="G131" s="125"/>
      <x:c r="H131" s="125"/>
      <x:c r="I131" s="125"/>
      <x:c r="J131" s="125"/>
      <x:c r="K131" s="125"/>
      <x:c r="L131" s="125"/>
      <x:c r="M131" s="125"/>
      <x:c r="N131" s="125"/>
      <x:c r="O131" s="125"/>
      <x:c r="P131" s="125"/>
      <x:c r="Q131" s="125"/>
    </x:row>
    <x:row r="132">
      <x:c r="A132" s="125"/>
      <x:c r="B132" s="125"/>
      <x:c r="C132" s="125"/>
      <x:c r="D132" s="125"/>
      <x:c r="E132" s="125"/>
      <x:c r="F132" s="125"/>
      <x:c r="G132" s="125"/>
      <x:c r="H132" s="125"/>
      <x:c r="I132" s="125"/>
      <x:c r="J132" s="125"/>
      <x:c r="K132" s="125"/>
      <x:c r="L132" s="125"/>
      <x:c r="M132" s="125"/>
      <x:c r="N132" s="125"/>
      <x:c r="O132" s="125"/>
      <x:c r="P132" s="125"/>
      <x:c r="Q132" s="125"/>
    </x:row>
    <x:row r="133">
      <x:c r="A133" s="125"/>
      <x:c r="B133" s="125"/>
      <x:c r="C133" s="125"/>
      <x:c r="D133" s="125"/>
      <x:c r="E133" s="125"/>
      <x:c r="F133" s="125"/>
      <x:c r="G133" s="125"/>
      <x:c r="H133" s="125"/>
      <x:c r="I133" s="125"/>
      <x:c r="J133" s="125"/>
      <x:c r="K133" s="125"/>
      <x:c r="L133" s="125"/>
      <x:c r="M133" s="125"/>
      <x:c r="N133" s="125"/>
      <x:c r="O133" s="125"/>
      <x:c r="P133" s="125"/>
      <x:c r="Q133" s="125"/>
    </x:row>
    <x:row r="134">
      <x:c r="A134" s="125"/>
      <x:c r="B134" s="125"/>
      <x:c r="C134" s="125"/>
      <x:c r="D134" s="125"/>
      <x:c r="E134" s="125"/>
      <x:c r="F134" s="125"/>
      <x:c r="G134" s="125"/>
      <x:c r="H134" s="125"/>
      <x:c r="I134" s="125"/>
      <x:c r="J134" s="125"/>
      <x:c r="K134" s="125"/>
      <x:c r="L134" s="125"/>
      <x:c r="M134" s="125"/>
      <x:c r="N134" s="125"/>
      <x:c r="O134" s="125"/>
      <x:c r="P134" s="125"/>
      <x:c r="Q134" s="125"/>
    </x:row>
    <x:row r="135">
      <x:c r="A135" s="125"/>
      <x:c r="B135" s="125"/>
      <x:c r="C135" s="125"/>
      <x:c r="D135" s="125"/>
      <x:c r="E135" s="125"/>
      <x:c r="F135" s="125"/>
      <x:c r="G135" s="125"/>
      <x:c r="H135" s="125"/>
      <x:c r="I135" s="125"/>
      <x:c r="J135" s="125"/>
      <x:c r="K135" s="125"/>
      <x:c r="L135" s="125"/>
      <x:c r="M135" s="125"/>
      <x:c r="N135" s="125"/>
      <x:c r="O135" s="125"/>
      <x:c r="P135" s="125"/>
      <x:c r="Q135" s="125"/>
    </x:row>
    <x:row r="136">
      <x:c r="A136" s="125"/>
      <x:c r="B136" s="125"/>
      <x:c r="C136" s="125"/>
      <x:c r="D136" s="125"/>
      <x:c r="E136" s="125"/>
      <x:c r="F136" s="125"/>
      <x:c r="G136" s="125"/>
      <x:c r="H136" s="125"/>
      <x:c r="I136" s="125"/>
      <x:c r="J136" s="125"/>
      <x:c r="K136" s="125"/>
      <x:c r="L136" s="125"/>
      <x:c r="M136" s="125"/>
      <x:c r="N136" s="125"/>
      <x:c r="O136" s="125"/>
      <x:c r="P136" s="125"/>
      <x:c r="Q136" s="125"/>
    </x:row>
    <x:row r="137">
      <x:c r="A137" s="125"/>
      <x:c r="B137" s="125"/>
      <x:c r="C137" s="125"/>
      <x:c r="D137" s="125"/>
      <x:c r="E137" s="125"/>
      <x:c r="F137" s="125"/>
      <x:c r="G137" s="125"/>
      <x:c r="H137" s="125"/>
      <x:c r="I137" s="125"/>
      <x:c r="J137" s="125"/>
      <x:c r="K137" s="125"/>
      <x:c r="L137" s="125"/>
      <x:c r="M137" s="125"/>
      <x:c r="N137" s="125"/>
      <x:c r="O137" s="125"/>
      <x:c r="P137" s="125"/>
      <x:c r="Q137" s="125"/>
    </x:row>
    <x:row r="138">
      <x:c r="A138" s="125"/>
      <x:c r="B138" s="125"/>
      <x:c r="C138" s="125"/>
      <x:c r="D138" s="125"/>
      <x:c r="E138" s="125"/>
      <x:c r="F138" s="125"/>
      <x:c r="G138" s="125"/>
      <x:c r="H138" s="125"/>
      <x:c r="I138" s="125"/>
      <x:c r="J138" s="125"/>
      <x:c r="K138" s="125"/>
      <x:c r="L138" s="125"/>
      <x:c r="M138" s="125"/>
      <x:c r="N138" s="125"/>
      <x:c r="O138" s="125"/>
      <x:c r="P138" s="125"/>
      <x:c r="Q138" s="125"/>
    </x:row>
    <x:row r="139">
      <x:c r="A139" s="125"/>
      <x:c r="B139" s="125"/>
      <x:c r="C139" s="125"/>
      <x:c r="D139" s="125"/>
      <x:c r="E139" s="125"/>
      <x:c r="F139" s="125"/>
      <x:c r="G139" s="125"/>
      <x:c r="H139" s="125"/>
      <x:c r="I139" s="125"/>
      <x:c r="J139" s="125"/>
      <x:c r="K139" s="125"/>
      <x:c r="L139" s="125"/>
      <x:c r="M139" s="125"/>
      <x:c r="N139" s="125"/>
      <x:c r="O139" s="125"/>
      <x:c r="P139" s="125"/>
      <x:c r="Q139" s="125"/>
    </x:row>
    <x:row r="140">
      <x:c r="A140" s="125"/>
      <x:c r="B140" s="125"/>
      <x:c r="C140" s="125"/>
      <x:c r="D140" s="125"/>
      <x:c r="E140" s="125"/>
      <x:c r="F140" s="125"/>
      <x:c r="G140" s="125"/>
      <x:c r="H140" s="125"/>
      <x:c r="I140" s="125"/>
      <x:c r="J140" s="125"/>
      <x:c r="K140" s="125"/>
      <x:c r="L140" s="125"/>
      <x:c r="M140" s="125"/>
      <x:c r="N140" s="125"/>
      <x:c r="O140" s="125"/>
      <x:c r="P140" s="125"/>
      <x:c r="Q140" s="125"/>
    </x:row>
    <x:row r="141">
      <x:c r="A141" s="125"/>
      <x:c r="B141" s="125"/>
      <x:c r="C141" s="125"/>
      <x:c r="D141" s="125"/>
      <x:c r="E141" s="125"/>
      <x:c r="F141" s="125"/>
      <x:c r="G141" s="125"/>
      <x:c r="H141" s="125"/>
      <x:c r="I141" s="125"/>
      <x:c r="J141" s="125"/>
      <x:c r="K141" s="125"/>
      <x:c r="L141" s="125"/>
      <x:c r="M141" s="125"/>
      <x:c r="N141" s="125"/>
      <x:c r="O141" s="125"/>
      <x:c r="P141" s="125"/>
      <x:c r="Q141" s="125"/>
    </x:row>
    <x:row r="142">
      <x:c r="A142" s="125"/>
      <x:c r="B142" s="125"/>
      <x:c r="C142" s="125"/>
      <x:c r="D142" s="125"/>
      <x:c r="E142" s="125"/>
      <x:c r="F142" s="125"/>
      <x:c r="G142" s="125"/>
      <x:c r="H142" s="125"/>
      <x:c r="I142" s="125"/>
      <x:c r="J142" s="125"/>
      <x:c r="K142" s="125"/>
      <x:c r="L142" s="125"/>
      <x:c r="M142" s="125"/>
      <x:c r="N142" s="125"/>
      <x:c r="O142" s="125"/>
      <x:c r="P142" s="125"/>
      <x:c r="Q142" s="125"/>
    </x:row>
    <x:row r="143">
      <x:c r="A143" s="125"/>
      <x:c r="B143" s="125"/>
      <x:c r="C143" s="125"/>
      <x:c r="D143" s="125"/>
      <x:c r="E143" s="125"/>
      <x:c r="F143" s="125"/>
      <x:c r="G143" s="125"/>
      <x:c r="H143" s="125"/>
      <x:c r="I143" s="125"/>
      <x:c r="J143" s="125"/>
      <x:c r="K143" s="125"/>
      <x:c r="L143" s="125"/>
      <x:c r="M143" s="125"/>
      <x:c r="N143" s="125"/>
      <x:c r="O143" s="125"/>
      <x:c r="P143" s="125"/>
      <x:c r="Q143" s="125"/>
    </x:row>
    <x:row r="144">
      <x:c r="A144" s="125"/>
      <x:c r="B144" s="125"/>
      <x:c r="C144" s="125"/>
      <x:c r="D144" s="125"/>
      <x:c r="E144" s="125"/>
      <x:c r="F144" s="125"/>
      <x:c r="G144" s="125"/>
      <x:c r="H144" s="125"/>
      <x:c r="I144" s="125"/>
      <x:c r="J144" s="125"/>
      <x:c r="K144" s="125"/>
      <x:c r="L144" s="125"/>
      <x:c r="M144" s="125"/>
      <x:c r="N144" s="125"/>
      <x:c r="O144" s="125"/>
      <x:c r="P144" s="125"/>
      <x:c r="Q144" s="125"/>
    </x:row>
    <x:row r="145">
      <x:c r="A145" s="125"/>
      <x:c r="B145" s="125"/>
      <x:c r="C145" s="125"/>
      <x:c r="D145" s="125"/>
      <x:c r="E145" s="125"/>
      <x:c r="F145" s="125"/>
      <x:c r="G145" s="125"/>
      <x:c r="H145" s="125"/>
      <x:c r="I145" s="125"/>
      <x:c r="J145" s="125"/>
      <x:c r="K145" s="125"/>
      <x:c r="L145" s="125"/>
      <x:c r="M145" s="125"/>
      <x:c r="N145" s="125"/>
      <x:c r="O145" s="125"/>
      <x:c r="P145" s="125"/>
      <x:c r="Q145" s="125"/>
    </x:row>
    <x:row r="146">
      <x:c r="A146" s="125"/>
      <x:c r="B146" s="125"/>
      <x:c r="C146" s="125"/>
      <x:c r="D146" s="125"/>
      <x:c r="E146" s="125"/>
      <x:c r="F146" s="125"/>
      <x:c r="G146" s="125"/>
      <x:c r="H146" s="125"/>
      <x:c r="I146" s="125"/>
      <x:c r="J146" s="125"/>
      <x:c r="K146" s="125"/>
      <x:c r="L146" s="125"/>
      <x:c r="M146" s="125"/>
      <x:c r="N146" s="125"/>
      <x:c r="O146" s="125"/>
      <x:c r="P146" s="125"/>
      <x:c r="Q146" s="125"/>
    </x:row>
    <x:row r="147">
      <x:c r="A147" s="125"/>
      <x:c r="B147" s="125"/>
      <x:c r="C147" s="125"/>
      <x:c r="D147" s="125"/>
      <x:c r="E147" s="125"/>
      <x:c r="F147" s="125"/>
      <x:c r="G147" s="125"/>
      <x:c r="H147" s="125"/>
      <x:c r="I147" s="125"/>
      <x:c r="J147" s="125"/>
      <x:c r="K147" s="125"/>
      <x:c r="L147" s="125"/>
      <x:c r="M147" s="125"/>
      <x:c r="N147" s="125"/>
      <x:c r="O147" s="125"/>
      <x:c r="P147" s="125"/>
      <x:c r="Q147" s="125"/>
    </x:row>
    <x:row r="148">
      <x:c r="A148" s="125"/>
      <x:c r="B148" s="125"/>
      <x:c r="C148" s="125"/>
      <x:c r="D148" s="125"/>
      <x:c r="E148" s="125"/>
      <x:c r="F148" s="125"/>
      <x:c r="G148" s="125"/>
      <x:c r="H148" s="125"/>
      <x:c r="I148" s="125"/>
      <x:c r="J148" s="125"/>
      <x:c r="K148" s="125"/>
      <x:c r="L148" s="125"/>
      <x:c r="M148" s="125"/>
      <x:c r="N148" s="125"/>
      <x:c r="O148" s="125"/>
      <x:c r="P148" s="125"/>
      <x:c r="Q148" s="125"/>
    </x:row>
    <x:row r="149">
      <x:c r="A149" s="125"/>
      <x:c r="B149" s="125"/>
      <x:c r="C149" s="125"/>
      <x:c r="D149" s="125"/>
      <x:c r="E149" s="125"/>
      <x:c r="F149" s="125"/>
      <x:c r="G149" s="125"/>
      <x:c r="H149" s="125"/>
      <x:c r="I149" s="125"/>
      <x:c r="J149" s="125"/>
      <x:c r="K149" s="125"/>
      <x:c r="L149" s="125"/>
      <x:c r="M149" s="125"/>
      <x:c r="N149" s="125"/>
      <x:c r="O149" s="125"/>
      <x:c r="P149" s="125"/>
      <x:c r="Q149" s="125"/>
    </x:row>
    <x:row r="150">
      <x:c r="A150" s="125"/>
      <x:c r="B150" s="125"/>
      <x:c r="C150" s="125"/>
      <x:c r="D150" s="125"/>
      <x:c r="E150" s="125"/>
      <x:c r="F150" s="125"/>
      <x:c r="G150" s="125"/>
      <x:c r="H150" s="125"/>
      <x:c r="I150" s="125"/>
      <x:c r="J150" s="125"/>
      <x:c r="K150" s="125"/>
      <x:c r="L150" s="125"/>
      <x:c r="M150" s="125"/>
      <x:c r="N150" s="125"/>
      <x:c r="O150" s="125"/>
      <x:c r="P150" s="125"/>
      <x:c r="Q150" s="125"/>
    </x:row>
    <x:row r="151">
      <x:c r="A151" s="125"/>
      <x:c r="B151" s="125"/>
      <x:c r="C151" s="125"/>
      <x:c r="D151" s="125"/>
      <x:c r="E151" s="125"/>
      <x:c r="F151" s="125"/>
      <x:c r="G151" s="125"/>
      <x:c r="H151" s="125"/>
      <x:c r="I151" s="125"/>
      <x:c r="J151" s="125"/>
      <x:c r="K151" s="125"/>
      <x:c r="L151" s="125"/>
      <x:c r="M151" s="125"/>
      <x:c r="N151" s="125"/>
      <x:c r="O151" s="125"/>
      <x:c r="P151" s="125"/>
      <x:c r="Q151" s="125"/>
    </x:row>
    <x:row r="152">
      <x:c r="A152" s="125"/>
      <x:c r="B152" s="125"/>
      <x:c r="C152" s="125"/>
      <x:c r="D152" s="125"/>
      <x:c r="E152" s="125"/>
      <x:c r="F152" s="125"/>
      <x:c r="G152" s="125"/>
      <x:c r="H152" s="125"/>
      <x:c r="I152" s="125"/>
      <x:c r="J152" s="125"/>
      <x:c r="K152" s="125"/>
      <x:c r="L152" s="125"/>
      <x:c r="M152" s="125"/>
      <x:c r="N152" s="125"/>
      <x:c r="O152" s="125"/>
      <x:c r="P152" s="125"/>
      <x:c r="Q152" s="125"/>
    </x:row>
    <x:row r="153">
      <x:c r="A153" s="125"/>
      <x:c r="B153" s="125"/>
      <x:c r="C153" s="125"/>
      <x:c r="D153" s="125"/>
      <x:c r="E153" s="125"/>
      <x:c r="F153" s="125"/>
      <x:c r="G153" s="125"/>
      <x:c r="H153" s="125"/>
      <x:c r="I153" s="125"/>
      <x:c r="J153" s="125"/>
      <x:c r="K153" s="125"/>
      <x:c r="L153" s="125"/>
      <x:c r="M153" s="125"/>
      <x:c r="N153" s="125"/>
      <x:c r="O153" s="125"/>
      <x:c r="P153" s="125"/>
      <x:c r="Q153" s="125"/>
    </x:row>
    <x:row r="154">
      <x:c r="A154" s="125"/>
      <x:c r="B154" s="125"/>
      <x:c r="C154" s="125"/>
      <x:c r="D154" s="125"/>
      <x:c r="E154" s="125"/>
      <x:c r="F154" s="125"/>
      <x:c r="G154" s="125"/>
      <x:c r="H154" s="125"/>
      <x:c r="I154" s="125"/>
      <x:c r="J154" s="125"/>
      <x:c r="K154" s="125"/>
      <x:c r="L154" s="125"/>
      <x:c r="M154" s="125"/>
      <x:c r="N154" s="125"/>
      <x:c r="O154" s="125"/>
      <x:c r="P154" s="125"/>
      <x:c r="Q154" s="125"/>
    </x:row>
    <x:row r="155">
      <x:c r="A155" s="125"/>
      <x:c r="B155" s="125"/>
      <x:c r="C155" s="125"/>
      <x:c r="D155" s="125"/>
      <x:c r="E155" s="125"/>
      <x:c r="F155" s="125"/>
      <x:c r="G155" s="125"/>
      <x:c r="H155" s="125"/>
      <x:c r="I155" s="125"/>
      <x:c r="J155" s="125"/>
      <x:c r="K155" s="125"/>
      <x:c r="L155" s="125"/>
      <x:c r="M155" s="125"/>
      <x:c r="N155" s="125"/>
      <x:c r="O155" s="125"/>
      <x:c r="P155" s="125"/>
      <x:c r="Q155" s="125"/>
    </x:row>
    <x:row r="156">
      <x:c r="A156" s="125"/>
      <x:c r="B156" s="125"/>
      <x:c r="C156" s="125"/>
      <x:c r="D156" s="125"/>
      <x:c r="E156" s="125"/>
      <x:c r="F156" s="125"/>
      <x:c r="G156" s="125"/>
      <x:c r="H156" s="125"/>
      <x:c r="I156" s="125"/>
      <x:c r="J156" s="125"/>
      <x:c r="K156" s="125"/>
      <x:c r="L156" s="125"/>
      <x:c r="M156" s="125"/>
      <x:c r="N156" s="125"/>
      <x:c r="O156" s="125"/>
      <x:c r="P156" s="125"/>
      <x:c r="Q156" s="125"/>
    </x:row>
    <x:row r="157">
      <x:c r="A157" s="125"/>
      <x:c r="B157" s="125"/>
      <x:c r="C157" s="125"/>
      <x:c r="D157" s="125"/>
      <x:c r="E157" s="125"/>
      <x:c r="F157" s="125"/>
      <x:c r="G157" s="125"/>
      <x:c r="H157" s="125"/>
      <x:c r="I157" s="125"/>
      <x:c r="J157" s="125"/>
      <x:c r="K157" s="125"/>
      <x:c r="L157" s="125"/>
      <x:c r="M157" s="125"/>
      <x:c r="N157" s="125"/>
      <x:c r="O157" s="125"/>
      <x:c r="P157" s="125"/>
      <x:c r="Q157" s="125"/>
    </x:row>
    <x:row r="158">
      <x:c r="A158" s="125"/>
      <x:c r="B158" s="125"/>
      <x:c r="C158" s="125"/>
      <x:c r="D158" s="125"/>
      <x:c r="E158" s="125"/>
      <x:c r="F158" s="125"/>
      <x:c r="G158" s="125"/>
      <x:c r="H158" s="125"/>
      <x:c r="I158" s="125"/>
      <x:c r="J158" s="125"/>
      <x:c r="K158" s="125"/>
      <x:c r="L158" s="125"/>
      <x:c r="M158" s="125"/>
      <x:c r="N158" s="125"/>
      <x:c r="O158" s="125"/>
      <x:c r="P158" s="125"/>
      <x:c r="Q158" s="125"/>
    </x:row>
    <x:row r="159">
      <x:c r="A159" s="125"/>
      <x:c r="B159" s="125"/>
      <x:c r="C159" s="125"/>
      <x:c r="D159" s="125"/>
      <x:c r="E159" s="125"/>
      <x:c r="F159" s="125"/>
      <x:c r="G159" s="125"/>
      <x:c r="H159" s="125"/>
      <x:c r="I159" s="125"/>
      <x:c r="J159" s="125"/>
      <x:c r="K159" s="125"/>
      <x:c r="L159" s="125"/>
      <x:c r="M159" s="125"/>
      <x:c r="N159" s="125"/>
      <x:c r="O159" s="125"/>
      <x:c r="P159" s="125"/>
      <x:c r="Q159" s="125"/>
    </x:row>
    <x:row r="160">
      <x:c r="A160" s="125"/>
      <x:c r="B160" s="125"/>
      <x:c r="C160" s="125"/>
      <x:c r="D160" s="125"/>
      <x:c r="E160" s="125"/>
      <x:c r="F160" s="125"/>
      <x:c r="G160" s="125"/>
      <x:c r="H160" s="125"/>
      <x:c r="I160" s="125"/>
      <x:c r="J160" s="125"/>
      <x:c r="K160" s="125"/>
      <x:c r="L160" s="125"/>
      <x:c r="M160" s="125"/>
      <x:c r="N160" s="125"/>
      <x:c r="O160" s="125"/>
      <x:c r="P160" s="125"/>
      <x:c r="Q160" s="125"/>
    </x:row>
    <x:row r="161">
      <x:c r="A161" s="125"/>
      <x:c r="B161" s="125"/>
      <x:c r="C161" s="125"/>
      <x:c r="D161" s="125"/>
      <x:c r="E161" s="125"/>
      <x:c r="F161" s="125"/>
      <x:c r="G161" s="125"/>
      <x:c r="H161" s="125"/>
      <x:c r="I161" s="125"/>
      <x:c r="J161" s="125"/>
      <x:c r="K161" s="125"/>
      <x:c r="L161" s="125"/>
      <x:c r="M161" s="125"/>
      <x:c r="N161" s="125"/>
      <x:c r="O161" s="125"/>
      <x:c r="P161" s="125"/>
      <x:c r="Q161" s="125"/>
    </x:row>
    <x:row r="162">
      <x:c r="A162" s="125"/>
      <x:c r="B162" s="125"/>
      <x:c r="C162" s="125"/>
      <x:c r="D162" s="125"/>
      <x:c r="E162" s="125"/>
      <x:c r="F162" s="125"/>
      <x:c r="G162" s="125"/>
      <x:c r="H162" s="125"/>
      <x:c r="I162" s="125"/>
      <x:c r="J162" s="125"/>
      <x:c r="K162" s="125"/>
      <x:c r="L162" s="125"/>
      <x:c r="M162" s="125"/>
      <x:c r="N162" s="125"/>
      <x:c r="O162" s="125"/>
      <x:c r="P162" s="125"/>
      <x:c r="Q162" s="125"/>
    </x:row>
    <x:row r="163">
      <x:c r="A163" s="125"/>
      <x:c r="B163" s="125"/>
      <x:c r="C163" s="125"/>
      <x:c r="D163" s="125"/>
      <x:c r="E163" s="125"/>
      <x:c r="F163" s="125"/>
      <x:c r="G163" s="125"/>
      <x:c r="H163" s="125"/>
      <x:c r="I163" s="125"/>
      <x:c r="J163" s="125"/>
      <x:c r="K163" s="125"/>
      <x:c r="L163" s="125"/>
      <x:c r="M163" s="125"/>
      <x:c r="N163" s="125"/>
      <x:c r="O163" s="125"/>
      <x:c r="P163" s="125"/>
      <x:c r="Q163" s="125"/>
    </x:row>
    <x:row r="164">
      <x:c r="A164" s="125"/>
      <x:c r="B164" s="125"/>
      <x:c r="C164" s="125"/>
      <x:c r="D164" s="125"/>
      <x:c r="E164" s="125"/>
      <x:c r="F164" s="125"/>
      <x:c r="G164" s="125"/>
      <x:c r="H164" s="125"/>
      <x:c r="I164" s="125"/>
      <x:c r="J164" s="125"/>
      <x:c r="K164" s="125"/>
      <x:c r="L164" s="125"/>
      <x:c r="M164" s="125"/>
      <x:c r="N164" s="125"/>
      <x:c r="O164" s="125"/>
      <x:c r="P164" s="125"/>
      <x:c r="Q164" s="125"/>
    </x:row>
    <x:row r="165">
      <x:c r="A165" s="125"/>
      <x:c r="B165" s="125"/>
      <x:c r="C165" s="125"/>
      <x:c r="D165" s="125"/>
      <x:c r="E165" s="125"/>
      <x:c r="F165" s="125"/>
      <x:c r="G165" s="125"/>
      <x:c r="H165" s="125"/>
      <x:c r="I165" s="125"/>
      <x:c r="J165" s="125"/>
      <x:c r="K165" s="125"/>
      <x:c r="L165" s="125"/>
      <x:c r="M165" s="125"/>
      <x:c r="N165" s="125"/>
      <x:c r="O165" s="125"/>
      <x:c r="P165" s="125"/>
      <x:c r="Q165" s="125"/>
    </x:row>
    <x:row r="166">
      <x:c r="A166" s="125"/>
      <x:c r="B166" s="125"/>
      <x:c r="C166" s="125"/>
      <x:c r="D166" s="125"/>
      <x:c r="E166" s="125"/>
      <x:c r="F166" s="125"/>
      <x:c r="G166" s="125"/>
      <x:c r="H166" s="125"/>
      <x:c r="I166" s="125"/>
      <x:c r="J166" s="125"/>
      <x:c r="K166" s="125"/>
      <x:c r="L166" s="125"/>
      <x:c r="M166" s="125"/>
      <x:c r="N166" s="125"/>
      <x:c r="O166" s="125"/>
      <x:c r="P166" s="125"/>
      <x:c r="Q166" s="125"/>
    </x:row>
    <x:row r="167">
      <x:c r="A167" s="125"/>
      <x:c r="B167" s="125"/>
      <x:c r="C167" s="125"/>
      <x:c r="D167" s="125"/>
      <x:c r="E167" s="125"/>
      <x:c r="F167" s="125"/>
      <x:c r="G167" s="125"/>
      <x:c r="H167" s="125"/>
      <x:c r="I167" s="125"/>
      <x:c r="J167" s="125"/>
      <x:c r="K167" s="125"/>
      <x:c r="L167" s="125"/>
      <x:c r="M167" s="125"/>
      <x:c r="N167" s="125"/>
      <x:c r="O167" s="125"/>
      <x:c r="P167" s="125"/>
      <x:c r="Q167" s="125"/>
    </x:row>
    <x:row r="168">
      <x:c r="A168" s="125"/>
      <x:c r="B168" s="125"/>
      <x:c r="C168" s="125"/>
      <x:c r="D168" s="125"/>
      <x:c r="E168" s="125"/>
      <x:c r="F168" s="125"/>
      <x:c r="G168" s="125"/>
      <x:c r="H168" s="125"/>
      <x:c r="I168" s="125"/>
      <x:c r="J168" s="125"/>
      <x:c r="K168" s="125"/>
      <x:c r="L168" s="125"/>
      <x:c r="M168" s="125"/>
      <x:c r="N168" s="125"/>
      <x:c r="O168" s="125"/>
      <x:c r="P168" s="125"/>
      <x:c r="Q168" s="125"/>
    </x:row>
    <x:row r="169">
      <x:c r="A169" s="125"/>
      <x:c r="B169" s="125"/>
      <x:c r="C169" s="125"/>
      <x:c r="D169" s="125"/>
      <x:c r="E169" s="125"/>
      <x:c r="F169" s="125"/>
      <x:c r="G169" s="125"/>
      <x:c r="H169" s="125"/>
      <x:c r="I169" s="125"/>
      <x:c r="J169" s="125"/>
      <x:c r="K169" s="125"/>
      <x:c r="L169" s="125"/>
      <x:c r="M169" s="125"/>
      <x:c r="N169" s="125"/>
      <x:c r="O169" s="125"/>
      <x:c r="P169" s="125"/>
      <x:c r="Q169" s="125"/>
    </x:row>
    <x:row r="170">
      <x:c r="A170" s="125"/>
      <x:c r="B170" s="125"/>
      <x:c r="C170" s="125"/>
      <x:c r="D170" s="125"/>
      <x:c r="E170" s="125"/>
      <x:c r="F170" s="125"/>
      <x:c r="G170" s="125"/>
      <x:c r="H170" s="125"/>
      <x:c r="I170" s="125"/>
      <x:c r="J170" s="125"/>
      <x:c r="K170" s="125"/>
      <x:c r="L170" s="125"/>
      <x:c r="M170" s="125"/>
      <x:c r="N170" s="125"/>
      <x:c r="O170" s="125"/>
      <x:c r="P170" s="125"/>
      <x:c r="Q170" s="125"/>
    </x:row>
    <x:row r="171">
      <x:c r="A171" s="125"/>
      <x:c r="B171" s="125"/>
      <x:c r="C171" s="125"/>
      <x:c r="D171" s="125"/>
      <x:c r="E171" s="125"/>
      <x:c r="F171" s="125"/>
      <x:c r="G171" s="125"/>
      <x:c r="H171" s="125"/>
      <x:c r="I171" s="125"/>
      <x:c r="J171" s="125"/>
      <x:c r="K171" s="125"/>
      <x:c r="L171" s="125"/>
      <x:c r="M171" s="125"/>
      <x:c r="N171" s="125"/>
      <x:c r="O171" s="125"/>
      <x:c r="P171" s="125"/>
      <x:c r="Q171" s="125"/>
    </x:row>
    <x:row r="172">
      <x:c r="A172" s="125"/>
      <x:c r="B172" s="125"/>
      <x:c r="C172" s="125"/>
      <x:c r="D172" s="125"/>
      <x:c r="E172" s="125"/>
      <x:c r="F172" s="125"/>
      <x:c r="G172" s="125"/>
      <x:c r="H172" s="125"/>
      <x:c r="I172" s="125"/>
      <x:c r="J172" s="125"/>
      <x:c r="K172" s="125"/>
      <x:c r="L172" s="125"/>
      <x:c r="M172" s="125"/>
      <x:c r="N172" s="125"/>
      <x:c r="O172" s="125"/>
      <x:c r="P172" s="125"/>
      <x:c r="Q172" s="125"/>
    </x:row>
    <x:row r="173">
      <x:c r="A173" s="125"/>
      <x:c r="B173" s="125"/>
      <x:c r="C173" s="125"/>
      <x:c r="D173" s="125"/>
      <x:c r="E173" s="125"/>
      <x:c r="F173" s="125"/>
      <x:c r="G173" s="125"/>
      <x:c r="H173" s="125"/>
      <x:c r="I173" s="125"/>
      <x:c r="J173" s="125"/>
      <x:c r="K173" s="125"/>
      <x:c r="L173" s="125"/>
      <x:c r="M173" s="125"/>
      <x:c r="N173" s="125"/>
      <x:c r="O173" s="125"/>
      <x:c r="P173" s="125"/>
      <x:c r="Q173" s="125"/>
    </x:row>
    <x:row r="174">
      <x:c r="A174" s="125"/>
      <x:c r="B174" s="125"/>
      <x:c r="C174" s="125"/>
      <x:c r="D174" s="125"/>
      <x:c r="E174" s="125"/>
      <x:c r="F174" s="125"/>
      <x:c r="G174" s="125"/>
      <x:c r="H174" s="125"/>
      <x:c r="I174" s="125"/>
      <x:c r="J174" s="125"/>
      <x:c r="K174" s="125"/>
      <x:c r="L174" s="125"/>
      <x:c r="M174" s="125"/>
      <x:c r="N174" s="125"/>
      <x:c r="O174" s="125"/>
      <x:c r="P174" s="125"/>
      <x:c r="Q174" s="125"/>
    </x:row>
    <x:row r="175">
      <x:c r="A175" s="125"/>
      <x:c r="B175" s="125"/>
      <x:c r="C175" s="125"/>
      <x:c r="D175" s="125"/>
      <x:c r="E175" s="125"/>
      <x:c r="F175" s="125"/>
      <x:c r="G175" s="125"/>
      <x:c r="H175" s="125"/>
      <x:c r="I175" s="125"/>
      <x:c r="J175" s="125"/>
      <x:c r="K175" s="125"/>
      <x:c r="L175" s="125"/>
      <x:c r="M175" s="125"/>
      <x:c r="N175" s="125"/>
      <x:c r="O175" s="125"/>
      <x:c r="P175" s="125"/>
      <x:c r="Q175" s="125"/>
    </x:row>
    <x:row r="176">
      <x:c r="A176" s="125"/>
      <x:c r="B176" s="125"/>
      <x:c r="C176" s="125"/>
      <x:c r="D176" s="125"/>
      <x:c r="E176" s="125"/>
      <x:c r="F176" s="125"/>
      <x:c r="G176" s="125"/>
      <x:c r="H176" s="125"/>
      <x:c r="I176" s="125"/>
      <x:c r="J176" s="125"/>
      <x:c r="K176" s="125"/>
      <x:c r="L176" s="125"/>
      <x:c r="M176" s="125"/>
      <x:c r="N176" s="125"/>
      <x:c r="O176" s="125"/>
      <x:c r="P176" s="125"/>
      <x:c r="Q176" s="125"/>
    </x:row>
    <x:row r="177">
      <x:c r="A177" s="125"/>
      <x:c r="B177" s="125"/>
      <x:c r="C177" s="125"/>
      <x:c r="D177" s="125"/>
      <x:c r="E177" s="125"/>
      <x:c r="F177" s="125"/>
      <x:c r="G177" s="125"/>
      <x:c r="H177" s="125"/>
      <x:c r="I177" s="125"/>
      <x:c r="J177" s="125"/>
      <x:c r="K177" s="125"/>
      <x:c r="L177" s="125"/>
      <x:c r="M177" s="125"/>
      <x:c r="N177" s="125"/>
      <x:c r="O177" s="125"/>
      <x:c r="P177" s="125"/>
      <x:c r="Q177" s="125"/>
    </x:row>
    <x:row r="178">
      <x:c r="A178" s="125"/>
      <x:c r="B178" s="125"/>
      <x:c r="C178" s="125"/>
      <x:c r="D178" s="125"/>
      <x:c r="E178" s="125"/>
      <x:c r="F178" s="125"/>
      <x:c r="G178" s="125"/>
      <x:c r="H178" s="125"/>
      <x:c r="I178" s="125"/>
      <x:c r="J178" s="125"/>
      <x:c r="K178" s="125"/>
      <x:c r="L178" s="125"/>
      <x:c r="M178" s="125"/>
      <x:c r="N178" s="125"/>
      <x:c r="O178" s="125"/>
      <x:c r="P178" s="125"/>
      <x:c r="Q178" s="125"/>
    </x:row>
    <x:row r="179">
      <x:c r="A179" s="125"/>
      <x:c r="B179" s="125"/>
      <x:c r="C179" s="125"/>
      <x:c r="D179" s="125"/>
      <x:c r="E179" s="125"/>
      <x:c r="F179" s="125"/>
      <x:c r="G179" s="125"/>
      <x:c r="H179" s="125"/>
      <x:c r="I179" s="125"/>
      <x:c r="J179" s="125"/>
      <x:c r="K179" s="125"/>
      <x:c r="L179" s="125"/>
      <x:c r="M179" s="125"/>
      <x:c r="N179" s="125"/>
      <x:c r="O179" s="125"/>
      <x:c r="P179" s="125"/>
      <x:c r="Q179" s="125"/>
    </x:row>
    <x:row r="180">
      <x:c r="A180" s="125"/>
      <x:c r="B180" s="125"/>
      <x:c r="C180" s="125"/>
      <x:c r="D180" s="125"/>
      <x:c r="E180" s="125"/>
      <x:c r="F180" s="125"/>
      <x:c r="G180" s="125"/>
      <x:c r="H180" s="125"/>
      <x:c r="I180" s="125"/>
      <x:c r="J180" s="125"/>
      <x:c r="K180" s="125"/>
      <x:c r="L180" s="125"/>
      <x:c r="M180" s="125"/>
      <x:c r="N180" s="125"/>
      <x:c r="O180" s="125"/>
      <x:c r="P180" s="125"/>
      <x:c r="Q180" s="125"/>
    </x:row>
    <x:row r="181">
      <x:c r="A181" s="125"/>
      <x:c r="B181" s="125"/>
      <x:c r="C181" s="125"/>
      <x:c r="D181" s="125"/>
      <x:c r="E181" s="125"/>
      <x:c r="F181" s="125"/>
      <x:c r="G181" s="125"/>
      <x:c r="H181" s="125"/>
      <x:c r="I181" s="125"/>
      <x:c r="J181" s="125"/>
      <x:c r="K181" s="125"/>
      <x:c r="L181" s="125"/>
      <x:c r="M181" s="125"/>
      <x:c r="N181" s="125"/>
      <x:c r="O181" s="125"/>
      <x:c r="P181" s="125"/>
      <x:c r="Q181" s="125"/>
    </x:row>
    <x:row r="182">
      <x:c r="A182" s="125"/>
      <x:c r="B182" s="125"/>
      <x:c r="C182" s="125"/>
      <x:c r="D182" s="125"/>
      <x:c r="E182" s="125"/>
      <x:c r="F182" s="125"/>
      <x:c r="G182" s="125"/>
      <x:c r="H182" s="125"/>
      <x:c r="I182" s="125"/>
      <x:c r="J182" s="125"/>
      <x:c r="K182" s="125"/>
      <x:c r="L182" s="125"/>
      <x:c r="M182" s="125"/>
      <x:c r="N182" s="125"/>
      <x:c r="O182" s="125"/>
      <x:c r="P182" s="125"/>
      <x:c r="Q182" s="125"/>
    </x:row>
    <x:row r="183">
      <x:c r="A183" s="125"/>
      <x:c r="B183" s="125"/>
      <x:c r="C183" s="125"/>
      <x:c r="D183" s="125"/>
      <x:c r="E183" s="125"/>
      <x:c r="F183" s="125"/>
      <x:c r="G183" s="125"/>
      <x:c r="H183" s="125"/>
      <x:c r="I183" s="125"/>
      <x:c r="J183" s="125"/>
      <x:c r="K183" s="125"/>
      <x:c r="L183" s="125"/>
      <x:c r="M183" s="125"/>
      <x:c r="N183" s="125"/>
      <x:c r="O183" s="125"/>
      <x:c r="P183" s="125"/>
      <x:c r="Q183" s="125"/>
    </x:row>
    <x:row r="184">
      <x:c r="A184" s="125"/>
      <x:c r="B184" s="125"/>
      <x:c r="C184" s="125"/>
      <x:c r="D184" s="125"/>
      <x:c r="E184" s="125"/>
      <x:c r="F184" s="125"/>
      <x:c r="G184" s="125"/>
      <x:c r="H184" s="125"/>
      <x:c r="I184" s="125"/>
      <x:c r="J184" s="125"/>
      <x:c r="K184" s="125"/>
      <x:c r="L184" s="125"/>
      <x:c r="M184" s="125"/>
      <x:c r="N184" s="125"/>
      <x:c r="O184" s="125"/>
      <x:c r="P184" s="125"/>
      <x:c r="Q184" s="125"/>
    </x:row>
    <x:row r="185">
      <x:c r="A185" s="125"/>
      <x:c r="B185" s="125"/>
      <x:c r="C185" s="125"/>
      <x:c r="D185" s="125"/>
      <x:c r="E185" s="125"/>
      <x:c r="F185" s="125"/>
      <x:c r="G185" s="125"/>
      <x:c r="H185" s="125"/>
      <x:c r="I185" s="125"/>
      <x:c r="J185" s="125"/>
      <x:c r="K185" s="125"/>
      <x:c r="L185" s="125"/>
      <x:c r="M185" s="125"/>
      <x:c r="N185" s="125"/>
      <x:c r="O185" s="125"/>
      <x:c r="P185" s="125"/>
      <x:c r="Q185" s="125"/>
    </x:row>
    <x:row r="186">
      <x:c r="A186" s="125"/>
      <x:c r="B186" s="125"/>
      <x:c r="C186" s="125"/>
      <x:c r="D186" s="125"/>
      <x:c r="E186" s="125"/>
      <x:c r="F186" s="125"/>
      <x:c r="G186" s="125"/>
      <x:c r="H186" s="125"/>
      <x:c r="I186" s="125"/>
      <x:c r="J186" s="125"/>
      <x:c r="K186" s="125"/>
      <x:c r="L186" s="125"/>
      <x:c r="M186" s="125"/>
      <x:c r="N186" s="125"/>
      <x:c r="O186" s="125"/>
      <x:c r="P186" s="125"/>
      <x:c r="Q186" s="125"/>
    </x:row>
    <x:row r="187">
      <x:c r="A187" s="125"/>
      <x:c r="B187" s="125"/>
      <x:c r="C187" s="125"/>
      <x:c r="D187" s="125"/>
      <x:c r="E187" s="125"/>
      <x:c r="F187" s="125"/>
      <x:c r="G187" s="125"/>
      <x:c r="H187" s="125"/>
      <x:c r="I187" s="125"/>
      <x:c r="J187" s="125"/>
      <x:c r="K187" s="125"/>
      <x:c r="L187" s="125"/>
      <x:c r="M187" s="125"/>
      <x:c r="N187" s="125"/>
      <x:c r="O187" s="125"/>
      <x:c r="P187" s="125"/>
      <x:c r="Q187" s="125"/>
    </x:row>
    <x:row r="188">
      <x:c r="A188" s="125"/>
      <x:c r="B188" s="125"/>
      <x:c r="C188" s="125"/>
      <x:c r="D188" s="125"/>
      <x:c r="E188" s="125"/>
      <x:c r="F188" s="125"/>
      <x:c r="G188" s="125"/>
      <x:c r="H188" s="125"/>
      <x:c r="I188" s="125"/>
      <x:c r="J188" s="125"/>
      <x:c r="K188" s="125"/>
      <x:c r="L188" s="125"/>
      <x:c r="M188" s="125"/>
      <x:c r="N188" s="125"/>
      <x:c r="O188" s="125"/>
      <x:c r="P188" s="125"/>
      <x:c r="Q188" s="125"/>
    </x:row>
    <x:row r="189">
      <x:c r="A189" s="125"/>
      <x:c r="B189" s="125"/>
      <x:c r="C189" s="125"/>
      <x:c r="D189" s="125"/>
      <x:c r="E189" s="125"/>
      <x:c r="F189" s="125"/>
      <x:c r="G189" s="125"/>
      <x:c r="H189" s="125"/>
      <x:c r="I189" s="125"/>
      <x:c r="J189" s="125"/>
      <x:c r="K189" s="125"/>
      <x:c r="L189" s="125"/>
      <x:c r="M189" s="125"/>
      <x:c r="N189" s="125"/>
      <x:c r="O189" s="125"/>
      <x:c r="P189" s="125"/>
      <x:c r="Q189" s="125"/>
    </x:row>
    <x:row r="190">
      <x:c r="A190" s="125"/>
      <x:c r="B190" s="125"/>
      <x:c r="C190" s="125"/>
      <x:c r="D190" s="125"/>
      <x:c r="E190" s="125"/>
      <x:c r="F190" s="125"/>
      <x:c r="G190" s="125"/>
      <x:c r="H190" s="125"/>
      <x:c r="I190" s="125"/>
      <x:c r="J190" s="125"/>
      <x:c r="K190" s="125"/>
      <x:c r="L190" s="125"/>
      <x:c r="M190" s="125"/>
      <x:c r="N190" s="125"/>
      <x:c r="O190" s="125"/>
      <x:c r="P190" s="125"/>
      <x:c r="Q190" s="125"/>
    </x:row>
    <x:row r="191">
      <x:c r="A191" s="125"/>
      <x:c r="B191" s="125"/>
      <x:c r="C191" s="125"/>
      <x:c r="D191" s="125"/>
      <x:c r="E191" s="125"/>
      <x:c r="F191" s="125"/>
      <x:c r="G191" s="125"/>
      <x:c r="H191" s="125"/>
      <x:c r="I191" s="125"/>
      <x:c r="J191" s="125"/>
      <x:c r="K191" s="125"/>
      <x:c r="L191" s="125"/>
      <x:c r="M191" s="125"/>
      <x:c r="N191" s="125"/>
      <x:c r="O191" s="125"/>
      <x:c r="P191" s="125"/>
      <x:c r="Q191" s="125"/>
    </x:row>
    <x:row r="192">
      <x:c r="A192" s="125"/>
      <x:c r="B192" s="125"/>
      <x:c r="C192" s="125"/>
      <x:c r="D192" s="125"/>
      <x:c r="E192" s="125"/>
      <x:c r="F192" s="125"/>
      <x:c r="G192" s="125"/>
      <x:c r="H192" s="125"/>
      <x:c r="I192" s="125"/>
      <x:c r="J192" s="125"/>
      <x:c r="K192" s="125"/>
      <x:c r="L192" s="125"/>
      <x:c r="M192" s="125"/>
      <x:c r="N192" s="125"/>
      <x:c r="O192" s="125"/>
      <x:c r="P192" s="125"/>
      <x:c r="Q192" s="125"/>
    </x:row>
    <x:row r="193">
      <x:c r="A193" s="125"/>
      <x:c r="B193" s="125"/>
      <x:c r="C193" s="125"/>
      <x:c r="D193" s="125"/>
      <x:c r="E193" s="125"/>
      <x:c r="F193" s="125"/>
      <x:c r="G193" s="125"/>
      <x:c r="H193" s="125"/>
      <x:c r="I193" s="125"/>
      <x:c r="J193" s="125"/>
      <x:c r="K193" s="125"/>
      <x:c r="L193" s="125"/>
      <x:c r="M193" s="125"/>
      <x:c r="N193" s="125"/>
      <x:c r="O193" s="125"/>
      <x:c r="P193" s="125"/>
      <x:c r="Q193" s="125"/>
    </x:row>
    <x:row r="194">
      <x:c r="A194" s="125"/>
      <x:c r="B194" s="125"/>
      <x:c r="C194" s="125"/>
      <x:c r="D194" s="125"/>
      <x:c r="E194" s="125"/>
      <x:c r="F194" s="125"/>
      <x:c r="G194" s="125"/>
      <x:c r="H194" s="125"/>
      <x:c r="I194" s="125"/>
      <x:c r="J194" s="125"/>
      <x:c r="K194" s="125"/>
      <x:c r="L194" s="125"/>
      <x:c r="M194" s="125"/>
      <x:c r="N194" s="125"/>
      <x:c r="O194" s="125"/>
      <x:c r="P194" s="125"/>
      <x:c r="Q194" s="125"/>
    </x:row>
    <x:row r="195">
      <x:c r="A195" s="125"/>
      <x:c r="B195" s="125"/>
      <x:c r="C195" s="125"/>
      <x:c r="D195" s="125"/>
      <x:c r="E195" s="125"/>
      <x:c r="F195" s="125"/>
      <x:c r="G195" s="125"/>
      <x:c r="H195" s="125"/>
      <x:c r="I195" s="125"/>
      <x:c r="J195" s="125"/>
      <x:c r="K195" s="125"/>
      <x:c r="L195" s="125"/>
      <x:c r="M195" s="125"/>
      <x:c r="N195" s="125"/>
      <x:c r="O195" s="125"/>
      <x:c r="P195" s="125"/>
      <x:c r="Q195" s="125"/>
    </x:row>
    <x:row r="196">
      <x:c r="A196" s="125"/>
      <x:c r="B196" s="125"/>
      <x:c r="C196" s="125"/>
      <x:c r="D196" s="125"/>
      <x:c r="E196" s="125"/>
      <x:c r="F196" s="125"/>
      <x:c r="G196" s="125"/>
      <x:c r="H196" s="125"/>
      <x:c r="I196" s="125"/>
      <x:c r="J196" s="125"/>
      <x:c r="K196" s="125"/>
      <x:c r="L196" s="125"/>
      <x:c r="M196" s="125"/>
      <x:c r="N196" s="125"/>
      <x:c r="O196" s="125"/>
      <x:c r="P196" s="125"/>
      <x:c r="Q196" s="125"/>
    </x:row>
    <x:row r="197">
      <x:c r="A197" s="125"/>
      <x:c r="B197" s="125"/>
      <x:c r="C197" s="125"/>
      <x:c r="D197" s="125"/>
      <x:c r="E197" s="125"/>
      <x:c r="F197" s="125"/>
      <x:c r="G197" s="125"/>
      <x:c r="H197" s="125"/>
      <x:c r="I197" s="125"/>
      <x:c r="J197" s="125"/>
      <x:c r="K197" s="125"/>
      <x:c r="L197" s="125"/>
      <x:c r="M197" s="125"/>
      <x:c r="N197" s="125"/>
      <x:c r="O197" s="125"/>
      <x:c r="P197" s="125"/>
      <x:c r="Q197" s="125"/>
    </x:row>
    <x:row r="198">
      <x:c r="A198" s="125"/>
      <x:c r="B198" s="125"/>
      <x:c r="C198" s="125"/>
      <x:c r="D198" s="125"/>
      <x:c r="E198" s="125"/>
      <x:c r="F198" s="125"/>
      <x:c r="G198" s="125"/>
      <x:c r="H198" s="125"/>
      <x:c r="I198" s="125"/>
      <x:c r="J198" s="125"/>
      <x:c r="K198" s="125"/>
      <x:c r="L198" s="125"/>
      <x:c r="M198" s="125"/>
      <x:c r="N198" s="125"/>
      <x:c r="O198" s="125"/>
      <x:c r="P198" s="125"/>
      <x:c r="Q198" s="125"/>
    </x:row>
    <x:row r="199">
      <x:c r="A199" s="125"/>
      <x:c r="B199" s="125"/>
      <x:c r="C199" s="125"/>
      <x:c r="D199" s="125"/>
      <x:c r="E199" s="125"/>
      <x:c r="F199" s="125"/>
      <x:c r="G199" s="125"/>
      <x:c r="H199" s="125"/>
      <x:c r="I199" s="125"/>
      <x:c r="J199" s="125"/>
      <x:c r="K199" s="125"/>
      <x:c r="L199" s="125"/>
      <x:c r="M199" s="125"/>
      <x:c r="N199" s="125"/>
      <x:c r="O199" s="125"/>
      <x:c r="P199" s="125"/>
      <x:c r="Q199" s="125"/>
    </x:row>
    <x:row r="200">
      <x:c r="A200" s="125"/>
      <x:c r="B200" s="125"/>
      <x:c r="C200" s="125"/>
      <x:c r="D200" s="125"/>
      <x:c r="E200" s="125"/>
      <x:c r="F200" s="125"/>
      <x:c r="G200" s="125"/>
      <x:c r="H200" s="125"/>
      <x:c r="I200" s="125"/>
      <x:c r="J200" s="125"/>
      <x:c r="K200" s="125"/>
      <x:c r="L200" s="125"/>
      <x:c r="M200" s="125"/>
      <x:c r="N200" s="125"/>
      <x:c r="O200" s="125"/>
      <x:c r="P200" s="125"/>
      <x:c r="Q200" s="125"/>
    </x:row>
    <x:row r="201">
      <x:c r="A201" s="125"/>
      <x:c r="B201" s="125"/>
      <x:c r="C201" s="125"/>
      <x:c r="D201" s="125"/>
      <x:c r="E201" s="125"/>
      <x:c r="F201" s="125"/>
      <x:c r="G201" s="125"/>
      <x:c r="H201" s="125"/>
      <x:c r="I201" s="125"/>
      <x:c r="J201" s="125"/>
      <x:c r="K201" s="125"/>
      <x:c r="L201" s="125"/>
      <x:c r="M201" s="125"/>
      <x:c r="N201" s="125"/>
      <x:c r="O201" s="125"/>
      <x:c r="P201" s="125"/>
      <x:c r="Q201" s="125"/>
    </x:row>
    <x:row r="202">
      <x:c r="A202" s="125"/>
      <x:c r="B202" s="125"/>
      <x:c r="C202" s="125"/>
      <x:c r="D202" s="125"/>
      <x:c r="E202" s="125"/>
      <x:c r="F202" s="125"/>
      <x:c r="G202" s="125"/>
      <x:c r="H202" s="125"/>
      <x:c r="I202" s="125"/>
      <x:c r="J202" s="125"/>
      <x:c r="K202" s="125"/>
      <x:c r="L202" s="125"/>
      <x:c r="M202" s="125"/>
      <x:c r="N202" s="125"/>
      <x:c r="O202" s="125"/>
      <x:c r="P202" s="125"/>
      <x:c r="Q202" s="125"/>
    </x:row>
    <x:row r="203">
      <x:c r="A203" s="125"/>
      <x:c r="B203" s="125"/>
      <x:c r="C203" s="125"/>
      <x:c r="D203" s="125"/>
      <x:c r="E203" s="125"/>
      <x:c r="F203" s="125"/>
      <x:c r="G203" s="125"/>
      <x:c r="H203" s="125"/>
      <x:c r="I203" s="125"/>
      <x:c r="J203" s="125"/>
      <x:c r="K203" s="125"/>
      <x:c r="L203" s="125"/>
      <x:c r="M203" s="125"/>
      <x:c r="N203" s="125"/>
      <x:c r="O203" s="125"/>
      <x:c r="P203" s="125"/>
      <x:c r="Q203" s="125"/>
    </x:row>
    <x:row r="204">
      <x:c r="A204" s="125"/>
      <x:c r="B204" s="125"/>
      <x:c r="C204" s="125"/>
      <x:c r="D204" s="125"/>
      <x:c r="E204" s="125"/>
      <x:c r="F204" s="125"/>
      <x:c r="G204" s="125"/>
      <x:c r="H204" s="125"/>
      <x:c r="I204" s="125"/>
      <x:c r="J204" s="125"/>
      <x:c r="K204" s="125"/>
      <x:c r="L204" s="125"/>
      <x:c r="M204" s="125"/>
      <x:c r="N204" s="125"/>
      <x:c r="O204" s="125"/>
      <x:c r="P204" s="125"/>
      <x:c r="Q204" s="125"/>
    </x:row>
    <x:row r="205">
      <x:c r="A205" s="125"/>
      <x:c r="B205" s="125"/>
      <x:c r="C205" s="125"/>
      <x:c r="D205" s="125"/>
      <x:c r="E205" s="125"/>
      <x:c r="F205" s="125"/>
      <x:c r="G205" s="125"/>
      <x:c r="H205" s="125"/>
      <x:c r="I205" s="125"/>
      <x:c r="J205" s="125"/>
      <x:c r="K205" s="125"/>
      <x:c r="L205" s="125"/>
      <x:c r="M205" s="125"/>
      <x:c r="N205" s="125"/>
      <x:c r="O205" s="125"/>
      <x:c r="P205" s="125"/>
      <x:c r="Q205" s="125"/>
    </x:row>
    <x:row r="206">
      <x:c r="A206" s="125"/>
      <x:c r="B206" s="125"/>
      <x:c r="C206" s="125"/>
      <x:c r="D206" s="125"/>
      <x:c r="E206" s="125"/>
      <x:c r="F206" s="125"/>
      <x:c r="G206" s="125"/>
      <x:c r="H206" s="125"/>
      <x:c r="I206" s="125"/>
      <x:c r="J206" s="125"/>
      <x:c r="K206" s="125"/>
      <x:c r="L206" s="125"/>
      <x:c r="M206" s="125"/>
      <x:c r="N206" s="125"/>
      <x:c r="O206" s="125"/>
      <x:c r="P206" s="125"/>
      <x:c r="Q206" s="125"/>
    </x:row>
    <x:row r="207">
      <x:c r="A207" s="125"/>
      <x:c r="B207" s="125"/>
      <x:c r="C207" s="125"/>
      <x:c r="D207" s="125"/>
      <x:c r="E207" s="125"/>
      <x:c r="F207" s="125"/>
      <x:c r="G207" s="125"/>
      <x:c r="H207" s="125"/>
      <x:c r="I207" s="125"/>
      <x:c r="J207" s="125"/>
      <x:c r="K207" s="125"/>
      <x:c r="L207" s="125"/>
      <x:c r="M207" s="125"/>
      <x:c r="N207" s="125"/>
      <x:c r="O207" s="125"/>
      <x:c r="P207" s="125"/>
      <x:c r="Q207" s="125"/>
    </x:row>
    <x:row r="208">
      <x:c r="A208" s="125"/>
      <x:c r="B208" s="125"/>
      <x:c r="C208" s="125"/>
      <x:c r="D208" s="125"/>
      <x:c r="E208" s="125"/>
      <x:c r="F208" s="125"/>
      <x:c r="G208" s="125"/>
      <x:c r="H208" s="125"/>
      <x:c r="I208" s="125"/>
      <x:c r="J208" s="125"/>
      <x:c r="K208" s="125"/>
      <x:c r="L208" s="125"/>
      <x:c r="M208" s="125"/>
      <x:c r="N208" s="125"/>
      <x:c r="O208" s="125"/>
      <x:c r="P208" s="125"/>
      <x:c r="Q208" s="125"/>
    </x:row>
    <x:row r="209">
      <x:c r="A209" s="125"/>
      <x:c r="B209" s="125"/>
      <x:c r="C209" s="125"/>
      <x:c r="D209" s="125"/>
      <x:c r="E209" s="125"/>
      <x:c r="F209" s="125"/>
      <x:c r="G209" s="125"/>
      <x:c r="H209" s="125"/>
      <x:c r="I209" s="125"/>
      <x:c r="J209" s="125"/>
      <x:c r="K209" s="125"/>
      <x:c r="L209" s="125"/>
      <x:c r="M209" s="125"/>
      <x:c r="N209" s="125"/>
      <x:c r="O209" s="125"/>
      <x:c r="P209" s="125"/>
      <x:c r="Q209" s="125"/>
    </x:row>
    <x:row r="210">
      <x:c r="A210" s="125"/>
      <x:c r="B210" s="125"/>
      <x:c r="C210" s="125"/>
      <x:c r="D210" s="125"/>
      <x:c r="E210" s="125"/>
      <x:c r="F210" s="125"/>
      <x:c r="G210" s="125"/>
      <x:c r="H210" s="125"/>
      <x:c r="I210" s="125"/>
      <x:c r="J210" s="125"/>
      <x:c r="K210" s="125"/>
      <x:c r="L210" s="125"/>
      <x:c r="M210" s="125"/>
      <x:c r="N210" s="125"/>
      <x:c r="O210" s="125"/>
      <x:c r="P210" s="125"/>
      <x:c r="Q210" s="125"/>
    </x:row>
    <x:row r="211">
      <x:c r="A211" s="125"/>
      <x:c r="B211" s="125"/>
      <x:c r="C211" s="125"/>
      <x:c r="D211" s="125"/>
      <x:c r="E211" s="125"/>
      <x:c r="F211" s="125"/>
      <x:c r="G211" s="125"/>
      <x:c r="H211" s="125"/>
      <x:c r="I211" s="125"/>
      <x:c r="J211" s="125"/>
      <x:c r="K211" s="125"/>
      <x:c r="L211" s="125"/>
      <x:c r="M211" s="125"/>
      <x:c r="N211" s="125"/>
      <x:c r="O211" s="125"/>
      <x:c r="P211" s="125"/>
      <x:c r="Q211" s="125"/>
    </x:row>
    <x:row r="212">
      <x:c r="A212" s="125"/>
      <x:c r="B212" s="125"/>
      <x:c r="C212" s="125"/>
      <x:c r="D212" s="125"/>
      <x:c r="E212" s="125"/>
      <x:c r="F212" s="125"/>
      <x:c r="G212" s="125"/>
      <x:c r="H212" s="125"/>
      <x:c r="I212" s="125"/>
      <x:c r="J212" s="125"/>
      <x:c r="K212" s="125"/>
      <x:c r="L212" s="125"/>
      <x:c r="M212" s="125"/>
      <x:c r="N212" s="125"/>
      <x:c r="O212" s="125"/>
      <x:c r="P212" s="125"/>
      <x:c r="Q212" s="125"/>
    </x:row>
    <x:row r="213">
      <x:c r="A213" s="125"/>
      <x:c r="B213" s="125"/>
      <x:c r="C213" s="125"/>
      <x:c r="D213" s="125"/>
      <x:c r="E213" s="125"/>
      <x:c r="F213" s="125"/>
      <x:c r="G213" s="125"/>
      <x:c r="H213" s="125"/>
      <x:c r="I213" s="125"/>
      <x:c r="J213" s="125"/>
      <x:c r="K213" s="125"/>
      <x:c r="L213" s="125"/>
      <x:c r="M213" s="125"/>
      <x:c r="N213" s="125"/>
      <x:c r="O213" s="125"/>
      <x:c r="P213" s="125"/>
      <x:c r="Q213" s="125"/>
    </x:row>
    <x:row r="214">
      <x:c r="A214" s="125"/>
      <x:c r="B214" s="125"/>
      <x:c r="C214" s="125"/>
      <x:c r="D214" s="125"/>
      <x:c r="E214" s="125"/>
      <x:c r="F214" s="125"/>
      <x:c r="G214" s="125"/>
      <x:c r="H214" s="125"/>
      <x:c r="I214" s="125"/>
      <x:c r="J214" s="125"/>
      <x:c r="K214" s="125"/>
      <x:c r="L214" s="125"/>
      <x:c r="M214" s="125"/>
      <x:c r="N214" s="125"/>
      <x:c r="O214" s="125"/>
      <x:c r="P214" s="125"/>
      <x:c r="Q214" s="125"/>
    </x:row>
    <x:row r="215">
      <x:c r="A215" s="125"/>
      <x:c r="B215" s="125"/>
      <x:c r="C215" s="125"/>
      <x:c r="D215" s="125"/>
      <x:c r="E215" s="125"/>
      <x:c r="F215" s="125"/>
      <x:c r="G215" s="125"/>
      <x:c r="H215" s="125"/>
      <x:c r="I215" s="125"/>
      <x:c r="J215" s="125"/>
      <x:c r="K215" s="125"/>
      <x:c r="L215" s="125"/>
      <x:c r="M215" s="125"/>
      <x:c r="N215" s="125"/>
      <x:c r="O215" s="125"/>
      <x:c r="P215" s="125"/>
      <x:c r="Q215" s="125"/>
    </x:row>
    <x:row r="216">
      <x:c r="A216" s="125"/>
      <x:c r="B216" s="125"/>
      <x:c r="C216" s="125"/>
      <x:c r="D216" s="125"/>
      <x:c r="E216" s="125"/>
      <x:c r="F216" s="125"/>
      <x:c r="G216" s="125"/>
      <x:c r="H216" s="125"/>
      <x:c r="I216" s="125"/>
      <x:c r="J216" s="125"/>
      <x:c r="K216" s="125"/>
      <x:c r="L216" s="125"/>
      <x:c r="M216" s="125"/>
      <x:c r="N216" s="125"/>
      <x:c r="O216" s="125"/>
      <x:c r="P216" s="125"/>
      <x:c r="Q216" s="125"/>
    </x:row>
    <x:row r="217">
      <x:c r="A217" s="125"/>
      <x:c r="B217" s="125"/>
      <x:c r="C217" s="125"/>
      <x:c r="D217" s="125"/>
      <x:c r="E217" s="125"/>
      <x:c r="F217" s="125"/>
      <x:c r="G217" s="125"/>
      <x:c r="H217" s="125"/>
      <x:c r="I217" s="125"/>
      <x:c r="J217" s="125"/>
      <x:c r="K217" s="125"/>
      <x:c r="L217" s="125"/>
      <x:c r="M217" s="125"/>
      <x:c r="N217" s="125"/>
      <x:c r="O217" s="125"/>
      <x:c r="P217" s="125"/>
      <x:c r="Q217" s="125"/>
    </x:row>
    <x:row r="218">
      <x:c r="A218" s="125"/>
      <x:c r="B218" s="125"/>
      <x:c r="C218" s="125"/>
      <x:c r="D218" s="125"/>
      <x:c r="E218" s="125"/>
      <x:c r="F218" s="125"/>
      <x:c r="G218" s="125"/>
      <x:c r="H218" s="125"/>
      <x:c r="I218" s="125"/>
      <x:c r="J218" s="125"/>
      <x:c r="K218" s="125"/>
      <x:c r="L218" s="125"/>
      <x:c r="M218" s="125"/>
      <x:c r="N218" s="125"/>
      <x:c r="O218" s="125"/>
      <x:c r="P218" s="125"/>
      <x:c r="Q218" s="125"/>
    </x:row>
    <x:row r="219">
      <x:c r="A219" s="125"/>
      <x:c r="B219" s="125"/>
      <x:c r="C219" s="125"/>
      <x:c r="D219" s="125"/>
      <x:c r="E219" s="125"/>
      <x:c r="F219" s="125"/>
      <x:c r="G219" s="125"/>
      <x:c r="H219" s="125"/>
      <x:c r="I219" s="125"/>
      <x:c r="J219" s="125"/>
      <x:c r="K219" s="125"/>
      <x:c r="L219" s="125"/>
      <x:c r="M219" s="125"/>
      <x:c r="N219" s="125"/>
      <x:c r="O219" s="125"/>
      <x:c r="P219" s="125"/>
      <x:c r="Q219" s="125"/>
    </x:row>
    <x:row r="220">
      <x:c r="A220" s="125"/>
      <x:c r="B220" s="125"/>
      <x:c r="C220" s="125"/>
      <x:c r="D220" s="125"/>
      <x:c r="E220" s="125"/>
      <x:c r="F220" s="125"/>
      <x:c r="G220" s="125"/>
      <x:c r="H220" s="125"/>
      <x:c r="I220" s="125"/>
      <x:c r="J220" s="125"/>
      <x:c r="K220" s="125"/>
      <x:c r="L220" s="125"/>
      <x:c r="M220" s="125"/>
      <x:c r="N220" s="125"/>
      <x:c r="O220" s="125"/>
      <x:c r="P220" s="125"/>
      <x:c r="Q220" s="125"/>
    </x:row>
    <x:row r="221">
      <x:c r="A221" s="125"/>
      <x:c r="B221" s="125"/>
      <x:c r="C221" s="125"/>
      <x:c r="D221" s="125"/>
      <x:c r="E221" s="125"/>
      <x:c r="F221" s="125"/>
      <x:c r="G221" s="125"/>
      <x:c r="H221" s="125"/>
      <x:c r="I221" s="125"/>
      <x:c r="J221" s="125"/>
      <x:c r="K221" s="125"/>
      <x:c r="L221" s="125"/>
      <x:c r="M221" s="125"/>
      <x:c r="N221" s="125"/>
      <x:c r="O221" s="125"/>
      <x:c r="P221" s="125"/>
      <x:c r="Q221" s="125"/>
    </x:row>
    <x:row r="222">
      <x:c r="A222" s="125"/>
      <x:c r="B222" s="125"/>
      <x:c r="C222" s="125"/>
      <x:c r="D222" s="125"/>
      <x:c r="E222" s="125"/>
      <x:c r="F222" s="125"/>
      <x:c r="G222" s="125"/>
      <x:c r="H222" s="125"/>
      <x:c r="I222" s="125"/>
      <x:c r="J222" s="125"/>
      <x:c r="K222" s="125"/>
      <x:c r="L222" s="125"/>
      <x:c r="M222" s="125"/>
      <x:c r="N222" s="125"/>
      <x:c r="O222" s="125"/>
      <x:c r="P222" s="125"/>
      <x:c r="Q222" s="125"/>
    </x:row>
    <x:row r="223">
      <x:c r="A223" s="125"/>
      <x:c r="B223" s="125"/>
      <x:c r="C223" s="125"/>
      <x:c r="D223" s="125"/>
      <x:c r="E223" s="125"/>
      <x:c r="F223" s="125"/>
      <x:c r="G223" s="125"/>
      <x:c r="H223" s="125"/>
      <x:c r="I223" s="125"/>
      <x:c r="J223" s="125"/>
      <x:c r="K223" s="125"/>
      <x:c r="L223" s="125"/>
      <x:c r="M223" s="125"/>
      <x:c r="N223" s="125"/>
      <x:c r="O223" s="125"/>
      <x:c r="P223" s="125"/>
      <x:c r="Q223" s="125"/>
    </x:row>
    <x:row r="224">
      <x:c r="A224" s="125"/>
      <x:c r="B224" s="125"/>
      <x:c r="C224" s="125"/>
      <x:c r="D224" s="125"/>
      <x:c r="E224" s="125"/>
      <x:c r="F224" s="125"/>
      <x:c r="G224" s="125"/>
      <x:c r="H224" s="125"/>
      <x:c r="I224" s="125"/>
      <x:c r="J224" s="125"/>
      <x:c r="K224" s="125"/>
      <x:c r="L224" s="125"/>
      <x:c r="M224" s="125"/>
      <x:c r="N224" s="125"/>
      <x:c r="O224" s="125"/>
      <x:c r="P224" s="125"/>
      <x:c r="Q224" s="125"/>
    </x:row>
    <x:row r="225">
      <x:c r="A225" s="125"/>
      <x:c r="B225" s="125"/>
      <x:c r="C225" s="125"/>
      <x:c r="D225" s="125"/>
      <x:c r="E225" s="125"/>
      <x:c r="F225" s="125"/>
      <x:c r="G225" s="125"/>
      <x:c r="H225" s="125"/>
      <x:c r="I225" s="125"/>
      <x:c r="J225" s="125"/>
      <x:c r="K225" s="125"/>
      <x:c r="L225" s="125"/>
      <x:c r="M225" s="125"/>
      <x:c r="N225" s="125"/>
      <x:c r="O225" s="125"/>
      <x:c r="P225" s="125"/>
      <x:c r="Q225" s="125"/>
    </x:row>
    <x:row r="226">
      <x:c r="A226" s="125"/>
      <x:c r="B226" s="125"/>
      <x:c r="C226" s="125"/>
      <x:c r="D226" s="125"/>
      <x:c r="E226" s="125"/>
      <x:c r="F226" s="125"/>
      <x:c r="G226" s="125"/>
      <x:c r="H226" s="125"/>
      <x:c r="I226" s="125"/>
      <x:c r="J226" s="125"/>
      <x:c r="K226" s="125"/>
      <x:c r="L226" s="125"/>
      <x:c r="M226" s="125"/>
      <x:c r="N226" s="125"/>
      <x:c r="O226" s="125"/>
      <x:c r="P226" s="125"/>
      <x:c r="Q226" s="125"/>
    </x:row>
    <x:row r="227">
      <x:c r="A227" s="125"/>
      <x:c r="B227" s="125"/>
      <x:c r="C227" s="125"/>
      <x:c r="D227" s="125"/>
      <x:c r="E227" s="125"/>
      <x:c r="F227" s="125"/>
      <x:c r="G227" s="125"/>
      <x:c r="H227" s="125"/>
      <x:c r="I227" s="125"/>
      <x:c r="J227" s="125"/>
      <x:c r="K227" s="125"/>
      <x:c r="L227" s="125"/>
      <x:c r="M227" s="125"/>
      <x:c r="N227" s="125"/>
      <x:c r="O227" s="125"/>
      <x:c r="P227" s="125"/>
      <x:c r="Q227" s="125"/>
    </x:row>
    <x:row r="228">
      <x:c r="A228" s="125"/>
      <x:c r="B228" s="125"/>
      <x:c r="C228" s="125"/>
      <x:c r="D228" s="125"/>
      <x:c r="E228" s="125"/>
      <x:c r="F228" s="125"/>
      <x:c r="G228" s="125"/>
      <x:c r="H228" s="125"/>
      <x:c r="I228" s="125"/>
      <x:c r="J228" s="125"/>
      <x:c r="K228" s="125"/>
      <x:c r="L228" s="125"/>
      <x:c r="M228" s="125"/>
      <x:c r="N228" s="125"/>
      <x:c r="O228" s="125"/>
      <x:c r="P228" s="125"/>
      <x:c r="Q228" s="125"/>
    </x:row>
    <x:row r="229">
      <x:c r="A229" s="125"/>
      <x:c r="B229" s="125"/>
      <x:c r="C229" s="125"/>
      <x:c r="D229" s="125"/>
      <x:c r="E229" s="125"/>
      <x:c r="F229" s="125"/>
      <x:c r="G229" s="125"/>
      <x:c r="H229" s="125"/>
      <x:c r="I229" s="125"/>
      <x:c r="J229" s="125"/>
      <x:c r="K229" s="125"/>
      <x:c r="L229" s="125"/>
      <x:c r="M229" s="125"/>
      <x:c r="N229" s="125"/>
      <x:c r="O229" s="125"/>
      <x:c r="P229" s="125"/>
      <x:c r="Q229" s="125"/>
    </x:row>
    <x:row r="230">
      <x:c r="A230" s="125"/>
      <x:c r="B230" s="125"/>
      <x:c r="C230" s="125"/>
      <x:c r="D230" s="125"/>
      <x:c r="E230" s="125"/>
      <x:c r="F230" s="125"/>
      <x:c r="G230" s="125"/>
      <x:c r="H230" s="125"/>
      <x:c r="I230" s="125"/>
      <x:c r="J230" s="125"/>
      <x:c r="K230" s="125"/>
      <x:c r="L230" s="125"/>
      <x:c r="M230" s="125"/>
      <x:c r="N230" s="125"/>
      <x:c r="O230" s="125"/>
      <x:c r="P230" s="125"/>
      <x:c r="Q230" s="125"/>
    </x:row>
    <x:row r="231">
      <x:c r="A231" s="125"/>
      <x:c r="B231" s="125"/>
      <x:c r="C231" s="125"/>
      <x:c r="D231" s="125"/>
      <x:c r="E231" s="125"/>
      <x:c r="F231" s="125"/>
      <x:c r="G231" s="125"/>
      <x:c r="H231" s="125"/>
      <x:c r="I231" s="125"/>
      <x:c r="J231" s="125"/>
      <x:c r="K231" s="125"/>
      <x:c r="L231" s="125"/>
      <x:c r="M231" s="125"/>
      <x:c r="N231" s="125"/>
      <x:c r="O231" s="125"/>
      <x:c r="P231" s="125"/>
      <x:c r="Q231" s="125"/>
    </x:row>
    <x:row r="232">
      <x:c r="A232" s="125"/>
      <x:c r="B232" s="125"/>
      <x:c r="C232" s="125"/>
      <x:c r="D232" s="125"/>
      <x:c r="E232" s="125"/>
      <x:c r="F232" s="125"/>
      <x:c r="G232" s="125"/>
      <x:c r="H232" s="125"/>
      <x:c r="I232" s="125"/>
      <x:c r="J232" s="125"/>
      <x:c r="K232" s="125"/>
      <x:c r="L232" s="125"/>
      <x:c r="M232" s="125"/>
      <x:c r="N232" s="125"/>
      <x:c r="O232" s="125"/>
      <x:c r="P232" s="125"/>
      <x:c r="Q232" s="125"/>
    </x:row>
    <x:row r="233">
      <x:c r="A233" s="125"/>
      <x:c r="B233" s="125"/>
      <x:c r="C233" s="125"/>
      <x:c r="D233" s="125"/>
      <x:c r="E233" s="125"/>
      <x:c r="F233" s="125"/>
      <x:c r="G233" s="125"/>
      <x:c r="H233" s="125"/>
      <x:c r="I233" s="125"/>
      <x:c r="J233" s="125"/>
      <x:c r="K233" s="125"/>
      <x:c r="L233" s="125"/>
      <x:c r="M233" s="125"/>
      <x:c r="N233" s="125"/>
      <x:c r="O233" s="125"/>
      <x:c r="P233" s="125"/>
      <x:c r="Q233" s="125"/>
    </x:row>
    <x:row r="234">
      <x:c r="A234" s="125"/>
      <x:c r="B234" s="125"/>
      <x:c r="C234" s="125"/>
      <x:c r="D234" s="125"/>
      <x:c r="E234" s="125"/>
      <x:c r="F234" s="125"/>
      <x:c r="G234" s="125"/>
      <x:c r="H234" s="125"/>
      <x:c r="I234" s="125"/>
      <x:c r="J234" s="125"/>
      <x:c r="K234" s="125"/>
      <x:c r="L234" s="125"/>
      <x:c r="M234" s="125"/>
      <x:c r="N234" s="125"/>
      <x:c r="O234" s="125"/>
      <x:c r="P234" s="125"/>
      <x:c r="Q234" s="125"/>
    </x:row>
    <x:row r="235">
      <x:c r="A235" s="125"/>
      <x:c r="B235" s="125"/>
      <x:c r="C235" s="125"/>
      <x:c r="D235" s="125"/>
      <x:c r="E235" s="125"/>
      <x:c r="F235" s="125"/>
      <x:c r="G235" s="125"/>
      <x:c r="H235" s="125"/>
      <x:c r="I235" s="125"/>
      <x:c r="J235" s="125"/>
      <x:c r="K235" s="125"/>
      <x:c r="L235" s="125"/>
      <x:c r="M235" s="125"/>
      <x:c r="N235" s="125"/>
      <x:c r="O235" s="125"/>
      <x:c r="P235" s="125"/>
      <x:c r="Q235" s="125"/>
    </x:row>
    <x:row r="236">
      <x:c r="A236" s="125"/>
      <x:c r="B236" s="125"/>
      <x:c r="C236" s="125"/>
      <x:c r="D236" s="125"/>
      <x:c r="E236" s="125"/>
      <x:c r="F236" s="125"/>
      <x:c r="G236" s="125"/>
      <x:c r="H236" s="125"/>
      <x:c r="I236" s="125"/>
      <x:c r="J236" s="125"/>
      <x:c r="K236" s="125"/>
      <x:c r="L236" s="125"/>
      <x:c r="M236" s="125"/>
      <x:c r="N236" s="125"/>
      <x:c r="O236" s="125"/>
      <x:c r="P236" s="125"/>
      <x:c r="Q236" s="125"/>
    </x:row>
    <x:row r="237">
      <x:c r="A237" s="125"/>
      <x:c r="B237" s="125"/>
      <x:c r="C237" s="125"/>
      <x:c r="D237" s="125"/>
      <x:c r="E237" s="125"/>
      <x:c r="F237" s="125"/>
      <x:c r="G237" s="125"/>
      <x:c r="H237" s="125"/>
      <x:c r="I237" s="125"/>
      <x:c r="J237" s="125"/>
      <x:c r="K237" s="125"/>
      <x:c r="L237" s="125"/>
      <x:c r="M237" s="125"/>
      <x:c r="N237" s="125"/>
      <x:c r="O237" s="125"/>
      <x:c r="P237" s="125"/>
      <x:c r="Q237" s="125"/>
    </x:row>
    <x:row r="238">
      <x:c r="A238" s="125"/>
      <x:c r="B238" s="125"/>
      <x:c r="C238" s="125"/>
      <x:c r="D238" s="125"/>
      <x:c r="E238" s="125"/>
      <x:c r="F238" s="125"/>
      <x:c r="G238" s="125"/>
      <x:c r="H238" s="125"/>
      <x:c r="I238" s="125"/>
      <x:c r="J238" s="125"/>
      <x:c r="K238" s="125"/>
      <x:c r="L238" s="125"/>
      <x:c r="M238" s="125"/>
      <x:c r="N238" s="125"/>
      <x:c r="O238" s="125"/>
      <x:c r="P238" s="125"/>
      <x:c r="Q238" s="125"/>
    </x:row>
    <x:row r="239">
      <x:c r="A239" s="125"/>
      <x:c r="B239" s="125"/>
      <x:c r="C239" s="125"/>
      <x:c r="D239" s="125"/>
      <x:c r="E239" s="125"/>
      <x:c r="F239" s="125"/>
      <x:c r="G239" s="125"/>
      <x:c r="H239" s="125"/>
      <x:c r="I239" s="125"/>
      <x:c r="J239" s="125"/>
      <x:c r="K239" s="125"/>
      <x:c r="L239" s="125"/>
      <x:c r="M239" s="125"/>
      <x:c r="N239" s="125"/>
      <x:c r="O239" s="125"/>
      <x:c r="P239" s="125"/>
      <x:c r="Q239" s="125"/>
    </x:row>
    <x:row r="240">
      <x:c r="A240" s="125"/>
      <x:c r="B240" s="125"/>
      <x:c r="C240" s="125"/>
      <x:c r="D240" s="125"/>
      <x:c r="E240" s="125"/>
      <x:c r="F240" s="125"/>
      <x:c r="G240" s="125"/>
      <x:c r="H240" s="125"/>
      <x:c r="I240" s="125"/>
      <x:c r="J240" s="125"/>
      <x:c r="K240" s="125"/>
      <x:c r="L240" s="125"/>
      <x:c r="M240" s="125"/>
      <x:c r="N240" s="125"/>
      <x:c r="O240" s="125"/>
      <x:c r="P240" s="125"/>
      <x:c r="Q240" s="125"/>
    </x:row>
    <x:row r="241">
      <x:c r="A241" s="125"/>
      <x:c r="B241" s="125"/>
      <x:c r="C241" s="125"/>
      <x:c r="D241" s="125"/>
      <x:c r="E241" s="125"/>
      <x:c r="F241" s="125"/>
      <x:c r="G241" s="125"/>
      <x:c r="H241" s="125"/>
      <x:c r="I241" s="125"/>
      <x:c r="J241" s="125"/>
      <x:c r="K241" s="125"/>
      <x:c r="L241" s="125"/>
      <x:c r="M241" s="125"/>
      <x:c r="N241" s="125"/>
      <x:c r="O241" s="125"/>
      <x:c r="P241" s="125"/>
      <x:c r="Q241" s="125"/>
    </x:row>
    <x:row r="242">
      <x:c r="A242" s="125"/>
      <x:c r="B242" s="125"/>
      <x:c r="C242" s="125"/>
      <x:c r="D242" s="125"/>
      <x:c r="E242" s="125"/>
      <x:c r="F242" s="125"/>
      <x:c r="G242" s="125"/>
      <x:c r="H242" s="125"/>
      <x:c r="I242" s="125"/>
      <x:c r="J242" s="125"/>
      <x:c r="K242" s="125"/>
      <x:c r="L242" s="125"/>
      <x:c r="M242" s="125"/>
      <x:c r="N242" s="125"/>
      <x:c r="O242" s="125"/>
      <x:c r="P242" s="125"/>
      <x:c r="Q242" s="125"/>
    </x:row>
    <x:row r="243">
      <x:c r="A243" s="125"/>
      <x:c r="B243" s="125"/>
      <x:c r="C243" s="125"/>
      <x:c r="D243" s="125"/>
      <x:c r="E243" s="125"/>
      <x:c r="F243" s="125"/>
      <x:c r="G243" s="125"/>
      <x:c r="H243" s="125"/>
      <x:c r="I243" s="125"/>
      <x:c r="J243" s="125"/>
      <x:c r="K243" s="125"/>
      <x:c r="L243" s="125"/>
      <x:c r="M243" s="125"/>
      <x:c r="N243" s="125"/>
      <x:c r="O243" s="125"/>
      <x:c r="P243" s="125"/>
      <x:c r="Q243" s="125"/>
    </x:row>
    <x:row r="244">
      <x:c r="A244" s="125"/>
      <x:c r="B244" s="125"/>
      <x:c r="C244" s="125"/>
      <x:c r="D244" s="125"/>
      <x:c r="E244" s="125"/>
      <x:c r="F244" s="125"/>
      <x:c r="G244" s="125"/>
      <x:c r="H244" s="125"/>
      <x:c r="I244" s="125"/>
      <x:c r="J244" s="125"/>
      <x:c r="K244" s="125"/>
      <x:c r="L244" s="125"/>
      <x:c r="M244" s="125"/>
      <x:c r="N244" s="125"/>
      <x:c r="O244" s="125"/>
      <x:c r="P244" s="125"/>
      <x:c r="Q244" s="125"/>
    </x:row>
    <x:row r="245">
      <x:c r="A245" s="125"/>
      <x:c r="B245" s="125"/>
      <x:c r="C245" s="125"/>
      <x:c r="D245" s="125"/>
      <x:c r="E245" s="125"/>
      <x:c r="F245" s="125"/>
      <x:c r="G245" s="125"/>
      <x:c r="H245" s="125"/>
      <x:c r="I245" s="125"/>
      <x:c r="J245" s="125"/>
      <x:c r="K245" s="125"/>
      <x:c r="L245" s="125"/>
      <x:c r="M245" s="125"/>
      <x:c r="N245" s="125"/>
      <x:c r="O245" s="125"/>
      <x:c r="P245" s="125"/>
      <x:c r="Q245" s="125"/>
    </x:row>
    <x:row r="246">
      <x:c r="A246" s="125"/>
      <x:c r="B246" s="125"/>
      <x:c r="C246" s="125"/>
      <x:c r="D246" s="125"/>
      <x:c r="E246" s="125"/>
      <x:c r="F246" s="125"/>
      <x:c r="G246" s="125"/>
      <x:c r="H246" s="125"/>
      <x:c r="I246" s="125"/>
      <x:c r="J246" s="125"/>
      <x:c r="K246" s="125"/>
      <x:c r="L246" s="125"/>
      <x:c r="M246" s="125"/>
      <x:c r="N246" s="125"/>
      <x:c r="O246" s="125"/>
      <x:c r="P246" s="125"/>
      <x:c r="Q246" s="125"/>
    </x:row>
    <x:row r="247">
      <x:c r="A247" s="125"/>
      <x:c r="B247" s="125"/>
      <x:c r="C247" s="125"/>
      <x:c r="D247" s="125"/>
      <x:c r="E247" s="125"/>
      <x:c r="F247" s="125"/>
      <x:c r="G247" s="125"/>
      <x:c r="H247" s="125"/>
      <x:c r="I247" s="125"/>
      <x:c r="J247" s="125"/>
      <x:c r="K247" s="125"/>
      <x:c r="L247" s="125"/>
      <x:c r="M247" s="125"/>
      <x:c r="N247" s="125"/>
      <x:c r="O247" s="125"/>
      <x:c r="P247" s="125"/>
      <x:c r="Q247" s="125"/>
    </x:row>
    <x:row r="248">
      <x:c r="A248" s="125"/>
      <x:c r="B248" s="125"/>
      <x:c r="C248" s="125"/>
      <x:c r="D248" s="125"/>
      <x:c r="E248" s="125"/>
      <x:c r="F248" s="125"/>
      <x:c r="G248" s="125"/>
      <x:c r="H248" s="125"/>
      <x:c r="I248" s="125"/>
      <x:c r="J248" s="125"/>
      <x:c r="K248" s="125"/>
      <x:c r="L248" s="125"/>
      <x:c r="M248" s="125"/>
      <x:c r="N248" s="125"/>
      <x:c r="O248" s="125"/>
      <x:c r="P248" s="125"/>
      <x:c r="Q248" s="125"/>
    </x:row>
    <x:row r="249">
      <x:c r="A249" s="125"/>
      <x:c r="B249" s="125"/>
      <x:c r="C249" s="125"/>
      <x:c r="D249" s="125"/>
      <x:c r="E249" s="125"/>
      <x:c r="F249" s="125"/>
      <x:c r="G249" s="125"/>
      <x:c r="H249" s="125"/>
      <x:c r="I249" s="125"/>
      <x:c r="J249" s="125"/>
      <x:c r="K249" s="125"/>
      <x:c r="L249" s="125"/>
      <x:c r="M249" s="125"/>
      <x:c r="N249" s="125"/>
      <x:c r="O249" s="125"/>
      <x:c r="P249" s="125"/>
      <x:c r="Q249" s="125"/>
    </x:row>
    <x:row r="250">
      <x:c r="A250" s="125"/>
      <x:c r="B250" s="125"/>
      <x:c r="C250" s="125"/>
      <x:c r="D250" s="125"/>
      <x:c r="E250" s="125"/>
      <x:c r="F250" s="125"/>
      <x:c r="G250" s="125"/>
      <x:c r="H250" s="125"/>
      <x:c r="I250" s="125"/>
      <x:c r="J250" s="125"/>
      <x:c r="K250" s="125"/>
      <x:c r="L250" s="125"/>
      <x:c r="M250" s="125"/>
      <x:c r="N250" s="125"/>
      <x:c r="O250" s="125"/>
      <x:c r="P250" s="125"/>
      <x:c r="Q250" s="125"/>
    </x:row>
  </x:sheetData>
  <x:mergeCells>
    <x:mergeCell ref="A1:H1"/>
    <x:mergeCell ref="A2:H2"/>
  </x:mergeCells>
  <x:pageMargins left="0.7" right="0.7" top="0.75" bottom="0.75" header="0.3" footer="0.3"/>
</x:worksheet>
</file>

<file path=xl/worksheets/sheet7.xml><?xml version="1.0" encoding="utf-8"?>
<x:worksheet xmlns:x="http://schemas.openxmlformats.org/spreadsheetml/2006/main">
  <x:sheetFormatPr defaultRowHeight="15"/>
  <x:cols>
    <x:col min="1" max="1" width="12" hidden="0" customWidth="1"/>
    <x:col min="2" max="2" width="30" hidden="0" customWidth="1"/>
    <x:col min="3" max="3" width="18" hidden="0" customWidth="1"/>
    <x:col min="4" max="4" width="14" hidden="0" customWidth="1"/>
    <x:col min="5" max="5" width="12" hidden="0" customWidth="1"/>
    <x:col min="6" max="6" width="18" hidden="0" customWidth="1"/>
    <x:col min="7" max="7" width="22" hidden="0" customWidth="1"/>
    <x:col min="8" max="8" width="12" hidden="0" customWidth="1"/>
    <x:col min="9" max="9" width="16" hidden="0" customWidth="1"/>
    <x:col min="10" max="10" width="16" hidden="0" customWidth="1"/>
    <x:col min="11" max="11" width="14" hidden="0" customWidth="1"/>
    <x:col min="12" max="12" width="12" hidden="0" customWidth="1"/>
    <x:col min="13" max="13" width="18" hidden="0" customWidth="1"/>
    <x:col min="14" max="14" width="18" hidden="0" customWidth="1"/>
    <x:col min="15" max="15" width="16" hidden="0" customWidth="1"/>
    <x:col min="16" max="16" width="50" hidden="0" customWidth="1"/>
    <x:col min="17" max="17" width="14" hidden="0" customWidth="1"/>
  </x:cols>
  <x:sheetData>
    <x:row r="1" ht="24" customHeight="1">
      <x:c r="A1" s="200" t="str">
        <x:v>DATA_PROPERTY_MASTER — MVP Property / Project Master</x:v>
      </x:c>
      <x:c r="B1" s="198"/>
      <x:c r="C1" s="198"/>
      <x:c r="D1" s="198"/>
      <x:c r="E1" s="198"/>
      <x:c r="F1" s="198"/>
      <x:c r="G1" s="198"/>
      <x:c r="H1" s="198"/>
      <x:c r="I1" s="198"/>
      <x:c r="J1" s="198"/>
      <x:c r="K1" s="198"/>
      <x:c r="L1" s="125"/>
      <x:c r="M1" s="125"/>
      <x:c r="N1" s="125"/>
      <x:c r="O1" s="125"/>
      <x:c r="P1" s="125"/>
      <x:c r="Q1" s="125"/>
    </x:row>
    <x:row r="2" ht="34" customHeight="1">
      <x:c r="A2" s="126" t="str">
        <x:v>Blue cells are analyst/AI input. Purple columns are generated checks. Extracted from NGO B v12 and simplified for the MVP template. Blank template: populate blue/orange cells for a new organization; formulas remain live.</x:v>
      </x:c>
      <x:c r="B2" s="125"/>
      <x:c r="C2" s="125"/>
      <x:c r="D2" s="125"/>
      <x:c r="E2" s="125"/>
      <x:c r="F2" s="125"/>
      <x:c r="G2" s="125"/>
      <x:c r="H2" s="125"/>
      <x:c r="I2" s="125"/>
      <x:c r="J2" s="125"/>
      <x:c r="K2" s="125"/>
      <x:c r="L2" s="125"/>
      <x:c r="M2" s="125"/>
      <x:c r="N2" s="125"/>
      <x:c r="O2" s="125"/>
      <x:c r="P2" s="125"/>
      <x:c r="Q2" s="125"/>
    </x:row>
    <x:row r="3">
      <x:c r="A3" s="125"/>
      <x:c r="B3" s="125"/>
      <x:c r="C3" s="125"/>
      <x:c r="D3" s="125"/>
      <x:c r="E3" s="125"/>
      <x:c r="F3" s="125"/>
      <x:c r="G3" s="125"/>
      <x:c r="H3" s="125"/>
      <x:c r="I3" s="125"/>
      <x:c r="J3" s="125"/>
      <x:c r="K3" s="125"/>
      <x:c r="L3" s="125"/>
      <x:c r="M3" s="125"/>
      <x:c r="N3" s="125"/>
      <x:c r="O3" s="125"/>
      <x:c r="P3" s="125"/>
      <x:c r="Q3" s="125"/>
    </x:row>
    <x:row r="4">
      <x:c r="A4" s="125"/>
      <x:c r="B4" s="125"/>
      <x:c r="C4" s="125"/>
      <x:c r="D4" s="125"/>
      <x:c r="E4" s="125"/>
      <x:c r="F4" s="125"/>
      <x:c r="G4" s="125"/>
      <x:c r="H4" s="125"/>
      <x:c r="I4" s="125"/>
      <x:c r="J4" s="125"/>
      <x:c r="K4" s="125"/>
      <x:c r="L4" s="125"/>
      <x:c r="M4" s="125"/>
      <x:c r="N4" s="125"/>
      <x:c r="O4" s="125"/>
      <x:c r="P4" s="125"/>
      <x:c r="Q4" s="125"/>
    </x:row>
    <x:row r="5">
      <x:c r="A5" s="125"/>
      <x:c r="B5" s="125"/>
      <x:c r="C5" s="125"/>
      <x:c r="D5" s="125"/>
      <x:c r="E5" s="125"/>
      <x:c r="F5" s="125"/>
      <x:c r="G5" s="125"/>
      <x:c r="H5" s="125"/>
      <x:c r="I5" s="125"/>
      <x:c r="J5" s="125"/>
      <x:c r="K5" s="125"/>
      <x:c r="L5" s="125"/>
      <x:c r="M5" s="125"/>
      <x:c r="N5" s="125"/>
      <x:c r="O5" s="125"/>
      <x:c r="P5" s="125"/>
      <x:c r="Q5" s="125"/>
    </x:row>
    <x:row r="6" ht="26" customHeight="1">
      <x:c r="A6" s="127" t="str">
        <x:v>Property_ID</x:v>
      </x:c>
      <x:c r="B6" s="127" t="str">
        <x:v>Property_Name</x:v>
      </x:c>
      <x:c r="C6" s="127" t="str">
        <x:v>City</x:v>
      </x:c>
      <x:c r="D6" s="127" t="str">
        <x:v>Status</x:v>
      </x:c>
      <x:c r="E6" s="127" t="str">
        <x:v>Included?</x:v>
      </x:c>
      <x:c r="F6" s="127" t="str">
        <x:v>Final Classification</x:v>
      </x:c>
      <x:c r="G6" s="127" t="str">
        <x:v>Register Bucket Mapping</x:v>
      </x:c>
      <x:c r="H6" s="127" t="str">
        <x:v>Total Units</x:v>
      </x:c>
      <x:c r="I6" s="127" t="str">
        <x:v>Modeled Unit Count</x:v>
      </x:c>
      <x:c r="J6" s="127" t="str">
        <x:v>Alternate Unit Count</x:v>
      </x:c>
      <x:c r="K6" s="127" t="str">
        <x:v>Unit Conflict?</x:v>
      </x:c>
      <x:c r="L6" s="127" t="str">
        <x:v>Start Year</x:v>
      </x:c>
      <x:c r="M6" s="127" t="str">
        <x:v>Lender / Program</x:v>
      </x:c>
      <x:c r="N6" s="127" t="str">
        <x:v>Source Confidence</x:v>
      </x:c>
      <x:c r="O6" s="127" t="str">
        <x:v>Source Document ID</x:v>
      </x:c>
      <x:c r="P6" s="127" t="str">
        <x:v>Review Note</x:v>
      </x:c>
      <x:c r="Q6" s="127" t="str">
        <x:v>Data Status</x:v>
      </x:c>
    </x:row>
    <x:row r="7">
      <x:c r="A7" s="128"/>
      <x:c r="B7" s="128"/>
      <x:c r="C7" s="128"/>
      <x:c r="D7" s="128"/>
      <x:c r="E7" s="128"/>
      <x:c r="F7" s="128"/>
      <x:c r="G7" s="128"/>
      <x:c r="H7" s="128"/>
      <x:c r="I7" s="128"/>
      <x:c r="J7" s="128"/>
      <x:c r="K7" s="130" t="str">
        <x:f>IF(A7="","",IF(J7="","No",IF(I7=J7,"No","Yes")))</x:f>
      </x:c>
      <x:c r="L7" s="128"/>
      <x:c r="M7" s="128"/>
      <x:c r="N7" s="128"/>
      <x:c r="O7" s="128"/>
      <x:c r="P7" s="128"/>
      <x:c r="Q7" s="130" t="str">
        <x:f>IF(A7="","",IF(K7="Yes","Review",IF(COUNTA(A7:I7)&gt;=8,"Ready","Partial")))</x:f>
      </x:c>
    </x:row>
    <x:row r="8">
      <x:c r="A8" s="128"/>
      <x:c r="B8" s="128"/>
      <x:c r="C8" s="128"/>
      <x:c r="D8" s="128"/>
      <x:c r="E8" s="128"/>
      <x:c r="F8" s="128"/>
      <x:c r="G8" s="128"/>
      <x:c r="H8" s="128"/>
      <x:c r="I8" s="128"/>
      <x:c r="J8" s="128"/>
      <x:c r="K8" s="130" t="str">
        <x:f>IF(A8="","",IF(J8="","No",IF(I8=J8,"No","Yes")))</x:f>
      </x:c>
      <x:c r="L8" s="128"/>
      <x:c r="M8" s="128"/>
      <x:c r="N8" s="128"/>
      <x:c r="O8" s="128"/>
      <x:c r="P8" s="128"/>
      <x:c r="Q8" s="130" t="str">
        <x:f>IF(A8="","",IF(K8="Yes","Review",IF(COUNTA(A8:I8)&gt;=8,"Ready","Partial")))</x:f>
      </x:c>
    </x:row>
    <x:row r="9">
      <x:c r="A9" s="128"/>
      <x:c r="B9" s="128"/>
      <x:c r="C9" s="128"/>
      <x:c r="D9" s="128"/>
      <x:c r="E9" s="128"/>
      <x:c r="F9" s="128"/>
      <x:c r="G9" s="128"/>
      <x:c r="H9" s="128"/>
      <x:c r="I9" s="128"/>
      <x:c r="J9" s="128"/>
      <x:c r="K9" s="130" t="str">
        <x:f>IF(A9="","",IF(J9="","No",IF(I9=J9,"No","Yes")))</x:f>
      </x:c>
      <x:c r="L9" s="128"/>
      <x:c r="M9" s="128"/>
      <x:c r="N9" s="128"/>
      <x:c r="O9" s="128"/>
      <x:c r="P9" s="128"/>
      <x:c r="Q9" s="130" t="str">
        <x:f>IF(A9="","",IF(K9="Yes","Review",IF(COUNTA(A9:I9)&gt;=8,"Ready","Partial")))</x:f>
      </x:c>
    </x:row>
    <x:row r="10">
      <x:c r="A10" s="128"/>
      <x:c r="B10" s="128"/>
      <x:c r="C10" s="128"/>
      <x:c r="D10" s="128"/>
      <x:c r="E10" s="128"/>
      <x:c r="F10" s="128"/>
      <x:c r="G10" s="128"/>
      <x:c r="H10" s="128"/>
      <x:c r="I10" s="128"/>
      <x:c r="J10" s="128"/>
      <x:c r="K10" s="130" t="str">
        <x:f>IF(A10="","",IF(J10="","No",IF(I10=J10,"No","Yes")))</x:f>
      </x:c>
      <x:c r="L10" s="128"/>
      <x:c r="M10" s="128"/>
      <x:c r="N10" s="128"/>
      <x:c r="O10" s="128"/>
      <x:c r="P10" s="128"/>
      <x:c r="Q10" s="130" t="str">
        <x:f>IF(A10="","",IF(K10="Yes","Review",IF(COUNTA(A10:I10)&gt;=8,"Ready","Partial")))</x:f>
      </x:c>
    </x:row>
    <x:row r="11">
      <x:c r="A11" s="128"/>
      <x:c r="B11" s="128"/>
      <x:c r="C11" s="128"/>
      <x:c r="D11" s="128"/>
      <x:c r="E11" s="128"/>
      <x:c r="F11" s="128"/>
      <x:c r="G11" s="128"/>
      <x:c r="H11" s="128"/>
      <x:c r="I11" s="128"/>
      <x:c r="J11" s="128"/>
      <x:c r="K11" s="130" t="str">
        <x:f>IF(A11="","",IF(J11="","No",IF(I11=J11,"No","Yes")))</x:f>
      </x:c>
      <x:c r="L11" s="128"/>
      <x:c r="M11" s="128"/>
      <x:c r="N11" s="128"/>
      <x:c r="O11" s="128"/>
      <x:c r="P11" s="128"/>
      <x:c r="Q11" s="130" t="str">
        <x:f>IF(A11="","",IF(K11="Yes","Review",IF(COUNTA(A11:I11)&gt;=8,"Ready","Partial")))</x:f>
      </x:c>
    </x:row>
    <x:row r="12">
      <x:c r="A12" s="128"/>
      <x:c r="B12" s="128"/>
      <x:c r="C12" s="128"/>
      <x:c r="D12" s="128"/>
      <x:c r="E12" s="128"/>
      <x:c r="F12" s="128"/>
      <x:c r="G12" s="128"/>
      <x:c r="H12" s="128"/>
      <x:c r="I12" s="128"/>
      <x:c r="J12" s="128"/>
      <x:c r="K12" s="130" t="str">
        <x:f>IF(A12="","",IF(J12="","No",IF(I12=J12,"No","Yes")))</x:f>
      </x:c>
      <x:c r="L12" s="128"/>
      <x:c r="M12" s="128"/>
      <x:c r="N12" s="128"/>
      <x:c r="O12" s="128"/>
      <x:c r="P12" s="128"/>
      <x:c r="Q12" s="130" t="str">
        <x:f>IF(A12="","",IF(K12="Yes","Review",IF(COUNTA(A12:I12)&gt;=8,"Ready","Partial")))</x:f>
      </x:c>
    </x:row>
    <x:row r="13">
      <x:c r="A13" s="128"/>
      <x:c r="B13" s="128"/>
      <x:c r="C13" s="128"/>
      <x:c r="D13" s="128"/>
      <x:c r="E13" s="128"/>
      <x:c r="F13" s="128"/>
      <x:c r="G13" s="128"/>
      <x:c r="H13" s="128"/>
      <x:c r="I13" s="128"/>
      <x:c r="J13" s="128"/>
      <x:c r="K13" s="130" t="str">
        <x:f>IF(A13="","",IF(J13="","No",IF(I13=J13,"No","Yes")))</x:f>
      </x:c>
      <x:c r="L13" s="128"/>
      <x:c r="M13" s="128"/>
      <x:c r="N13" s="128"/>
      <x:c r="O13" s="128"/>
      <x:c r="P13" s="128"/>
      <x:c r="Q13" s="130" t="str">
        <x:f>IF(A13="","",IF(K13="Yes","Review",IF(COUNTA(A13:I13)&gt;=8,"Ready","Partial")))</x:f>
      </x:c>
    </x:row>
    <x:row r="14">
      <x:c r="A14" s="128"/>
      <x:c r="B14" s="128"/>
      <x:c r="C14" s="128"/>
      <x:c r="D14" s="128"/>
      <x:c r="E14" s="128"/>
      <x:c r="F14" s="128"/>
      <x:c r="G14" s="128"/>
      <x:c r="H14" s="128"/>
      <x:c r="I14" s="128"/>
      <x:c r="J14" s="128"/>
      <x:c r="K14" s="130" t="str">
        <x:f>IF(A14="","",IF(J14="","No",IF(I14=J14,"No","Yes")))</x:f>
      </x:c>
      <x:c r="L14" s="128"/>
      <x:c r="M14" s="128"/>
      <x:c r="N14" s="128"/>
      <x:c r="O14" s="128"/>
      <x:c r="P14" s="128"/>
      <x:c r="Q14" s="130" t="str">
        <x:f>IF(A14="","",IF(K14="Yes","Review",IF(COUNTA(A14:I14)&gt;=8,"Ready","Partial")))</x:f>
      </x:c>
    </x:row>
    <x:row r="15">
      <x:c r="A15" s="128"/>
      <x:c r="B15" s="128"/>
      <x:c r="C15" s="128"/>
      <x:c r="D15" s="128"/>
      <x:c r="E15" s="128"/>
      <x:c r="F15" s="128"/>
      <x:c r="G15" s="128"/>
      <x:c r="H15" s="128"/>
      <x:c r="I15" s="128"/>
      <x:c r="J15" s="128"/>
      <x:c r="K15" s="130" t="str">
        <x:f>IF(A15="","",IF(J15="","No",IF(I15=J15,"No","Yes")))</x:f>
      </x:c>
      <x:c r="L15" s="128"/>
      <x:c r="M15" s="128"/>
      <x:c r="N15" s="128"/>
      <x:c r="O15" s="128"/>
      <x:c r="P15" s="128"/>
      <x:c r="Q15" s="130" t="str">
        <x:f>IF(A15="","",IF(K15="Yes","Review",IF(COUNTA(A15:I15)&gt;=8,"Ready","Partial")))</x:f>
      </x:c>
    </x:row>
    <x:row r="16">
      <x:c r="A16" s="128"/>
      <x:c r="B16" s="128"/>
      <x:c r="C16" s="128"/>
      <x:c r="D16" s="128"/>
      <x:c r="E16" s="128"/>
      <x:c r="F16" s="128"/>
      <x:c r="G16" s="128"/>
      <x:c r="H16" s="128"/>
      <x:c r="I16" s="128"/>
      <x:c r="J16" s="128"/>
      <x:c r="K16" s="130" t="str">
        <x:f>IF(A16="","",IF(J16="","No",IF(I16=J16,"No","Yes")))</x:f>
      </x:c>
      <x:c r="L16" s="128"/>
      <x:c r="M16" s="128"/>
      <x:c r="N16" s="128"/>
      <x:c r="O16" s="128"/>
      <x:c r="P16" s="128"/>
      <x:c r="Q16" s="130" t="str">
        <x:f>IF(A16="","",IF(K16="Yes","Review",IF(COUNTA(A16:I16)&gt;=8,"Ready","Partial")))</x:f>
      </x:c>
    </x:row>
    <x:row r="17">
      <x:c r="A17" s="128"/>
      <x:c r="B17" s="128"/>
      <x:c r="C17" s="128"/>
      <x:c r="D17" s="128"/>
      <x:c r="E17" s="128"/>
      <x:c r="F17" s="128"/>
      <x:c r="G17" s="128"/>
      <x:c r="H17" s="128"/>
      <x:c r="I17" s="128"/>
      <x:c r="J17" s="128"/>
      <x:c r="K17" s="130" t="str">
        <x:f>IF(A17="","",IF(J17="","No",IF(I17=J17,"No","Yes")))</x:f>
      </x:c>
      <x:c r="L17" s="128"/>
      <x:c r="M17" s="128"/>
      <x:c r="N17" s="128"/>
      <x:c r="O17" s="128"/>
      <x:c r="P17" s="128"/>
      <x:c r="Q17" s="130" t="str">
        <x:f>IF(A17="","",IF(K17="Yes","Review",IF(COUNTA(A17:I17)&gt;=8,"Ready","Partial")))</x:f>
      </x:c>
    </x:row>
    <x:row r="18">
      <x:c r="A18" s="128"/>
      <x:c r="B18" s="128"/>
      <x:c r="C18" s="128"/>
      <x:c r="D18" s="128"/>
      <x:c r="E18" s="128"/>
      <x:c r="F18" s="128"/>
      <x:c r="G18" s="128"/>
      <x:c r="H18" s="128"/>
      <x:c r="I18" s="128"/>
      <x:c r="J18" s="128"/>
      <x:c r="K18" s="130" t="str">
        <x:f>IF(A18="","",IF(J18="","No",IF(I18=J18,"No","Yes")))</x:f>
      </x:c>
      <x:c r="L18" s="128"/>
      <x:c r="M18" s="128"/>
      <x:c r="N18" s="128"/>
      <x:c r="O18" s="128"/>
      <x:c r="P18" s="128"/>
      <x:c r="Q18" s="130" t="str">
        <x:f>IF(A18="","",IF(K18="Yes","Review",IF(COUNTA(A18:I18)&gt;=8,"Ready","Partial")))</x:f>
      </x:c>
    </x:row>
    <x:row r="19">
      <x:c r="A19" s="128"/>
      <x:c r="B19" s="128"/>
      <x:c r="C19" s="128"/>
      <x:c r="D19" s="128"/>
      <x:c r="E19" s="128"/>
      <x:c r="F19" s="128"/>
      <x:c r="G19" s="128"/>
      <x:c r="H19" s="128"/>
      <x:c r="I19" s="128"/>
      <x:c r="J19" s="128"/>
      <x:c r="K19" s="130" t="str">
        <x:f>IF(A19="","",IF(J19="","No",IF(I19=J19,"No","Yes")))</x:f>
      </x:c>
      <x:c r="L19" s="128"/>
      <x:c r="M19" s="128"/>
      <x:c r="N19" s="128"/>
      <x:c r="O19" s="128"/>
      <x:c r="P19" s="128"/>
      <x:c r="Q19" s="130" t="str">
        <x:f>IF(A19="","",IF(K19="Yes","Review",IF(COUNTA(A19:I19)&gt;=8,"Ready","Partial")))</x:f>
      </x:c>
    </x:row>
    <x:row r="20">
      <x:c r="A20" s="128"/>
      <x:c r="B20" s="128"/>
      <x:c r="C20" s="128"/>
      <x:c r="D20" s="128"/>
      <x:c r="E20" s="128"/>
      <x:c r="F20" s="128"/>
      <x:c r="G20" s="128"/>
      <x:c r="H20" s="128"/>
      <x:c r="I20" s="128"/>
      <x:c r="J20" s="128"/>
      <x:c r="K20" s="130" t="str">
        <x:f>IF(A20="","",IF(J20="","No",IF(I20=J20,"No","Yes")))</x:f>
      </x:c>
      <x:c r="L20" s="128"/>
      <x:c r="M20" s="128"/>
      <x:c r="N20" s="128"/>
      <x:c r="O20" s="128"/>
      <x:c r="P20" s="128"/>
      <x:c r="Q20" s="130" t="str">
        <x:f>IF(A20="","",IF(K20="Yes","Review",IF(COUNTA(A20:I20)&gt;=8,"Ready","Partial")))</x:f>
      </x:c>
    </x:row>
    <x:row r="21">
      <x:c r="A21" s="128"/>
      <x:c r="B21" s="128"/>
      <x:c r="C21" s="128"/>
      <x:c r="D21" s="128"/>
      <x:c r="E21" s="128"/>
      <x:c r="F21" s="128"/>
      <x:c r="G21" s="128"/>
      <x:c r="H21" s="128"/>
      <x:c r="I21" s="128"/>
      <x:c r="J21" s="128"/>
      <x:c r="K21" s="130" t="str">
        <x:f>IF(A21="","",IF(J21="","No",IF(I21=J21,"No","Yes")))</x:f>
      </x:c>
      <x:c r="L21" s="128"/>
      <x:c r="M21" s="128"/>
      <x:c r="N21" s="128"/>
      <x:c r="O21" s="128"/>
      <x:c r="P21" s="128"/>
      <x:c r="Q21" s="130" t="str">
        <x:f>IF(A21="","",IF(K21="Yes","Review",IF(COUNTA(A21:I21)&gt;=8,"Ready","Partial")))</x:f>
      </x:c>
    </x:row>
    <x:row r="22">
      <x:c r="A22" s="128"/>
      <x:c r="B22" s="128"/>
      <x:c r="C22" s="128"/>
      <x:c r="D22" s="128"/>
      <x:c r="E22" s="128"/>
      <x:c r="F22" s="128"/>
      <x:c r="G22" s="128"/>
      <x:c r="H22" s="128"/>
      <x:c r="I22" s="128"/>
      <x:c r="J22" s="128"/>
      <x:c r="K22" s="130" t="str">
        <x:f>IF(A22="","",IF(J22="","No",IF(I22=J22,"No","Yes")))</x:f>
      </x:c>
      <x:c r="L22" s="128"/>
      <x:c r="M22" s="128"/>
      <x:c r="N22" s="128"/>
      <x:c r="O22" s="128"/>
      <x:c r="P22" s="128"/>
      <x:c r="Q22" s="130" t="str">
        <x:f>IF(A22="","",IF(K22="Yes","Review",IF(COUNTA(A22:I22)&gt;=8,"Ready","Partial")))</x:f>
      </x:c>
    </x:row>
    <x:row r="23">
      <x:c r="A23" s="128"/>
      <x:c r="B23" s="128"/>
      <x:c r="C23" s="128"/>
      <x:c r="D23" s="128"/>
      <x:c r="E23" s="128"/>
      <x:c r="F23" s="128"/>
      <x:c r="G23" s="128"/>
      <x:c r="H23" s="128"/>
      <x:c r="I23" s="128"/>
      <x:c r="J23" s="128"/>
      <x:c r="K23" s="130" t="str">
        <x:f>IF(A23="","",IF(J23="","No",IF(I23=J23,"No","Yes")))</x:f>
      </x:c>
      <x:c r="L23" s="128"/>
      <x:c r="M23" s="128"/>
      <x:c r="N23" s="128"/>
      <x:c r="O23" s="128"/>
      <x:c r="P23" s="128"/>
      <x:c r="Q23" s="130" t="str">
        <x:f>IF(A23="","",IF(K23="Yes","Review",IF(COUNTA(A23:I23)&gt;=8,"Ready","Partial")))</x:f>
      </x:c>
    </x:row>
    <x:row r="24">
      <x:c r="A24" s="125"/>
      <x:c r="B24" s="125"/>
      <x:c r="C24" s="125"/>
      <x:c r="D24" s="125"/>
      <x:c r="E24" s="125"/>
      <x:c r="F24" s="125"/>
      <x:c r="G24" s="125"/>
      <x:c r="H24" s="125"/>
      <x:c r="I24" s="125"/>
      <x:c r="J24" s="125"/>
      <x:c r="K24" s="125" t="str">
        <x:f>IF(A24="","",IF(J24="","No",IF(I24=J24,"No","Yes")))</x:f>
      </x:c>
      <x:c r="L24" s="125"/>
      <x:c r="M24" s="125"/>
      <x:c r="N24" s="125"/>
      <x:c r="O24" s="125"/>
      <x:c r="P24" s="125"/>
      <x:c r="Q24" s="125" t="str">
        <x:f>IF(A24="","",IF(K24="Yes","Review",IF(COUNTA(A24:I24)&gt;=8,"Ready","Partial")))</x:f>
      </x:c>
    </x:row>
    <x:row r="25">
      <x:c r="A25" s="125"/>
      <x:c r="B25" s="125"/>
      <x:c r="C25" s="125"/>
      <x:c r="D25" s="125"/>
      <x:c r="E25" s="125"/>
      <x:c r="F25" s="125"/>
      <x:c r="G25" s="125"/>
      <x:c r="H25" s="125"/>
      <x:c r="I25" s="125"/>
      <x:c r="J25" s="125"/>
      <x:c r="K25" s="125" t="str">
        <x:f>IF(A25="","",IF(J25="","No",IF(I25=J25,"No","Yes")))</x:f>
      </x:c>
      <x:c r="L25" s="125"/>
      <x:c r="M25" s="125"/>
      <x:c r="N25" s="125"/>
      <x:c r="O25" s="125"/>
      <x:c r="P25" s="125"/>
      <x:c r="Q25" s="125" t="str">
        <x:f>IF(A25="","",IF(K25="Yes","Review",IF(COUNTA(A25:I25)&gt;=8,"Ready","Partial")))</x:f>
      </x:c>
    </x:row>
    <x:row r="26">
      <x:c r="A26" s="125"/>
      <x:c r="B26" s="125"/>
      <x:c r="C26" s="125"/>
      <x:c r="D26" s="125"/>
      <x:c r="E26" s="125"/>
      <x:c r="F26" s="125"/>
      <x:c r="G26" s="125"/>
      <x:c r="H26" s="125"/>
      <x:c r="I26" s="125"/>
      <x:c r="J26" s="125"/>
      <x:c r="K26" s="125" t="str">
        <x:f>IF(A26="","",IF(J26="","No",IF(I26=J26,"No","Yes")))</x:f>
      </x:c>
      <x:c r="L26" s="125"/>
      <x:c r="M26" s="125"/>
      <x:c r="N26" s="125"/>
      <x:c r="O26" s="125"/>
      <x:c r="P26" s="125"/>
      <x:c r="Q26" s="125" t="str">
        <x:f>IF(A26="","",IF(K26="Yes","Review",IF(COUNTA(A26:I26)&gt;=8,"Ready","Partial")))</x:f>
      </x:c>
    </x:row>
    <x:row r="27">
      <x:c r="A27" s="125"/>
      <x:c r="B27" s="125"/>
      <x:c r="C27" s="125"/>
      <x:c r="D27" s="125"/>
      <x:c r="E27" s="125"/>
      <x:c r="F27" s="125"/>
      <x:c r="G27" s="125"/>
      <x:c r="H27" s="125"/>
      <x:c r="I27" s="125"/>
      <x:c r="J27" s="125"/>
      <x:c r="K27" s="125" t="str">
        <x:f>IF(A27="","",IF(J27="","No",IF(I27=J27,"No","Yes")))</x:f>
      </x:c>
      <x:c r="L27" s="125"/>
      <x:c r="M27" s="125"/>
      <x:c r="N27" s="125"/>
      <x:c r="O27" s="125"/>
      <x:c r="P27" s="125"/>
      <x:c r="Q27" s="125" t="str">
        <x:f>IF(A27="","",IF(K27="Yes","Review",IF(COUNTA(A27:I27)&gt;=8,"Ready","Partial")))</x:f>
      </x:c>
    </x:row>
    <x:row r="28">
      <x:c r="A28" s="125"/>
      <x:c r="B28" s="125"/>
      <x:c r="C28" s="125"/>
      <x:c r="D28" s="125"/>
      <x:c r="E28" s="125"/>
      <x:c r="F28" s="125"/>
      <x:c r="G28" s="125"/>
      <x:c r="H28" s="125"/>
      <x:c r="I28" s="125"/>
      <x:c r="J28" s="125"/>
      <x:c r="K28" s="125" t="str">
        <x:f>IF(A28="","",IF(J28="","No",IF(I28=J28,"No","Yes")))</x:f>
      </x:c>
      <x:c r="L28" s="125"/>
      <x:c r="M28" s="125"/>
      <x:c r="N28" s="125"/>
      <x:c r="O28" s="125"/>
      <x:c r="P28" s="125"/>
      <x:c r="Q28" s="125" t="str">
        <x:f>IF(A28="","",IF(K28="Yes","Review",IF(COUNTA(A28:I28)&gt;=8,"Ready","Partial")))</x:f>
      </x:c>
    </x:row>
    <x:row r="29">
      <x:c r="A29" s="125"/>
      <x:c r="B29" s="125"/>
      <x:c r="C29" s="125"/>
      <x:c r="D29" s="125"/>
      <x:c r="E29" s="125"/>
      <x:c r="F29" s="125"/>
      <x:c r="G29" s="125"/>
      <x:c r="H29" s="125"/>
      <x:c r="I29" s="125"/>
      <x:c r="J29" s="125"/>
      <x:c r="K29" s="125" t="str">
        <x:f>IF(A29="","",IF(J29="","No",IF(I29=J29,"No","Yes")))</x:f>
      </x:c>
      <x:c r="L29" s="125"/>
      <x:c r="M29" s="125"/>
      <x:c r="N29" s="125"/>
      <x:c r="O29" s="125"/>
      <x:c r="P29" s="125"/>
      <x:c r="Q29" s="125" t="str">
        <x:f>IF(A29="","",IF(K29="Yes","Review",IF(COUNTA(A29:I29)&gt;=8,"Ready","Partial")))</x:f>
      </x:c>
    </x:row>
    <x:row r="30">
      <x:c r="A30" s="125"/>
      <x:c r="B30" s="125"/>
      <x:c r="C30" s="125"/>
      <x:c r="D30" s="125"/>
      <x:c r="E30" s="125"/>
      <x:c r="F30" s="125"/>
      <x:c r="G30" s="125"/>
      <x:c r="H30" s="125"/>
      <x:c r="I30" s="125"/>
      <x:c r="J30" s="125"/>
      <x:c r="K30" s="125" t="str">
        <x:f>IF(A30="","",IF(J30="","No",IF(I30=J30,"No","Yes")))</x:f>
      </x:c>
      <x:c r="L30" s="125"/>
      <x:c r="M30" s="125"/>
      <x:c r="N30" s="125"/>
      <x:c r="O30" s="125"/>
      <x:c r="P30" s="125"/>
      <x:c r="Q30" s="125" t="str">
        <x:f>IF(A30="","",IF(K30="Yes","Review",IF(COUNTA(A30:I30)&gt;=8,"Ready","Partial")))</x:f>
      </x:c>
    </x:row>
    <x:row r="31">
      <x:c r="A31" s="125"/>
      <x:c r="B31" s="125"/>
      <x:c r="C31" s="125"/>
      <x:c r="D31" s="125"/>
      <x:c r="E31" s="125"/>
      <x:c r="F31" s="125"/>
      <x:c r="G31" s="125"/>
      <x:c r="H31" s="125"/>
      <x:c r="I31" s="125"/>
      <x:c r="J31" s="125"/>
      <x:c r="K31" s="125" t="str">
        <x:f>IF(A31="","",IF(J31="","No",IF(I31=J31,"No","Yes")))</x:f>
      </x:c>
      <x:c r="L31" s="125"/>
      <x:c r="M31" s="125"/>
      <x:c r="N31" s="125"/>
      <x:c r="O31" s="125"/>
      <x:c r="P31" s="125"/>
      <x:c r="Q31" s="125" t="str">
        <x:f>IF(A31="","",IF(K31="Yes","Review",IF(COUNTA(A31:I31)&gt;=8,"Ready","Partial")))</x:f>
      </x:c>
    </x:row>
    <x:row r="32">
      <x:c r="A32" s="125"/>
      <x:c r="B32" s="125"/>
      <x:c r="C32" s="125"/>
      <x:c r="D32" s="125"/>
      <x:c r="E32" s="125"/>
      <x:c r="F32" s="125"/>
      <x:c r="G32" s="125"/>
      <x:c r="H32" s="125"/>
      <x:c r="I32" s="125"/>
      <x:c r="J32" s="125"/>
      <x:c r="K32" s="125" t="str">
        <x:f>IF(A32="","",IF(J32="","No",IF(I32=J32,"No","Yes")))</x:f>
      </x:c>
      <x:c r="L32" s="125"/>
      <x:c r="M32" s="125"/>
      <x:c r="N32" s="125"/>
      <x:c r="O32" s="125"/>
      <x:c r="P32" s="125"/>
      <x:c r="Q32" s="125" t="str">
        <x:f>IF(A32="","",IF(K32="Yes","Review",IF(COUNTA(A32:I32)&gt;=8,"Ready","Partial")))</x:f>
      </x:c>
    </x:row>
    <x:row r="33">
      <x:c r="A33" s="125"/>
      <x:c r="B33" s="125"/>
      <x:c r="C33" s="125"/>
      <x:c r="D33" s="125"/>
      <x:c r="E33" s="125"/>
      <x:c r="F33" s="125"/>
      <x:c r="G33" s="125"/>
      <x:c r="H33" s="125"/>
      <x:c r="I33" s="125"/>
      <x:c r="J33" s="125"/>
      <x:c r="K33" s="125" t="str">
        <x:f>IF(A33="","",IF(J33="","No",IF(I33=J33,"No","Yes")))</x:f>
      </x:c>
      <x:c r="L33" s="125"/>
      <x:c r="M33" s="125"/>
      <x:c r="N33" s="125"/>
      <x:c r="O33" s="125"/>
      <x:c r="P33" s="125"/>
      <x:c r="Q33" s="125" t="str">
        <x:f>IF(A33="","",IF(K33="Yes","Review",IF(COUNTA(A33:I33)&gt;=8,"Ready","Partial")))</x:f>
      </x:c>
    </x:row>
    <x:row r="34">
      <x:c r="A34" s="125"/>
      <x:c r="B34" s="125"/>
      <x:c r="C34" s="125"/>
      <x:c r="D34" s="125"/>
      <x:c r="E34" s="125"/>
      <x:c r="F34" s="125"/>
      <x:c r="G34" s="125"/>
      <x:c r="H34" s="125"/>
      <x:c r="I34" s="125"/>
      <x:c r="J34" s="125"/>
      <x:c r="K34" s="125" t="str">
        <x:f>IF(A34="","",IF(J34="","No",IF(I34=J34,"No","Yes")))</x:f>
      </x:c>
      <x:c r="L34" s="125"/>
      <x:c r="M34" s="125"/>
      <x:c r="N34" s="125"/>
      <x:c r="O34" s="125"/>
      <x:c r="P34" s="125"/>
      <x:c r="Q34" s="125" t="str">
        <x:f>IF(A34="","",IF(K34="Yes","Review",IF(COUNTA(A34:I34)&gt;=8,"Ready","Partial")))</x:f>
      </x:c>
    </x:row>
    <x:row r="35">
      <x:c r="A35" s="125"/>
      <x:c r="B35" s="125"/>
      <x:c r="C35" s="125"/>
      <x:c r="D35" s="125"/>
      <x:c r="E35" s="125"/>
      <x:c r="F35" s="125"/>
      <x:c r="G35" s="125"/>
      <x:c r="H35" s="125"/>
      <x:c r="I35" s="125"/>
      <x:c r="J35" s="125"/>
      <x:c r="K35" s="125" t="str">
        <x:f>IF(A35="","",IF(J35="","No",IF(I35=J35,"No","Yes")))</x:f>
      </x:c>
      <x:c r="L35" s="125"/>
      <x:c r="M35" s="125"/>
      <x:c r="N35" s="125"/>
      <x:c r="O35" s="125"/>
      <x:c r="P35" s="125"/>
      <x:c r="Q35" s="125" t="str">
        <x:f>IF(A35="","",IF(K35="Yes","Review",IF(COUNTA(A35:I35)&gt;=8,"Ready","Partial")))</x:f>
      </x:c>
    </x:row>
    <x:row r="36">
      <x:c r="A36" s="125"/>
      <x:c r="B36" s="125"/>
      <x:c r="C36" s="125"/>
      <x:c r="D36" s="125"/>
      <x:c r="E36" s="125"/>
      <x:c r="F36" s="125"/>
      <x:c r="G36" s="125"/>
      <x:c r="H36" s="125"/>
      <x:c r="I36" s="125"/>
      <x:c r="J36" s="125"/>
      <x:c r="K36" s="125" t="str">
        <x:f>IF(A36="","",IF(J36="","No",IF(I36=J36,"No","Yes")))</x:f>
      </x:c>
      <x:c r="L36" s="125"/>
      <x:c r="M36" s="125"/>
      <x:c r="N36" s="125"/>
      <x:c r="O36" s="125"/>
      <x:c r="P36" s="125"/>
      <x:c r="Q36" s="125" t="str">
        <x:f>IF(A36="","",IF(K36="Yes","Review",IF(COUNTA(A36:I36)&gt;=8,"Ready","Partial")))</x:f>
      </x:c>
    </x:row>
    <x:row r="37">
      <x:c r="A37" s="125"/>
      <x:c r="B37" s="125"/>
      <x:c r="C37" s="125"/>
      <x:c r="D37" s="125"/>
      <x:c r="E37" s="125"/>
      <x:c r="F37" s="125"/>
      <x:c r="G37" s="125"/>
      <x:c r="H37" s="125"/>
      <x:c r="I37" s="125"/>
      <x:c r="J37" s="125"/>
      <x:c r="K37" s="125" t="str">
        <x:f>IF(A37="","",IF(J37="","No",IF(I37=J37,"No","Yes")))</x:f>
      </x:c>
      <x:c r="L37" s="125"/>
      <x:c r="M37" s="125"/>
      <x:c r="N37" s="125"/>
      <x:c r="O37" s="125"/>
      <x:c r="P37" s="125"/>
      <x:c r="Q37" s="125" t="str">
        <x:f>IF(A37="","",IF(K37="Yes","Review",IF(COUNTA(A37:I37)&gt;=8,"Ready","Partial")))</x:f>
      </x:c>
    </x:row>
    <x:row r="38">
      <x:c r="A38" s="125"/>
      <x:c r="B38" s="125"/>
      <x:c r="C38" s="125"/>
      <x:c r="D38" s="125"/>
      <x:c r="E38" s="125"/>
      <x:c r="F38" s="125"/>
      <x:c r="G38" s="125"/>
      <x:c r="H38" s="125"/>
      <x:c r="I38" s="125"/>
      <x:c r="J38" s="125"/>
      <x:c r="K38" s="125" t="str">
        <x:f>IF(A38="","",IF(J38="","No",IF(I38=J38,"No","Yes")))</x:f>
      </x:c>
      <x:c r="L38" s="125"/>
      <x:c r="M38" s="125"/>
      <x:c r="N38" s="125"/>
      <x:c r="O38" s="125"/>
      <x:c r="P38" s="125"/>
      <x:c r="Q38" s="125" t="str">
        <x:f>IF(A38="","",IF(K38="Yes","Review",IF(COUNTA(A38:I38)&gt;=8,"Ready","Partial")))</x:f>
      </x:c>
    </x:row>
    <x:row r="39">
      <x:c r="A39" s="125"/>
      <x:c r="B39" s="125"/>
      <x:c r="C39" s="125"/>
      <x:c r="D39" s="125"/>
      <x:c r="E39" s="125"/>
      <x:c r="F39" s="125"/>
      <x:c r="G39" s="125"/>
      <x:c r="H39" s="125"/>
      <x:c r="I39" s="125"/>
      <x:c r="J39" s="125"/>
      <x:c r="K39" s="125" t="str">
        <x:f>IF(A39="","",IF(J39="","No",IF(I39=J39,"No","Yes")))</x:f>
      </x:c>
      <x:c r="L39" s="125"/>
      <x:c r="M39" s="125"/>
      <x:c r="N39" s="125"/>
      <x:c r="O39" s="125"/>
      <x:c r="P39" s="125"/>
      <x:c r="Q39" s="125" t="str">
        <x:f>IF(A39="","",IF(K39="Yes","Review",IF(COUNTA(A39:I39)&gt;=8,"Ready","Partial")))</x:f>
      </x:c>
    </x:row>
    <x:row r="40">
      <x:c r="A40" s="125"/>
      <x:c r="B40" s="125"/>
      <x:c r="C40" s="125"/>
      <x:c r="D40" s="125"/>
      <x:c r="E40" s="125"/>
      <x:c r="F40" s="125"/>
      <x:c r="G40" s="125"/>
      <x:c r="H40" s="125"/>
      <x:c r="I40" s="125"/>
      <x:c r="J40" s="125"/>
      <x:c r="K40" s="125" t="str">
        <x:f>IF(A40="","",IF(J40="","No",IF(I40=J40,"No","Yes")))</x:f>
      </x:c>
      <x:c r="L40" s="125"/>
      <x:c r="M40" s="125"/>
      <x:c r="N40" s="125"/>
      <x:c r="O40" s="125"/>
      <x:c r="P40" s="125"/>
      <x:c r="Q40" s="125" t="str">
        <x:f>IF(A40="","",IF(K40="Yes","Review",IF(COUNTA(A40:I40)&gt;=8,"Ready","Partial")))</x:f>
      </x:c>
    </x:row>
    <x:row r="41">
      <x:c r="A41" s="125"/>
      <x:c r="B41" s="125"/>
      <x:c r="C41" s="125"/>
      <x:c r="D41" s="125"/>
      <x:c r="E41" s="125"/>
      <x:c r="F41" s="125"/>
      <x:c r="G41" s="125"/>
      <x:c r="H41" s="125"/>
      <x:c r="I41" s="125"/>
      <x:c r="J41" s="125"/>
      <x:c r="K41" s="125" t="str">
        <x:f>IF(A41="","",IF(J41="","No",IF(I41=J41,"No","Yes")))</x:f>
      </x:c>
      <x:c r="L41" s="125"/>
      <x:c r="M41" s="125"/>
      <x:c r="N41" s="125"/>
      <x:c r="O41" s="125"/>
      <x:c r="P41" s="125"/>
      <x:c r="Q41" s="125" t="str">
        <x:f>IF(A41="","",IF(K41="Yes","Review",IF(COUNTA(A41:I41)&gt;=8,"Ready","Partial")))</x:f>
      </x:c>
    </x:row>
    <x:row r="42">
      <x:c r="A42" s="125"/>
      <x:c r="B42" s="125"/>
      <x:c r="C42" s="125"/>
      <x:c r="D42" s="125"/>
      <x:c r="E42" s="125"/>
      <x:c r="F42" s="125"/>
      <x:c r="G42" s="125"/>
      <x:c r="H42" s="125"/>
      <x:c r="I42" s="125"/>
      <x:c r="J42" s="125"/>
      <x:c r="K42" s="125" t="str">
        <x:f>IF(A42="","",IF(J42="","No",IF(I42=J42,"No","Yes")))</x:f>
      </x:c>
      <x:c r="L42" s="125"/>
      <x:c r="M42" s="125"/>
      <x:c r="N42" s="125"/>
      <x:c r="O42" s="125"/>
      <x:c r="P42" s="125"/>
      <x:c r="Q42" s="125" t="str">
        <x:f>IF(A42="","",IF(K42="Yes","Review",IF(COUNTA(A42:I42)&gt;=8,"Ready","Partial")))</x:f>
      </x:c>
    </x:row>
    <x:row r="43">
      <x:c r="A43" s="125"/>
      <x:c r="B43" s="125"/>
      <x:c r="C43" s="125"/>
      <x:c r="D43" s="125"/>
      <x:c r="E43" s="125"/>
      <x:c r="F43" s="125"/>
      <x:c r="G43" s="125"/>
      <x:c r="H43" s="125"/>
      <x:c r="I43" s="125"/>
      <x:c r="J43" s="125"/>
      <x:c r="K43" s="125" t="str">
        <x:f>IF(A43="","",IF(J43="","No",IF(I43=J43,"No","Yes")))</x:f>
      </x:c>
      <x:c r="L43" s="125"/>
      <x:c r="M43" s="125"/>
      <x:c r="N43" s="125"/>
      <x:c r="O43" s="125"/>
      <x:c r="P43" s="125"/>
      <x:c r="Q43" s="125" t="str">
        <x:f>IF(A43="","",IF(K43="Yes","Review",IF(COUNTA(A43:I43)&gt;=8,"Ready","Partial")))</x:f>
      </x:c>
    </x:row>
    <x:row r="44">
      <x:c r="A44" s="125"/>
      <x:c r="B44" s="125"/>
      <x:c r="C44" s="125"/>
      <x:c r="D44" s="125"/>
      <x:c r="E44" s="125"/>
      <x:c r="F44" s="125"/>
      <x:c r="G44" s="125"/>
      <x:c r="H44" s="125"/>
      <x:c r="I44" s="125"/>
      <x:c r="J44" s="125"/>
      <x:c r="K44" s="125" t="str">
        <x:f>IF(A44="","",IF(J44="","No",IF(I44=J44,"No","Yes")))</x:f>
      </x:c>
      <x:c r="L44" s="125"/>
      <x:c r="M44" s="125"/>
      <x:c r="N44" s="125"/>
      <x:c r="O44" s="125"/>
      <x:c r="P44" s="125"/>
      <x:c r="Q44" s="125" t="str">
        <x:f>IF(A44="","",IF(K44="Yes","Review",IF(COUNTA(A44:I44)&gt;=8,"Ready","Partial")))</x:f>
      </x:c>
    </x:row>
    <x:row r="45">
      <x:c r="A45" s="125"/>
      <x:c r="B45" s="125"/>
      <x:c r="C45" s="125"/>
      <x:c r="D45" s="125"/>
      <x:c r="E45" s="125"/>
      <x:c r="F45" s="125"/>
      <x:c r="G45" s="125"/>
      <x:c r="H45" s="125"/>
      <x:c r="I45" s="125"/>
      <x:c r="J45" s="125"/>
      <x:c r="K45" s="125" t="str">
        <x:f>IF(A45="","",IF(J45="","No",IF(I45=J45,"No","Yes")))</x:f>
      </x:c>
      <x:c r="L45" s="125"/>
      <x:c r="M45" s="125"/>
      <x:c r="N45" s="125"/>
      <x:c r="O45" s="125"/>
      <x:c r="P45" s="125"/>
      <x:c r="Q45" s="125" t="str">
        <x:f>IF(A45="","",IF(K45="Yes","Review",IF(COUNTA(A45:I45)&gt;=8,"Ready","Partial")))</x:f>
      </x:c>
    </x:row>
    <x:row r="46">
      <x:c r="A46" s="125"/>
      <x:c r="B46" s="125"/>
      <x:c r="C46" s="125"/>
      <x:c r="D46" s="125"/>
      <x:c r="E46" s="125"/>
      <x:c r="F46" s="125"/>
      <x:c r="G46" s="125"/>
      <x:c r="H46" s="125"/>
      <x:c r="I46" s="125"/>
      <x:c r="J46" s="125"/>
      <x:c r="K46" s="125" t="str">
        <x:f>IF(A46="","",IF(J46="","No",IF(I46=J46,"No","Yes")))</x:f>
      </x:c>
      <x:c r="L46" s="125"/>
      <x:c r="M46" s="125"/>
      <x:c r="N46" s="125"/>
      <x:c r="O46" s="125"/>
      <x:c r="P46" s="125"/>
      <x:c r="Q46" s="125" t="str">
        <x:f>IF(A46="","",IF(K46="Yes","Review",IF(COUNTA(A46:I46)&gt;=8,"Ready","Partial")))</x:f>
      </x:c>
    </x:row>
    <x:row r="47">
      <x:c r="A47" s="125"/>
      <x:c r="B47" s="125"/>
      <x:c r="C47" s="125"/>
      <x:c r="D47" s="125"/>
      <x:c r="E47" s="125"/>
      <x:c r="F47" s="125"/>
      <x:c r="G47" s="125"/>
      <x:c r="H47" s="125"/>
      <x:c r="I47" s="125"/>
      <x:c r="J47" s="125"/>
      <x:c r="K47" s="125" t="str">
        <x:f>IF(A47="","",IF(J47="","No",IF(I47=J47,"No","Yes")))</x:f>
      </x:c>
      <x:c r="L47" s="125"/>
      <x:c r="M47" s="125"/>
      <x:c r="N47" s="125"/>
      <x:c r="O47" s="125"/>
      <x:c r="P47" s="125"/>
      <x:c r="Q47" s="125" t="str">
        <x:f>IF(A47="","",IF(K47="Yes","Review",IF(COUNTA(A47:I47)&gt;=8,"Ready","Partial")))</x:f>
      </x:c>
    </x:row>
    <x:row r="48">
      <x:c r="A48" s="125"/>
      <x:c r="B48" s="125"/>
      <x:c r="C48" s="125"/>
      <x:c r="D48" s="125"/>
      <x:c r="E48" s="125"/>
      <x:c r="F48" s="125"/>
      <x:c r="G48" s="125"/>
      <x:c r="H48" s="125"/>
      <x:c r="I48" s="125"/>
      <x:c r="J48" s="125"/>
      <x:c r="K48" s="125" t="str">
        <x:f>IF(A48="","",IF(J48="","No",IF(I48=J48,"No","Yes")))</x:f>
      </x:c>
      <x:c r="L48" s="125"/>
      <x:c r="M48" s="125"/>
      <x:c r="N48" s="125"/>
      <x:c r="O48" s="125"/>
      <x:c r="P48" s="125"/>
      <x:c r="Q48" s="125" t="str">
        <x:f>IF(A48="","",IF(K48="Yes","Review",IF(COUNTA(A48:I48)&gt;=8,"Ready","Partial")))</x:f>
      </x:c>
    </x:row>
    <x:row r="49">
      <x:c r="A49" s="125"/>
      <x:c r="B49" s="125"/>
      <x:c r="C49" s="125"/>
      <x:c r="D49" s="125"/>
      <x:c r="E49" s="125"/>
      <x:c r="F49" s="125"/>
      <x:c r="G49" s="125"/>
      <x:c r="H49" s="125"/>
      <x:c r="I49" s="125"/>
      <x:c r="J49" s="125"/>
      <x:c r="K49" s="125" t="str">
        <x:f>IF(A49="","",IF(J49="","No",IF(I49=J49,"No","Yes")))</x:f>
      </x:c>
      <x:c r="L49" s="125"/>
      <x:c r="M49" s="125"/>
      <x:c r="N49" s="125"/>
      <x:c r="O49" s="125"/>
      <x:c r="P49" s="125"/>
      <x:c r="Q49" s="125" t="str">
        <x:f>IF(A49="","",IF(K49="Yes","Review",IF(COUNTA(A49:I49)&gt;=8,"Ready","Partial")))</x:f>
      </x:c>
    </x:row>
    <x:row r="50">
      <x:c r="A50" s="125"/>
      <x:c r="B50" s="125"/>
      <x:c r="C50" s="125"/>
      <x:c r="D50" s="125"/>
      <x:c r="E50" s="125"/>
      <x:c r="F50" s="125"/>
      <x:c r="G50" s="125"/>
      <x:c r="H50" s="125"/>
      <x:c r="I50" s="125"/>
      <x:c r="J50" s="125"/>
      <x:c r="K50" s="125" t="str">
        <x:f>IF(A50="","",IF(J50="","No",IF(I50=J50,"No","Yes")))</x:f>
      </x:c>
      <x:c r="L50" s="125"/>
      <x:c r="M50" s="125"/>
      <x:c r="N50" s="125"/>
      <x:c r="O50" s="125"/>
      <x:c r="P50" s="125"/>
      <x:c r="Q50" s="125" t="str">
        <x:f>IF(A50="","",IF(K50="Yes","Review",IF(COUNTA(A50:I50)&gt;=8,"Ready","Partial")))</x:f>
      </x:c>
    </x:row>
    <x:row r="51">
      <x:c r="A51" s="125"/>
      <x:c r="B51" s="125"/>
      <x:c r="C51" s="125"/>
      <x:c r="D51" s="125"/>
      <x:c r="E51" s="125"/>
      <x:c r="F51" s="125"/>
      <x:c r="G51" s="125"/>
      <x:c r="H51" s="125"/>
      <x:c r="I51" s="125"/>
      <x:c r="J51" s="125"/>
      <x:c r="K51" s="125" t="str">
        <x:f>IF(A51="","",IF(J51="","No",IF(I51=J51,"No","Yes")))</x:f>
      </x:c>
      <x:c r="L51" s="125"/>
      <x:c r="M51" s="125"/>
      <x:c r="N51" s="125"/>
      <x:c r="O51" s="125"/>
      <x:c r="P51" s="125"/>
      <x:c r="Q51" s="125" t="str">
        <x:f>IF(A51="","",IF(K51="Yes","Review",IF(COUNTA(A51:I51)&gt;=8,"Ready","Partial")))</x:f>
      </x:c>
    </x:row>
    <x:row r="52">
      <x:c r="A52" s="125"/>
      <x:c r="B52" s="125"/>
      <x:c r="C52" s="125"/>
      <x:c r="D52" s="125"/>
      <x:c r="E52" s="125"/>
      <x:c r="F52" s="125"/>
      <x:c r="G52" s="125"/>
      <x:c r="H52" s="125"/>
      <x:c r="I52" s="125"/>
      <x:c r="J52" s="125"/>
      <x:c r="K52" s="125" t="str">
        <x:f>IF(A52="","",IF(J52="","No",IF(I52=J52,"No","Yes")))</x:f>
      </x:c>
      <x:c r="L52" s="125"/>
      <x:c r="M52" s="125"/>
      <x:c r="N52" s="125"/>
      <x:c r="O52" s="125"/>
      <x:c r="P52" s="125"/>
      <x:c r="Q52" s="125" t="str">
        <x:f>IF(A52="","",IF(K52="Yes","Review",IF(COUNTA(A52:I52)&gt;=8,"Ready","Partial")))</x:f>
      </x:c>
    </x:row>
    <x:row r="53">
      <x:c r="A53" s="125"/>
      <x:c r="B53" s="125"/>
      <x:c r="C53" s="125"/>
      <x:c r="D53" s="125"/>
      <x:c r="E53" s="125"/>
      <x:c r="F53" s="125"/>
      <x:c r="G53" s="125"/>
      <x:c r="H53" s="125"/>
      <x:c r="I53" s="125"/>
      <x:c r="J53" s="125"/>
      <x:c r="K53" s="125" t="str">
        <x:f>IF(A53="","",IF(J53="","No",IF(I53=J53,"No","Yes")))</x:f>
      </x:c>
      <x:c r="L53" s="125"/>
      <x:c r="M53" s="125"/>
      <x:c r="N53" s="125"/>
      <x:c r="O53" s="125"/>
      <x:c r="P53" s="125"/>
      <x:c r="Q53" s="125" t="str">
        <x:f>IF(A53="","",IF(K53="Yes","Review",IF(COUNTA(A53:I53)&gt;=8,"Ready","Partial")))</x:f>
      </x:c>
    </x:row>
    <x:row r="54">
      <x:c r="A54" s="125"/>
      <x:c r="B54" s="125"/>
      <x:c r="C54" s="125"/>
      <x:c r="D54" s="125"/>
      <x:c r="E54" s="125"/>
      <x:c r="F54" s="125"/>
      <x:c r="G54" s="125"/>
      <x:c r="H54" s="125"/>
      <x:c r="I54" s="125"/>
      <x:c r="J54" s="125"/>
      <x:c r="K54" s="125" t="str">
        <x:f>IF(A54="","",IF(J54="","No",IF(I54=J54,"No","Yes")))</x:f>
      </x:c>
      <x:c r="L54" s="125"/>
      <x:c r="M54" s="125"/>
      <x:c r="N54" s="125"/>
      <x:c r="O54" s="125"/>
      <x:c r="P54" s="125"/>
      <x:c r="Q54" s="125" t="str">
        <x:f>IF(A54="","",IF(K54="Yes","Review",IF(COUNTA(A54:I54)&gt;=8,"Ready","Partial")))</x:f>
      </x:c>
    </x:row>
    <x:row r="55">
      <x:c r="A55" s="125"/>
      <x:c r="B55" s="125"/>
      <x:c r="C55" s="125"/>
      <x:c r="D55" s="125"/>
      <x:c r="E55" s="125"/>
      <x:c r="F55" s="125"/>
      <x:c r="G55" s="125"/>
      <x:c r="H55" s="125"/>
      <x:c r="I55" s="125"/>
      <x:c r="J55" s="125"/>
      <x:c r="K55" s="125" t="str">
        <x:f>IF(A55="","",IF(J55="","No",IF(I55=J55,"No","Yes")))</x:f>
      </x:c>
      <x:c r="L55" s="125"/>
      <x:c r="M55" s="125"/>
      <x:c r="N55" s="125"/>
      <x:c r="O55" s="125"/>
      <x:c r="P55" s="125"/>
      <x:c r="Q55" s="125" t="str">
        <x:f>IF(A55="","",IF(K55="Yes","Review",IF(COUNTA(A55:I55)&gt;=8,"Ready","Partial")))</x:f>
      </x:c>
    </x:row>
    <x:row r="56">
      <x:c r="A56" s="125"/>
      <x:c r="B56" s="125"/>
      <x:c r="C56" s="125"/>
      <x:c r="D56" s="125"/>
      <x:c r="E56" s="125"/>
      <x:c r="F56" s="125"/>
      <x:c r="G56" s="125"/>
      <x:c r="H56" s="125"/>
      <x:c r="I56" s="125"/>
      <x:c r="J56" s="125"/>
      <x:c r="K56" s="125" t="str">
        <x:f>IF(A56="","",IF(J56="","No",IF(I56=J56,"No","Yes")))</x:f>
      </x:c>
      <x:c r="L56" s="125"/>
      <x:c r="M56" s="125"/>
      <x:c r="N56" s="125"/>
      <x:c r="O56" s="125"/>
      <x:c r="P56" s="125"/>
      <x:c r="Q56" s="125" t="str">
        <x:f>IF(A56="","",IF(K56="Yes","Review",IF(COUNTA(A56:I56)&gt;=8,"Ready","Partial")))</x:f>
      </x:c>
    </x:row>
    <x:row r="57">
      <x:c r="A57" s="125"/>
      <x:c r="B57" s="125"/>
      <x:c r="C57" s="125"/>
      <x:c r="D57" s="125"/>
      <x:c r="E57" s="125"/>
      <x:c r="F57" s="125"/>
      <x:c r="G57" s="125"/>
      <x:c r="H57" s="125"/>
      <x:c r="I57" s="125"/>
      <x:c r="J57" s="125"/>
      <x:c r="K57" s="125" t="str">
        <x:f>IF(A57="","",IF(J57="","No",IF(I57=J57,"No","Yes")))</x:f>
      </x:c>
      <x:c r="L57" s="125"/>
      <x:c r="M57" s="125"/>
      <x:c r="N57" s="125"/>
      <x:c r="O57" s="125"/>
      <x:c r="P57" s="125"/>
      <x:c r="Q57" s="125" t="str">
        <x:f>IF(A57="","",IF(K57="Yes","Review",IF(COUNTA(A57:I57)&gt;=8,"Ready","Partial")))</x:f>
      </x:c>
    </x:row>
    <x:row r="58">
      <x:c r="A58" s="125"/>
      <x:c r="B58" s="125"/>
      <x:c r="C58" s="125"/>
      <x:c r="D58" s="125"/>
      <x:c r="E58" s="125"/>
      <x:c r="F58" s="125"/>
      <x:c r="G58" s="125"/>
      <x:c r="H58" s="125"/>
      <x:c r="I58" s="125"/>
      <x:c r="J58" s="125"/>
      <x:c r="K58" s="125" t="str">
        <x:f>IF(A58="","",IF(J58="","No",IF(I58=J58,"No","Yes")))</x:f>
      </x:c>
      <x:c r="L58" s="125"/>
      <x:c r="M58" s="125"/>
      <x:c r="N58" s="125"/>
      <x:c r="O58" s="125"/>
      <x:c r="P58" s="125"/>
      <x:c r="Q58" s="125" t="str">
        <x:f>IF(A58="","",IF(K58="Yes","Review",IF(COUNTA(A58:I58)&gt;=8,"Ready","Partial")))</x:f>
      </x:c>
    </x:row>
    <x:row r="59">
      <x:c r="A59" s="125"/>
      <x:c r="B59" s="125"/>
      <x:c r="C59" s="125"/>
      <x:c r="D59" s="125"/>
      <x:c r="E59" s="125"/>
      <x:c r="F59" s="125"/>
      <x:c r="G59" s="125"/>
      <x:c r="H59" s="125"/>
      <x:c r="I59" s="125"/>
      <x:c r="J59" s="125"/>
      <x:c r="K59" s="125" t="str">
        <x:f>IF(A59="","",IF(J59="","No",IF(I59=J59,"No","Yes")))</x:f>
      </x:c>
      <x:c r="L59" s="125"/>
      <x:c r="M59" s="125"/>
      <x:c r="N59" s="125"/>
      <x:c r="O59" s="125"/>
      <x:c r="P59" s="125"/>
      <x:c r="Q59" s="125" t="str">
        <x:f>IF(A59="","",IF(K59="Yes","Review",IF(COUNTA(A59:I59)&gt;=8,"Ready","Partial")))</x:f>
      </x:c>
    </x:row>
    <x:row r="60">
      <x:c r="A60" s="125"/>
      <x:c r="B60" s="125"/>
      <x:c r="C60" s="125"/>
      <x:c r="D60" s="125"/>
      <x:c r="E60" s="125"/>
      <x:c r="F60" s="125"/>
      <x:c r="G60" s="125"/>
      <x:c r="H60" s="125"/>
      <x:c r="I60" s="125"/>
      <x:c r="J60" s="125"/>
      <x:c r="K60" s="125" t="str">
        <x:f>IF(A60="","",IF(J60="","No",IF(I60=J60,"No","Yes")))</x:f>
      </x:c>
      <x:c r="L60" s="125"/>
      <x:c r="M60" s="125"/>
      <x:c r="N60" s="125"/>
      <x:c r="O60" s="125"/>
      <x:c r="P60" s="125"/>
      <x:c r="Q60" s="125" t="str">
        <x:f>IF(A60="","",IF(K60="Yes","Review",IF(COUNTA(A60:I60)&gt;=8,"Ready","Partial")))</x:f>
      </x:c>
    </x:row>
    <x:row r="61">
      <x:c r="A61" s="125"/>
      <x:c r="B61" s="125"/>
      <x:c r="C61" s="125"/>
      <x:c r="D61" s="125"/>
      <x:c r="E61" s="125"/>
      <x:c r="F61" s="125"/>
      <x:c r="G61" s="125"/>
      <x:c r="H61" s="125"/>
      <x:c r="I61" s="125"/>
      <x:c r="J61" s="125"/>
      <x:c r="K61" s="125" t="str">
        <x:f>IF(A61="","",IF(J61="","No",IF(I61=J61,"No","Yes")))</x:f>
      </x:c>
      <x:c r="L61" s="125"/>
      <x:c r="M61" s="125"/>
      <x:c r="N61" s="125"/>
      <x:c r="O61" s="125"/>
      <x:c r="P61" s="125"/>
      <x:c r="Q61" s="125" t="str">
        <x:f>IF(A61="","",IF(K61="Yes","Review",IF(COUNTA(A61:I61)&gt;=8,"Ready","Partial")))</x:f>
      </x:c>
    </x:row>
    <x:row r="62">
      <x:c r="A62" s="125"/>
      <x:c r="B62" s="125"/>
      <x:c r="C62" s="125"/>
      <x:c r="D62" s="125"/>
      <x:c r="E62" s="125"/>
      <x:c r="F62" s="125"/>
      <x:c r="G62" s="125"/>
      <x:c r="H62" s="125"/>
      <x:c r="I62" s="125"/>
      <x:c r="J62" s="125"/>
      <x:c r="K62" s="125" t="str">
        <x:f>IF(A62="","",IF(J62="","No",IF(I62=J62,"No","Yes")))</x:f>
      </x:c>
      <x:c r="L62" s="125"/>
      <x:c r="M62" s="125"/>
      <x:c r="N62" s="125"/>
      <x:c r="O62" s="125"/>
      <x:c r="P62" s="125"/>
      <x:c r="Q62" s="125" t="str">
        <x:f>IF(A62="","",IF(K62="Yes","Review",IF(COUNTA(A62:I62)&gt;=8,"Ready","Partial")))</x:f>
      </x:c>
    </x:row>
    <x:row r="63">
      <x:c r="A63" s="125"/>
      <x:c r="B63" s="125"/>
      <x:c r="C63" s="125"/>
      <x:c r="D63" s="125"/>
      <x:c r="E63" s="125"/>
      <x:c r="F63" s="125"/>
      <x:c r="G63" s="125"/>
      <x:c r="H63" s="125"/>
      <x:c r="I63" s="125"/>
      <x:c r="J63" s="125"/>
      <x:c r="K63" s="125" t="str">
        <x:f>IF(A63="","",IF(J63="","No",IF(I63=J63,"No","Yes")))</x:f>
      </x:c>
      <x:c r="L63" s="125"/>
      <x:c r="M63" s="125"/>
      <x:c r="N63" s="125"/>
      <x:c r="O63" s="125"/>
      <x:c r="P63" s="125"/>
      <x:c r="Q63" s="125" t="str">
        <x:f>IF(A63="","",IF(K63="Yes","Review",IF(COUNTA(A63:I63)&gt;=8,"Ready","Partial")))</x:f>
      </x:c>
    </x:row>
    <x:row r="64">
      <x:c r="A64" s="125"/>
      <x:c r="B64" s="125"/>
      <x:c r="C64" s="125"/>
      <x:c r="D64" s="125"/>
      <x:c r="E64" s="125"/>
      <x:c r="F64" s="125"/>
      <x:c r="G64" s="125"/>
      <x:c r="H64" s="125"/>
      <x:c r="I64" s="125"/>
      <x:c r="J64" s="125"/>
      <x:c r="K64" s="125" t="str">
        <x:f>IF(A64="","",IF(J64="","No",IF(I64=J64,"No","Yes")))</x:f>
      </x:c>
      <x:c r="L64" s="125"/>
      <x:c r="M64" s="125"/>
      <x:c r="N64" s="125"/>
      <x:c r="O64" s="125"/>
      <x:c r="P64" s="125"/>
      <x:c r="Q64" s="125" t="str">
        <x:f>IF(A64="","",IF(K64="Yes","Review",IF(COUNTA(A64:I64)&gt;=8,"Ready","Partial")))</x:f>
      </x:c>
    </x:row>
    <x:row r="65">
      <x:c r="A65" s="125"/>
      <x:c r="B65" s="125"/>
      <x:c r="C65" s="125"/>
      <x:c r="D65" s="125"/>
      <x:c r="E65" s="125"/>
      <x:c r="F65" s="125"/>
      <x:c r="G65" s="125"/>
      <x:c r="H65" s="125"/>
      <x:c r="I65" s="125"/>
      <x:c r="J65" s="125"/>
      <x:c r="K65" s="125" t="str">
        <x:f>IF(A65="","",IF(J65="","No",IF(I65=J65,"No","Yes")))</x:f>
      </x:c>
      <x:c r="L65" s="125"/>
      <x:c r="M65" s="125"/>
      <x:c r="N65" s="125"/>
      <x:c r="O65" s="125"/>
      <x:c r="P65" s="125"/>
      <x:c r="Q65" s="125" t="str">
        <x:f>IF(A65="","",IF(K65="Yes","Review",IF(COUNTA(A65:I65)&gt;=8,"Ready","Partial")))</x:f>
      </x:c>
    </x:row>
    <x:row r="66">
      <x:c r="A66" s="125"/>
      <x:c r="B66" s="125"/>
      <x:c r="C66" s="125"/>
      <x:c r="D66" s="125"/>
      <x:c r="E66" s="125"/>
      <x:c r="F66" s="125"/>
      <x:c r="G66" s="125"/>
      <x:c r="H66" s="125"/>
      <x:c r="I66" s="125"/>
      <x:c r="J66" s="125"/>
      <x:c r="K66" s="125" t="str">
        <x:f>IF(A66="","",IF(J66="","No",IF(I66=J66,"No","Yes")))</x:f>
      </x:c>
      <x:c r="L66" s="125"/>
      <x:c r="M66" s="125"/>
      <x:c r="N66" s="125"/>
      <x:c r="O66" s="125"/>
      <x:c r="P66" s="125"/>
      <x:c r="Q66" s="125" t="str">
        <x:f>IF(A66="","",IF(K66="Yes","Review",IF(COUNTA(A66:I66)&gt;=8,"Ready","Partial")))</x:f>
      </x:c>
    </x:row>
    <x:row r="67">
      <x:c r="A67" s="125"/>
      <x:c r="B67" s="125"/>
      <x:c r="C67" s="125"/>
      <x:c r="D67" s="125"/>
      <x:c r="E67" s="125"/>
      <x:c r="F67" s="125"/>
      <x:c r="G67" s="125"/>
      <x:c r="H67" s="125"/>
      <x:c r="I67" s="125"/>
      <x:c r="J67" s="125"/>
      <x:c r="K67" s="125" t="str">
        <x:f>IF(A67="","",IF(J67="","No",IF(I67=J67,"No","Yes")))</x:f>
      </x:c>
      <x:c r="L67" s="125"/>
      <x:c r="M67" s="125"/>
      <x:c r="N67" s="125"/>
      <x:c r="O67" s="125"/>
      <x:c r="P67" s="125"/>
      <x:c r="Q67" s="125" t="str">
        <x:f>IF(A67="","",IF(K67="Yes","Review",IF(COUNTA(A67:I67)&gt;=8,"Ready","Partial")))</x:f>
      </x:c>
    </x:row>
    <x:row r="68">
      <x:c r="A68" s="125"/>
      <x:c r="B68" s="125"/>
      <x:c r="C68" s="125"/>
      <x:c r="D68" s="125"/>
      <x:c r="E68" s="125"/>
      <x:c r="F68" s="125"/>
      <x:c r="G68" s="125"/>
      <x:c r="H68" s="125"/>
      <x:c r="I68" s="125"/>
      <x:c r="J68" s="125"/>
      <x:c r="K68" s="125" t="str">
        <x:f>IF(A68="","",IF(J68="","No",IF(I68=J68,"No","Yes")))</x:f>
      </x:c>
      <x:c r="L68" s="125"/>
      <x:c r="M68" s="125"/>
      <x:c r="N68" s="125"/>
      <x:c r="O68" s="125"/>
      <x:c r="P68" s="125"/>
      <x:c r="Q68" s="125" t="str">
        <x:f>IF(A68="","",IF(K68="Yes","Review",IF(COUNTA(A68:I68)&gt;=8,"Ready","Partial")))</x:f>
      </x:c>
    </x:row>
    <x:row r="69">
      <x:c r="A69" s="125"/>
      <x:c r="B69" s="125"/>
      <x:c r="C69" s="125"/>
      <x:c r="D69" s="125"/>
      <x:c r="E69" s="125"/>
      <x:c r="F69" s="125"/>
      <x:c r="G69" s="125"/>
      <x:c r="H69" s="125"/>
      <x:c r="I69" s="125"/>
      <x:c r="J69" s="125"/>
      <x:c r="K69" s="125" t="str">
        <x:f>IF(A69="","",IF(J69="","No",IF(I69=J69,"No","Yes")))</x:f>
      </x:c>
      <x:c r="L69" s="125"/>
      <x:c r="M69" s="125"/>
      <x:c r="N69" s="125"/>
      <x:c r="O69" s="125"/>
      <x:c r="P69" s="125"/>
      <x:c r="Q69" s="125" t="str">
        <x:f>IF(A69="","",IF(K69="Yes","Review",IF(COUNTA(A69:I69)&gt;=8,"Ready","Partial")))</x:f>
      </x:c>
    </x:row>
    <x:row r="70">
      <x:c r="A70" s="125"/>
      <x:c r="B70" s="125"/>
      <x:c r="C70" s="125"/>
      <x:c r="D70" s="125"/>
      <x:c r="E70" s="125"/>
      <x:c r="F70" s="125"/>
      <x:c r="G70" s="125"/>
      <x:c r="H70" s="125"/>
      <x:c r="I70" s="125"/>
      <x:c r="J70" s="125"/>
      <x:c r="K70" s="125" t="str">
        <x:f>IF(A70="","",IF(J70="","No",IF(I70=J70,"No","Yes")))</x:f>
      </x:c>
      <x:c r="L70" s="125"/>
      <x:c r="M70" s="125"/>
      <x:c r="N70" s="125"/>
      <x:c r="O70" s="125"/>
      <x:c r="P70" s="125"/>
      <x:c r="Q70" s="125" t="str">
        <x:f>IF(A70="","",IF(K70="Yes","Review",IF(COUNTA(A70:I70)&gt;=8,"Ready","Partial")))</x:f>
      </x:c>
    </x:row>
    <x:row r="71">
      <x:c r="A71" s="125"/>
      <x:c r="B71" s="125"/>
      <x:c r="C71" s="125"/>
      <x:c r="D71" s="125"/>
      <x:c r="E71" s="125"/>
      <x:c r="F71" s="125"/>
      <x:c r="G71" s="125"/>
      <x:c r="H71" s="125"/>
      <x:c r="I71" s="125"/>
      <x:c r="J71" s="125"/>
      <x:c r="K71" s="125" t="str">
        <x:f>IF(A71="","",IF(J71="","No",IF(I71=J71,"No","Yes")))</x:f>
      </x:c>
      <x:c r="L71" s="125"/>
      <x:c r="M71" s="125"/>
      <x:c r="N71" s="125"/>
      <x:c r="O71" s="125"/>
      <x:c r="P71" s="125"/>
      <x:c r="Q71" s="125" t="str">
        <x:f>IF(A71="","",IF(K71="Yes","Review",IF(COUNTA(A71:I71)&gt;=8,"Ready","Partial")))</x:f>
      </x:c>
    </x:row>
    <x:row r="72">
      <x:c r="A72" s="125"/>
      <x:c r="B72" s="125"/>
      <x:c r="C72" s="125"/>
      <x:c r="D72" s="125"/>
      <x:c r="E72" s="125"/>
      <x:c r="F72" s="125"/>
      <x:c r="G72" s="125"/>
      <x:c r="H72" s="125"/>
      <x:c r="I72" s="125"/>
      <x:c r="J72" s="125"/>
      <x:c r="K72" s="125" t="str">
        <x:f>IF(A72="","",IF(J72="","No",IF(I72=J72,"No","Yes")))</x:f>
      </x:c>
      <x:c r="L72" s="125"/>
      <x:c r="M72" s="125"/>
      <x:c r="N72" s="125"/>
      <x:c r="O72" s="125"/>
      <x:c r="P72" s="125"/>
      <x:c r="Q72" s="125" t="str">
        <x:f>IF(A72="","",IF(K72="Yes","Review",IF(COUNTA(A72:I72)&gt;=8,"Ready","Partial")))</x:f>
      </x:c>
    </x:row>
    <x:row r="73">
      <x:c r="A73" s="125"/>
      <x:c r="B73" s="125"/>
      <x:c r="C73" s="125"/>
      <x:c r="D73" s="125"/>
      <x:c r="E73" s="125"/>
      <x:c r="F73" s="125"/>
      <x:c r="G73" s="125"/>
      <x:c r="H73" s="125"/>
      <x:c r="I73" s="125"/>
      <x:c r="J73" s="125"/>
      <x:c r="K73" s="125" t="str">
        <x:f>IF(A73="","",IF(J73="","No",IF(I73=J73,"No","Yes")))</x:f>
      </x:c>
      <x:c r="L73" s="125"/>
      <x:c r="M73" s="125"/>
      <x:c r="N73" s="125"/>
      <x:c r="O73" s="125"/>
      <x:c r="P73" s="125"/>
      <x:c r="Q73" s="125" t="str">
        <x:f>IF(A73="","",IF(K73="Yes","Review",IF(COUNTA(A73:I73)&gt;=8,"Ready","Partial")))</x:f>
      </x:c>
    </x:row>
    <x:row r="74">
      <x:c r="A74" s="125"/>
      <x:c r="B74" s="125"/>
      <x:c r="C74" s="125"/>
      <x:c r="D74" s="125"/>
      <x:c r="E74" s="125"/>
      <x:c r="F74" s="125"/>
      <x:c r="G74" s="125"/>
      <x:c r="H74" s="125"/>
      <x:c r="I74" s="125"/>
      <x:c r="J74" s="125"/>
      <x:c r="K74" s="125" t="str">
        <x:f>IF(A74="","",IF(J74="","No",IF(I74=J74,"No","Yes")))</x:f>
      </x:c>
      <x:c r="L74" s="125"/>
      <x:c r="M74" s="125"/>
      <x:c r="N74" s="125"/>
      <x:c r="O74" s="125"/>
      <x:c r="P74" s="125"/>
      <x:c r="Q74" s="125" t="str">
        <x:f>IF(A74="","",IF(K74="Yes","Review",IF(COUNTA(A74:I74)&gt;=8,"Ready","Partial")))</x:f>
      </x:c>
    </x:row>
    <x:row r="75">
      <x:c r="A75" s="125"/>
      <x:c r="B75" s="125"/>
      <x:c r="C75" s="125"/>
      <x:c r="D75" s="125"/>
      <x:c r="E75" s="125"/>
      <x:c r="F75" s="125"/>
      <x:c r="G75" s="125"/>
      <x:c r="H75" s="125"/>
      <x:c r="I75" s="125"/>
      <x:c r="J75" s="125"/>
      <x:c r="K75" s="125" t="str">
        <x:f>IF(A75="","",IF(J75="","No",IF(I75=J75,"No","Yes")))</x:f>
      </x:c>
      <x:c r="L75" s="125"/>
      <x:c r="M75" s="125"/>
      <x:c r="N75" s="125"/>
      <x:c r="O75" s="125"/>
      <x:c r="P75" s="125"/>
      <x:c r="Q75" s="125" t="str">
        <x:f>IF(A75="","",IF(K75="Yes","Review",IF(COUNTA(A75:I75)&gt;=8,"Ready","Partial")))</x:f>
      </x:c>
    </x:row>
    <x:row r="76">
      <x:c r="A76" s="125"/>
      <x:c r="B76" s="125"/>
      <x:c r="C76" s="125"/>
      <x:c r="D76" s="125"/>
      <x:c r="E76" s="125"/>
      <x:c r="F76" s="125"/>
      <x:c r="G76" s="125"/>
      <x:c r="H76" s="125"/>
      <x:c r="I76" s="125"/>
      <x:c r="J76" s="125"/>
      <x:c r="K76" s="125" t="str">
        <x:f>IF(A76="","",IF(J76="","No",IF(I76=J76,"No","Yes")))</x:f>
      </x:c>
      <x:c r="L76" s="125"/>
      <x:c r="M76" s="125"/>
      <x:c r="N76" s="125"/>
      <x:c r="O76" s="125"/>
      <x:c r="P76" s="125"/>
      <x:c r="Q76" s="125" t="str">
        <x:f>IF(A76="","",IF(K76="Yes","Review",IF(COUNTA(A76:I76)&gt;=8,"Ready","Partial")))</x:f>
      </x:c>
    </x:row>
    <x:row r="77">
      <x:c r="A77" s="125"/>
      <x:c r="B77" s="125"/>
      <x:c r="C77" s="125"/>
      <x:c r="D77" s="125"/>
      <x:c r="E77" s="125"/>
      <x:c r="F77" s="125"/>
      <x:c r="G77" s="125"/>
      <x:c r="H77" s="125"/>
      <x:c r="I77" s="125"/>
      <x:c r="J77" s="125"/>
      <x:c r="K77" s="125" t="str">
        <x:f>IF(A77="","",IF(J77="","No",IF(I77=J77,"No","Yes")))</x:f>
      </x:c>
      <x:c r="L77" s="125"/>
      <x:c r="M77" s="125"/>
      <x:c r="N77" s="125"/>
      <x:c r="O77" s="125"/>
      <x:c r="P77" s="125"/>
      <x:c r="Q77" s="125" t="str">
        <x:f>IF(A77="","",IF(K77="Yes","Review",IF(COUNTA(A77:I77)&gt;=8,"Ready","Partial")))</x:f>
      </x:c>
    </x:row>
    <x:row r="78">
      <x:c r="A78" s="125"/>
      <x:c r="B78" s="125"/>
      <x:c r="C78" s="125"/>
      <x:c r="D78" s="125"/>
      <x:c r="E78" s="125"/>
      <x:c r="F78" s="125"/>
      <x:c r="G78" s="125"/>
      <x:c r="H78" s="125"/>
      <x:c r="I78" s="125"/>
      <x:c r="J78" s="125"/>
      <x:c r="K78" s="125" t="str">
        <x:f>IF(A78="","",IF(J78="","No",IF(I78=J78,"No","Yes")))</x:f>
      </x:c>
      <x:c r="L78" s="125"/>
      <x:c r="M78" s="125"/>
      <x:c r="N78" s="125"/>
      <x:c r="O78" s="125"/>
      <x:c r="P78" s="125"/>
      <x:c r="Q78" s="125" t="str">
        <x:f>IF(A78="","",IF(K78="Yes","Review",IF(COUNTA(A78:I78)&gt;=8,"Ready","Partial")))</x:f>
      </x:c>
    </x:row>
    <x:row r="79">
      <x:c r="A79" s="125"/>
      <x:c r="B79" s="125"/>
      <x:c r="C79" s="125"/>
      <x:c r="D79" s="125"/>
      <x:c r="E79" s="125"/>
      <x:c r="F79" s="125"/>
      <x:c r="G79" s="125"/>
      <x:c r="H79" s="125"/>
      <x:c r="I79" s="125"/>
      <x:c r="J79" s="125"/>
      <x:c r="K79" s="125" t="str">
        <x:f>IF(A79="","",IF(J79="","No",IF(I79=J79,"No","Yes")))</x:f>
      </x:c>
      <x:c r="L79" s="125"/>
      <x:c r="M79" s="125"/>
      <x:c r="N79" s="125"/>
      <x:c r="O79" s="125"/>
      <x:c r="P79" s="125"/>
      <x:c r="Q79" s="125" t="str">
        <x:f>IF(A79="","",IF(K79="Yes","Review",IF(COUNTA(A79:I79)&gt;=8,"Ready","Partial")))</x:f>
      </x:c>
    </x:row>
    <x:row r="80">
      <x:c r="A80" s="125"/>
      <x:c r="B80" s="125"/>
      <x:c r="C80" s="125"/>
      <x:c r="D80" s="125"/>
      <x:c r="E80" s="125"/>
      <x:c r="F80" s="125"/>
      <x:c r="G80" s="125"/>
      <x:c r="H80" s="125"/>
      <x:c r="I80" s="125"/>
      <x:c r="J80" s="125"/>
      <x:c r="K80" s="125" t="str">
        <x:f>IF(A80="","",IF(J80="","No",IF(I80=J80,"No","Yes")))</x:f>
      </x:c>
      <x:c r="L80" s="125"/>
      <x:c r="M80" s="125"/>
      <x:c r="N80" s="125"/>
      <x:c r="O80" s="125"/>
      <x:c r="P80" s="125"/>
      <x:c r="Q80" s="125" t="str">
        <x:f>IF(A80="","",IF(K80="Yes","Review",IF(COUNTA(A80:I80)&gt;=8,"Ready","Partial")))</x:f>
      </x:c>
    </x:row>
    <x:row r="81">
      <x:c r="A81" s="125"/>
      <x:c r="B81" s="125"/>
      <x:c r="C81" s="125"/>
      <x:c r="D81" s="125"/>
      <x:c r="E81" s="125"/>
      <x:c r="F81" s="125"/>
      <x:c r="G81" s="125"/>
      <x:c r="H81" s="125"/>
      <x:c r="I81" s="125"/>
      <x:c r="J81" s="125"/>
      <x:c r="K81" s="125" t="str">
        <x:f>IF(A81="","",IF(J81="","No",IF(I81=J81,"No","Yes")))</x:f>
      </x:c>
      <x:c r="L81" s="125"/>
      <x:c r="M81" s="125"/>
      <x:c r="N81" s="125"/>
      <x:c r="O81" s="125"/>
      <x:c r="P81" s="125"/>
      <x:c r="Q81" s="125" t="str">
        <x:f>IF(A81="","",IF(K81="Yes","Review",IF(COUNTA(A81:I81)&gt;=8,"Ready","Partial")))</x:f>
      </x:c>
    </x:row>
    <x:row r="82">
      <x:c r="A82" s="125"/>
      <x:c r="B82" s="125"/>
      <x:c r="C82" s="125"/>
      <x:c r="D82" s="125"/>
      <x:c r="E82" s="125"/>
      <x:c r="F82" s="125"/>
      <x:c r="G82" s="125"/>
      <x:c r="H82" s="125"/>
      <x:c r="I82" s="125"/>
      <x:c r="J82" s="125"/>
      <x:c r="K82" s="125" t="str">
        <x:f>IF(A82="","",IF(J82="","No",IF(I82=J82,"No","Yes")))</x:f>
      </x:c>
      <x:c r="L82" s="125"/>
      <x:c r="M82" s="125"/>
      <x:c r="N82" s="125"/>
      <x:c r="O82" s="125"/>
      <x:c r="P82" s="125"/>
      <x:c r="Q82" s="125" t="str">
        <x:f>IF(A82="","",IF(K82="Yes","Review",IF(COUNTA(A82:I82)&gt;=8,"Ready","Partial")))</x:f>
      </x:c>
    </x:row>
    <x:row r="83">
      <x:c r="A83" s="125"/>
      <x:c r="B83" s="125"/>
      <x:c r="C83" s="125"/>
      <x:c r="D83" s="125"/>
      <x:c r="E83" s="125"/>
      <x:c r="F83" s="125"/>
      <x:c r="G83" s="125"/>
      <x:c r="H83" s="125"/>
      <x:c r="I83" s="125"/>
      <x:c r="J83" s="125"/>
      <x:c r="K83" s="125" t="str">
        <x:f>IF(A83="","",IF(J83="","No",IF(I83=J83,"No","Yes")))</x:f>
      </x:c>
      <x:c r="L83" s="125"/>
      <x:c r="M83" s="125"/>
      <x:c r="N83" s="125"/>
      <x:c r="O83" s="125"/>
      <x:c r="P83" s="125"/>
      <x:c r="Q83" s="125" t="str">
        <x:f>IF(A83="","",IF(K83="Yes","Review",IF(COUNTA(A83:I83)&gt;=8,"Ready","Partial")))</x:f>
      </x:c>
    </x:row>
    <x:row r="84">
      <x:c r="A84" s="125"/>
      <x:c r="B84" s="125"/>
      <x:c r="C84" s="125"/>
      <x:c r="D84" s="125"/>
      <x:c r="E84" s="125"/>
      <x:c r="F84" s="125"/>
      <x:c r="G84" s="125"/>
      <x:c r="H84" s="125"/>
      <x:c r="I84" s="125"/>
      <x:c r="J84" s="125"/>
      <x:c r="K84" s="125" t="str">
        <x:f>IF(A84="","",IF(J84="","No",IF(I84=J84,"No","Yes")))</x:f>
      </x:c>
      <x:c r="L84" s="125"/>
      <x:c r="M84" s="125"/>
      <x:c r="N84" s="125"/>
      <x:c r="O84" s="125"/>
      <x:c r="P84" s="125"/>
      <x:c r="Q84" s="125" t="str">
        <x:f>IF(A84="","",IF(K84="Yes","Review",IF(COUNTA(A84:I84)&gt;=8,"Ready","Partial")))</x:f>
      </x:c>
    </x:row>
    <x:row r="85">
      <x:c r="A85" s="125"/>
      <x:c r="B85" s="125"/>
      <x:c r="C85" s="125"/>
      <x:c r="D85" s="125"/>
      <x:c r="E85" s="125"/>
      <x:c r="F85" s="125"/>
      <x:c r="G85" s="125"/>
      <x:c r="H85" s="125"/>
      <x:c r="I85" s="125"/>
      <x:c r="J85" s="125"/>
      <x:c r="K85" s="125" t="str">
        <x:f>IF(A85="","",IF(J85="","No",IF(I85=J85,"No","Yes")))</x:f>
      </x:c>
      <x:c r="L85" s="125"/>
      <x:c r="M85" s="125"/>
      <x:c r="N85" s="125"/>
      <x:c r="O85" s="125"/>
      <x:c r="P85" s="125"/>
      <x:c r="Q85" s="125" t="str">
        <x:f>IF(A85="","",IF(K85="Yes","Review",IF(COUNTA(A85:I85)&gt;=8,"Ready","Partial")))</x:f>
      </x:c>
    </x:row>
    <x:row r="86">
      <x:c r="A86" s="125"/>
      <x:c r="B86" s="125"/>
      <x:c r="C86" s="125"/>
      <x:c r="D86" s="125"/>
      <x:c r="E86" s="125"/>
      <x:c r="F86" s="125"/>
      <x:c r="G86" s="125"/>
      <x:c r="H86" s="125"/>
      <x:c r="I86" s="125"/>
      <x:c r="J86" s="125"/>
      <x:c r="K86" s="125" t="str">
        <x:f>IF(A86="","",IF(J86="","No",IF(I86=J86,"No","Yes")))</x:f>
      </x:c>
      <x:c r="L86" s="125"/>
      <x:c r="M86" s="125"/>
      <x:c r="N86" s="125"/>
      <x:c r="O86" s="125"/>
      <x:c r="P86" s="125"/>
      <x:c r="Q86" s="125" t="str">
        <x:f>IF(A86="","",IF(K86="Yes","Review",IF(COUNTA(A86:I86)&gt;=8,"Ready","Partial")))</x:f>
      </x:c>
    </x:row>
    <x:row r="87">
      <x:c r="A87" s="125"/>
      <x:c r="B87" s="125"/>
      <x:c r="C87" s="125"/>
      <x:c r="D87" s="125"/>
      <x:c r="E87" s="125"/>
      <x:c r="F87" s="125"/>
      <x:c r="G87" s="125"/>
      <x:c r="H87" s="125"/>
      <x:c r="I87" s="125"/>
      <x:c r="J87" s="125"/>
      <x:c r="K87" s="125" t="str">
        <x:f>IF(A87="","",IF(J87="","No",IF(I87=J87,"No","Yes")))</x:f>
      </x:c>
      <x:c r="L87" s="125"/>
      <x:c r="M87" s="125"/>
      <x:c r="N87" s="125"/>
      <x:c r="O87" s="125"/>
      <x:c r="P87" s="125"/>
      <x:c r="Q87" s="125" t="str">
        <x:f>IF(A87="","",IF(K87="Yes","Review",IF(COUNTA(A87:I87)&gt;=8,"Ready","Partial")))</x:f>
      </x:c>
    </x:row>
    <x:row r="88">
      <x:c r="A88" s="125"/>
      <x:c r="B88" s="125"/>
      <x:c r="C88" s="125"/>
      <x:c r="D88" s="125"/>
      <x:c r="E88" s="125"/>
      <x:c r="F88" s="125"/>
      <x:c r="G88" s="125"/>
      <x:c r="H88" s="125"/>
      <x:c r="I88" s="125"/>
      <x:c r="J88" s="125"/>
      <x:c r="K88" s="125" t="str">
        <x:f>IF(A88="","",IF(J88="","No",IF(I88=J88,"No","Yes")))</x:f>
      </x:c>
      <x:c r="L88" s="125"/>
      <x:c r="M88" s="125"/>
      <x:c r="N88" s="125"/>
      <x:c r="O88" s="125"/>
      <x:c r="P88" s="125"/>
      <x:c r="Q88" s="125" t="str">
        <x:f>IF(A88="","",IF(K88="Yes","Review",IF(COUNTA(A88:I88)&gt;=8,"Ready","Partial")))</x:f>
      </x:c>
    </x:row>
    <x:row r="89">
      <x:c r="A89" s="125"/>
      <x:c r="B89" s="125"/>
      <x:c r="C89" s="125"/>
      <x:c r="D89" s="125"/>
      <x:c r="E89" s="125"/>
      <x:c r="F89" s="125"/>
      <x:c r="G89" s="125"/>
      <x:c r="H89" s="125"/>
      <x:c r="I89" s="125"/>
      <x:c r="J89" s="125"/>
      <x:c r="K89" s="125" t="str">
        <x:f>IF(A89="","",IF(J89="","No",IF(I89=J89,"No","Yes")))</x:f>
      </x:c>
      <x:c r="L89" s="125"/>
      <x:c r="M89" s="125"/>
      <x:c r="N89" s="125"/>
      <x:c r="O89" s="125"/>
      <x:c r="P89" s="125"/>
      <x:c r="Q89" s="125" t="str">
        <x:f>IF(A89="","",IF(K89="Yes","Review",IF(COUNTA(A89:I89)&gt;=8,"Ready","Partial")))</x:f>
      </x:c>
    </x:row>
    <x:row r="90">
      <x:c r="A90" s="125"/>
      <x:c r="B90" s="125"/>
      <x:c r="C90" s="125"/>
      <x:c r="D90" s="125"/>
      <x:c r="E90" s="125"/>
      <x:c r="F90" s="125"/>
      <x:c r="G90" s="125"/>
      <x:c r="H90" s="125"/>
      <x:c r="I90" s="125"/>
      <x:c r="J90" s="125"/>
      <x:c r="K90" s="125" t="str">
        <x:f>IF(A90="","",IF(J90="","No",IF(I90=J90,"No","Yes")))</x:f>
      </x:c>
      <x:c r="L90" s="125"/>
      <x:c r="M90" s="125"/>
      <x:c r="N90" s="125"/>
      <x:c r="O90" s="125"/>
      <x:c r="P90" s="125"/>
      <x:c r="Q90" s="125" t="str">
        <x:f>IF(A90="","",IF(K90="Yes","Review",IF(COUNTA(A90:I90)&gt;=8,"Ready","Partial")))</x:f>
      </x:c>
    </x:row>
    <x:row r="91">
      <x:c r="A91" s="125"/>
      <x:c r="B91" s="125"/>
      <x:c r="C91" s="125"/>
      <x:c r="D91" s="125"/>
      <x:c r="E91" s="125"/>
      <x:c r="F91" s="125"/>
      <x:c r="G91" s="125"/>
      <x:c r="H91" s="125"/>
      <x:c r="I91" s="125"/>
      <x:c r="J91" s="125"/>
      <x:c r="K91" s="125" t="str">
        <x:f>IF(A91="","",IF(J91="","No",IF(I91=J91,"No","Yes")))</x:f>
      </x:c>
      <x:c r="L91" s="125"/>
      <x:c r="M91" s="125"/>
      <x:c r="N91" s="125"/>
      <x:c r="O91" s="125"/>
      <x:c r="P91" s="125"/>
      <x:c r="Q91" s="125" t="str">
        <x:f>IF(A91="","",IF(K91="Yes","Review",IF(COUNTA(A91:I91)&gt;=8,"Ready","Partial")))</x:f>
      </x:c>
    </x:row>
    <x:row r="92">
      <x:c r="A92" s="125"/>
      <x:c r="B92" s="125"/>
      <x:c r="C92" s="125"/>
      <x:c r="D92" s="125"/>
      <x:c r="E92" s="125"/>
      <x:c r="F92" s="125"/>
      <x:c r="G92" s="125"/>
      <x:c r="H92" s="125"/>
      <x:c r="I92" s="125"/>
      <x:c r="J92" s="125"/>
      <x:c r="K92" s="125" t="str">
        <x:f>IF(A92="","",IF(J92="","No",IF(I92=J92,"No","Yes")))</x:f>
      </x:c>
      <x:c r="L92" s="125"/>
      <x:c r="M92" s="125"/>
      <x:c r="N92" s="125"/>
      <x:c r="O92" s="125"/>
      <x:c r="P92" s="125"/>
      <x:c r="Q92" s="125" t="str">
        <x:f>IF(A92="","",IF(K92="Yes","Review",IF(COUNTA(A92:I92)&gt;=8,"Ready","Partial")))</x:f>
      </x:c>
    </x:row>
    <x:row r="93">
      <x:c r="A93" s="125"/>
      <x:c r="B93" s="125"/>
      <x:c r="C93" s="125"/>
      <x:c r="D93" s="125"/>
      <x:c r="E93" s="125"/>
      <x:c r="F93" s="125"/>
      <x:c r="G93" s="125"/>
      <x:c r="H93" s="125"/>
      <x:c r="I93" s="125"/>
      <x:c r="J93" s="125"/>
      <x:c r="K93" s="125" t="str">
        <x:f>IF(A93="","",IF(J93="","No",IF(I93=J93,"No","Yes")))</x:f>
      </x:c>
      <x:c r="L93" s="125"/>
      <x:c r="M93" s="125"/>
      <x:c r="N93" s="125"/>
      <x:c r="O93" s="125"/>
      <x:c r="P93" s="125"/>
      <x:c r="Q93" s="125" t="str">
        <x:f>IF(A93="","",IF(K93="Yes","Review",IF(COUNTA(A93:I93)&gt;=8,"Ready","Partial")))</x:f>
      </x:c>
    </x:row>
    <x:row r="94">
      <x:c r="A94" s="125"/>
      <x:c r="B94" s="125"/>
      <x:c r="C94" s="125"/>
      <x:c r="D94" s="125"/>
      <x:c r="E94" s="125"/>
      <x:c r="F94" s="125"/>
      <x:c r="G94" s="125"/>
      <x:c r="H94" s="125"/>
      <x:c r="I94" s="125"/>
      <x:c r="J94" s="125"/>
      <x:c r="K94" s="125" t="str">
        <x:f>IF(A94="","",IF(J94="","No",IF(I94=J94,"No","Yes")))</x:f>
      </x:c>
      <x:c r="L94" s="125"/>
      <x:c r="M94" s="125"/>
      <x:c r="N94" s="125"/>
      <x:c r="O94" s="125"/>
      <x:c r="P94" s="125"/>
      <x:c r="Q94" s="125" t="str">
        <x:f>IF(A94="","",IF(K94="Yes","Review",IF(COUNTA(A94:I94)&gt;=8,"Ready","Partial")))</x:f>
      </x:c>
    </x:row>
    <x:row r="95">
      <x:c r="A95" s="125"/>
      <x:c r="B95" s="125"/>
      <x:c r="C95" s="125"/>
      <x:c r="D95" s="125"/>
      <x:c r="E95" s="125"/>
      <x:c r="F95" s="125"/>
      <x:c r="G95" s="125"/>
      <x:c r="H95" s="125"/>
      <x:c r="I95" s="125"/>
      <x:c r="J95" s="125"/>
      <x:c r="K95" s="125" t="str">
        <x:f>IF(A95="","",IF(J95="","No",IF(I95=J95,"No","Yes")))</x:f>
      </x:c>
      <x:c r="L95" s="125"/>
      <x:c r="M95" s="125"/>
      <x:c r="N95" s="125"/>
      <x:c r="O95" s="125"/>
      <x:c r="P95" s="125"/>
      <x:c r="Q95" s="125" t="str">
        <x:f>IF(A95="","",IF(K95="Yes","Review",IF(COUNTA(A95:I95)&gt;=8,"Ready","Partial")))</x:f>
      </x:c>
    </x:row>
    <x:row r="96">
      <x:c r="A96" s="125"/>
      <x:c r="B96" s="125"/>
      <x:c r="C96" s="125"/>
      <x:c r="D96" s="125"/>
      <x:c r="E96" s="125"/>
      <x:c r="F96" s="125"/>
      <x:c r="G96" s="125"/>
      <x:c r="H96" s="125"/>
      <x:c r="I96" s="125"/>
      <x:c r="J96" s="125"/>
      <x:c r="K96" s="125" t="str">
        <x:f>IF(A96="","",IF(J96="","No",IF(I96=J96,"No","Yes")))</x:f>
      </x:c>
      <x:c r="L96" s="125"/>
      <x:c r="M96" s="125"/>
      <x:c r="N96" s="125"/>
      <x:c r="O96" s="125"/>
      <x:c r="P96" s="125"/>
      <x:c r="Q96" s="125" t="str">
        <x:f>IF(A96="","",IF(K96="Yes","Review",IF(COUNTA(A96:I96)&gt;=8,"Ready","Partial")))</x:f>
      </x:c>
    </x:row>
    <x:row r="97">
      <x:c r="A97" s="125"/>
      <x:c r="B97" s="125"/>
      <x:c r="C97" s="125"/>
      <x:c r="D97" s="125"/>
      <x:c r="E97" s="125"/>
      <x:c r="F97" s="125"/>
      <x:c r="G97" s="125"/>
      <x:c r="H97" s="125"/>
      <x:c r="I97" s="125"/>
      <x:c r="J97" s="125"/>
      <x:c r="K97" s="125" t="str">
        <x:f>IF(A97="","",IF(J97="","No",IF(I97=J97,"No","Yes")))</x:f>
      </x:c>
      <x:c r="L97" s="125"/>
      <x:c r="M97" s="125"/>
      <x:c r="N97" s="125"/>
      <x:c r="O97" s="125"/>
      <x:c r="P97" s="125"/>
      <x:c r="Q97" s="125" t="str">
        <x:f>IF(A97="","",IF(K97="Yes","Review",IF(COUNTA(A97:I97)&gt;=8,"Ready","Partial")))</x:f>
      </x:c>
    </x:row>
    <x:row r="98">
      <x:c r="A98" s="125"/>
      <x:c r="B98" s="125"/>
      <x:c r="C98" s="125"/>
      <x:c r="D98" s="125"/>
      <x:c r="E98" s="125"/>
      <x:c r="F98" s="125"/>
      <x:c r="G98" s="125"/>
      <x:c r="H98" s="125"/>
      <x:c r="I98" s="125"/>
      <x:c r="J98" s="125"/>
      <x:c r="K98" s="125" t="str">
        <x:f>IF(A98="","",IF(J98="","No",IF(I98=J98,"No","Yes")))</x:f>
      </x:c>
      <x:c r="L98" s="125"/>
      <x:c r="M98" s="125"/>
      <x:c r="N98" s="125"/>
      <x:c r="O98" s="125"/>
      <x:c r="P98" s="125"/>
      <x:c r="Q98" s="125" t="str">
        <x:f>IF(A98="","",IF(K98="Yes","Review",IF(COUNTA(A98:I98)&gt;=8,"Ready","Partial")))</x:f>
      </x:c>
    </x:row>
    <x:row r="99">
      <x:c r="A99" s="125"/>
      <x:c r="B99" s="125"/>
      <x:c r="C99" s="125"/>
      <x:c r="D99" s="125"/>
      <x:c r="E99" s="125"/>
      <x:c r="F99" s="125"/>
      <x:c r="G99" s="125"/>
      <x:c r="H99" s="125"/>
      <x:c r="I99" s="125"/>
      <x:c r="J99" s="125"/>
      <x:c r="K99" s="125" t="str">
        <x:f>IF(A99="","",IF(J99="","No",IF(I99=J99,"No","Yes")))</x:f>
      </x:c>
      <x:c r="L99" s="125"/>
      <x:c r="M99" s="125"/>
      <x:c r="N99" s="125"/>
      <x:c r="O99" s="125"/>
      <x:c r="P99" s="125"/>
      <x:c r="Q99" s="125" t="str">
        <x:f>IF(A99="","",IF(K99="Yes","Review",IF(COUNTA(A99:I99)&gt;=8,"Ready","Partial")))</x:f>
      </x:c>
    </x:row>
    <x:row r="100">
      <x:c r="A100" s="125"/>
      <x:c r="B100" s="125"/>
      <x:c r="C100" s="125"/>
      <x:c r="D100" s="125"/>
      <x:c r="E100" s="125"/>
      <x:c r="F100" s="125"/>
      <x:c r="G100" s="125"/>
      <x:c r="H100" s="125"/>
      <x:c r="I100" s="125"/>
      <x:c r="J100" s="125"/>
      <x:c r="K100" s="125" t="str">
        <x:f>IF(A100="","",IF(J100="","No",IF(I100=J100,"No","Yes")))</x:f>
      </x:c>
      <x:c r="L100" s="125"/>
      <x:c r="M100" s="125"/>
      <x:c r="N100" s="125"/>
      <x:c r="O100" s="125"/>
      <x:c r="P100" s="125"/>
      <x:c r="Q100" s="125" t="str">
        <x:f>IF(A100="","",IF(K100="Yes","Review",IF(COUNTA(A100:I100)&gt;=8,"Ready","Partial")))</x:f>
      </x:c>
    </x:row>
    <x:row r="101">
      <x:c r="A101" s="125"/>
      <x:c r="B101" s="125"/>
      <x:c r="C101" s="125"/>
      <x:c r="D101" s="125"/>
      <x:c r="E101" s="125"/>
      <x:c r="F101" s="125"/>
      <x:c r="G101" s="125"/>
      <x:c r="H101" s="125"/>
      <x:c r="I101" s="125"/>
      <x:c r="J101" s="125"/>
      <x:c r="K101" s="125" t="str">
        <x:f>IF(A101="","",IF(J101="","No",IF(I101=J101,"No","Yes")))</x:f>
      </x:c>
      <x:c r="L101" s="125"/>
      <x:c r="M101" s="125"/>
      <x:c r="N101" s="125"/>
      <x:c r="O101" s="125"/>
      <x:c r="P101" s="125"/>
      <x:c r="Q101" s="125" t="str">
        <x:f>IF(A101="","",IF(K101="Yes","Review",IF(COUNTA(A101:I101)&gt;=8,"Ready","Partial")))</x:f>
      </x:c>
    </x:row>
    <x:row r="102">
      <x:c r="A102" s="125"/>
      <x:c r="B102" s="125"/>
      <x:c r="C102" s="125"/>
      <x:c r="D102" s="125"/>
      <x:c r="E102" s="125"/>
      <x:c r="F102" s="125"/>
      <x:c r="G102" s="125"/>
      <x:c r="H102" s="125"/>
      <x:c r="I102" s="125"/>
      <x:c r="J102" s="125"/>
      <x:c r="K102" s="125" t="str">
        <x:f>IF(A102="","",IF(J102="","No",IF(I102=J102,"No","Yes")))</x:f>
      </x:c>
      <x:c r="L102" s="125"/>
      <x:c r="M102" s="125"/>
      <x:c r="N102" s="125"/>
      <x:c r="O102" s="125"/>
      <x:c r="P102" s="125"/>
      <x:c r="Q102" s="125" t="str">
        <x:f>IF(A102="","",IF(K102="Yes","Review",IF(COUNTA(A102:I102)&gt;=8,"Ready","Partial")))</x:f>
      </x:c>
    </x:row>
    <x:row r="103">
      <x:c r="A103" s="125"/>
      <x:c r="B103" s="125"/>
      <x:c r="C103" s="125"/>
      <x:c r="D103" s="125"/>
      <x:c r="E103" s="125"/>
      <x:c r="F103" s="125"/>
      <x:c r="G103" s="125"/>
      <x:c r="H103" s="125"/>
      <x:c r="I103" s="125"/>
      <x:c r="J103" s="125"/>
      <x:c r="K103" s="125" t="str">
        <x:f>IF(A103="","",IF(J103="","No",IF(I103=J103,"No","Yes")))</x:f>
      </x:c>
      <x:c r="L103" s="125"/>
      <x:c r="M103" s="125"/>
      <x:c r="N103" s="125"/>
      <x:c r="O103" s="125"/>
      <x:c r="P103" s="125"/>
      <x:c r="Q103" s="125" t="str">
        <x:f>IF(A103="","",IF(K103="Yes","Review",IF(COUNTA(A103:I103)&gt;=8,"Ready","Partial")))</x:f>
      </x:c>
    </x:row>
    <x:row r="104">
      <x:c r="A104" s="125"/>
      <x:c r="B104" s="125"/>
      <x:c r="C104" s="125"/>
      <x:c r="D104" s="125"/>
      <x:c r="E104" s="125"/>
      <x:c r="F104" s="125"/>
      <x:c r="G104" s="125"/>
      <x:c r="H104" s="125"/>
      <x:c r="I104" s="125"/>
      <x:c r="J104" s="125"/>
      <x:c r="K104" s="125" t="str">
        <x:f>IF(A104="","",IF(J104="","No",IF(I104=J104,"No","Yes")))</x:f>
      </x:c>
      <x:c r="L104" s="125"/>
      <x:c r="M104" s="125"/>
      <x:c r="N104" s="125"/>
      <x:c r="O104" s="125"/>
      <x:c r="P104" s="125"/>
      <x:c r="Q104" s="125" t="str">
        <x:f>IF(A104="","",IF(K104="Yes","Review",IF(COUNTA(A104:I104)&gt;=8,"Ready","Partial")))</x:f>
      </x:c>
    </x:row>
    <x:row r="105">
      <x:c r="A105" s="125"/>
      <x:c r="B105" s="125"/>
      <x:c r="C105" s="125"/>
      <x:c r="D105" s="125"/>
      <x:c r="E105" s="125"/>
      <x:c r="F105" s="125"/>
      <x:c r="G105" s="125"/>
      <x:c r="H105" s="125"/>
      <x:c r="I105" s="125"/>
      <x:c r="J105" s="125"/>
      <x:c r="K105" s="125" t="str">
        <x:f>IF(A105="","",IF(J105="","No",IF(I105=J105,"No","Yes")))</x:f>
      </x:c>
      <x:c r="L105" s="125"/>
      <x:c r="M105" s="125"/>
      <x:c r="N105" s="125"/>
      <x:c r="O105" s="125"/>
      <x:c r="P105" s="125"/>
      <x:c r="Q105" s="125" t="str">
        <x:f>IF(A105="","",IF(K105="Yes","Review",IF(COUNTA(A105:I105)&gt;=8,"Ready","Partial")))</x:f>
      </x:c>
    </x:row>
    <x:row r="106">
      <x:c r="A106" s="125"/>
      <x:c r="B106" s="125"/>
      <x:c r="C106" s="125"/>
      <x:c r="D106" s="125"/>
      <x:c r="E106" s="125"/>
      <x:c r="F106" s="125"/>
      <x:c r="G106" s="125"/>
      <x:c r="H106" s="125"/>
      <x:c r="I106" s="125"/>
      <x:c r="J106" s="125"/>
      <x:c r="K106" s="125" t="str">
        <x:f>IF(A106="","",IF(J106="","No",IF(I106=J106,"No","Yes")))</x:f>
      </x:c>
      <x:c r="L106" s="125"/>
      <x:c r="M106" s="125"/>
      <x:c r="N106" s="125"/>
      <x:c r="O106" s="125"/>
      <x:c r="P106" s="125"/>
      <x:c r="Q106" s="125" t="str">
        <x:f>IF(A106="","",IF(K106="Yes","Review",IF(COUNTA(A106:I106)&gt;=8,"Ready","Partial")))</x:f>
      </x:c>
    </x:row>
    <x:row r="107">
      <x:c r="A107" s="125"/>
      <x:c r="B107" s="125"/>
      <x:c r="C107" s="125"/>
      <x:c r="D107" s="125"/>
      <x:c r="E107" s="125"/>
      <x:c r="F107" s="125"/>
      <x:c r="G107" s="125"/>
      <x:c r="H107" s="125"/>
      <x:c r="I107" s="125"/>
      <x:c r="J107" s="125"/>
      <x:c r="K107" s="125" t="str">
        <x:f>IF(A107="","",IF(J107="","No",IF(I107=J107,"No","Yes")))</x:f>
      </x:c>
      <x:c r="L107" s="125"/>
      <x:c r="M107" s="125"/>
      <x:c r="N107" s="125"/>
      <x:c r="O107" s="125"/>
      <x:c r="P107" s="125"/>
      <x:c r="Q107" s="125" t="str">
        <x:f>IF(A107="","",IF(K107="Yes","Review",IF(COUNTA(A107:I107)&gt;=8,"Ready","Partial")))</x:f>
      </x:c>
    </x:row>
    <x:row r="108">
      <x:c r="A108" s="125"/>
      <x:c r="B108" s="125"/>
      <x:c r="C108" s="125"/>
      <x:c r="D108" s="125"/>
      <x:c r="E108" s="125"/>
      <x:c r="F108" s="125"/>
      <x:c r="G108" s="125"/>
      <x:c r="H108" s="125"/>
      <x:c r="I108" s="125"/>
      <x:c r="J108" s="125"/>
      <x:c r="K108" s="125" t="str">
        <x:f>IF(A108="","",IF(J108="","No",IF(I108=J108,"No","Yes")))</x:f>
      </x:c>
      <x:c r="L108" s="125"/>
      <x:c r="M108" s="125"/>
      <x:c r="N108" s="125"/>
      <x:c r="O108" s="125"/>
      <x:c r="P108" s="125"/>
      <x:c r="Q108" s="125" t="str">
        <x:f>IF(A108="","",IF(K108="Yes","Review",IF(COUNTA(A108:I108)&gt;=8,"Ready","Partial")))</x:f>
      </x:c>
    </x:row>
    <x:row r="109">
      <x:c r="A109" s="125"/>
      <x:c r="B109" s="125"/>
      <x:c r="C109" s="125"/>
      <x:c r="D109" s="125"/>
      <x:c r="E109" s="125"/>
      <x:c r="F109" s="125"/>
      <x:c r="G109" s="125"/>
      <x:c r="H109" s="125"/>
      <x:c r="I109" s="125"/>
      <x:c r="J109" s="125"/>
      <x:c r="K109" s="125" t="str">
        <x:f>IF(A109="","",IF(J109="","No",IF(I109=J109,"No","Yes")))</x:f>
      </x:c>
      <x:c r="L109" s="125"/>
      <x:c r="M109" s="125"/>
      <x:c r="N109" s="125"/>
      <x:c r="O109" s="125"/>
      <x:c r="P109" s="125"/>
      <x:c r="Q109" s="125" t="str">
        <x:f>IF(A109="","",IF(K109="Yes","Review",IF(COUNTA(A109:I109)&gt;=8,"Ready","Partial")))</x:f>
      </x:c>
    </x:row>
    <x:row r="110">
      <x:c r="A110" s="125"/>
      <x:c r="B110" s="125"/>
      <x:c r="C110" s="125"/>
      <x:c r="D110" s="125"/>
      <x:c r="E110" s="125"/>
      <x:c r="F110" s="125"/>
      <x:c r="G110" s="125"/>
      <x:c r="H110" s="125"/>
      <x:c r="I110" s="125"/>
      <x:c r="J110" s="125"/>
      <x:c r="K110" s="125" t="str">
        <x:f>IF(A110="","",IF(J110="","No",IF(I110=J110,"No","Yes")))</x:f>
      </x:c>
      <x:c r="L110" s="125"/>
      <x:c r="M110" s="125"/>
      <x:c r="N110" s="125"/>
      <x:c r="O110" s="125"/>
      <x:c r="P110" s="125"/>
      <x:c r="Q110" s="125" t="str">
        <x:f>IF(A110="","",IF(K110="Yes","Review",IF(COUNTA(A110:I110)&gt;=8,"Ready","Partial")))</x:f>
      </x:c>
    </x:row>
    <x:row r="111">
      <x:c r="A111" s="125"/>
      <x:c r="B111" s="125"/>
      <x:c r="C111" s="125"/>
      <x:c r="D111" s="125"/>
      <x:c r="E111" s="125"/>
      <x:c r="F111" s="125"/>
      <x:c r="G111" s="125"/>
      <x:c r="H111" s="125"/>
      <x:c r="I111" s="125"/>
      <x:c r="J111" s="125"/>
      <x:c r="K111" s="125" t="str">
        <x:f>IF(A111="","",IF(J111="","No",IF(I111=J111,"No","Yes")))</x:f>
      </x:c>
      <x:c r="L111" s="125"/>
      <x:c r="M111" s="125"/>
      <x:c r="N111" s="125"/>
      <x:c r="O111" s="125"/>
      <x:c r="P111" s="125"/>
      <x:c r="Q111" s="125" t="str">
        <x:f>IF(A111="","",IF(K111="Yes","Review",IF(COUNTA(A111:I111)&gt;=8,"Ready","Partial")))</x:f>
      </x:c>
    </x:row>
    <x:row r="112">
      <x:c r="A112" s="125"/>
      <x:c r="B112" s="125"/>
      <x:c r="C112" s="125"/>
      <x:c r="D112" s="125"/>
      <x:c r="E112" s="125"/>
      <x:c r="F112" s="125"/>
      <x:c r="G112" s="125"/>
      <x:c r="H112" s="125"/>
      <x:c r="I112" s="125"/>
      <x:c r="J112" s="125"/>
      <x:c r="K112" s="125" t="str">
        <x:f>IF(A112="","",IF(J112="","No",IF(I112=J112,"No","Yes")))</x:f>
      </x:c>
      <x:c r="L112" s="125"/>
      <x:c r="M112" s="125"/>
      <x:c r="N112" s="125"/>
      <x:c r="O112" s="125"/>
      <x:c r="P112" s="125"/>
      <x:c r="Q112" s="125" t="str">
        <x:f>IF(A112="","",IF(K112="Yes","Review",IF(COUNTA(A112:I112)&gt;=8,"Ready","Partial")))</x:f>
      </x:c>
    </x:row>
    <x:row r="113">
      <x:c r="A113" s="125"/>
      <x:c r="B113" s="125"/>
      <x:c r="C113" s="125"/>
      <x:c r="D113" s="125"/>
      <x:c r="E113" s="125"/>
      <x:c r="F113" s="125"/>
      <x:c r="G113" s="125"/>
      <x:c r="H113" s="125"/>
      <x:c r="I113" s="125"/>
      <x:c r="J113" s="125"/>
      <x:c r="K113" s="125" t="str">
        <x:f>IF(A113="","",IF(J113="","No",IF(I113=J113,"No","Yes")))</x:f>
      </x:c>
      <x:c r="L113" s="125"/>
      <x:c r="M113" s="125"/>
      <x:c r="N113" s="125"/>
      <x:c r="O113" s="125"/>
      <x:c r="P113" s="125"/>
      <x:c r="Q113" s="125" t="str">
        <x:f>IF(A113="","",IF(K113="Yes","Review",IF(COUNTA(A113:I113)&gt;=8,"Ready","Partial")))</x:f>
      </x:c>
    </x:row>
    <x:row r="114">
      <x:c r="A114" s="125"/>
      <x:c r="B114" s="125"/>
      <x:c r="C114" s="125"/>
      <x:c r="D114" s="125"/>
      <x:c r="E114" s="125"/>
      <x:c r="F114" s="125"/>
      <x:c r="G114" s="125"/>
      <x:c r="H114" s="125"/>
      <x:c r="I114" s="125"/>
      <x:c r="J114" s="125"/>
      <x:c r="K114" s="125" t="str">
        <x:f>IF(A114="","",IF(J114="","No",IF(I114=J114,"No","Yes")))</x:f>
      </x:c>
      <x:c r="L114" s="125"/>
      <x:c r="M114" s="125"/>
      <x:c r="N114" s="125"/>
      <x:c r="O114" s="125"/>
      <x:c r="P114" s="125"/>
      <x:c r="Q114" s="125" t="str">
        <x:f>IF(A114="","",IF(K114="Yes","Review",IF(COUNTA(A114:I114)&gt;=8,"Ready","Partial")))</x:f>
      </x:c>
    </x:row>
    <x:row r="115">
      <x:c r="A115" s="125"/>
      <x:c r="B115" s="125"/>
      <x:c r="C115" s="125"/>
      <x:c r="D115" s="125"/>
      <x:c r="E115" s="125"/>
      <x:c r="F115" s="125"/>
      <x:c r="G115" s="125"/>
      <x:c r="H115" s="125"/>
      <x:c r="I115" s="125"/>
      <x:c r="J115" s="125"/>
      <x:c r="K115" s="125" t="str">
        <x:f>IF(A115="","",IF(J115="","No",IF(I115=J115,"No","Yes")))</x:f>
      </x:c>
      <x:c r="L115" s="125"/>
      <x:c r="M115" s="125"/>
      <x:c r="N115" s="125"/>
      <x:c r="O115" s="125"/>
      <x:c r="P115" s="125"/>
      <x:c r="Q115" s="125" t="str">
        <x:f>IF(A115="","",IF(K115="Yes","Review",IF(COUNTA(A115:I115)&gt;=8,"Ready","Partial")))</x:f>
      </x:c>
    </x:row>
    <x:row r="116">
      <x:c r="A116" s="125"/>
      <x:c r="B116" s="125"/>
      <x:c r="C116" s="125"/>
      <x:c r="D116" s="125"/>
      <x:c r="E116" s="125"/>
      <x:c r="F116" s="125"/>
      <x:c r="G116" s="125"/>
      <x:c r="H116" s="125"/>
      <x:c r="I116" s="125"/>
      <x:c r="J116" s="125"/>
      <x:c r="K116" s="125" t="str">
        <x:f>IF(A116="","",IF(J116="","No",IF(I116=J116,"No","Yes")))</x:f>
      </x:c>
      <x:c r="L116" s="125"/>
      <x:c r="M116" s="125"/>
      <x:c r="N116" s="125"/>
      <x:c r="O116" s="125"/>
      <x:c r="P116" s="125"/>
      <x:c r="Q116" s="125" t="str">
        <x:f>IF(A116="","",IF(K116="Yes","Review",IF(COUNTA(A116:I116)&gt;=8,"Ready","Partial")))</x:f>
      </x:c>
    </x:row>
    <x:row r="117">
      <x:c r="A117" s="125"/>
      <x:c r="B117" s="125"/>
      <x:c r="C117" s="125"/>
      <x:c r="D117" s="125"/>
      <x:c r="E117" s="125"/>
      <x:c r="F117" s="125"/>
      <x:c r="G117" s="125"/>
      <x:c r="H117" s="125"/>
      <x:c r="I117" s="125"/>
      <x:c r="J117" s="125"/>
      <x:c r="K117" s="125" t="str">
        <x:f>IF(A117="","",IF(J117="","No",IF(I117=J117,"No","Yes")))</x:f>
      </x:c>
      <x:c r="L117" s="125"/>
      <x:c r="M117" s="125"/>
      <x:c r="N117" s="125"/>
      <x:c r="O117" s="125"/>
      <x:c r="P117" s="125"/>
      <x:c r="Q117" s="125" t="str">
        <x:f>IF(A117="","",IF(K117="Yes","Review",IF(COUNTA(A117:I117)&gt;=8,"Ready","Partial")))</x:f>
      </x:c>
    </x:row>
    <x:row r="118">
      <x:c r="A118" s="125"/>
      <x:c r="B118" s="125"/>
      <x:c r="C118" s="125"/>
      <x:c r="D118" s="125"/>
      <x:c r="E118" s="125"/>
      <x:c r="F118" s="125"/>
      <x:c r="G118" s="125"/>
      <x:c r="H118" s="125"/>
      <x:c r="I118" s="125"/>
      <x:c r="J118" s="125"/>
      <x:c r="K118" s="125" t="str">
        <x:f>IF(A118="","",IF(J118="","No",IF(I118=J118,"No","Yes")))</x:f>
      </x:c>
      <x:c r="L118" s="125"/>
      <x:c r="M118" s="125"/>
      <x:c r="N118" s="125"/>
      <x:c r="O118" s="125"/>
      <x:c r="P118" s="125"/>
      <x:c r="Q118" s="125" t="str">
        <x:f>IF(A118="","",IF(K118="Yes","Review",IF(COUNTA(A118:I118)&gt;=8,"Ready","Partial")))</x:f>
      </x:c>
    </x:row>
    <x:row r="119">
      <x:c r="A119" s="125"/>
      <x:c r="B119" s="125"/>
      <x:c r="C119" s="125"/>
      <x:c r="D119" s="125"/>
      <x:c r="E119" s="125"/>
      <x:c r="F119" s="125"/>
      <x:c r="G119" s="125"/>
      <x:c r="H119" s="125"/>
      <x:c r="I119" s="125"/>
      <x:c r="J119" s="125"/>
      <x:c r="K119" s="125" t="str">
        <x:f>IF(A119="","",IF(J119="","No",IF(I119=J119,"No","Yes")))</x:f>
      </x:c>
      <x:c r="L119" s="125"/>
      <x:c r="M119" s="125"/>
      <x:c r="N119" s="125"/>
      <x:c r="O119" s="125"/>
      <x:c r="P119" s="125"/>
      <x:c r="Q119" s="125" t="str">
        <x:f>IF(A119="","",IF(K119="Yes","Review",IF(COUNTA(A119:I119)&gt;=8,"Ready","Partial")))</x:f>
      </x:c>
    </x:row>
    <x:row r="120">
      <x:c r="A120" s="125"/>
      <x:c r="B120" s="125"/>
      <x:c r="C120" s="125"/>
      <x:c r="D120" s="125"/>
      <x:c r="E120" s="125"/>
      <x:c r="F120" s="125"/>
      <x:c r="G120" s="125"/>
      <x:c r="H120" s="125"/>
      <x:c r="I120" s="125"/>
      <x:c r="J120" s="125"/>
      <x:c r="K120" s="125" t="str">
        <x:f>IF(A120="","",IF(J120="","No",IF(I120=J120,"No","Yes")))</x:f>
      </x:c>
      <x:c r="L120" s="125"/>
      <x:c r="M120" s="125"/>
      <x:c r="N120" s="125"/>
      <x:c r="O120" s="125"/>
      <x:c r="P120" s="125"/>
      <x:c r="Q120" s="125" t="str">
        <x:f>IF(A120="","",IF(K120="Yes","Review",IF(COUNTA(A120:I120)&gt;=8,"Ready","Partial")))</x:f>
      </x:c>
    </x:row>
    <x:row r="121">
      <x:c r="A121" s="125"/>
      <x:c r="B121" s="125"/>
      <x:c r="C121" s="125"/>
      <x:c r="D121" s="125"/>
      <x:c r="E121" s="125"/>
      <x:c r="F121" s="125"/>
      <x:c r="G121" s="125"/>
      <x:c r="H121" s="125"/>
      <x:c r="I121" s="125"/>
      <x:c r="J121" s="125"/>
      <x:c r="K121" s="125" t="str">
        <x:f>IF(A121="","",IF(J121="","No",IF(I121=J121,"No","Yes")))</x:f>
      </x:c>
      <x:c r="L121" s="125"/>
      <x:c r="M121" s="125"/>
      <x:c r="N121" s="125"/>
      <x:c r="O121" s="125"/>
      <x:c r="P121" s="125"/>
      <x:c r="Q121" s="125" t="str">
        <x:f>IF(A121="","",IF(K121="Yes","Review",IF(COUNTA(A121:I121)&gt;=8,"Ready","Partial")))</x:f>
      </x:c>
    </x:row>
    <x:row r="122">
      <x:c r="A122" s="125"/>
      <x:c r="B122" s="125"/>
      <x:c r="C122" s="125"/>
      <x:c r="D122" s="125"/>
      <x:c r="E122" s="125"/>
      <x:c r="F122" s="125"/>
      <x:c r="G122" s="125"/>
      <x:c r="H122" s="125"/>
      <x:c r="I122" s="125"/>
      <x:c r="J122" s="125"/>
      <x:c r="K122" s="125" t="str">
        <x:f>IF(A122="","",IF(J122="","No",IF(I122=J122,"No","Yes")))</x:f>
      </x:c>
      <x:c r="L122" s="125"/>
      <x:c r="M122" s="125"/>
      <x:c r="N122" s="125"/>
      <x:c r="O122" s="125"/>
      <x:c r="P122" s="125"/>
      <x:c r="Q122" s="125" t="str">
        <x:f>IF(A122="","",IF(K122="Yes","Review",IF(COUNTA(A122:I122)&gt;=8,"Ready","Partial")))</x:f>
      </x:c>
    </x:row>
    <x:row r="123">
      <x:c r="A123" s="125"/>
      <x:c r="B123" s="125"/>
      <x:c r="C123" s="125"/>
      <x:c r="D123" s="125"/>
      <x:c r="E123" s="125"/>
      <x:c r="F123" s="125"/>
      <x:c r="G123" s="125"/>
      <x:c r="H123" s="125"/>
      <x:c r="I123" s="125"/>
      <x:c r="J123" s="125"/>
      <x:c r="K123" s="125" t="str">
        <x:f>IF(A123="","",IF(J123="","No",IF(I123=J123,"No","Yes")))</x:f>
      </x:c>
      <x:c r="L123" s="125"/>
      <x:c r="M123" s="125"/>
      <x:c r="N123" s="125"/>
      <x:c r="O123" s="125"/>
      <x:c r="P123" s="125"/>
      <x:c r="Q123" s="125" t="str">
        <x:f>IF(A123="","",IF(K123="Yes","Review",IF(COUNTA(A123:I123)&gt;=8,"Ready","Partial")))</x:f>
      </x:c>
    </x:row>
    <x:row r="124">
      <x:c r="A124" s="125"/>
      <x:c r="B124" s="125"/>
      <x:c r="C124" s="125"/>
      <x:c r="D124" s="125"/>
      <x:c r="E124" s="125"/>
      <x:c r="F124" s="125"/>
      <x:c r="G124" s="125"/>
      <x:c r="H124" s="125"/>
      <x:c r="I124" s="125"/>
      <x:c r="J124" s="125"/>
      <x:c r="K124" s="125" t="str">
        <x:f>IF(A124="","",IF(J124="","No",IF(I124=J124,"No","Yes")))</x:f>
      </x:c>
      <x:c r="L124" s="125"/>
      <x:c r="M124" s="125"/>
      <x:c r="N124" s="125"/>
      <x:c r="O124" s="125"/>
      <x:c r="P124" s="125"/>
      <x:c r="Q124" s="125" t="str">
        <x:f>IF(A124="","",IF(K124="Yes","Review",IF(COUNTA(A124:I124)&gt;=8,"Ready","Partial")))</x:f>
      </x:c>
    </x:row>
    <x:row r="125">
      <x:c r="A125" s="125"/>
      <x:c r="B125" s="125"/>
      <x:c r="C125" s="125"/>
      <x:c r="D125" s="125"/>
      <x:c r="E125" s="125"/>
      <x:c r="F125" s="125"/>
      <x:c r="G125" s="125"/>
      <x:c r="H125" s="125"/>
      <x:c r="I125" s="125"/>
      <x:c r="J125" s="125"/>
      <x:c r="K125" s="125" t="str">
        <x:f>IF(A125="","",IF(J125="","No",IF(I125=J125,"No","Yes")))</x:f>
      </x:c>
      <x:c r="L125" s="125"/>
      <x:c r="M125" s="125"/>
      <x:c r="N125" s="125"/>
      <x:c r="O125" s="125"/>
      <x:c r="P125" s="125"/>
      <x:c r="Q125" s="125" t="str">
        <x:f>IF(A125="","",IF(K125="Yes","Review",IF(COUNTA(A125:I125)&gt;=8,"Ready","Partial")))</x:f>
      </x:c>
    </x:row>
    <x:row r="126">
      <x:c r="A126" s="125"/>
      <x:c r="B126" s="125"/>
      <x:c r="C126" s="125"/>
      <x:c r="D126" s="125"/>
      <x:c r="E126" s="125"/>
      <x:c r="F126" s="125"/>
      <x:c r="G126" s="125"/>
      <x:c r="H126" s="125"/>
      <x:c r="I126" s="125"/>
      <x:c r="J126" s="125"/>
      <x:c r="K126" s="125" t="str">
        <x:f>IF(A126="","",IF(J126="","No",IF(I126=J126,"No","Yes")))</x:f>
      </x:c>
      <x:c r="L126" s="125"/>
      <x:c r="M126" s="125"/>
      <x:c r="N126" s="125"/>
      <x:c r="O126" s="125"/>
      <x:c r="P126" s="125"/>
      <x:c r="Q126" s="125" t="str">
        <x:f>IF(A126="","",IF(K126="Yes","Review",IF(COUNTA(A126:I126)&gt;=8,"Ready","Partial")))</x:f>
      </x:c>
    </x:row>
    <x:row r="127">
      <x:c r="A127" s="125"/>
      <x:c r="B127" s="125"/>
      <x:c r="C127" s="125"/>
      <x:c r="D127" s="125"/>
      <x:c r="E127" s="125"/>
      <x:c r="F127" s="125"/>
      <x:c r="G127" s="125"/>
      <x:c r="H127" s="125"/>
      <x:c r="I127" s="125"/>
      <x:c r="J127" s="125"/>
      <x:c r="K127" s="125" t="str">
        <x:f>IF(A127="","",IF(J127="","No",IF(I127=J127,"No","Yes")))</x:f>
      </x:c>
      <x:c r="L127" s="125"/>
      <x:c r="M127" s="125"/>
      <x:c r="N127" s="125"/>
      <x:c r="O127" s="125"/>
      <x:c r="P127" s="125"/>
      <x:c r="Q127" s="125" t="str">
        <x:f>IF(A127="","",IF(K127="Yes","Review",IF(COUNTA(A127:I127)&gt;=8,"Ready","Partial")))</x:f>
      </x:c>
    </x:row>
    <x:row r="128">
      <x:c r="A128" s="125"/>
      <x:c r="B128" s="125"/>
      <x:c r="C128" s="125"/>
      <x:c r="D128" s="125"/>
      <x:c r="E128" s="125"/>
      <x:c r="F128" s="125"/>
      <x:c r="G128" s="125"/>
      <x:c r="H128" s="125"/>
      <x:c r="I128" s="125"/>
      <x:c r="J128" s="125"/>
      <x:c r="K128" s="125" t="str">
        <x:f>IF(A128="","",IF(J128="","No",IF(I128=J128,"No","Yes")))</x:f>
      </x:c>
      <x:c r="L128" s="125"/>
      <x:c r="M128" s="125"/>
      <x:c r="N128" s="125"/>
      <x:c r="O128" s="125"/>
      <x:c r="P128" s="125"/>
      <x:c r="Q128" s="125" t="str">
        <x:f>IF(A128="","",IF(K128="Yes","Review",IF(COUNTA(A128:I128)&gt;=8,"Ready","Partial")))</x:f>
      </x:c>
    </x:row>
    <x:row r="129">
      <x:c r="A129" s="125"/>
      <x:c r="B129" s="125"/>
      <x:c r="C129" s="125"/>
      <x:c r="D129" s="125"/>
      <x:c r="E129" s="125"/>
      <x:c r="F129" s="125"/>
      <x:c r="G129" s="125"/>
      <x:c r="H129" s="125"/>
      <x:c r="I129" s="125"/>
      <x:c r="J129" s="125"/>
      <x:c r="K129" s="125" t="str">
        <x:f>IF(A129="","",IF(J129="","No",IF(I129=J129,"No","Yes")))</x:f>
      </x:c>
      <x:c r="L129" s="125"/>
      <x:c r="M129" s="125"/>
      <x:c r="N129" s="125"/>
      <x:c r="O129" s="125"/>
      <x:c r="P129" s="125"/>
      <x:c r="Q129" s="125" t="str">
        <x:f>IF(A129="","",IF(K129="Yes","Review",IF(COUNTA(A129:I129)&gt;=8,"Ready","Partial")))</x:f>
      </x:c>
    </x:row>
    <x:row r="130">
      <x:c r="A130" s="125"/>
      <x:c r="B130" s="125"/>
      <x:c r="C130" s="125"/>
      <x:c r="D130" s="125"/>
      <x:c r="E130" s="125"/>
      <x:c r="F130" s="125"/>
      <x:c r="G130" s="125"/>
      <x:c r="H130" s="125"/>
      <x:c r="I130" s="125"/>
      <x:c r="J130" s="125"/>
      <x:c r="K130" s="125" t="str">
        <x:f>IF(A130="","",IF(J130="","No",IF(I130=J130,"No","Yes")))</x:f>
      </x:c>
      <x:c r="L130" s="125"/>
      <x:c r="M130" s="125"/>
      <x:c r="N130" s="125"/>
      <x:c r="O130" s="125"/>
      <x:c r="P130" s="125"/>
      <x:c r="Q130" s="125" t="str">
        <x:f>IF(A130="","",IF(K130="Yes","Review",IF(COUNTA(A130:I130)&gt;=8,"Ready","Partial")))</x:f>
      </x:c>
    </x:row>
    <x:row r="131">
      <x:c r="A131" s="125"/>
      <x:c r="B131" s="125"/>
      <x:c r="C131" s="125"/>
      <x:c r="D131" s="125"/>
      <x:c r="E131" s="125"/>
      <x:c r="F131" s="125"/>
      <x:c r="G131" s="125"/>
      <x:c r="H131" s="125"/>
      <x:c r="I131" s="125"/>
      <x:c r="J131" s="125"/>
      <x:c r="K131" s="125" t="str">
        <x:f>IF(A131="","",IF(J131="","No",IF(I131=J131,"No","Yes")))</x:f>
      </x:c>
      <x:c r="L131" s="125"/>
      <x:c r="M131" s="125"/>
      <x:c r="N131" s="125"/>
      <x:c r="O131" s="125"/>
      <x:c r="P131" s="125"/>
      <x:c r="Q131" s="125" t="str">
        <x:f>IF(A131="","",IF(K131="Yes","Review",IF(COUNTA(A131:I131)&gt;=8,"Ready","Partial")))</x:f>
      </x:c>
    </x:row>
    <x:row r="132">
      <x:c r="A132" s="125"/>
      <x:c r="B132" s="125"/>
      <x:c r="C132" s="125"/>
      <x:c r="D132" s="125"/>
      <x:c r="E132" s="125"/>
      <x:c r="F132" s="125"/>
      <x:c r="G132" s="125"/>
      <x:c r="H132" s="125"/>
      <x:c r="I132" s="125"/>
      <x:c r="J132" s="125"/>
      <x:c r="K132" s="125" t="str">
        <x:f>IF(A132="","",IF(J132="","No",IF(I132=J132,"No","Yes")))</x:f>
      </x:c>
      <x:c r="L132" s="125"/>
      <x:c r="M132" s="125"/>
      <x:c r="N132" s="125"/>
      <x:c r="O132" s="125"/>
      <x:c r="P132" s="125"/>
      <x:c r="Q132" s="125" t="str">
        <x:f>IF(A132="","",IF(K132="Yes","Review",IF(COUNTA(A132:I132)&gt;=8,"Ready","Partial")))</x:f>
      </x:c>
    </x:row>
    <x:row r="133">
      <x:c r="A133" s="125"/>
      <x:c r="B133" s="125"/>
      <x:c r="C133" s="125"/>
      <x:c r="D133" s="125"/>
      <x:c r="E133" s="125"/>
      <x:c r="F133" s="125"/>
      <x:c r="G133" s="125"/>
      <x:c r="H133" s="125"/>
      <x:c r="I133" s="125"/>
      <x:c r="J133" s="125"/>
      <x:c r="K133" s="125" t="str">
        <x:f>IF(A133="","",IF(J133="","No",IF(I133=J133,"No","Yes")))</x:f>
      </x:c>
      <x:c r="L133" s="125"/>
      <x:c r="M133" s="125"/>
      <x:c r="N133" s="125"/>
      <x:c r="O133" s="125"/>
      <x:c r="P133" s="125"/>
      <x:c r="Q133" s="125" t="str">
        <x:f>IF(A133="","",IF(K133="Yes","Review",IF(COUNTA(A133:I133)&gt;=8,"Ready","Partial")))</x:f>
      </x:c>
    </x:row>
    <x:row r="134">
      <x:c r="A134" s="125"/>
      <x:c r="B134" s="125"/>
      <x:c r="C134" s="125"/>
      <x:c r="D134" s="125"/>
      <x:c r="E134" s="125"/>
      <x:c r="F134" s="125"/>
      <x:c r="G134" s="125"/>
      <x:c r="H134" s="125"/>
      <x:c r="I134" s="125"/>
      <x:c r="J134" s="125"/>
      <x:c r="K134" s="125" t="str">
        <x:f>IF(A134="","",IF(J134="","No",IF(I134=J134,"No","Yes")))</x:f>
      </x:c>
      <x:c r="L134" s="125"/>
      <x:c r="M134" s="125"/>
      <x:c r="N134" s="125"/>
      <x:c r="O134" s="125"/>
      <x:c r="P134" s="125"/>
      <x:c r="Q134" s="125" t="str">
        <x:f>IF(A134="","",IF(K134="Yes","Review",IF(COUNTA(A134:I134)&gt;=8,"Ready","Partial")))</x:f>
      </x:c>
    </x:row>
    <x:row r="135">
      <x:c r="A135" s="125"/>
      <x:c r="B135" s="125"/>
      <x:c r="C135" s="125"/>
      <x:c r="D135" s="125"/>
      <x:c r="E135" s="125"/>
      <x:c r="F135" s="125"/>
      <x:c r="G135" s="125"/>
      <x:c r="H135" s="125"/>
      <x:c r="I135" s="125"/>
      <x:c r="J135" s="125"/>
      <x:c r="K135" s="125" t="str">
        <x:f>IF(A135="","",IF(J135="","No",IF(I135=J135,"No","Yes")))</x:f>
      </x:c>
      <x:c r="L135" s="125"/>
      <x:c r="M135" s="125"/>
      <x:c r="N135" s="125"/>
      <x:c r="O135" s="125"/>
      <x:c r="P135" s="125"/>
      <x:c r="Q135" s="125" t="str">
        <x:f>IF(A135="","",IF(K135="Yes","Review",IF(COUNTA(A135:I135)&gt;=8,"Ready","Partial")))</x:f>
      </x:c>
    </x:row>
    <x:row r="136">
      <x:c r="A136" s="125"/>
      <x:c r="B136" s="125"/>
      <x:c r="C136" s="125"/>
      <x:c r="D136" s="125"/>
      <x:c r="E136" s="125"/>
      <x:c r="F136" s="125"/>
      <x:c r="G136" s="125"/>
      <x:c r="H136" s="125"/>
      <x:c r="I136" s="125"/>
      <x:c r="J136" s="125"/>
      <x:c r="K136" s="125" t="str">
        <x:f>IF(A136="","",IF(J136="","No",IF(I136=J136,"No","Yes")))</x:f>
      </x:c>
      <x:c r="L136" s="125"/>
      <x:c r="M136" s="125"/>
      <x:c r="N136" s="125"/>
      <x:c r="O136" s="125"/>
      <x:c r="P136" s="125"/>
      <x:c r="Q136" s="125" t="str">
        <x:f>IF(A136="","",IF(K136="Yes","Review",IF(COUNTA(A136:I136)&gt;=8,"Ready","Partial")))</x:f>
      </x:c>
    </x:row>
    <x:row r="137">
      <x:c r="A137" s="125"/>
      <x:c r="B137" s="125"/>
      <x:c r="C137" s="125"/>
      <x:c r="D137" s="125"/>
      <x:c r="E137" s="125"/>
      <x:c r="F137" s="125"/>
      <x:c r="G137" s="125"/>
      <x:c r="H137" s="125"/>
      <x:c r="I137" s="125"/>
      <x:c r="J137" s="125"/>
      <x:c r="K137" s="125" t="str">
        <x:f>IF(A137="","",IF(J137="","No",IF(I137=J137,"No","Yes")))</x:f>
      </x:c>
      <x:c r="L137" s="125"/>
      <x:c r="M137" s="125"/>
      <x:c r="N137" s="125"/>
      <x:c r="O137" s="125"/>
      <x:c r="P137" s="125"/>
      <x:c r="Q137" s="125" t="str">
        <x:f>IF(A137="","",IF(K137="Yes","Review",IF(COUNTA(A137:I137)&gt;=8,"Ready","Partial")))</x:f>
      </x:c>
    </x:row>
    <x:row r="138">
      <x:c r="A138" s="125"/>
      <x:c r="B138" s="125"/>
      <x:c r="C138" s="125"/>
      <x:c r="D138" s="125"/>
      <x:c r="E138" s="125"/>
      <x:c r="F138" s="125"/>
      <x:c r="G138" s="125"/>
      <x:c r="H138" s="125"/>
      <x:c r="I138" s="125"/>
      <x:c r="J138" s="125"/>
      <x:c r="K138" s="125" t="str">
        <x:f>IF(A138="","",IF(J138="","No",IF(I138=J138,"No","Yes")))</x:f>
      </x:c>
      <x:c r="L138" s="125"/>
      <x:c r="M138" s="125"/>
      <x:c r="N138" s="125"/>
      <x:c r="O138" s="125"/>
      <x:c r="P138" s="125"/>
      <x:c r="Q138" s="125" t="str">
        <x:f>IF(A138="","",IF(K138="Yes","Review",IF(COUNTA(A138:I138)&gt;=8,"Ready","Partial")))</x:f>
      </x:c>
    </x:row>
    <x:row r="139">
      <x:c r="A139" s="125"/>
      <x:c r="B139" s="125"/>
      <x:c r="C139" s="125"/>
      <x:c r="D139" s="125"/>
      <x:c r="E139" s="125"/>
      <x:c r="F139" s="125"/>
      <x:c r="G139" s="125"/>
      <x:c r="H139" s="125"/>
      <x:c r="I139" s="125"/>
      <x:c r="J139" s="125"/>
      <x:c r="K139" s="125" t="str">
        <x:f>IF(A139="","",IF(J139="","No",IF(I139=J139,"No","Yes")))</x:f>
      </x:c>
      <x:c r="L139" s="125"/>
      <x:c r="M139" s="125"/>
      <x:c r="N139" s="125"/>
      <x:c r="O139" s="125"/>
      <x:c r="P139" s="125"/>
      <x:c r="Q139" s="125" t="str">
        <x:f>IF(A139="","",IF(K139="Yes","Review",IF(COUNTA(A139:I139)&gt;=8,"Ready","Partial")))</x:f>
      </x:c>
    </x:row>
    <x:row r="140">
      <x:c r="A140" s="125"/>
      <x:c r="B140" s="125"/>
      <x:c r="C140" s="125"/>
      <x:c r="D140" s="125"/>
      <x:c r="E140" s="125"/>
      <x:c r="F140" s="125"/>
      <x:c r="G140" s="125"/>
      <x:c r="H140" s="125"/>
      <x:c r="I140" s="125"/>
      <x:c r="J140" s="125"/>
      <x:c r="K140" s="125" t="str">
        <x:f>IF(A140="","",IF(J140="","No",IF(I140=J140,"No","Yes")))</x:f>
      </x:c>
      <x:c r="L140" s="125"/>
      <x:c r="M140" s="125"/>
      <x:c r="N140" s="125"/>
      <x:c r="O140" s="125"/>
      <x:c r="P140" s="125"/>
      <x:c r="Q140" s="125" t="str">
        <x:f>IF(A140="","",IF(K140="Yes","Review",IF(COUNTA(A140:I140)&gt;=8,"Ready","Partial")))</x:f>
      </x:c>
    </x:row>
    <x:row r="141">
      <x:c r="A141" s="125"/>
      <x:c r="B141" s="125"/>
      <x:c r="C141" s="125"/>
      <x:c r="D141" s="125"/>
      <x:c r="E141" s="125"/>
      <x:c r="F141" s="125"/>
      <x:c r="G141" s="125"/>
      <x:c r="H141" s="125"/>
      <x:c r="I141" s="125"/>
      <x:c r="J141" s="125"/>
      <x:c r="K141" s="125" t="str">
        <x:f>IF(A141="","",IF(J141="","No",IF(I141=J141,"No","Yes")))</x:f>
      </x:c>
      <x:c r="L141" s="125"/>
      <x:c r="M141" s="125"/>
      <x:c r="N141" s="125"/>
      <x:c r="O141" s="125"/>
      <x:c r="P141" s="125"/>
      <x:c r="Q141" s="125" t="str">
        <x:f>IF(A141="","",IF(K141="Yes","Review",IF(COUNTA(A141:I141)&gt;=8,"Ready","Partial")))</x:f>
      </x:c>
    </x:row>
    <x:row r="142">
      <x:c r="A142" s="125"/>
      <x:c r="B142" s="125"/>
      <x:c r="C142" s="125"/>
      <x:c r="D142" s="125"/>
      <x:c r="E142" s="125"/>
      <x:c r="F142" s="125"/>
      <x:c r="G142" s="125"/>
      <x:c r="H142" s="125"/>
      <x:c r="I142" s="125"/>
      <x:c r="J142" s="125"/>
      <x:c r="K142" s="125" t="str">
        <x:f>IF(A142="","",IF(J142="","No",IF(I142=J142,"No","Yes")))</x:f>
      </x:c>
      <x:c r="L142" s="125"/>
      <x:c r="M142" s="125"/>
      <x:c r="N142" s="125"/>
      <x:c r="O142" s="125"/>
      <x:c r="P142" s="125"/>
      <x:c r="Q142" s="125" t="str">
        <x:f>IF(A142="","",IF(K142="Yes","Review",IF(COUNTA(A142:I142)&gt;=8,"Ready","Partial")))</x:f>
      </x:c>
    </x:row>
    <x:row r="143">
      <x:c r="A143" s="125"/>
      <x:c r="B143" s="125"/>
      <x:c r="C143" s="125"/>
      <x:c r="D143" s="125"/>
      <x:c r="E143" s="125"/>
      <x:c r="F143" s="125"/>
      <x:c r="G143" s="125"/>
      <x:c r="H143" s="125"/>
      <x:c r="I143" s="125"/>
      <x:c r="J143" s="125"/>
      <x:c r="K143" s="125" t="str">
        <x:f>IF(A143="","",IF(J143="","No",IF(I143=J143,"No","Yes")))</x:f>
      </x:c>
      <x:c r="L143" s="125"/>
      <x:c r="M143" s="125"/>
      <x:c r="N143" s="125"/>
      <x:c r="O143" s="125"/>
      <x:c r="P143" s="125"/>
      <x:c r="Q143" s="125" t="str">
        <x:f>IF(A143="","",IF(K143="Yes","Review",IF(COUNTA(A143:I143)&gt;=8,"Ready","Partial")))</x:f>
      </x:c>
    </x:row>
    <x:row r="144">
      <x:c r="A144" s="125"/>
      <x:c r="B144" s="125"/>
      <x:c r="C144" s="125"/>
      <x:c r="D144" s="125"/>
      <x:c r="E144" s="125"/>
      <x:c r="F144" s="125"/>
      <x:c r="G144" s="125"/>
      <x:c r="H144" s="125"/>
      <x:c r="I144" s="125"/>
      <x:c r="J144" s="125"/>
      <x:c r="K144" s="125" t="str">
        <x:f>IF(A144="","",IF(J144="","No",IF(I144=J144,"No","Yes")))</x:f>
      </x:c>
      <x:c r="L144" s="125"/>
      <x:c r="M144" s="125"/>
      <x:c r="N144" s="125"/>
      <x:c r="O144" s="125"/>
      <x:c r="P144" s="125"/>
      <x:c r="Q144" s="125" t="str">
        <x:f>IF(A144="","",IF(K144="Yes","Review",IF(COUNTA(A144:I144)&gt;=8,"Ready","Partial")))</x:f>
      </x:c>
    </x:row>
    <x:row r="145">
      <x:c r="A145" s="125"/>
      <x:c r="B145" s="125"/>
      <x:c r="C145" s="125"/>
      <x:c r="D145" s="125"/>
      <x:c r="E145" s="125"/>
      <x:c r="F145" s="125"/>
      <x:c r="G145" s="125"/>
      <x:c r="H145" s="125"/>
      <x:c r="I145" s="125"/>
      <x:c r="J145" s="125"/>
      <x:c r="K145" s="125" t="str">
        <x:f>IF(A145="","",IF(J145="","No",IF(I145=J145,"No","Yes")))</x:f>
      </x:c>
      <x:c r="L145" s="125"/>
      <x:c r="M145" s="125"/>
      <x:c r="N145" s="125"/>
      <x:c r="O145" s="125"/>
      <x:c r="P145" s="125"/>
      <x:c r="Q145" s="125" t="str">
        <x:f>IF(A145="","",IF(K145="Yes","Review",IF(COUNTA(A145:I145)&gt;=8,"Ready","Partial")))</x:f>
      </x:c>
    </x:row>
    <x:row r="146">
      <x:c r="A146" s="125"/>
      <x:c r="B146" s="125"/>
      <x:c r="C146" s="125"/>
      <x:c r="D146" s="125"/>
      <x:c r="E146" s="125"/>
      <x:c r="F146" s="125"/>
      <x:c r="G146" s="125"/>
      <x:c r="H146" s="125"/>
      <x:c r="I146" s="125"/>
      <x:c r="J146" s="125"/>
      <x:c r="K146" s="125" t="str">
        <x:f>IF(A146="","",IF(J146="","No",IF(I146=J146,"No","Yes")))</x:f>
      </x:c>
      <x:c r="L146" s="125"/>
      <x:c r="M146" s="125"/>
      <x:c r="N146" s="125"/>
      <x:c r="O146" s="125"/>
      <x:c r="P146" s="125"/>
      <x:c r="Q146" s="125" t="str">
        <x:f>IF(A146="","",IF(K146="Yes","Review",IF(COUNTA(A146:I146)&gt;=8,"Ready","Partial")))</x:f>
      </x:c>
    </x:row>
    <x:row r="147">
      <x:c r="A147" s="125"/>
      <x:c r="B147" s="125"/>
      <x:c r="C147" s="125"/>
      <x:c r="D147" s="125"/>
      <x:c r="E147" s="125"/>
      <x:c r="F147" s="125"/>
      <x:c r="G147" s="125"/>
      <x:c r="H147" s="125"/>
      <x:c r="I147" s="125"/>
      <x:c r="J147" s="125"/>
      <x:c r="K147" s="125" t="str">
        <x:f>IF(A147="","",IF(J147="","No",IF(I147=J147,"No","Yes")))</x:f>
      </x:c>
      <x:c r="L147" s="125"/>
      <x:c r="M147" s="125"/>
      <x:c r="N147" s="125"/>
      <x:c r="O147" s="125"/>
      <x:c r="P147" s="125"/>
      <x:c r="Q147" s="125" t="str">
        <x:f>IF(A147="","",IF(K147="Yes","Review",IF(COUNTA(A147:I147)&gt;=8,"Ready","Partial")))</x:f>
      </x:c>
    </x:row>
    <x:row r="148">
      <x:c r="A148" s="125"/>
      <x:c r="B148" s="125"/>
      <x:c r="C148" s="125"/>
      <x:c r="D148" s="125"/>
      <x:c r="E148" s="125"/>
      <x:c r="F148" s="125"/>
      <x:c r="G148" s="125"/>
      <x:c r="H148" s="125"/>
      <x:c r="I148" s="125"/>
      <x:c r="J148" s="125"/>
      <x:c r="K148" s="125" t="str">
        <x:f>IF(A148="","",IF(J148="","No",IF(I148=J148,"No","Yes")))</x:f>
      </x:c>
      <x:c r="L148" s="125"/>
      <x:c r="M148" s="125"/>
      <x:c r="N148" s="125"/>
      <x:c r="O148" s="125"/>
      <x:c r="P148" s="125"/>
      <x:c r="Q148" s="125" t="str">
        <x:f>IF(A148="","",IF(K148="Yes","Review",IF(COUNTA(A148:I148)&gt;=8,"Ready","Partial")))</x:f>
      </x:c>
    </x:row>
    <x:row r="149">
      <x:c r="A149" s="125"/>
      <x:c r="B149" s="125"/>
      <x:c r="C149" s="125"/>
      <x:c r="D149" s="125"/>
      <x:c r="E149" s="125"/>
      <x:c r="F149" s="125"/>
      <x:c r="G149" s="125"/>
      <x:c r="H149" s="125"/>
      <x:c r="I149" s="125"/>
      <x:c r="J149" s="125"/>
      <x:c r="K149" s="125" t="str">
        <x:f>IF(A149="","",IF(J149="","No",IF(I149=J149,"No","Yes")))</x:f>
      </x:c>
      <x:c r="L149" s="125"/>
      <x:c r="M149" s="125"/>
      <x:c r="N149" s="125"/>
      <x:c r="O149" s="125"/>
      <x:c r="P149" s="125"/>
      <x:c r="Q149" s="125" t="str">
        <x:f>IF(A149="","",IF(K149="Yes","Review",IF(COUNTA(A149:I149)&gt;=8,"Ready","Partial")))</x:f>
      </x:c>
    </x:row>
    <x:row r="150">
      <x:c r="A150" s="125"/>
      <x:c r="B150" s="125"/>
      <x:c r="C150" s="125"/>
      <x:c r="D150" s="125"/>
      <x:c r="E150" s="125"/>
      <x:c r="F150" s="125"/>
      <x:c r="G150" s="125"/>
      <x:c r="H150" s="125"/>
      <x:c r="I150" s="125"/>
      <x:c r="J150" s="125"/>
      <x:c r="K150" s="125" t="str">
        <x:f>IF(A150="","",IF(J150="","No",IF(I150=J150,"No","Yes")))</x:f>
      </x:c>
      <x:c r="L150" s="125"/>
      <x:c r="M150" s="125"/>
      <x:c r="N150" s="125"/>
      <x:c r="O150" s="125"/>
      <x:c r="P150" s="125"/>
      <x:c r="Q150" s="125" t="str">
        <x:f>IF(A150="","",IF(K150="Yes","Review",IF(COUNTA(A150:I150)&gt;=8,"Ready","Partial")))</x:f>
      </x:c>
    </x:row>
    <x:row r="151">
      <x:c r="A151" s="125"/>
      <x:c r="B151" s="125"/>
      <x:c r="C151" s="125"/>
      <x:c r="D151" s="125"/>
      <x:c r="E151" s="125"/>
      <x:c r="F151" s="125"/>
      <x:c r="G151" s="125"/>
      <x:c r="H151" s="125"/>
      <x:c r="I151" s="125"/>
      <x:c r="J151" s="125"/>
      <x:c r="K151" s="125" t="str">
        <x:f>IF(A151="","",IF(J151="","No",IF(I151=J151,"No","Yes")))</x:f>
      </x:c>
      <x:c r="L151" s="125"/>
      <x:c r="M151" s="125"/>
      <x:c r="N151" s="125"/>
      <x:c r="O151" s="125"/>
      <x:c r="P151" s="125"/>
      <x:c r="Q151" s="125" t="str">
        <x:f>IF(A151="","",IF(K151="Yes","Review",IF(COUNTA(A151:I151)&gt;=8,"Ready","Partial")))</x:f>
      </x:c>
    </x:row>
    <x:row r="152">
      <x:c r="A152" s="125"/>
      <x:c r="B152" s="125"/>
      <x:c r="C152" s="125"/>
      <x:c r="D152" s="125"/>
      <x:c r="E152" s="125"/>
      <x:c r="F152" s="125"/>
      <x:c r="G152" s="125"/>
      <x:c r="H152" s="125"/>
      <x:c r="I152" s="125"/>
      <x:c r="J152" s="125"/>
      <x:c r="K152" s="125" t="str">
        <x:f>IF(A152="","",IF(J152="","No",IF(I152=J152,"No","Yes")))</x:f>
      </x:c>
      <x:c r="L152" s="125"/>
      <x:c r="M152" s="125"/>
      <x:c r="N152" s="125"/>
      <x:c r="O152" s="125"/>
      <x:c r="P152" s="125"/>
      <x:c r="Q152" s="125" t="str">
        <x:f>IF(A152="","",IF(K152="Yes","Review",IF(COUNTA(A152:I152)&gt;=8,"Ready","Partial")))</x:f>
      </x:c>
    </x:row>
    <x:row r="153">
      <x:c r="A153" s="125"/>
      <x:c r="B153" s="125"/>
      <x:c r="C153" s="125"/>
      <x:c r="D153" s="125"/>
      <x:c r="E153" s="125"/>
      <x:c r="F153" s="125"/>
      <x:c r="G153" s="125"/>
      <x:c r="H153" s="125"/>
      <x:c r="I153" s="125"/>
      <x:c r="J153" s="125"/>
      <x:c r="K153" s="125" t="str">
        <x:f>IF(A153="","",IF(J153="","No",IF(I153=J153,"No","Yes")))</x:f>
      </x:c>
      <x:c r="L153" s="125"/>
      <x:c r="M153" s="125"/>
      <x:c r="N153" s="125"/>
      <x:c r="O153" s="125"/>
      <x:c r="P153" s="125"/>
      <x:c r="Q153" s="125" t="str">
        <x:f>IF(A153="","",IF(K153="Yes","Review",IF(COUNTA(A153:I153)&gt;=8,"Ready","Partial")))</x:f>
      </x:c>
    </x:row>
    <x:row r="154">
      <x:c r="A154" s="125"/>
      <x:c r="B154" s="125"/>
      <x:c r="C154" s="125"/>
      <x:c r="D154" s="125"/>
      <x:c r="E154" s="125"/>
      <x:c r="F154" s="125"/>
      <x:c r="G154" s="125"/>
      <x:c r="H154" s="125"/>
      <x:c r="I154" s="125"/>
      <x:c r="J154" s="125"/>
      <x:c r="K154" s="125" t="str">
        <x:f>IF(A154="","",IF(J154="","No",IF(I154=J154,"No","Yes")))</x:f>
      </x:c>
      <x:c r="L154" s="125"/>
      <x:c r="M154" s="125"/>
      <x:c r="N154" s="125"/>
      <x:c r="O154" s="125"/>
      <x:c r="P154" s="125"/>
      <x:c r="Q154" s="125" t="str">
        <x:f>IF(A154="","",IF(K154="Yes","Review",IF(COUNTA(A154:I154)&gt;=8,"Ready","Partial")))</x:f>
      </x:c>
    </x:row>
    <x:row r="155">
      <x:c r="A155" s="125"/>
      <x:c r="B155" s="125"/>
      <x:c r="C155" s="125"/>
      <x:c r="D155" s="125"/>
      <x:c r="E155" s="125"/>
      <x:c r="F155" s="125"/>
      <x:c r="G155" s="125"/>
      <x:c r="H155" s="125"/>
      <x:c r="I155" s="125"/>
      <x:c r="J155" s="125"/>
      <x:c r="K155" s="125" t="str">
        <x:f>IF(A155="","",IF(J155="","No",IF(I155=J155,"No","Yes")))</x:f>
      </x:c>
      <x:c r="L155" s="125"/>
      <x:c r="M155" s="125"/>
      <x:c r="N155" s="125"/>
      <x:c r="O155" s="125"/>
      <x:c r="P155" s="125"/>
      <x:c r="Q155" s="125" t="str">
        <x:f>IF(A155="","",IF(K155="Yes","Review",IF(COUNTA(A155:I155)&gt;=8,"Ready","Partial")))</x:f>
      </x:c>
    </x:row>
    <x:row r="156">
      <x:c r="A156" s="125"/>
      <x:c r="B156" s="125"/>
      <x:c r="C156" s="125"/>
      <x:c r="D156" s="125"/>
      <x:c r="E156" s="125"/>
      <x:c r="F156" s="125"/>
      <x:c r="G156" s="125"/>
      <x:c r="H156" s="125"/>
      <x:c r="I156" s="125"/>
      <x:c r="J156" s="125"/>
      <x:c r="K156" s="125" t="str">
        <x:f>IF(A156="","",IF(J156="","No",IF(I156=J156,"No","Yes")))</x:f>
      </x:c>
      <x:c r="L156" s="125"/>
      <x:c r="M156" s="125"/>
      <x:c r="N156" s="125"/>
      <x:c r="O156" s="125"/>
      <x:c r="P156" s="125"/>
      <x:c r="Q156" s="125" t="str">
        <x:f>IF(A156="","",IF(K156="Yes","Review",IF(COUNTA(A156:I156)&gt;=8,"Ready","Partial")))</x:f>
      </x:c>
    </x:row>
    <x:row r="157">
      <x:c r="A157" s="125"/>
      <x:c r="B157" s="125"/>
      <x:c r="C157" s="125"/>
      <x:c r="D157" s="125"/>
      <x:c r="E157" s="125"/>
      <x:c r="F157" s="125"/>
      <x:c r="G157" s="125"/>
      <x:c r="H157" s="125"/>
      <x:c r="I157" s="125"/>
      <x:c r="J157" s="125"/>
      <x:c r="K157" s="125" t="str">
        <x:f>IF(A157="","",IF(J157="","No",IF(I157=J157,"No","Yes")))</x:f>
      </x:c>
      <x:c r="L157" s="125"/>
      <x:c r="M157" s="125"/>
      <x:c r="N157" s="125"/>
      <x:c r="O157" s="125"/>
      <x:c r="P157" s="125"/>
      <x:c r="Q157" s="125" t="str">
        <x:f>IF(A157="","",IF(K157="Yes","Review",IF(COUNTA(A157:I157)&gt;=8,"Ready","Partial")))</x:f>
      </x:c>
    </x:row>
    <x:row r="158">
      <x:c r="A158" s="125"/>
      <x:c r="B158" s="125"/>
      <x:c r="C158" s="125"/>
      <x:c r="D158" s="125"/>
      <x:c r="E158" s="125"/>
      <x:c r="F158" s="125"/>
      <x:c r="G158" s="125"/>
      <x:c r="H158" s="125"/>
      <x:c r="I158" s="125"/>
      <x:c r="J158" s="125"/>
      <x:c r="K158" s="125" t="str">
        <x:f>IF(A158="","",IF(J158="","No",IF(I158=J158,"No","Yes")))</x:f>
      </x:c>
      <x:c r="L158" s="125"/>
      <x:c r="M158" s="125"/>
      <x:c r="N158" s="125"/>
      <x:c r="O158" s="125"/>
      <x:c r="P158" s="125"/>
      <x:c r="Q158" s="125" t="str">
        <x:f>IF(A158="","",IF(K158="Yes","Review",IF(COUNTA(A158:I158)&gt;=8,"Ready","Partial")))</x:f>
      </x:c>
    </x:row>
    <x:row r="159">
      <x:c r="A159" s="125"/>
      <x:c r="B159" s="125"/>
      <x:c r="C159" s="125"/>
      <x:c r="D159" s="125"/>
      <x:c r="E159" s="125"/>
      <x:c r="F159" s="125"/>
      <x:c r="G159" s="125"/>
      <x:c r="H159" s="125"/>
      <x:c r="I159" s="125"/>
      <x:c r="J159" s="125"/>
      <x:c r="K159" s="125" t="str">
        <x:f>IF(A159="","",IF(J159="","No",IF(I159=J159,"No","Yes")))</x:f>
      </x:c>
      <x:c r="L159" s="125"/>
      <x:c r="M159" s="125"/>
      <x:c r="N159" s="125"/>
      <x:c r="O159" s="125"/>
      <x:c r="P159" s="125"/>
      <x:c r="Q159" s="125" t="str">
        <x:f>IF(A159="","",IF(K159="Yes","Review",IF(COUNTA(A159:I159)&gt;=8,"Ready","Partial")))</x:f>
      </x:c>
    </x:row>
    <x:row r="160">
      <x:c r="A160" s="125"/>
      <x:c r="B160" s="125"/>
      <x:c r="C160" s="125"/>
      <x:c r="D160" s="125"/>
      <x:c r="E160" s="125"/>
      <x:c r="F160" s="125"/>
      <x:c r="G160" s="125"/>
      <x:c r="H160" s="125"/>
      <x:c r="I160" s="125"/>
      <x:c r="J160" s="125"/>
      <x:c r="K160" s="125" t="str">
        <x:f>IF(A160="","",IF(J160="","No",IF(I160=J160,"No","Yes")))</x:f>
      </x:c>
      <x:c r="L160" s="125"/>
      <x:c r="M160" s="125"/>
      <x:c r="N160" s="125"/>
      <x:c r="O160" s="125"/>
      <x:c r="P160" s="125"/>
      <x:c r="Q160" s="125" t="str">
        <x:f>IF(A160="","",IF(K160="Yes","Review",IF(COUNTA(A160:I160)&gt;=8,"Ready","Partial")))</x:f>
      </x:c>
    </x:row>
    <x:row r="161">
      <x:c r="A161" s="125"/>
      <x:c r="B161" s="125"/>
      <x:c r="C161" s="125"/>
      <x:c r="D161" s="125"/>
      <x:c r="E161" s="125"/>
      <x:c r="F161" s="125"/>
      <x:c r="G161" s="125"/>
      <x:c r="H161" s="125"/>
      <x:c r="I161" s="125"/>
      <x:c r="J161" s="125"/>
      <x:c r="K161" s="125" t="str">
        <x:f>IF(A161="","",IF(J161="","No",IF(I161=J161,"No","Yes")))</x:f>
      </x:c>
      <x:c r="L161" s="125"/>
      <x:c r="M161" s="125"/>
      <x:c r="N161" s="125"/>
      <x:c r="O161" s="125"/>
      <x:c r="P161" s="125"/>
      <x:c r="Q161" s="125" t="str">
        <x:f>IF(A161="","",IF(K161="Yes","Review",IF(COUNTA(A161:I161)&gt;=8,"Ready","Partial")))</x:f>
      </x:c>
    </x:row>
    <x:row r="162">
      <x:c r="A162" s="125"/>
      <x:c r="B162" s="125"/>
      <x:c r="C162" s="125"/>
      <x:c r="D162" s="125"/>
      <x:c r="E162" s="125"/>
      <x:c r="F162" s="125"/>
      <x:c r="G162" s="125"/>
      <x:c r="H162" s="125"/>
      <x:c r="I162" s="125"/>
      <x:c r="J162" s="125"/>
      <x:c r="K162" s="125" t="str">
        <x:f>IF(A162="","",IF(J162="","No",IF(I162=J162,"No","Yes")))</x:f>
      </x:c>
      <x:c r="L162" s="125"/>
      <x:c r="M162" s="125"/>
      <x:c r="N162" s="125"/>
      <x:c r="O162" s="125"/>
      <x:c r="P162" s="125"/>
      <x:c r="Q162" s="125" t="str">
        <x:f>IF(A162="","",IF(K162="Yes","Review",IF(COUNTA(A162:I162)&gt;=8,"Ready","Partial")))</x:f>
      </x:c>
    </x:row>
    <x:row r="163">
      <x:c r="A163" s="125"/>
      <x:c r="B163" s="125"/>
      <x:c r="C163" s="125"/>
      <x:c r="D163" s="125"/>
      <x:c r="E163" s="125"/>
      <x:c r="F163" s="125"/>
      <x:c r="G163" s="125"/>
      <x:c r="H163" s="125"/>
      <x:c r="I163" s="125"/>
      <x:c r="J163" s="125"/>
      <x:c r="K163" s="125" t="str">
        <x:f>IF(A163="","",IF(J163="","No",IF(I163=J163,"No","Yes")))</x:f>
      </x:c>
      <x:c r="L163" s="125"/>
      <x:c r="M163" s="125"/>
      <x:c r="N163" s="125"/>
      <x:c r="O163" s="125"/>
      <x:c r="P163" s="125"/>
      <x:c r="Q163" s="125" t="str">
        <x:f>IF(A163="","",IF(K163="Yes","Review",IF(COUNTA(A163:I163)&gt;=8,"Ready","Partial")))</x:f>
      </x:c>
    </x:row>
    <x:row r="164">
      <x:c r="A164" s="125"/>
      <x:c r="B164" s="125"/>
      <x:c r="C164" s="125"/>
      <x:c r="D164" s="125"/>
      <x:c r="E164" s="125"/>
      <x:c r="F164" s="125"/>
      <x:c r="G164" s="125"/>
      <x:c r="H164" s="125"/>
      <x:c r="I164" s="125"/>
      <x:c r="J164" s="125"/>
      <x:c r="K164" s="125" t="str">
        <x:f>IF(A164="","",IF(J164="","No",IF(I164=J164,"No","Yes")))</x:f>
      </x:c>
      <x:c r="L164" s="125"/>
      <x:c r="M164" s="125"/>
      <x:c r="N164" s="125"/>
      <x:c r="O164" s="125"/>
      <x:c r="P164" s="125"/>
      <x:c r="Q164" s="125" t="str">
        <x:f>IF(A164="","",IF(K164="Yes","Review",IF(COUNTA(A164:I164)&gt;=8,"Ready","Partial")))</x:f>
      </x:c>
    </x:row>
    <x:row r="165">
      <x:c r="A165" s="125"/>
      <x:c r="B165" s="125"/>
      <x:c r="C165" s="125"/>
      <x:c r="D165" s="125"/>
      <x:c r="E165" s="125"/>
      <x:c r="F165" s="125"/>
      <x:c r="G165" s="125"/>
      <x:c r="H165" s="125"/>
      <x:c r="I165" s="125"/>
      <x:c r="J165" s="125"/>
      <x:c r="K165" s="125" t="str">
        <x:f>IF(A165="","",IF(J165="","No",IF(I165=J165,"No","Yes")))</x:f>
      </x:c>
      <x:c r="L165" s="125"/>
      <x:c r="M165" s="125"/>
      <x:c r="N165" s="125"/>
      <x:c r="O165" s="125"/>
      <x:c r="P165" s="125"/>
      <x:c r="Q165" s="125" t="str">
        <x:f>IF(A165="","",IF(K165="Yes","Review",IF(COUNTA(A165:I165)&gt;=8,"Ready","Partial")))</x:f>
      </x:c>
    </x:row>
    <x:row r="166">
      <x:c r="A166" s="125"/>
      <x:c r="B166" s="125"/>
      <x:c r="C166" s="125"/>
      <x:c r="D166" s="125"/>
      <x:c r="E166" s="125"/>
      <x:c r="F166" s="125"/>
      <x:c r="G166" s="125"/>
      <x:c r="H166" s="125"/>
      <x:c r="I166" s="125"/>
      <x:c r="J166" s="125"/>
      <x:c r="K166" s="125" t="str">
        <x:f>IF(A166="","",IF(J166="","No",IF(I166=J166,"No","Yes")))</x:f>
      </x:c>
      <x:c r="L166" s="125"/>
      <x:c r="M166" s="125"/>
      <x:c r="N166" s="125"/>
      <x:c r="O166" s="125"/>
      <x:c r="P166" s="125"/>
      <x:c r="Q166" s="125" t="str">
        <x:f>IF(A166="","",IF(K166="Yes","Review",IF(COUNTA(A166:I166)&gt;=8,"Ready","Partial")))</x:f>
      </x:c>
    </x:row>
    <x:row r="167">
      <x:c r="A167" s="125"/>
      <x:c r="B167" s="125"/>
      <x:c r="C167" s="125"/>
      <x:c r="D167" s="125"/>
      <x:c r="E167" s="125"/>
      <x:c r="F167" s="125"/>
      <x:c r="G167" s="125"/>
      <x:c r="H167" s="125"/>
      <x:c r="I167" s="125"/>
      <x:c r="J167" s="125"/>
      <x:c r="K167" s="125" t="str">
        <x:f>IF(A167="","",IF(J167="","No",IF(I167=J167,"No","Yes")))</x:f>
      </x:c>
      <x:c r="L167" s="125"/>
      <x:c r="M167" s="125"/>
      <x:c r="N167" s="125"/>
      <x:c r="O167" s="125"/>
      <x:c r="P167" s="125"/>
      <x:c r="Q167" s="125" t="str">
        <x:f>IF(A167="","",IF(K167="Yes","Review",IF(COUNTA(A167:I167)&gt;=8,"Ready","Partial")))</x:f>
      </x:c>
    </x:row>
    <x:row r="168">
      <x:c r="A168" s="125"/>
      <x:c r="B168" s="125"/>
      <x:c r="C168" s="125"/>
      <x:c r="D168" s="125"/>
      <x:c r="E168" s="125"/>
      <x:c r="F168" s="125"/>
      <x:c r="G168" s="125"/>
      <x:c r="H168" s="125"/>
      <x:c r="I168" s="125"/>
      <x:c r="J168" s="125"/>
      <x:c r="K168" s="125" t="str">
        <x:f>IF(A168="","",IF(J168="","No",IF(I168=J168,"No","Yes")))</x:f>
      </x:c>
      <x:c r="L168" s="125"/>
      <x:c r="M168" s="125"/>
      <x:c r="N168" s="125"/>
      <x:c r="O168" s="125"/>
      <x:c r="P168" s="125"/>
      <x:c r="Q168" s="125" t="str">
        <x:f>IF(A168="","",IF(K168="Yes","Review",IF(COUNTA(A168:I168)&gt;=8,"Ready","Partial")))</x:f>
      </x:c>
    </x:row>
    <x:row r="169">
      <x:c r="A169" s="125"/>
      <x:c r="B169" s="125"/>
      <x:c r="C169" s="125"/>
      <x:c r="D169" s="125"/>
      <x:c r="E169" s="125"/>
      <x:c r="F169" s="125"/>
      <x:c r="G169" s="125"/>
      <x:c r="H169" s="125"/>
      <x:c r="I169" s="125"/>
      <x:c r="J169" s="125"/>
      <x:c r="K169" s="125" t="str">
        <x:f>IF(A169="","",IF(J169="","No",IF(I169=J169,"No","Yes")))</x:f>
      </x:c>
      <x:c r="L169" s="125"/>
      <x:c r="M169" s="125"/>
      <x:c r="N169" s="125"/>
      <x:c r="O169" s="125"/>
      <x:c r="P169" s="125"/>
      <x:c r="Q169" s="125" t="str">
        <x:f>IF(A169="","",IF(K169="Yes","Review",IF(COUNTA(A169:I169)&gt;=8,"Ready","Partial")))</x:f>
      </x:c>
    </x:row>
    <x:row r="170">
      <x:c r="A170" s="125"/>
      <x:c r="B170" s="125"/>
      <x:c r="C170" s="125"/>
      <x:c r="D170" s="125"/>
      <x:c r="E170" s="125"/>
      <x:c r="F170" s="125"/>
      <x:c r="G170" s="125"/>
      <x:c r="H170" s="125"/>
      <x:c r="I170" s="125"/>
      <x:c r="J170" s="125"/>
      <x:c r="K170" s="125" t="str">
        <x:f>IF(A170="","",IF(J170="","No",IF(I170=J170,"No","Yes")))</x:f>
      </x:c>
      <x:c r="L170" s="125"/>
      <x:c r="M170" s="125"/>
      <x:c r="N170" s="125"/>
      <x:c r="O170" s="125"/>
      <x:c r="P170" s="125"/>
      <x:c r="Q170" s="125" t="str">
        <x:f>IF(A170="","",IF(K170="Yes","Review",IF(COUNTA(A170:I170)&gt;=8,"Ready","Partial")))</x:f>
      </x:c>
    </x:row>
    <x:row r="171">
      <x:c r="A171" s="125"/>
      <x:c r="B171" s="125"/>
      <x:c r="C171" s="125"/>
      <x:c r="D171" s="125"/>
      <x:c r="E171" s="125"/>
      <x:c r="F171" s="125"/>
      <x:c r="G171" s="125"/>
      <x:c r="H171" s="125"/>
      <x:c r="I171" s="125"/>
      <x:c r="J171" s="125"/>
      <x:c r="K171" s="125" t="str">
        <x:f>IF(A171="","",IF(J171="","No",IF(I171=J171,"No","Yes")))</x:f>
      </x:c>
      <x:c r="L171" s="125"/>
      <x:c r="M171" s="125"/>
      <x:c r="N171" s="125"/>
      <x:c r="O171" s="125"/>
      <x:c r="P171" s="125"/>
      <x:c r="Q171" s="125" t="str">
        <x:f>IF(A171="","",IF(K171="Yes","Review",IF(COUNTA(A171:I171)&gt;=8,"Ready","Partial")))</x:f>
      </x:c>
    </x:row>
    <x:row r="172">
      <x:c r="A172" s="125"/>
      <x:c r="B172" s="125"/>
      <x:c r="C172" s="125"/>
      <x:c r="D172" s="125"/>
      <x:c r="E172" s="125"/>
      <x:c r="F172" s="125"/>
      <x:c r="G172" s="125"/>
      <x:c r="H172" s="125"/>
      <x:c r="I172" s="125"/>
      <x:c r="J172" s="125"/>
      <x:c r="K172" s="125" t="str">
        <x:f>IF(A172="","",IF(J172="","No",IF(I172=J172,"No","Yes")))</x:f>
      </x:c>
      <x:c r="L172" s="125"/>
      <x:c r="M172" s="125"/>
      <x:c r="N172" s="125"/>
      <x:c r="O172" s="125"/>
      <x:c r="P172" s="125"/>
      <x:c r="Q172" s="125" t="str">
        <x:f>IF(A172="","",IF(K172="Yes","Review",IF(COUNTA(A172:I172)&gt;=8,"Ready","Partial")))</x:f>
      </x:c>
    </x:row>
    <x:row r="173">
      <x:c r="A173" s="125"/>
      <x:c r="B173" s="125"/>
      <x:c r="C173" s="125"/>
      <x:c r="D173" s="125"/>
      <x:c r="E173" s="125"/>
      <x:c r="F173" s="125"/>
      <x:c r="G173" s="125"/>
      <x:c r="H173" s="125"/>
      <x:c r="I173" s="125"/>
      <x:c r="J173" s="125"/>
      <x:c r="K173" s="125" t="str">
        <x:f>IF(A173="","",IF(J173="","No",IF(I173=J173,"No","Yes")))</x:f>
      </x:c>
      <x:c r="L173" s="125"/>
      <x:c r="M173" s="125"/>
      <x:c r="N173" s="125"/>
      <x:c r="O173" s="125"/>
      <x:c r="P173" s="125"/>
      <x:c r="Q173" s="125" t="str">
        <x:f>IF(A173="","",IF(K173="Yes","Review",IF(COUNTA(A173:I173)&gt;=8,"Ready","Partial")))</x:f>
      </x:c>
    </x:row>
    <x:row r="174">
      <x:c r="A174" s="125"/>
      <x:c r="B174" s="125"/>
      <x:c r="C174" s="125"/>
      <x:c r="D174" s="125"/>
      <x:c r="E174" s="125"/>
      <x:c r="F174" s="125"/>
      <x:c r="G174" s="125"/>
      <x:c r="H174" s="125"/>
      <x:c r="I174" s="125"/>
      <x:c r="J174" s="125"/>
      <x:c r="K174" s="125" t="str">
        <x:f>IF(A174="","",IF(J174="","No",IF(I174=J174,"No","Yes")))</x:f>
      </x:c>
      <x:c r="L174" s="125"/>
      <x:c r="M174" s="125"/>
      <x:c r="N174" s="125"/>
      <x:c r="O174" s="125"/>
      <x:c r="P174" s="125"/>
      <x:c r="Q174" s="125" t="str">
        <x:f>IF(A174="","",IF(K174="Yes","Review",IF(COUNTA(A174:I174)&gt;=8,"Ready","Partial")))</x:f>
      </x:c>
    </x:row>
    <x:row r="175">
      <x:c r="A175" s="125"/>
      <x:c r="B175" s="125"/>
      <x:c r="C175" s="125"/>
      <x:c r="D175" s="125"/>
      <x:c r="E175" s="125"/>
      <x:c r="F175" s="125"/>
      <x:c r="G175" s="125"/>
      <x:c r="H175" s="125"/>
      <x:c r="I175" s="125"/>
      <x:c r="J175" s="125"/>
      <x:c r="K175" s="125" t="str">
        <x:f>IF(A175="","",IF(J175="","No",IF(I175=J175,"No","Yes")))</x:f>
      </x:c>
      <x:c r="L175" s="125"/>
      <x:c r="M175" s="125"/>
      <x:c r="N175" s="125"/>
      <x:c r="O175" s="125"/>
      <x:c r="P175" s="125"/>
      <x:c r="Q175" s="125" t="str">
        <x:f>IF(A175="","",IF(K175="Yes","Review",IF(COUNTA(A175:I175)&gt;=8,"Ready","Partial")))</x:f>
      </x:c>
    </x:row>
    <x:row r="176">
      <x:c r="A176" s="125"/>
      <x:c r="B176" s="125"/>
      <x:c r="C176" s="125"/>
      <x:c r="D176" s="125"/>
      <x:c r="E176" s="125"/>
      <x:c r="F176" s="125"/>
      <x:c r="G176" s="125"/>
      <x:c r="H176" s="125"/>
      <x:c r="I176" s="125"/>
      <x:c r="J176" s="125"/>
      <x:c r="K176" s="125" t="str">
        <x:f>IF(A176="","",IF(J176="","No",IF(I176=J176,"No","Yes")))</x:f>
      </x:c>
      <x:c r="L176" s="125"/>
      <x:c r="M176" s="125"/>
      <x:c r="N176" s="125"/>
      <x:c r="O176" s="125"/>
      <x:c r="P176" s="125"/>
      <x:c r="Q176" s="125" t="str">
        <x:f>IF(A176="","",IF(K176="Yes","Review",IF(COUNTA(A176:I176)&gt;=8,"Ready","Partial")))</x:f>
      </x:c>
    </x:row>
    <x:row r="177">
      <x:c r="A177" s="125"/>
      <x:c r="B177" s="125"/>
      <x:c r="C177" s="125"/>
      <x:c r="D177" s="125"/>
      <x:c r="E177" s="125"/>
      <x:c r="F177" s="125"/>
      <x:c r="G177" s="125"/>
      <x:c r="H177" s="125"/>
      <x:c r="I177" s="125"/>
      <x:c r="J177" s="125"/>
      <x:c r="K177" s="125" t="str">
        <x:f>IF(A177="","",IF(J177="","No",IF(I177=J177,"No","Yes")))</x:f>
      </x:c>
      <x:c r="L177" s="125"/>
      <x:c r="M177" s="125"/>
      <x:c r="N177" s="125"/>
      <x:c r="O177" s="125"/>
      <x:c r="P177" s="125"/>
      <x:c r="Q177" s="125" t="str">
        <x:f>IF(A177="","",IF(K177="Yes","Review",IF(COUNTA(A177:I177)&gt;=8,"Ready","Partial")))</x:f>
      </x:c>
    </x:row>
    <x:row r="178">
      <x:c r="A178" s="125"/>
      <x:c r="B178" s="125"/>
      <x:c r="C178" s="125"/>
      <x:c r="D178" s="125"/>
      <x:c r="E178" s="125"/>
      <x:c r="F178" s="125"/>
      <x:c r="G178" s="125"/>
      <x:c r="H178" s="125"/>
      <x:c r="I178" s="125"/>
      <x:c r="J178" s="125"/>
      <x:c r="K178" s="125" t="str">
        <x:f>IF(A178="","",IF(J178="","No",IF(I178=J178,"No","Yes")))</x:f>
      </x:c>
      <x:c r="L178" s="125"/>
      <x:c r="M178" s="125"/>
      <x:c r="N178" s="125"/>
      <x:c r="O178" s="125"/>
      <x:c r="P178" s="125"/>
      <x:c r="Q178" s="125" t="str">
        <x:f>IF(A178="","",IF(K178="Yes","Review",IF(COUNTA(A178:I178)&gt;=8,"Ready","Partial")))</x:f>
      </x:c>
    </x:row>
    <x:row r="179">
      <x:c r="A179" s="125"/>
      <x:c r="B179" s="125"/>
      <x:c r="C179" s="125"/>
      <x:c r="D179" s="125"/>
      <x:c r="E179" s="125"/>
      <x:c r="F179" s="125"/>
      <x:c r="G179" s="125"/>
      <x:c r="H179" s="125"/>
      <x:c r="I179" s="125"/>
      <x:c r="J179" s="125"/>
      <x:c r="K179" s="125" t="str">
        <x:f>IF(A179="","",IF(J179="","No",IF(I179=J179,"No","Yes")))</x:f>
      </x:c>
      <x:c r="L179" s="125"/>
      <x:c r="M179" s="125"/>
      <x:c r="N179" s="125"/>
      <x:c r="O179" s="125"/>
      <x:c r="P179" s="125"/>
      <x:c r="Q179" s="125" t="str">
        <x:f>IF(A179="","",IF(K179="Yes","Review",IF(COUNTA(A179:I179)&gt;=8,"Ready","Partial")))</x:f>
      </x:c>
    </x:row>
    <x:row r="180">
      <x:c r="A180" s="125"/>
      <x:c r="B180" s="125"/>
      <x:c r="C180" s="125"/>
      <x:c r="D180" s="125"/>
      <x:c r="E180" s="125"/>
      <x:c r="F180" s="125"/>
      <x:c r="G180" s="125"/>
      <x:c r="H180" s="125"/>
      <x:c r="I180" s="125"/>
      <x:c r="J180" s="125"/>
      <x:c r="K180" s="125" t="str">
        <x:f>IF(A180="","",IF(J180="","No",IF(I180=J180,"No","Yes")))</x:f>
      </x:c>
      <x:c r="L180" s="125"/>
      <x:c r="M180" s="125"/>
      <x:c r="N180" s="125"/>
      <x:c r="O180" s="125"/>
      <x:c r="P180" s="125"/>
      <x:c r="Q180" s="125" t="str">
        <x:f>IF(A180="","",IF(K180="Yes","Review",IF(COUNTA(A180:I180)&gt;=8,"Ready","Partial")))</x:f>
      </x:c>
    </x:row>
    <x:row r="181">
      <x:c r="A181" s="125"/>
      <x:c r="B181" s="125"/>
      <x:c r="C181" s="125"/>
      <x:c r="D181" s="125"/>
      <x:c r="E181" s="125"/>
      <x:c r="F181" s="125"/>
      <x:c r="G181" s="125"/>
      <x:c r="H181" s="125"/>
      <x:c r="I181" s="125"/>
      <x:c r="J181" s="125"/>
      <x:c r="K181" s="125" t="str">
        <x:f>IF(A181="","",IF(J181="","No",IF(I181=J181,"No","Yes")))</x:f>
      </x:c>
      <x:c r="L181" s="125"/>
      <x:c r="M181" s="125"/>
      <x:c r="N181" s="125"/>
      <x:c r="O181" s="125"/>
      <x:c r="P181" s="125"/>
      <x:c r="Q181" s="125" t="str">
        <x:f>IF(A181="","",IF(K181="Yes","Review",IF(COUNTA(A181:I181)&gt;=8,"Ready","Partial")))</x:f>
      </x:c>
    </x:row>
    <x:row r="182">
      <x:c r="A182" s="125"/>
      <x:c r="B182" s="125"/>
      <x:c r="C182" s="125"/>
      <x:c r="D182" s="125"/>
      <x:c r="E182" s="125"/>
      <x:c r="F182" s="125"/>
      <x:c r="G182" s="125"/>
      <x:c r="H182" s="125"/>
      <x:c r="I182" s="125"/>
      <x:c r="J182" s="125"/>
      <x:c r="K182" s="125" t="str">
        <x:f>IF(A182="","",IF(J182="","No",IF(I182=J182,"No","Yes")))</x:f>
      </x:c>
      <x:c r="L182" s="125"/>
      <x:c r="M182" s="125"/>
      <x:c r="N182" s="125"/>
      <x:c r="O182" s="125"/>
      <x:c r="P182" s="125"/>
      <x:c r="Q182" s="125" t="str">
        <x:f>IF(A182="","",IF(K182="Yes","Review",IF(COUNTA(A182:I182)&gt;=8,"Ready","Partial")))</x:f>
      </x:c>
    </x:row>
    <x:row r="183">
      <x:c r="A183" s="125"/>
      <x:c r="B183" s="125"/>
      <x:c r="C183" s="125"/>
      <x:c r="D183" s="125"/>
      <x:c r="E183" s="125"/>
      <x:c r="F183" s="125"/>
      <x:c r="G183" s="125"/>
      <x:c r="H183" s="125"/>
      <x:c r="I183" s="125"/>
      <x:c r="J183" s="125"/>
      <x:c r="K183" s="125" t="str">
        <x:f>IF(A183="","",IF(J183="","No",IF(I183=J183,"No","Yes")))</x:f>
      </x:c>
      <x:c r="L183" s="125"/>
      <x:c r="M183" s="125"/>
      <x:c r="N183" s="125"/>
      <x:c r="O183" s="125"/>
      <x:c r="P183" s="125"/>
      <x:c r="Q183" s="125" t="str">
        <x:f>IF(A183="","",IF(K183="Yes","Review",IF(COUNTA(A183:I183)&gt;=8,"Ready","Partial")))</x:f>
      </x:c>
    </x:row>
    <x:row r="184">
      <x:c r="A184" s="125"/>
      <x:c r="B184" s="125"/>
      <x:c r="C184" s="125"/>
      <x:c r="D184" s="125"/>
      <x:c r="E184" s="125"/>
      <x:c r="F184" s="125"/>
      <x:c r="G184" s="125"/>
      <x:c r="H184" s="125"/>
      <x:c r="I184" s="125"/>
      <x:c r="J184" s="125"/>
      <x:c r="K184" s="125" t="str">
        <x:f>IF(A184="","",IF(J184="","No",IF(I184=J184,"No","Yes")))</x:f>
      </x:c>
      <x:c r="L184" s="125"/>
      <x:c r="M184" s="125"/>
      <x:c r="N184" s="125"/>
      <x:c r="O184" s="125"/>
      <x:c r="P184" s="125"/>
      <x:c r="Q184" s="125" t="str">
        <x:f>IF(A184="","",IF(K184="Yes","Review",IF(COUNTA(A184:I184)&gt;=8,"Ready","Partial")))</x:f>
      </x:c>
    </x:row>
    <x:row r="185">
      <x:c r="A185" s="125"/>
      <x:c r="B185" s="125"/>
      <x:c r="C185" s="125"/>
      <x:c r="D185" s="125"/>
      <x:c r="E185" s="125"/>
      <x:c r="F185" s="125"/>
      <x:c r="G185" s="125"/>
      <x:c r="H185" s="125"/>
      <x:c r="I185" s="125"/>
      <x:c r="J185" s="125"/>
      <x:c r="K185" s="125" t="str">
        <x:f>IF(A185="","",IF(J185="","No",IF(I185=J185,"No","Yes")))</x:f>
      </x:c>
      <x:c r="L185" s="125"/>
      <x:c r="M185" s="125"/>
      <x:c r="N185" s="125"/>
      <x:c r="O185" s="125"/>
      <x:c r="P185" s="125"/>
      <x:c r="Q185" s="125" t="str">
        <x:f>IF(A185="","",IF(K185="Yes","Review",IF(COUNTA(A185:I185)&gt;=8,"Ready","Partial")))</x:f>
      </x:c>
    </x:row>
    <x:row r="186">
      <x:c r="A186" s="125"/>
      <x:c r="B186" s="125"/>
      <x:c r="C186" s="125"/>
      <x:c r="D186" s="125"/>
      <x:c r="E186" s="125"/>
      <x:c r="F186" s="125"/>
      <x:c r="G186" s="125"/>
      <x:c r="H186" s="125"/>
      <x:c r="I186" s="125"/>
      <x:c r="J186" s="125"/>
      <x:c r="K186" s="125" t="str">
        <x:f>IF(A186="","",IF(J186="","No",IF(I186=J186,"No","Yes")))</x:f>
      </x:c>
      <x:c r="L186" s="125"/>
      <x:c r="M186" s="125"/>
      <x:c r="N186" s="125"/>
      <x:c r="O186" s="125"/>
      <x:c r="P186" s="125"/>
      <x:c r="Q186" s="125" t="str">
        <x:f>IF(A186="","",IF(K186="Yes","Review",IF(COUNTA(A186:I186)&gt;=8,"Ready","Partial")))</x:f>
      </x:c>
    </x:row>
    <x:row r="187">
      <x:c r="A187" s="125"/>
      <x:c r="B187" s="125"/>
      <x:c r="C187" s="125"/>
      <x:c r="D187" s="125"/>
      <x:c r="E187" s="125"/>
      <x:c r="F187" s="125"/>
      <x:c r="G187" s="125"/>
      <x:c r="H187" s="125"/>
      <x:c r="I187" s="125"/>
      <x:c r="J187" s="125"/>
      <x:c r="K187" s="125" t="str">
        <x:f>IF(A187="","",IF(J187="","No",IF(I187=J187,"No","Yes")))</x:f>
      </x:c>
      <x:c r="L187" s="125"/>
      <x:c r="M187" s="125"/>
      <x:c r="N187" s="125"/>
      <x:c r="O187" s="125"/>
      <x:c r="P187" s="125"/>
      <x:c r="Q187" s="125" t="str">
        <x:f>IF(A187="","",IF(K187="Yes","Review",IF(COUNTA(A187:I187)&gt;=8,"Ready","Partial")))</x:f>
      </x:c>
    </x:row>
    <x:row r="188">
      <x:c r="A188" s="125"/>
      <x:c r="B188" s="125"/>
      <x:c r="C188" s="125"/>
      <x:c r="D188" s="125"/>
      <x:c r="E188" s="125"/>
      <x:c r="F188" s="125"/>
      <x:c r="G188" s="125"/>
      <x:c r="H188" s="125"/>
      <x:c r="I188" s="125"/>
      <x:c r="J188" s="125"/>
      <x:c r="K188" s="125" t="str">
        <x:f>IF(A188="","",IF(J188="","No",IF(I188=J188,"No","Yes")))</x:f>
      </x:c>
      <x:c r="L188" s="125"/>
      <x:c r="M188" s="125"/>
      <x:c r="N188" s="125"/>
      <x:c r="O188" s="125"/>
      <x:c r="P188" s="125"/>
      <x:c r="Q188" s="125" t="str">
        <x:f>IF(A188="","",IF(K188="Yes","Review",IF(COUNTA(A188:I188)&gt;=8,"Ready","Partial")))</x:f>
      </x:c>
    </x:row>
    <x:row r="189">
      <x:c r="A189" s="125"/>
      <x:c r="B189" s="125"/>
      <x:c r="C189" s="125"/>
      <x:c r="D189" s="125"/>
      <x:c r="E189" s="125"/>
      <x:c r="F189" s="125"/>
      <x:c r="G189" s="125"/>
      <x:c r="H189" s="125"/>
      <x:c r="I189" s="125"/>
      <x:c r="J189" s="125"/>
      <x:c r="K189" s="125" t="str">
        <x:f>IF(A189="","",IF(J189="","No",IF(I189=J189,"No","Yes")))</x:f>
      </x:c>
      <x:c r="L189" s="125"/>
      <x:c r="M189" s="125"/>
      <x:c r="N189" s="125"/>
      <x:c r="O189" s="125"/>
      <x:c r="P189" s="125"/>
      <x:c r="Q189" s="125" t="str">
        <x:f>IF(A189="","",IF(K189="Yes","Review",IF(COUNTA(A189:I189)&gt;=8,"Ready","Partial")))</x:f>
      </x:c>
    </x:row>
    <x:row r="190">
      <x:c r="A190" s="125"/>
      <x:c r="B190" s="125"/>
      <x:c r="C190" s="125"/>
      <x:c r="D190" s="125"/>
      <x:c r="E190" s="125"/>
      <x:c r="F190" s="125"/>
      <x:c r="G190" s="125"/>
      <x:c r="H190" s="125"/>
      <x:c r="I190" s="125"/>
      <x:c r="J190" s="125"/>
      <x:c r="K190" s="125" t="str">
        <x:f>IF(A190="","",IF(J190="","No",IF(I190=J190,"No","Yes")))</x:f>
      </x:c>
      <x:c r="L190" s="125"/>
      <x:c r="M190" s="125"/>
      <x:c r="N190" s="125"/>
      <x:c r="O190" s="125"/>
      <x:c r="P190" s="125"/>
      <x:c r="Q190" s="125" t="str">
        <x:f>IF(A190="","",IF(K190="Yes","Review",IF(COUNTA(A190:I190)&gt;=8,"Ready","Partial")))</x:f>
      </x:c>
    </x:row>
    <x:row r="191">
      <x:c r="A191" s="125"/>
      <x:c r="B191" s="125"/>
      <x:c r="C191" s="125"/>
      <x:c r="D191" s="125"/>
      <x:c r="E191" s="125"/>
      <x:c r="F191" s="125"/>
      <x:c r="G191" s="125"/>
      <x:c r="H191" s="125"/>
      <x:c r="I191" s="125"/>
      <x:c r="J191" s="125"/>
      <x:c r="K191" s="125" t="str">
        <x:f>IF(A191="","",IF(J191="","No",IF(I191=J191,"No","Yes")))</x:f>
      </x:c>
      <x:c r="L191" s="125"/>
      <x:c r="M191" s="125"/>
      <x:c r="N191" s="125"/>
      <x:c r="O191" s="125"/>
      <x:c r="P191" s="125"/>
      <x:c r="Q191" s="125" t="str">
        <x:f>IF(A191="","",IF(K191="Yes","Review",IF(COUNTA(A191:I191)&gt;=8,"Ready","Partial")))</x:f>
      </x:c>
    </x:row>
    <x:row r="192">
      <x:c r="A192" s="125"/>
      <x:c r="B192" s="125"/>
      <x:c r="C192" s="125"/>
      <x:c r="D192" s="125"/>
      <x:c r="E192" s="125"/>
      <x:c r="F192" s="125"/>
      <x:c r="G192" s="125"/>
      <x:c r="H192" s="125"/>
      <x:c r="I192" s="125"/>
      <x:c r="J192" s="125"/>
      <x:c r="K192" s="125" t="str">
        <x:f>IF(A192="","",IF(J192="","No",IF(I192=J192,"No","Yes")))</x:f>
      </x:c>
      <x:c r="L192" s="125"/>
      <x:c r="M192" s="125"/>
      <x:c r="N192" s="125"/>
      <x:c r="O192" s="125"/>
      <x:c r="P192" s="125"/>
      <x:c r="Q192" s="125" t="str">
        <x:f>IF(A192="","",IF(K192="Yes","Review",IF(COUNTA(A192:I192)&gt;=8,"Ready","Partial")))</x:f>
      </x:c>
    </x:row>
    <x:row r="193">
      <x:c r="A193" s="125"/>
      <x:c r="B193" s="125"/>
      <x:c r="C193" s="125"/>
      <x:c r="D193" s="125"/>
      <x:c r="E193" s="125"/>
      <x:c r="F193" s="125"/>
      <x:c r="G193" s="125"/>
      <x:c r="H193" s="125"/>
      <x:c r="I193" s="125"/>
      <x:c r="J193" s="125"/>
      <x:c r="K193" s="125" t="str">
        <x:f>IF(A193="","",IF(J193="","No",IF(I193=J193,"No","Yes")))</x:f>
      </x:c>
      <x:c r="L193" s="125"/>
      <x:c r="M193" s="125"/>
      <x:c r="N193" s="125"/>
      <x:c r="O193" s="125"/>
      <x:c r="P193" s="125"/>
      <x:c r="Q193" s="125" t="str">
        <x:f>IF(A193="","",IF(K193="Yes","Review",IF(COUNTA(A193:I193)&gt;=8,"Ready","Partial")))</x:f>
      </x:c>
    </x:row>
    <x:row r="194">
      <x:c r="A194" s="125"/>
      <x:c r="B194" s="125"/>
      <x:c r="C194" s="125"/>
      <x:c r="D194" s="125"/>
      <x:c r="E194" s="125"/>
      <x:c r="F194" s="125"/>
      <x:c r="G194" s="125"/>
      <x:c r="H194" s="125"/>
      <x:c r="I194" s="125"/>
      <x:c r="J194" s="125"/>
      <x:c r="K194" s="125" t="str">
        <x:f>IF(A194="","",IF(J194="","No",IF(I194=J194,"No","Yes")))</x:f>
      </x:c>
      <x:c r="L194" s="125"/>
      <x:c r="M194" s="125"/>
      <x:c r="N194" s="125"/>
      <x:c r="O194" s="125"/>
      <x:c r="P194" s="125"/>
      <x:c r="Q194" s="125" t="str">
        <x:f>IF(A194="","",IF(K194="Yes","Review",IF(COUNTA(A194:I194)&gt;=8,"Ready","Partial")))</x:f>
      </x:c>
    </x:row>
    <x:row r="195">
      <x:c r="A195" s="125"/>
      <x:c r="B195" s="125"/>
      <x:c r="C195" s="125"/>
      <x:c r="D195" s="125"/>
      <x:c r="E195" s="125"/>
      <x:c r="F195" s="125"/>
      <x:c r="G195" s="125"/>
      <x:c r="H195" s="125"/>
      <x:c r="I195" s="125"/>
      <x:c r="J195" s="125"/>
      <x:c r="K195" s="125" t="str">
        <x:f>IF(A195="","",IF(J195="","No",IF(I195=J195,"No","Yes")))</x:f>
      </x:c>
      <x:c r="L195" s="125"/>
      <x:c r="M195" s="125"/>
      <x:c r="N195" s="125"/>
      <x:c r="O195" s="125"/>
      <x:c r="P195" s="125"/>
      <x:c r="Q195" s="125" t="str">
        <x:f>IF(A195="","",IF(K195="Yes","Review",IF(COUNTA(A195:I195)&gt;=8,"Ready","Partial")))</x:f>
      </x:c>
    </x:row>
    <x:row r="196">
      <x:c r="A196" s="125"/>
      <x:c r="B196" s="125"/>
      <x:c r="C196" s="125"/>
      <x:c r="D196" s="125"/>
      <x:c r="E196" s="125"/>
      <x:c r="F196" s="125"/>
      <x:c r="G196" s="125"/>
      <x:c r="H196" s="125"/>
      <x:c r="I196" s="125"/>
      <x:c r="J196" s="125"/>
      <x:c r="K196" s="125" t="str">
        <x:f>IF(A196="","",IF(J196="","No",IF(I196=J196,"No","Yes")))</x:f>
      </x:c>
      <x:c r="L196" s="125"/>
      <x:c r="M196" s="125"/>
      <x:c r="N196" s="125"/>
      <x:c r="O196" s="125"/>
      <x:c r="P196" s="125"/>
      <x:c r="Q196" s="125" t="str">
        <x:f>IF(A196="","",IF(K196="Yes","Review",IF(COUNTA(A196:I196)&gt;=8,"Ready","Partial")))</x:f>
      </x:c>
    </x:row>
    <x:row r="197">
      <x:c r="A197" s="125"/>
      <x:c r="B197" s="125"/>
      <x:c r="C197" s="125"/>
      <x:c r="D197" s="125"/>
      <x:c r="E197" s="125"/>
      <x:c r="F197" s="125"/>
      <x:c r="G197" s="125"/>
      <x:c r="H197" s="125"/>
      <x:c r="I197" s="125"/>
      <x:c r="J197" s="125"/>
      <x:c r="K197" s="125" t="str">
        <x:f>IF(A197="","",IF(J197="","No",IF(I197=J197,"No","Yes")))</x:f>
      </x:c>
      <x:c r="L197" s="125"/>
      <x:c r="M197" s="125"/>
      <x:c r="N197" s="125"/>
      <x:c r="O197" s="125"/>
      <x:c r="P197" s="125"/>
      <x:c r="Q197" s="125" t="str">
        <x:f>IF(A197="","",IF(K197="Yes","Review",IF(COUNTA(A197:I197)&gt;=8,"Ready","Partial")))</x:f>
      </x:c>
    </x:row>
    <x:row r="198">
      <x:c r="A198" s="125"/>
      <x:c r="B198" s="125"/>
      <x:c r="C198" s="125"/>
      <x:c r="D198" s="125"/>
      <x:c r="E198" s="125"/>
      <x:c r="F198" s="125"/>
      <x:c r="G198" s="125"/>
      <x:c r="H198" s="125"/>
      <x:c r="I198" s="125"/>
      <x:c r="J198" s="125"/>
      <x:c r="K198" s="125" t="str">
        <x:f>IF(A198="","",IF(J198="","No",IF(I198=J198,"No","Yes")))</x:f>
      </x:c>
      <x:c r="L198" s="125"/>
      <x:c r="M198" s="125"/>
      <x:c r="N198" s="125"/>
      <x:c r="O198" s="125"/>
      <x:c r="P198" s="125"/>
      <x:c r="Q198" s="125" t="str">
        <x:f>IF(A198="","",IF(K198="Yes","Review",IF(COUNTA(A198:I198)&gt;=8,"Ready","Partial")))</x:f>
      </x:c>
    </x:row>
    <x:row r="199">
      <x:c r="A199" s="125"/>
      <x:c r="B199" s="125"/>
      <x:c r="C199" s="125"/>
      <x:c r="D199" s="125"/>
      <x:c r="E199" s="125"/>
      <x:c r="F199" s="125"/>
      <x:c r="G199" s="125"/>
      <x:c r="H199" s="125"/>
      <x:c r="I199" s="125"/>
      <x:c r="J199" s="125"/>
      <x:c r="K199" s="125" t="str">
        <x:f>IF(A199="","",IF(J199="","No",IF(I199=J199,"No","Yes")))</x:f>
      </x:c>
      <x:c r="L199" s="125"/>
      <x:c r="M199" s="125"/>
      <x:c r="N199" s="125"/>
      <x:c r="O199" s="125"/>
      <x:c r="P199" s="125"/>
      <x:c r="Q199" s="125" t="str">
        <x:f>IF(A199="","",IF(K199="Yes","Review",IF(COUNTA(A199:I199)&gt;=8,"Ready","Partial")))</x:f>
      </x:c>
    </x:row>
    <x:row r="200">
      <x:c r="A200" s="125"/>
      <x:c r="B200" s="125"/>
      <x:c r="C200" s="125"/>
      <x:c r="D200" s="125"/>
      <x:c r="E200" s="125"/>
      <x:c r="F200" s="125"/>
      <x:c r="G200" s="125"/>
      <x:c r="H200" s="125"/>
      <x:c r="I200" s="125"/>
      <x:c r="J200" s="125"/>
      <x:c r="K200" s="125" t="str">
        <x:f>IF(A200="","",IF(J200="","No",IF(I200=J200,"No","Yes")))</x:f>
      </x:c>
      <x:c r="L200" s="125"/>
      <x:c r="M200" s="125"/>
      <x:c r="N200" s="125"/>
      <x:c r="O200" s="125"/>
      <x:c r="P200" s="125"/>
      <x:c r="Q200" s="125" t="str">
        <x:f>IF(A200="","",IF(K200="Yes","Review",IF(COUNTA(A200:I200)&gt;=8,"Ready","Partial")))</x:f>
      </x:c>
    </x:row>
    <x:row r="201">
      <x:c r="A201" s="125"/>
      <x:c r="B201" s="125"/>
      <x:c r="C201" s="125"/>
      <x:c r="D201" s="125"/>
      <x:c r="E201" s="125"/>
      <x:c r="F201" s="125"/>
      <x:c r="G201" s="125"/>
      <x:c r="H201" s="125"/>
      <x:c r="I201" s="125"/>
      <x:c r="J201" s="125"/>
      <x:c r="K201" s="125" t="str">
        <x:f>IF(A201="","",IF(J201="","No",IF(I201=J201,"No","Yes")))</x:f>
      </x:c>
      <x:c r="L201" s="125"/>
      <x:c r="M201" s="125"/>
      <x:c r="N201" s="125"/>
      <x:c r="O201" s="125"/>
      <x:c r="P201" s="125"/>
      <x:c r="Q201" s="125" t="str">
        <x:f>IF(A201="","",IF(K201="Yes","Review",IF(COUNTA(A201:I201)&gt;=8,"Ready","Partial")))</x:f>
      </x:c>
    </x:row>
    <x:row r="202">
      <x:c r="A202" s="125"/>
      <x:c r="B202" s="125"/>
      <x:c r="C202" s="125"/>
      <x:c r="D202" s="125"/>
      <x:c r="E202" s="125"/>
      <x:c r="F202" s="125"/>
      <x:c r="G202" s="125"/>
      <x:c r="H202" s="125"/>
      <x:c r="I202" s="125"/>
      <x:c r="J202" s="125"/>
      <x:c r="K202" s="125" t="str">
        <x:f>IF(A202="","",IF(J202="","No",IF(I202=J202,"No","Yes")))</x:f>
      </x:c>
      <x:c r="L202" s="125"/>
      <x:c r="M202" s="125"/>
      <x:c r="N202" s="125"/>
      <x:c r="O202" s="125"/>
      <x:c r="P202" s="125"/>
      <x:c r="Q202" s="125" t="str">
        <x:f>IF(A202="","",IF(K202="Yes","Review",IF(COUNTA(A202:I202)&gt;=8,"Ready","Partial")))</x:f>
      </x:c>
    </x:row>
    <x:row r="203">
      <x:c r="A203" s="125"/>
      <x:c r="B203" s="125"/>
      <x:c r="C203" s="125"/>
      <x:c r="D203" s="125"/>
      <x:c r="E203" s="125"/>
      <x:c r="F203" s="125"/>
      <x:c r="G203" s="125"/>
      <x:c r="H203" s="125"/>
      <x:c r="I203" s="125"/>
      <x:c r="J203" s="125"/>
      <x:c r="K203" s="125" t="str">
        <x:f>IF(A203="","",IF(J203="","No",IF(I203=J203,"No","Yes")))</x:f>
      </x:c>
      <x:c r="L203" s="125"/>
      <x:c r="M203" s="125"/>
      <x:c r="N203" s="125"/>
      <x:c r="O203" s="125"/>
      <x:c r="P203" s="125"/>
      <x:c r="Q203" s="125" t="str">
        <x:f>IF(A203="","",IF(K203="Yes","Review",IF(COUNTA(A203:I203)&gt;=8,"Ready","Partial")))</x:f>
      </x:c>
    </x:row>
    <x:row r="204">
      <x:c r="A204" s="125"/>
      <x:c r="B204" s="125"/>
      <x:c r="C204" s="125"/>
      <x:c r="D204" s="125"/>
      <x:c r="E204" s="125"/>
      <x:c r="F204" s="125"/>
      <x:c r="G204" s="125"/>
      <x:c r="H204" s="125"/>
      <x:c r="I204" s="125"/>
      <x:c r="J204" s="125"/>
      <x:c r="K204" s="125" t="str">
        <x:f>IF(A204="","",IF(J204="","No",IF(I204=J204,"No","Yes")))</x:f>
      </x:c>
      <x:c r="L204" s="125"/>
      <x:c r="M204" s="125"/>
      <x:c r="N204" s="125"/>
      <x:c r="O204" s="125"/>
      <x:c r="P204" s="125"/>
      <x:c r="Q204" s="125" t="str">
        <x:f>IF(A204="","",IF(K204="Yes","Review",IF(COUNTA(A204:I204)&gt;=8,"Ready","Partial")))</x:f>
      </x:c>
    </x:row>
    <x:row r="205">
      <x:c r="A205" s="125"/>
      <x:c r="B205" s="125"/>
      <x:c r="C205" s="125"/>
      <x:c r="D205" s="125"/>
      <x:c r="E205" s="125"/>
      <x:c r="F205" s="125"/>
      <x:c r="G205" s="125"/>
      <x:c r="H205" s="125"/>
      <x:c r="I205" s="125"/>
      <x:c r="J205" s="125"/>
      <x:c r="K205" s="125" t="str">
        <x:f>IF(A205="","",IF(J205="","No",IF(I205=J205,"No","Yes")))</x:f>
      </x:c>
      <x:c r="L205" s="125"/>
      <x:c r="M205" s="125"/>
      <x:c r="N205" s="125"/>
      <x:c r="O205" s="125"/>
      <x:c r="P205" s="125"/>
      <x:c r="Q205" s="125" t="str">
        <x:f>IF(A205="","",IF(K205="Yes","Review",IF(COUNTA(A205:I205)&gt;=8,"Ready","Partial")))</x:f>
      </x:c>
    </x:row>
    <x:row r="206">
      <x:c r="A206" s="125"/>
      <x:c r="B206" s="125"/>
      <x:c r="C206" s="125"/>
      <x:c r="D206" s="125"/>
      <x:c r="E206" s="125"/>
      <x:c r="F206" s="125"/>
      <x:c r="G206" s="125"/>
      <x:c r="H206" s="125"/>
      <x:c r="I206" s="125"/>
      <x:c r="J206" s="125"/>
      <x:c r="K206" s="125" t="str">
        <x:f>IF(A206="","",IF(J206="","No",IF(I206=J206,"No","Yes")))</x:f>
      </x:c>
      <x:c r="L206" s="125"/>
      <x:c r="M206" s="125"/>
      <x:c r="N206" s="125"/>
      <x:c r="O206" s="125"/>
      <x:c r="P206" s="125"/>
      <x:c r="Q206" s="125" t="str">
        <x:f>IF(A206="","",IF(K206="Yes","Review",IF(COUNTA(A206:I206)&gt;=8,"Ready","Partial")))</x:f>
      </x:c>
    </x:row>
    <x:row r="207">
      <x:c r="A207" s="125"/>
      <x:c r="B207" s="125"/>
      <x:c r="C207" s="125"/>
      <x:c r="D207" s="125"/>
      <x:c r="E207" s="125"/>
      <x:c r="F207" s="125"/>
      <x:c r="G207" s="125"/>
      <x:c r="H207" s="125"/>
      <x:c r="I207" s="125"/>
      <x:c r="J207" s="125"/>
      <x:c r="K207" s="125"/>
      <x:c r="L207" s="125"/>
      <x:c r="M207" s="125"/>
      <x:c r="N207" s="125"/>
      <x:c r="O207" s="125"/>
      <x:c r="P207" s="125"/>
      <x:c r="Q207" s="125"/>
    </x:row>
    <x:row r="208">
      <x:c r="A208" s="125"/>
      <x:c r="B208" s="125"/>
      <x:c r="C208" s="125"/>
      <x:c r="D208" s="125"/>
      <x:c r="E208" s="125"/>
      <x:c r="F208" s="125"/>
      <x:c r="G208" s="125"/>
      <x:c r="H208" s="125"/>
      <x:c r="I208" s="125"/>
      <x:c r="J208" s="125"/>
      <x:c r="K208" s="125"/>
      <x:c r="L208" s="125"/>
      <x:c r="M208" s="125"/>
      <x:c r="N208" s="125"/>
      <x:c r="O208" s="125"/>
      <x:c r="P208" s="125"/>
      <x:c r="Q208" s="125"/>
    </x:row>
    <x:row r="209">
      <x:c r="A209" s="125"/>
      <x:c r="B209" s="125"/>
      <x:c r="C209" s="125"/>
      <x:c r="D209" s="125"/>
      <x:c r="E209" s="125"/>
      <x:c r="F209" s="125"/>
      <x:c r="G209" s="125"/>
      <x:c r="H209" s="125"/>
      <x:c r="I209" s="125"/>
      <x:c r="J209" s="125"/>
      <x:c r="K209" s="125"/>
      <x:c r="L209" s="125"/>
      <x:c r="M209" s="125"/>
      <x:c r="N209" s="125"/>
      <x:c r="O209" s="125"/>
      <x:c r="P209" s="125"/>
      <x:c r="Q209" s="125"/>
    </x:row>
    <x:row r="210">
      <x:c r="A210" s="125"/>
      <x:c r="B210" s="125"/>
      <x:c r="C210" s="125"/>
      <x:c r="D210" s="125"/>
      <x:c r="E210" s="125"/>
      <x:c r="F210" s="125"/>
      <x:c r="G210" s="125"/>
      <x:c r="H210" s="125"/>
      <x:c r="I210" s="125"/>
      <x:c r="J210" s="125"/>
      <x:c r="K210" s="125"/>
      <x:c r="L210" s="125"/>
      <x:c r="M210" s="125"/>
      <x:c r="N210" s="125"/>
      <x:c r="O210" s="125"/>
      <x:c r="P210" s="125"/>
      <x:c r="Q210" s="125"/>
    </x:row>
    <x:row r="211">
      <x:c r="A211" s="125"/>
      <x:c r="B211" s="125"/>
      <x:c r="C211" s="125"/>
      <x:c r="D211" s="125"/>
      <x:c r="E211" s="125"/>
      <x:c r="F211" s="125"/>
      <x:c r="G211" s="125"/>
      <x:c r="H211" s="125"/>
      <x:c r="I211" s="125"/>
      <x:c r="J211" s="125"/>
      <x:c r="K211" s="125"/>
      <x:c r="L211" s="125"/>
      <x:c r="M211" s="125"/>
      <x:c r="N211" s="125"/>
      <x:c r="O211" s="125"/>
      <x:c r="P211" s="125"/>
      <x:c r="Q211" s="125"/>
    </x:row>
    <x:row r="212">
      <x:c r="A212" s="125"/>
      <x:c r="B212" s="125"/>
      <x:c r="C212" s="125"/>
      <x:c r="D212" s="125"/>
      <x:c r="E212" s="125"/>
      <x:c r="F212" s="125"/>
      <x:c r="G212" s="125"/>
      <x:c r="H212" s="125"/>
      <x:c r="I212" s="125"/>
      <x:c r="J212" s="125"/>
      <x:c r="K212" s="125"/>
      <x:c r="L212" s="125"/>
      <x:c r="M212" s="125"/>
      <x:c r="N212" s="125"/>
      <x:c r="O212" s="125"/>
      <x:c r="P212" s="125"/>
      <x:c r="Q212" s="125"/>
    </x:row>
    <x:row r="213">
      <x:c r="A213" s="125"/>
      <x:c r="B213" s="125"/>
      <x:c r="C213" s="125"/>
      <x:c r="D213" s="125"/>
      <x:c r="E213" s="125"/>
      <x:c r="F213" s="125"/>
      <x:c r="G213" s="125"/>
      <x:c r="H213" s="125"/>
      <x:c r="I213" s="125"/>
      <x:c r="J213" s="125"/>
      <x:c r="K213" s="125"/>
      <x:c r="L213" s="125"/>
      <x:c r="M213" s="125"/>
      <x:c r="N213" s="125"/>
      <x:c r="O213" s="125"/>
      <x:c r="P213" s="125"/>
      <x:c r="Q213" s="125"/>
    </x:row>
    <x:row r="214">
      <x:c r="A214" s="125"/>
      <x:c r="B214" s="125"/>
      <x:c r="C214" s="125"/>
      <x:c r="D214" s="125"/>
      <x:c r="E214" s="125"/>
      <x:c r="F214" s="125"/>
      <x:c r="G214" s="125"/>
      <x:c r="H214" s="125"/>
      <x:c r="I214" s="125"/>
      <x:c r="J214" s="125"/>
      <x:c r="K214" s="125"/>
      <x:c r="L214" s="125"/>
      <x:c r="M214" s="125"/>
      <x:c r="N214" s="125"/>
      <x:c r="O214" s="125"/>
      <x:c r="P214" s="125"/>
      <x:c r="Q214" s="125"/>
    </x:row>
    <x:row r="215">
      <x:c r="A215" s="125"/>
      <x:c r="B215" s="125"/>
      <x:c r="C215" s="125"/>
      <x:c r="D215" s="125"/>
      <x:c r="E215" s="125"/>
      <x:c r="F215" s="125"/>
      <x:c r="G215" s="125"/>
      <x:c r="H215" s="125"/>
      <x:c r="I215" s="125"/>
      <x:c r="J215" s="125"/>
      <x:c r="K215" s="125"/>
      <x:c r="L215" s="125"/>
      <x:c r="M215" s="125"/>
      <x:c r="N215" s="125"/>
      <x:c r="O215" s="125"/>
      <x:c r="P215" s="125"/>
      <x:c r="Q215" s="125"/>
    </x:row>
    <x:row r="216">
      <x:c r="A216" s="125"/>
      <x:c r="B216" s="125"/>
      <x:c r="C216" s="125"/>
      <x:c r="D216" s="125"/>
      <x:c r="E216" s="125"/>
      <x:c r="F216" s="125"/>
      <x:c r="G216" s="125"/>
      <x:c r="H216" s="125"/>
      <x:c r="I216" s="125"/>
      <x:c r="J216" s="125"/>
      <x:c r="K216" s="125"/>
      <x:c r="L216" s="125"/>
      <x:c r="M216" s="125"/>
      <x:c r="N216" s="125"/>
      <x:c r="O216" s="125"/>
      <x:c r="P216" s="125"/>
      <x:c r="Q216" s="125"/>
    </x:row>
    <x:row r="217">
      <x:c r="A217" s="125"/>
      <x:c r="B217" s="125"/>
      <x:c r="C217" s="125"/>
      <x:c r="D217" s="125"/>
      <x:c r="E217" s="125"/>
      <x:c r="F217" s="125"/>
      <x:c r="G217" s="125"/>
      <x:c r="H217" s="125"/>
      <x:c r="I217" s="125"/>
      <x:c r="J217" s="125"/>
      <x:c r="K217" s="125"/>
      <x:c r="L217" s="125"/>
      <x:c r="M217" s="125"/>
      <x:c r="N217" s="125"/>
      <x:c r="O217" s="125"/>
      <x:c r="P217" s="125"/>
      <x:c r="Q217" s="125"/>
    </x:row>
    <x:row r="218">
      <x:c r="A218" s="125"/>
      <x:c r="B218" s="125"/>
      <x:c r="C218" s="125"/>
      <x:c r="D218" s="125"/>
      <x:c r="E218" s="125"/>
      <x:c r="F218" s="125"/>
      <x:c r="G218" s="125"/>
      <x:c r="H218" s="125"/>
      <x:c r="I218" s="125"/>
      <x:c r="J218" s="125"/>
      <x:c r="K218" s="125"/>
      <x:c r="L218" s="125"/>
      <x:c r="M218" s="125"/>
      <x:c r="N218" s="125"/>
      <x:c r="O218" s="125"/>
      <x:c r="P218" s="125"/>
      <x:c r="Q218" s="125"/>
    </x:row>
    <x:row r="219">
      <x:c r="A219" s="125"/>
      <x:c r="B219" s="125"/>
      <x:c r="C219" s="125"/>
      <x:c r="D219" s="125"/>
      <x:c r="E219" s="125"/>
      <x:c r="F219" s="125"/>
      <x:c r="G219" s="125"/>
      <x:c r="H219" s="125"/>
      <x:c r="I219" s="125"/>
      <x:c r="J219" s="125"/>
      <x:c r="K219" s="125"/>
      <x:c r="L219" s="125"/>
      <x:c r="M219" s="125"/>
      <x:c r="N219" s="125"/>
      <x:c r="O219" s="125"/>
      <x:c r="P219" s="125"/>
      <x:c r="Q219" s="125"/>
    </x:row>
    <x:row r="220">
      <x:c r="A220" s="125"/>
      <x:c r="B220" s="125"/>
      <x:c r="C220" s="125"/>
      <x:c r="D220" s="125"/>
      <x:c r="E220" s="125"/>
      <x:c r="F220" s="125"/>
      <x:c r="G220" s="125"/>
      <x:c r="H220" s="125"/>
      <x:c r="I220" s="125"/>
      <x:c r="J220" s="125"/>
      <x:c r="K220" s="125"/>
      <x:c r="L220" s="125"/>
      <x:c r="M220" s="125"/>
      <x:c r="N220" s="125"/>
      <x:c r="O220" s="125"/>
      <x:c r="P220" s="125"/>
      <x:c r="Q220" s="125"/>
    </x:row>
    <x:row r="221">
      <x:c r="A221" s="125"/>
      <x:c r="B221" s="125"/>
      <x:c r="C221" s="125"/>
      <x:c r="D221" s="125"/>
      <x:c r="E221" s="125"/>
      <x:c r="F221" s="125"/>
      <x:c r="G221" s="125"/>
      <x:c r="H221" s="125"/>
      <x:c r="I221" s="125"/>
      <x:c r="J221" s="125"/>
      <x:c r="K221" s="125"/>
      <x:c r="L221" s="125"/>
      <x:c r="M221" s="125"/>
      <x:c r="N221" s="125"/>
      <x:c r="O221" s="125"/>
      <x:c r="P221" s="125"/>
      <x:c r="Q221" s="125"/>
    </x:row>
    <x:row r="222">
      <x:c r="A222" s="125"/>
      <x:c r="B222" s="125"/>
      <x:c r="C222" s="125"/>
      <x:c r="D222" s="125"/>
      <x:c r="E222" s="125"/>
      <x:c r="F222" s="125"/>
      <x:c r="G222" s="125"/>
      <x:c r="H222" s="125"/>
      <x:c r="I222" s="125"/>
      <x:c r="J222" s="125"/>
      <x:c r="K222" s="125"/>
      <x:c r="L222" s="125"/>
      <x:c r="M222" s="125"/>
      <x:c r="N222" s="125"/>
      <x:c r="O222" s="125"/>
      <x:c r="P222" s="125"/>
      <x:c r="Q222" s="125"/>
    </x:row>
    <x:row r="223">
      <x:c r="A223" s="125"/>
      <x:c r="B223" s="125"/>
      <x:c r="C223" s="125"/>
      <x:c r="D223" s="125"/>
      <x:c r="E223" s="125"/>
      <x:c r="F223" s="125"/>
      <x:c r="G223" s="125"/>
      <x:c r="H223" s="125"/>
      <x:c r="I223" s="125"/>
      <x:c r="J223" s="125"/>
      <x:c r="K223" s="125"/>
      <x:c r="L223" s="125"/>
      <x:c r="M223" s="125"/>
      <x:c r="N223" s="125"/>
      <x:c r="O223" s="125"/>
      <x:c r="P223" s="125"/>
      <x:c r="Q223" s="125"/>
    </x:row>
    <x:row r="224">
      <x:c r="A224" s="125"/>
      <x:c r="B224" s="125"/>
      <x:c r="C224" s="125"/>
      <x:c r="D224" s="125"/>
      <x:c r="E224" s="125"/>
      <x:c r="F224" s="125"/>
      <x:c r="G224" s="125"/>
      <x:c r="H224" s="125"/>
      <x:c r="I224" s="125"/>
      <x:c r="J224" s="125"/>
      <x:c r="K224" s="125"/>
      <x:c r="L224" s="125"/>
      <x:c r="M224" s="125"/>
      <x:c r="N224" s="125"/>
      <x:c r="O224" s="125"/>
      <x:c r="P224" s="125"/>
      <x:c r="Q224" s="125"/>
    </x:row>
    <x:row r="225">
      <x:c r="A225" s="125"/>
      <x:c r="B225" s="125"/>
      <x:c r="C225" s="125"/>
      <x:c r="D225" s="125"/>
      <x:c r="E225" s="125"/>
      <x:c r="F225" s="125"/>
      <x:c r="G225" s="125"/>
      <x:c r="H225" s="125"/>
      <x:c r="I225" s="125"/>
      <x:c r="J225" s="125"/>
      <x:c r="K225" s="125"/>
      <x:c r="L225" s="125"/>
      <x:c r="M225" s="125"/>
      <x:c r="N225" s="125"/>
      <x:c r="O225" s="125"/>
      <x:c r="P225" s="125"/>
      <x:c r="Q225" s="125"/>
    </x:row>
    <x:row r="226">
      <x:c r="A226" s="125"/>
      <x:c r="B226" s="125"/>
      <x:c r="C226" s="125"/>
      <x:c r="D226" s="125"/>
      <x:c r="E226" s="125"/>
      <x:c r="F226" s="125"/>
      <x:c r="G226" s="125"/>
      <x:c r="H226" s="125"/>
      <x:c r="I226" s="125"/>
      <x:c r="J226" s="125"/>
      <x:c r="K226" s="125"/>
      <x:c r="L226" s="125"/>
      <x:c r="M226" s="125"/>
      <x:c r="N226" s="125"/>
      <x:c r="O226" s="125"/>
      <x:c r="P226" s="125"/>
      <x:c r="Q226" s="125"/>
    </x:row>
    <x:row r="227">
      <x:c r="A227" s="125"/>
      <x:c r="B227" s="125"/>
      <x:c r="C227" s="125"/>
      <x:c r="D227" s="125"/>
      <x:c r="E227" s="125"/>
      <x:c r="F227" s="125"/>
      <x:c r="G227" s="125"/>
      <x:c r="H227" s="125"/>
      <x:c r="I227" s="125"/>
      <x:c r="J227" s="125"/>
      <x:c r="K227" s="125"/>
      <x:c r="L227" s="125"/>
      <x:c r="M227" s="125"/>
      <x:c r="N227" s="125"/>
      <x:c r="O227" s="125"/>
      <x:c r="P227" s="125"/>
      <x:c r="Q227" s="125"/>
    </x:row>
    <x:row r="228">
      <x:c r="A228" s="125"/>
      <x:c r="B228" s="125"/>
      <x:c r="C228" s="125"/>
      <x:c r="D228" s="125"/>
      <x:c r="E228" s="125"/>
      <x:c r="F228" s="125"/>
      <x:c r="G228" s="125"/>
      <x:c r="H228" s="125"/>
      <x:c r="I228" s="125"/>
      <x:c r="J228" s="125"/>
      <x:c r="K228" s="125"/>
      <x:c r="L228" s="125"/>
      <x:c r="M228" s="125"/>
      <x:c r="N228" s="125"/>
      <x:c r="O228" s="125"/>
      <x:c r="P228" s="125"/>
      <x:c r="Q228" s="125"/>
    </x:row>
    <x:row r="229">
      <x:c r="A229" s="125"/>
      <x:c r="B229" s="125"/>
      <x:c r="C229" s="125"/>
      <x:c r="D229" s="125"/>
      <x:c r="E229" s="125"/>
      <x:c r="F229" s="125"/>
      <x:c r="G229" s="125"/>
      <x:c r="H229" s="125"/>
      <x:c r="I229" s="125"/>
      <x:c r="J229" s="125"/>
      <x:c r="K229" s="125"/>
      <x:c r="L229" s="125"/>
      <x:c r="M229" s="125"/>
      <x:c r="N229" s="125"/>
      <x:c r="O229" s="125"/>
      <x:c r="P229" s="125"/>
      <x:c r="Q229" s="125"/>
    </x:row>
    <x:row r="230">
      <x:c r="A230" s="125"/>
      <x:c r="B230" s="125"/>
      <x:c r="C230" s="125"/>
      <x:c r="D230" s="125"/>
      <x:c r="E230" s="125"/>
      <x:c r="F230" s="125"/>
      <x:c r="G230" s="125"/>
      <x:c r="H230" s="125"/>
      <x:c r="I230" s="125"/>
      <x:c r="J230" s="125"/>
      <x:c r="K230" s="125"/>
      <x:c r="L230" s="125"/>
      <x:c r="M230" s="125"/>
      <x:c r="N230" s="125"/>
      <x:c r="O230" s="125"/>
      <x:c r="P230" s="125"/>
      <x:c r="Q230" s="125"/>
    </x:row>
    <x:row r="231">
      <x:c r="A231" s="125"/>
      <x:c r="B231" s="125"/>
      <x:c r="C231" s="125"/>
      <x:c r="D231" s="125"/>
      <x:c r="E231" s="125"/>
      <x:c r="F231" s="125"/>
      <x:c r="G231" s="125"/>
      <x:c r="H231" s="125"/>
      <x:c r="I231" s="125"/>
      <x:c r="J231" s="125"/>
      <x:c r="K231" s="125"/>
      <x:c r="L231" s="125"/>
      <x:c r="M231" s="125"/>
      <x:c r="N231" s="125"/>
      <x:c r="O231" s="125"/>
      <x:c r="P231" s="125"/>
      <x:c r="Q231" s="125"/>
    </x:row>
    <x:row r="232">
      <x:c r="A232" s="125"/>
      <x:c r="B232" s="125"/>
      <x:c r="C232" s="125"/>
      <x:c r="D232" s="125"/>
      <x:c r="E232" s="125"/>
      <x:c r="F232" s="125"/>
      <x:c r="G232" s="125"/>
      <x:c r="H232" s="125"/>
      <x:c r="I232" s="125"/>
      <x:c r="J232" s="125"/>
      <x:c r="K232" s="125"/>
      <x:c r="L232" s="125"/>
      <x:c r="M232" s="125"/>
      <x:c r="N232" s="125"/>
      <x:c r="O232" s="125"/>
      <x:c r="P232" s="125"/>
      <x:c r="Q232" s="125"/>
    </x:row>
    <x:row r="233">
      <x:c r="A233" s="125"/>
      <x:c r="B233" s="125"/>
      <x:c r="C233" s="125"/>
      <x:c r="D233" s="125"/>
      <x:c r="E233" s="125"/>
      <x:c r="F233" s="125"/>
      <x:c r="G233" s="125"/>
      <x:c r="H233" s="125"/>
      <x:c r="I233" s="125"/>
      <x:c r="J233" s="125"/>
      <x:c r="K233" s="125"/>
      <x:c r="L233" s="125"/>
      <x:c r="M233" s="125"/>
      <x:c r="N233" s="125"/>
      <x:c r="O233" s="125"/>
      <x:c r="P233" s="125"/>
      <x:c r="Q233" s="125"/>
    </x:row>
    <x:row r="234">
      <x:c r="A234" s="125"/>
      <x:c r="B234" s="125"/>
      <x:c r="C234" s="125"/>
      <x:c r="D234" s="125"/>
      <x:c r="E234" s="125"/>
      <x:c r="F234" s="125"/>
      <x:c r="G234" s="125"/>
      <x:c r="H234" s="125"/>
      <x:c r="I234" s="125"/>
      <x:c r="J234" s="125"/>
      <x:c r="K234" s="125"/>
      <x:c r="L234" s="125"/>
      <x:c r="M234" s="125"/>
      <x:c r="N234" s="125"/>
      <x:c r="O234" s="125"/>
      <x:c r="P234" s="125"/>
      <x:c r="Q234" s="125"/>
    </x:row>
    <x:row r="235">
      <x:c r="A235" s="125"/>
      <x:c r="B235" s="125"/>
      <x:c r="C235" s="125"/>
      <x:c r="D235" s="125"/>
      <x:c r="E235" s="125"/>
      <x:c r="F235" s="125"/>
      <x:c r="G235" s="125"/>
      <x:c r="H235" s="125"/>
      <x:c r="I235" s="125"/>
      <x:c r="J235" s="125"/>
      <x:c r="K235" s="125"/>
      <x:c r="L235" s="125"/>
      <x:c r="M235" s="125"/>
      <x:c r="N235" s="125"/>
      <x:c r="O235" s="125"/>
      <x:c r="P235" s="125"/>
      <x:c r="Q235" s="125"/>
    </x:row>
    <x:row r="236">
      <x:c r="A236" s="125"/>
      <x:c r="B236" s="125"/>
      <x:c r="C236" s="125"/>
      <x:c r="D236" s="125"/>
      <x:c r="E236" s="125"/>
      <x:c r="F236" s="125"/>
      <x:c r="G236" s="125"/>
      <x:c r="H236" s="125"/>
      <x:c r="I236" s="125"/>
      <x:c r="J236" s="125"/>
      <x:c r="K236" s="125"/>
      <x:c r="L236" s="125"/>
      <x:c r="M236" s="125"/>
      <x:c r="N236" s="125"/>
      <x:c r="O236" s="125"/>
      <x:c r="P236" s="125"/>
      <x:c r="Q236" s="125"/>
    </x:row>
    <x:row r="237">
      <x:c r="A237" s="125"/>
      <x:c r="B237" s="125"/>
      <x:c r="C237" s="125"/>
      <x:c r="D237" s="125"/>
      <x:c r="E237" s="125"/>
      <x:c r="F237" s="125"/>
      <x:c r="G237" s="125"/>
      <x:c r="H237" s="125"/>
      <x:c r="I237" s="125"/>
      <x:c r="J237" s="125"/>
      <x:c r="K237" s="125"/>
      <x:c r="L237" s="125"/>
      <x:c r="M237" s="125"/>
      <x:c r="N237" s="125"/>
      <x:c r="O237" s="125"/>
      <x:c r="P237" s="125"/>
      <x:c r="Q237" s="125"/>
    </x:row>
    <x:row r="238">
      <x:c r="A238" s="125"/>
      <x:c r="B238" s="125"/>
      <x:c r="C238" s="125"/>
      <x:c r="D238" s="125"/>
      <x:c r="E238" s="125"/>
      <x:c r="F238" s="125"/>
      <x:c r="G238" s="125"/>
      <x:c r="H238" s="125"/>
      <x:c r="I238" s="125"/>
      <x:c r="J238" s="125"/>
      <x:c r="K238" s="125"/>
      <x:c r="L238" s="125"/>
      <x:c r="M238" s="125"/>
      <x:c r="N238" s="125"/>
      <x:c r="O238" s="125"/>
      <x:c r="P238" s="125"/>
      <x:c r="Q238" s="125"/>
    </x:row>
    <x:row r="239">
      <x:c r="A239" s="125"/>
      <x:c r="B239" s="125"/>
      <x:c r="C239" s="125"/>
      <x:c r="D239" s="125"/>
      <x:c r="E239" s="125"/>
      <x:c r="F239" s="125"/>
      <x:c r="G239" s="125"/>
      <x:c r="H239" s="125"/>
      <x:c r="I239" s="125"/>
      <x:c r="J239" s="125"/>
      <x:c r="K239" s="125"/>
      <x:c r="L239" s="125"/>
      <x:c r="M239" s="125"/>
      <x:c r="N239" s="125"/>
      <x:c r="O239" s="125"/>
      <x:c r="P239" s="125"/>
      <x:c r="Q239" s="125"/>
    </x:row>
    <x:row r="240">
      <x:c r="A240" s="125"/>
      <x:c r="B240" s="125"/>
      <x:c r="C240" s="125"/>
      <x:c r="D240" s="125"/>
      <x:c r="E240" s="125"/>
      <x:c r="F240" s="125"/>
      <x:c r="G240" s="125"/>
      <x:c r="H240" s="125"/>
      <x:c r="I240" s="125"/>
      <x:c r="J240" s="125"/>
      <x:c r="K240" s="125"/>
      <x:c r="L240" s="125"/>
      <x:c r="M240" s="125"/>
      <x:c r="N240" s="125"/>
      <x:c r="O240" s="125"/>
      <x:c r="P240" s="125"/>
      <x:c r="Q240" s="125"/>
    </x:row>
    <x:row r="241">
      <x:c r="A241" s="125"/>
      <x:c r="B241" s="125"/>
      <x:c r="C241" s="125"/>
      <x:c r="D241" s="125"/>
      <x:c r="E241" s="125"/>
      <x:c r="F241" s="125"/>
      <x:c r="G241" s="125"/>
      <x:c r="H241" s="125"/>
      <x:c r="I241" s="125"/>
      <x:c r="J241" s="125"/>
      <x:c r="K241" s="125"/>
      <x:c r="L241" s="125"/>
      <x:c r="M241" s="125"/>
      <x:c r="N241" s="125"/>
      <x:c r="O241" s="125"/>
      <x:c r="P241" s="125"/>
      <x:c r="Q241" s="125"/>
    </x:row>
    <x:row r="242">
      <x:c r="A242" s="125"/>
      <x:c r="B242" s="125"/>
      <x:c r="C242" s="125"/>
      <x:c r="D242" s="125"/>
      <x:c r="E242" s="125"/>
      <x:c r="F242" s="125"/>
      <x:c r="G242" s="125"/>
      <x:c r="H242" s="125"/>
      <x:c r="I242" s="125"/>
      <x:c r="J242" s="125"/>
      <x:c r="K242" s="125"/>
      <x:c r="L242" s="125"/>
      <x:c r="M242" s="125"/>
      <x:c r="N242" s="125"/>
      <x:c r="O242" s="125"/>
      <x:c r="P242" s="125"/>
      <x:c r="Q242" s="125"/>
    </x:row>
    <x:row r="243">
      <x:c r="A243" s="125"/>
      <x:c r="B243" s="125"/>
      <x:c r="C243" s="125"/>
      <x:c r="D243" s="125"/>
      <x:c r="E243" s="125"/>
      <x:c r="F243" s="125"/>
      <x:c r="G243" s="125"/>
      <x:c r="H243" s="125"/>
      <x:c r="I243" s="125"/>
      <x:c r="J243" s="125"/>
      <x:c r="K243" s="125"/>
      <x:c r="L243" s="125"/>
      <x:c r="M243" s="125"/>
      <x:c r="N243" s="125"/>
      <x:c r="O243" s="125"/>
      <x:c r="P243" s="125"/>
      <x:c r="Q243" s="125"/>
    </x:row>
    <x:row r="244">
      <x:c r="A244" s="125"/>
      <x:c r="B244" s="125"/>
      <x:c r="C244" s="125"/>
      <x:c r="D244" s="125"/>
      <x:c r="E244" s="125"/>
      <x:c r="F244" s="125"/>
      <x:c r="G244" s="125"/>
      <x:c r="H244" s="125"/>
      <x:c r="I244" s="125"/>
      <x:c r="J244" s="125"/>
      <x:c r="K244" s="125"/>
      <x:c r="L244" s="125"/>
      <x:c r="M244" s="125"/>
      <x:c r="N244" s="125"/>
      <x:c r="O244" s="125"/>
      <x:c r="P244" s="125"/>
      <x:c r="Q244" s="125"/>
    </x:row>
    <x:row r="245">
      <x:c r="A245" s="125"/>
      <x:c r="B245" s="125"/>
      <x:c r="C245" s="125"/>
      <x:c r="D245" s="125"/>
      <x:c r="E245" s="125"/>
      <x:c r="F245" s="125"/>
      <x:c r="G245" s="125"/>
      <x:c r="H245" s="125"/>
      <x:c r="I245" s="125"/>
      <x:c r="J245" s="125"/>
      <x:c r="K245" s="125"/>
      <x:c r="L245" s="125"/>
      <x:c r="M245" s="125"/>
      <x:c r="N245" s="125"/>
      <x:c r="O245" s="125"/>
      <x:c r="P245" s="125"/>
      <x:c r="Q245" s="125"/>
    </x:row>
    <x:row r="246">
      <x:c r="A246" s="125"/>
      <x:c r="B246" s="125"/>
      <x:c r="C246" s="125"/>
      <x:c r="D246" s="125"/>
      <x:c r="E246" s="125"/>
      <x:c r="F246" s="125"/>
      <x:c r="G246" s="125"/>
      <x:c r="H246" s="125"/>
      <x:c r="I246" s="125"/>
      <x:c r="J246" s="125"/>
      <x:c r="K246" s="125"/>
      <x:c r="L246" s="125"/>
      <x:c r="M246" s="125"/>
      <x:c r="N246" s="125"/>
      <x:c r="O246" s="125"/>
      <x:c r="P246" s="125"/>
      <x:c r="Q246" s="125"/>
    </x:row>
    <x:row r="247">
      <x:c r="A247" s="125"/>
      <x:c r="B247" s="125"/>
      <x:c r="C247" s="125"/>
      <x:c r="D247" s="125"/>
      <x:c r="E247" s="125"/>
      <x:c r="F247" s="125"/>
      <x:c r="G247" s="125"/>
      <x:c r="H247" s="125"/>
      <x:c r="I247" s="125"/>
      <x:c r="J247" s="125"/>
      <x:c r="K247" s="125"/>
      <x:c r="L247" s="125"/>
      <x:c r="M247" s="125"/>
      <x:c r="N247" s="125"/>
      <x:c r="O247" s="125"/>
      <x:c r="P247" s="125"/>
      <x:c r="Q247" s="125"/>
    </x:row>
    <x:row r="248">
      <x:c r="A248" s="125"/>
      <x:c r="B248" s="125"/>
      <x:c r="C248" s="125"/>
      <x:c r="D248" s="125"/>
      <x:c r="E248" s="125"/>
      <x:c r="F248" s="125"/>
      <x:c r="G248" s="125"/>
      <x:c r="H248" s="125"/>
      <x:c r="I248" s="125"/>
      <x:c r="J248" s="125"/>
      <x:c r="K248" s="125"/>
      <x:c r="L248" s="125"/>
      <x:c r="M248" s="125"/>
      <x:c r="N248" s="125"/>
      <x:c r="O248" s="125"/>
      <x:c r="P248" s="125"/>
      <x:c r="Q248" s="125"/>
    </x:row>
    <x:row r="249">
      <x:c r="A249" s="125"/>
      <x:c r="B249" s="125"/>
      <x:c r="C249" s="125"/>
      <x:c r="D249" s="125"/>
      <x:c r="E249" s="125"/>
      <x:c r="F249" s="125"/>
      <x:c r="G249" s="125"/>
      <x:c r="H249" s="125"/>
      <x:c r="I249" s="125"/>
      <x:c r="J249" s="125"/>
      <x:c r="K249" s="125"/>
      <x:c r="L249" s="125"/>
      <x:c r="M249" s="125"/>
      <x:c r="N249" s="125"/>
      <x:c r="O249" s="125"/>
      <x:c r="P249" s="125"/>
      <x:c r="Q249" s="125"/>
    </x:row>
    <x:row r="250">
      <x:c r="A250" s="125"/>
      <x:c r="B250" s="125"/>
      <x:c r="C250" s="125"/>
      <x:c r="D250" s="125"/>
      <x:c r="E250" s="125"/>
      <x:c r="F250" s="125"/>
      <x:c r="G250" s="125"/>
      <x:c r="H250" s="125"/>
      <x:c r="I250" s="125"/>
      <x:c r="J250" s="125"/>
      <x:c r="K250" s="125"/>
      <x:c r="L250" s="125"/>
      <x:c r="M250" s="125"/>
      <x:c r="N250" s="125"/>
      <x:c r="O250" s="125"/>
      <x:c r="P250" s="125"/>
      <x:c r="Q250" s="125"/>
    </x:row>
  </x:sheetData>
  <x:mergeCells>
    <x:mergeCell ref="A1:Q1"/>
    <x:mergeCell ref="A2:Q2"/>
  </x:mergeCells>
  <x:dataValidations count="4">
    <x:dataValidation type="list" sqref="D7:D206">
      <x:formula1>_LISTS!$B$2:$B$5</x:formula1>
    </x:dataValidation>
    <x:dataValidation type="list" sqref="E7:E206">
      <x:formula1>_LISTS!$A$2:$A$3</x:formula1>
    </x:dataValidation>
    <x:dataValidation type="list" sqref="K7:K206">
      <x:formula1>_LISTS!$I$2:$I$4</x:formula1>
    </x:dataValidation>
    <x:dataValidation type="list" sqref="N7:N206">
      <x:formula1>_LISTS!$C$2:$C$7</x:formula1>
    </x:dataValidation>
  </x:dataValidations>
  <x:pageMargins left="0.7" right="0.7" top="0.75" bottom="0.75" header="0.3" footer="0.3"/>
</x:worksheet>
</file>

<file path=xl/worksheets/sheet8.xml><?xml version="1.0" encoding="utf-8"?>
<x:worksheet xmlns:x="http://schemas.openxmlformats.org/spreadsheetml/2006/main">
  <x:sheetFormatPr defaultRowHeight="15"/>
  <x:cols>
    <x:col min="1" max="1" width="12" hidden="0" customWidth="1"/>
    <x:col min="2" max="2" width="12" hidden="0" customWidth="1"/>
    <x:col min="3" max="3" width="28" hidden="0" customWidth="1"/>
    <x:col min="4" max="4" width="18" hidden="0" customWidth="1"/>
    <x:col min="5" max="5" width="14" hidden="0" customWidth="1"/>
    <x:col min="6" max="6" width="14" hidden="0" customWidth="1"/>
    <x:col min="7" max="7" width="18" hidden="0" customWidth="1"/>
    <x:col min="8" max="8" width="12" hidden="0" customWidth="1"/>
    <x:col min="9" max="9" width="16" hidden="0" customWidth="1"/>
    <x:col min="10" max="10" width="14" hidden="0" customWidth="1"/>
    <x:col min="11" max="11" width="16" hidden="0" customWidth="1"/>
    <x:col min="12" max="12" width="16" hidden="0" customWidth="1"/>
    <x:col min="13" max="13" width="16" hidden="0" customWidth="1"/>
    <x:col min="14" max="14" width="14" hidden="0" customWidth="1"/>
    <x:col min="15" max="15" width="24" hidden="0" customWidth="1"/>
  </x:cols>
  <x:sheetData>
    <x:row r="1" ht="24" customHeight="1">
      <x:c r="A1" s="200" t="str">
        <x:v>DATA_UNIT_MIX — Unit Mix / Affordability Inputs</x:v>
      </x:c>
      <x:c r="B1" s="198"/>
      <x:c r="C1" s="198"/>
      <x:c r="D1" s="198"/>
      <x:c r="E1" s="198"/>
      <x:c r="F1" s="198"/>
      <x:c r="G1" s="198"/>
      <x:c r="H1" s="198"/>
      <x:c r="I1" s="198"/>
      <x:c r="J1" s="198"/>
      <x:c r="K1" s="198"/>
      <x:c r="L1" s="125"/>
      <x:c r="M1" s="125"/>
      <x:c r="N1" s="125"/>
      <x:c r="O1" s="125"/>
      <x:c r="P1" s="125"/>
      <x:c r="Q1" s="125"/>
    </x:row>
    <x:row r="2" ht="34" customHeight="1">
      <x:c r="A2" s="126" t="str">
        <x:v>Blue cells are writable input zones. This tab mirrors v12 canonical input logic and remains separate from live calculations until mapped. Blank template: populate blue/orange cells for a new organization; formulas remain live.</x:v>
      </x:c>
      <x:c r="B2" s="125"/>
      <x:c r="C2" s="125"/>
      <x:c r="D2" s="125"/>
      <x:c r="E2" s="125"/>
      <x:c r="F2" s="125"/>
      <x:c r="G2" s="125"/>
      <x:c r="H2" s="125"/>
      <x:c r="I2" s="125"/>
      <x:c r="J2" s="125"/>
      <x:c r="K2" s="125"/>
      <x:c r="L2" s="125"/>
      <x:c r="M2" s="125"/>
      <x:c r="N2" s="125"/>
      <x:c r="O2" s="125"/>
      <x:c r="P2" s="125"/>
      <x:c r="Q2" s="125"/>
    </x:row>
    <x:row r="3">
      <x:c r="A3" s="125"/>
      <x:c r="B3" s="125"/>
      <x:c r="C3" s="125"/>
      <x:c r="D3" s="125"/>
      <x:c r="E3" s="125"/>
      <x:c r="F3" s="125"/>
      <x:c r="G3" s="125"/>
      <x:c r="H3" s="125"/>
      <x:c r="I3" s="125"/>
      <x:c r="J3" s="125"/>
      <x:c r="K3" s="125"/>
      <x:c r="L3" s="125"/>
      <x:c r="M3" s="125"/>
      <x:c r="N3" s="125"/>
      <x:c r="O3" s="125"/>
      <x:c r="P3" s="125"/>
      <x:c r="Q3" s="125"/>
    </x:row>
    <x:row r="4">
      <x:c r="A4" s="125"/>
      <x:c r="B4" s="125"/>
      <x:c r="C4" s="125"/>
      <x:c r="D4" s="125"/>
      <x:c r="E4" s="125"/>
      <x:c r="F4" s="125"/>
      <x:c r="G4" s="125"/>
      <x:c r="H4" s="125"/>
      <x:c r="I4" s="125"/>
      <x:c r="J4" s="125"/>
      <x:c r="K4" s="125"/>
      <x:c r="L4" s="125"/>
      <x:c r="M4" s="125"/>
      <x:c r="N4" s="125"/>
      <x:c r="O4" s="125"/>
      <x:c r="P4" s="125"/>
      <x:c r="Q4" s="125"/>
    </x:row>
    <x:row r="5">
      <x:c r="A5" s="125"/>
      <x:c r="B5" s="125"/>
      <x:c r="C5" s="125"/>
      <x:c r="D5" s="125"/>
      <x:c r="E5" s="125"/>
      <x:c r="F5" s="125"/>
      <x:c r="G5" s="125"/>
      <x:c r="H5" s="125"/>
      <x:c r="I5" s="125"/>
      <x:c r="J5" s="125"/>
      <x:c r="K5" s="125"/>
      <x:c r="L5" s="125"/>
      <x:c r="M5" s="125"/>
      <x:c r="N5" s="125"/>
      <x:c r="O5" s="125"/>
      <x:c r="P5" s="125"/>
      <x:c r="Q5" s="125"/>
    </x:row>
    <x:row r="6" ht="26" customHeight="1">
      <x:c r="A6" s="127" t="str">
        <x:v>Record_ID</x:v>
      </x:c>
      <x:c r="B6" s="127" t="str">
        <x:v>Property_ID</x:v>
      </x:c>
      <x:c r="C6" s="127" t="str">
        <x:v>Property_Name</x:v>
      </x:c>
      <x:c r="D6" s="127" t="str">
        <x:v>Unit_Group_ID</x:v>
      </x:c>
      <x:c r="E6" s="127" t="str">
        <x:v>Bedroom_Type</x:v>
      </x:c>
      <x:c r="F6" s="127" t="str">
        <x:v>Unit_Type</x:v>
      </x:c>
      <x:c r="G6" s="127" t="str">
        <x:v>Affordability_Band</x:v>
      </x:c>
      <x:c r="H6" s="127" t="str">
        <x:v>Unit_Count</x:v>
      </x:c>
      <x:c r="I6" s="127" t="str">
        <x:v>Affordable_Units</x:v>
      </x:c>
      <x:c r="J6" s="127" t="str">
        <x:v>Market_Units</x:v>
      </x:c>
      <x:c r="K6" s="127" t="str">
        <x:v>Supportive_Units</x:v>
      </x:c>
      <x:c r="L6" s="127" t="str">
        <x:v>Avg_Current_Rent</x:v>
      </x:c>
      <x:c r="M6" s="127" t="str">
        <x:v>Avg_Market_Rent</x:v>
      </x:c>
      <x:c r="N6" s="127" t="str">
        <x:v>Source_File_ID</x:v>
      </x:c>
      <x:c r="O6" s="127" t="str">
        <x:v>Review_Status</x:v>
      </x:c>
      <x:c r="P6" s="125"/>
      <x:c r="Q6" s="125"/>
    </x:row>
    <x:row r="7">
      <x:c r="A7" s="128"/>
      <x:c r="B7" s="128"/>
      <x:c r="C7" s="128"/>
      <x:c r="D7" s="128"/>
      <x:c r="E7" s="128"/>
      <x:c r="F7" s="128"/>
      <x:c r="G7" s="128"/>
      <x:c r="H7" s="128"/>
      <x:c r="I7" s="128"/>
      <x:c r="J7" s="128"/>
      <x:c r="K7" s="128"/>
      <x:c r="L7" s="128"/>
      <x:c r="M7" s="128"/>
      <x:c r="N7" s="128"/>
      <x:c r="O7" s="128"/>
      <x:c r="P7" s="125"/>
      <x:c r="Q7" s="125"/>
    </x:row>
    <x:row r="8">
      <x:c r="A8" s="128"/>
      <x:c r="B8" s="128"/>
      <x:c r="C8" s="128"/>
      <x:c r="D8" s="128"/>
      <x:c r="E8" s="128"/>
      <x:c r="F8" s="128"/>
      <x:c r="G8" s="128"/>
      <x:c r="H8" s="128"/>
      <x:c r="I8" s="128"/>
      <x:c r="J8" s="128"/>
      <x:c r="K8" s="128"/>
      <x:c r="L8" s="128"/>
      <x:c r="M8" s="128"/>
      <x:c r="N8" s="128"/>
      <x:c r="O8" s="128"/>
      <x:c r="P8" s="125"/>
      <x:c r="Q8" s="125"/>
    </x:row>
    <x:row r="9">
      <x:c r="A9" s="128"/>
      <x:c r="B9" s="128"/>
      <x:c r="C9" s="128"/>
      <x:c r="D9" s="128"/>
      <x:c r="E9" s="128"/>
      <x:c r="F9" s="128"/>
      <x:c r="G9" s="128"/>
      <x:c r="H9" s="128"/>
      <x:c r="I9" s="128"/>
      <x:c r="J9" s="128"/>
      <x:c r="K9" s="128"/>
      <x:c r="L9" s="128"/>
      <x:c r="M9" s="128"/>
      <x:c r="N9" s="128"/>
      <x:c r="O9" s="128"/>
      <x:c r="P9" s="125"/>
      <x:c r="Q9" s="125"/>
    </x:row>
    <x:row r="10">
      <x:c r="A10" s="128"/>
      <x:c r="B10" s="128"/>
      <x:c r="C10" s="128"/>
      <x:c r="D10" s="128"/>
      <x:c r="E10" s="128"/>
      <x:c r="F10" s="128"/>
      <x:c r="G10" s="128"/>
      <x:c r="H10" s="128"/>
      <x:c r="I10" s="128"/>
      <x:c r="J10" s="128"/>
      <x:c r="K10" s="128"/>
      <x:c r="L10" s="128"/>
      <x:c r="M10" s="128"/>
      <x:c r="N10" s="128"/>
      <x:c r="O10" s="128"/>
      <x:c r="P10" s="125"/>
      <x:c r="Q10" s="125"/>
    </x:row>
    <x:row r="11">
      <x:c r="A11" s="128"/>
      <x:c r="B11" s="128"/>
      <x:c r="C11" s="128"/>
      <x:c r="D11" s="128"/>
      <x:c r="E11" s="128"/>
      <x:c r="F11" s="128"/>
      <x:c r="G11" s="128"/>
      <x:c r="H11" s="128"/>
      <x:c r="I11" s="128"/>
      <x:c r="J11" s="128"/>
      <x:c r="K11" s="128"/>
      <x:c r="L11" s="128"/>
      <x:c r="M11" s="128"/>
      <x:c r="N11" s="128"/>
      <x:c r="O11" s="128"/>
      <x:c r="P11" s="125"/>
      <x:c r="Q11" s="125"/>
    </x:row>
    <x:row r="12">
      <x:c r="A12" s="128"/>
      <x:c r="B12" s="128"/>
      <x:c r="C12" s="128"/>
      <x:c r="D12" s="128"/>
      <x:c r="E12" s="128"/>
      <x:c r="F12" s="128"/>
      <x:c r="G12" s="128"/>
      <x:c r="H12" s="128"/>
      <x:c r="I12" s="128"/>
      <x:c r="J12" s="128"/>
      <x:c r="K12" s="128"/>
      <x:c r="L12" s="128"/>
      <x:c r="M12" s="128"/>
      <x:c r="N12" s="128"/>
      <x:c r="O12" s="128"/>
      <x:c r="P12" s="125"/>
      <x:c r="Q12" s="125"/>
    </x:row>
    <x:row r="13">
      <x:c r="A13" s="128"/>
      <x:c r="B13" s="128"/>
      <x:c r="C13" s="128"/>
      <x:c r="D13" s="128"/>
      <x:c r="E13" s="128"/>
      <x:c r="F13" s="128"/>
      <x:c r="G13" s="128"/>
      <x:c r="H13" s="128"/>
      <x:c r="I13" s="128"/>
      <x:c r="J13" s="128"/>
      <x:c r="K13" s="128"/>
      <x:c r="L13" s="128"/>
      <x:c r="M13" s="128"/>
      <x:c r="N13" s="128"/>
      <x:c r="O13" s="128"/>
      <x:c r="P13" s="125"/>
      <x:c r="Q13" s="125"/>
    </x:row>
    <x:row r="14">
      <x:c r="A14" s="128"/>
      <x:c r="B14" s="128"/>
      <x:c r="C14" s="128"/>
      <x:c r="D14" s="128"/>
      <x:c r="E14" s="128"/>
      <x:c r="F14" s="128"/>
      <x:c r="G14" s="128"/>
      <x:c r="H14" s="128"/>
      <x:c r="I14" s="128"/>
      <x:c r="J14" s="128"/>
      <x:c r="K14" s="128"/>
      <x:c r="L14" s="128"/>
      <x:c r="M14" s="128"/>
      <x:c r="N14" s="128"/>
      <x:c r="O14" s="128"/>
      <x:c r="P14" s="125"/>
      <x:c r="Q14" s="125"/>
    </x:row>
    <x:row r="15">
      <x:c r="A15" s="128"/>
      <x:c r="B15" s="128"/>
      <x:c r="C15" s="128"/>
      <x:c r="D15" s="128"/>
      <x:c r="E15" s="128"/>
      <x:c r="F15" s="128"/>
      <x:c r="G15" s="128"/>
      <x:c r="H15" s="128"/>
      <x:c r="I15" s="128"/>
      <x:c r="J15" s="128"/>
      <x:c r="K15" s="128"/>
      <x:c r="L15" s="128"/>
      <x:c r="M15" s="128"/>
      <x:c r="N15" s="128"/>
      <x:c r="O15" s="128"/>
      <x:c r="P15" s="125"/>
      <x:c r="Q15" s="125"/>
    </x:row>
    <x:row r="16">
      <x:c r="A16" s="128"/>
      <x:c r="B16" s="128"/>
      <x:c r="C16" s="128"/>
      <x:c r="D16" s="128"/>
      <x:c r="E16" s="128"/>
      <x:c r="F16" s="128"/>
      <x:c r="G16" s="128"/>
      <x:c r="H16" s="128"/>
      <x:c r="I16" s="128"/>
      <x:c r="J16" s="128"/>
      <x:c r="K16" s="128"/>
      <x:c r="L16" s="128"/>
      <x:c r="M16" s="128"/>
      <x:c r="N16" s="128"/>
      <x:c r="O16" s="128"/>
      <x:c r="P16" s="125"/>
      <x:c r="Q16" s="125"/>
    </x:row>
    <x:row r="17">
      <x:c r="A17" s="128"/>
      <x:c r="B17" s="128"/>
      <x:c r="C17" s="128"/>
      <x:c r="D17" s="128"/>
      <x:c r="E17" s="128"/>
      <x:c r="F17" s="128"/>
      <x:c r="G17" s="128"/>
      <x:c r="H17" s="128"/>
      <x:c r="I17" s="128"/>
      <x:c r="J17" s="128"/>
      <x:c r="K17" s="128"/>
      <x:c r="L17" s="128"/>
      <x:c r="M17" s="128"/>
      <x:c r="N17" s="128"/>
      <x:c r="O17" s="128"/>
      <x:c r="P17" s="125"/>
      <x:c r="Q17" s="125"/>
    </x:row>
    <x:row r="18">
      <x:c r="A18" s="128"/>
      <x:c r="B18" s="128"/>
      <x:c r="C18" s="128"/>
      <x:c r="D18" s="128"/>
      <x:c r="E18" s="128"/>
      <x:c r="F18" s="128"/>
      <x:c r="G18" s="128"/>
      <x:c r="H18" s="128"/>
      <x:c r="I18" s="128"/>
      <x:c r="J18" s="128"/>
      <x:c r="K18" s="128"/>
      <x:c r="L18" s="128"/>
      <x:c r="M18" s="128"/>
      <x:c r="N18" s="128"/>
      <x:c r="O18" s="128"/>
      <x:c r="P18" s="125"/>
      <x:c r="Q18" s="125"/>
    </x:row>
    <x:row r="19">
      <x:c r="A19" s="128"/>
      <x:c r="B19" s="128"/>
      <x:c r="C19" s="128"/>
      <x:c r="D19" s="128"/>
      <x:c r="E19" s="128"/>
      <x:c r="F19" s="128"/>
      <x:c r="G19" s="128"/>
      <x:c r="H19" s="128"/>
      <x:c r="I19" s="128"/>
      <x:c r="J19" s="128"/>
      <x:c r="K19" s="128"/>
      <x:c r="L19" s="128"/>
      <x:c r="M19" s="128"/>
      <x:c r="N19" s="128"/>
      <x:c r="O19" s="128"/>
      <x:c r="P19" s="125"/>
      <x:c r="Q19" s="125"/>
    </x:row>
    <x:row r="20">
      <x:c r="A20" s="128"/>
      <x:c r="B20" s="128"/>
      <x:c r="C20" s="128"/>
      <x:c r="D20" s="128"/>
      <x:c r="E20" s="128"/>
      <x:c r="F20" s="128"/>
      <x:c r="G20" s="128"/>
      <x:c r="H20" s="128"/>
      <x:c r="I20" s="128"/>
      <x:c r="J20" s="128"/>
      <x:c r="K20" s="128"/>
      <x:c r="L20" s="128"/>
      <x:c r="M20" s="128"/>
      <x:c r="N20" s="128"/>
      <x:c r="O20" s="128"/>
      <x:c r="P20" s="125"/>
      <x:c r="Q20" s="125"/>
    </x:row>
    <x:row r="21">
      <x:c r="A21" s="128"/>
      <x:c r="B21" s="128"/>
      <x:c r="C21" s="128"/>
      <x:c r="D21" s="128"/>
      <x:c r="E21" s="128"/>
      <x:c r="F21" s="128"/>
      <x:c r="G21" s="128"/>
      <x:c r="H21" s="128"/>
      <x:c r="I21" s="128"/>
      <x:c r="J21" s="128"/>
      <x:c r="K21" s="128"/>
      <x:c r="L21" s="128"/>
      <x:c r="M21" s="128"/>
      <x:c r="N21" s="128"/>
      <x:c r="O21" s="128"/>
      <x:c r="P21" s="125"/>
      <x:c r="Q21" s="125"/>
    </x:row>
    <x:row r="22">
      <x:c r="A22" s="128"/>
      <x:c r="B22" s="128"/>
      <x:c r="C22" s="128"/>
      <x:c r="D22" s="128"/>
      <x:c r="E22" s="128"/>
      <x:c r="F22" s="128"/>
      <x:c r="G22" s="128"/>
      <x:c r="H22" s="128"/>
      <x:c r="I22" s="128"/>
      <x:c r="J22" s="128"/>
      <x:c r="K22" s="128"/>
      <x:c r="L22" s="128"/>
      <x:c r="M22" s="128"/>
      <x:c r="N22" s="128"/>
      <x:c r="O22" s="128"/>
      <x:c r="P22" s="125"/>
      <x:c r="Q22" s="125"/>
    </x:row>
    <x:row r="23">
      <x:c r="A23" s="128"/>
      <x:c r="B23" s="128"/>
      <x:c r="C23" s="128"/>
      <x:c r="D23" s="128"/>
      <x:c r="E23" s="128"/>
      <x:c r="F23" s="128"/>
      <x:c r="G23" s="128"/>
      <x:c r="H23" s="128"/>
      <x:c r="I23" s="128"/>
      <x:c r="J23" s="128"/>
      <x:c r="K23" s="128"/>
      <x:c r="L23" s="128"/>
      <x:c r="M23" s="128"/>
      <x:c r="N23" s="128"/>
      <x:c r="O23" s="128"/>
      <x:c r="P23" s="125"/>
      <x:c r="Q23" s="125"/>
    </x:row>
    <x:row r="24">
      <x:c r="A24" s="128"/>
      <x:c r="B24" s="128"/>
      <x:c r="C24" s="128"/>
      <x:c r="D24" s="128"/>
      <x:c r="E24" s="128"/>
      <x:c r="F24" s="128"/>
      <x:c r="G24" s="128"/>
      <x:c r="H24" s="128"/>
      <x:c r="I24" s="128"/>
      <x:c r="J24" s="128"/>
      <x:c r="K24" s="128"/>
      <x:c r="L24" s="128"/>
      <x:c r="M24" s="128"/>
      <x:c r="N24" s="128"/>
      <x:c r="O24" s="128"/>
      <x:c r="P24" s="125"/>
      <x:c r="Q24" s="125"/>
    </x:row>
    <x:row r="25">
      <x:c r="A25" s="128"/>
      <x:c r="B25" s="128"/>
      <x:c r="C25" s="128"/>
      <x:c r="D25" s="128"/>
      <x:c r="E25" s="128"/>
      <x:c r="F25" s="128"/>
      <x:c r="G25" s="128"/>
      <x:c r="H25" s="128"/>
      <x:c r="I25" s="128"/>
      <x:c r="J25" s="128"/>
      <x:c r="K25" s="128"/>
      <x:c r="L25" s="128"/>
      <x:c r="M25" s="128"/>
      <x:c r="N25" s="128"/>
      <x:c r="O25" s="128"/>
      <x:c r="P25" s="125"/>
      <x:c r="Q25" s="125"/>
    </x:row>
    <x:row r="26">
      <x:c r="A26" s="128"/>
      <x:c r="B26" s="128"/>
      <x:c r="C26" s="128"/>
      <x:c r="D26" s="128"/>
      <x:c r="E26" s="128"/>
      <x:c r="F26" s="128"/>
      <x:c r="G26" s="128"/>
      <x:c r="H26" s="128"/>
      <x:c r="I26" s="128"/>
      <x:c r="J26" s="128"/>
      <x:c r="K26" s="128"/>
      <x:c r="L26" s="128"/>
      <x:c r="M26" s="128"/>
      <x:c r="N26" s="128"/>
      <x:c r="O26" s="128"/>
      <x:c r="P26" s="125"/>
      <x:c r="Q26" s="125"/>
    </x:row>
    <x:row r="27">
      <x:c r="A27" s="128"/>
      <x:c r="B27" s="128"/>
      <x:c r="C27" s="128"/>
      <x:c r="D27" s="128"/>
      <x:c r="E27" s="128"/>
      <x:c r="F27" s="128"/>
      <x:c r="G27" s="128"/>
      <x:c r="H27" s="128"/>
      <x:c r="I27" s="128"/>
      <x:c r="J27" s="128"/>
      <x:c r="K27" s="128"/>
      <x:c r="L27" s="128"/>
      <x:c r="M27" s="128"/>
      <x:c r="N27" s="128"/>
      <x:c r="O27" s="128"/>
      <x:c r="P27" s="125"/>
      <x:c r="Q27" s="125"/>
    </x:row>
    <x:row r="28">
      <x:c r="A28" s="128"/>
      <x:c r="B28" s="128"/>
      <x:c r="C28" s="128"/>
      <x:c r="D28" s="128"/>
      <x:c r="E28" s="128"/>
      <x:c r="F28" s="128"/>
      <x:c r="G28" s="128"/>
      <x:c r="H28" s="128"/>
      <x:c r="I28" s="128"/>
      <x:c r="J28" s="128"/>
      <x:c r="K28" s="128"/>
      <x:c r="L28" s="128"/>
      <x:c r="M28" s="128"/>
      <x:c r="N28" s="128"/>
      <x:c r="O28" s="128"/>
      <x:c r="P28" s="125"/>
      <x:c r="Q28" s="125"/>
    </x:row>
    <x:row r="29">
      <x:c r="A29" s="128"/>
      <x:c r="B29" s="128"/>
      <x:c r="C29" s="128"/>
      <x:c r="D29" s="128"/>
      <x:c r="E29" s="128"/>
      <x:c r="F29" s="128"/>
      <x:c r="G29" s="128"/>
      <x:c r="H29" s="128"/>
      <x:c r="I29" s="128"/>
      <x:c r="J29" s="128"/>
      <x:c r="K29" s="128"/>
      <x:c r="L29" s="128"/>
      <x:c r="M29" s="128"/>
      <x:c r="N29" s="128"/>
      <x:c r="O29" s="128"/>
      <x:c r="P29" s="125"/>
      <x:c r="Q29" s="125"/>
    </x:row>
    <x:row r="30">
      <x:c r="A30" s="128"/>
      <x:c r="B30" s="128"/>
      <x:c r="C30" s="128"/>
      <x:c r="D30" s="128"/>
      <x:c r="E30" s="128"/>
      <x:c r="F30" s="128"/>
      <x:c r="G30" s="128"/>
      <x:c r="H30" s="128"/>
      <x:c r="I30" s="128"/>
      <x:c r="J30" s="128"/>
      <x:c r="K30" s="128"/>
      <x:c r="L30" s="128"/>
      <x:c r="M30" s="128"/>
      <x:c r="N30" s="128"/>
      <x:c r="O30" s="128"/>
      <x:c r="P30" s="125"/>
      <x:c r="Q30" s="125"/>
    </x:row>
    <x:row r="31">
      <x:c r="A31" s="128"/>
      <x:c r="B31" s="128"/>
      <x:c r="C31" s="128"/>
      <x:c r="D31" s="128"/>
      <x:c r="E31" s="128"/>
      <x:c r="F31" s="128"/>
      <x:c r="G31" s="128"/>
      <x:c r="H31" s="128"/>
      <x:c r="I31" s="128"/>
      <x:c r="J31" s="128"/>
      <x:c r="K31" s="128"/>
      <x:c r="L31" s="128"/>
      <x:c r="M31" s="128"/>
      <x:c r="N31" s="128"/>
      <x:c r="O31" s="128"/>
      <x:c r="P31" s="125"/>
      <x:c r="Q31" s="125"/>
    </x:row>
    <x:row r="32">
      <x:c r="A32" s="128"/>
      <x:c r="B32" s="128"/>
      <x:c r="C32" s="128"/>
      <x:c r="D32" s="128"/>
      <x:c r="E32" s="128"/>
      <x:c r="F32" s="128"/>
      <x:c r="G32" s="128"/>
      <x:c r="H32" s="128"/>
      <x:c r="I32" s="128"/>
      <x:c r="J32" s="128"/>
      <x:c r="K32" s="128"/>
      <x:c r="L32" s="128"/>
      <x:c r="M32" s="128"/>
      <x:c r="N32" s="128"/>
      <x:c r="O32" s="128"/>
      <x:c r="P32" s="125"/>
      <x:c r="Q32" s="125"/>
    </x:row>
    <x:row r="33">
      <x:c r="A33" s="128"/>
      <x:c r="B33" s="128"/>
      <x:c r="C33" s="128"/>
      <x:c r="D33" s="128"/>
      <x:c r="E33" s="128"/>
      <x:c r="F33" s="128"/>
      <x:c r="G33" s="128"/>
      <x:c r="H33" s="128"/>
      <x:c r="I33" s="128"/>
      <x:c r="J33" s="128"/>
      <x:c r="K33" s="128"/>
      <x:c r="L33" s="128"/>
      <x:c r="M33" s="128"/>
      <x:c r="N33" s="128"/>
      <x:c r="O33" s="128"/>
      <x:c r="P33" s="125"/>
      <x:c r="Q33" s="125"/>
    </x:row>
    <x:row r="34">
      <x:c r="A34" s="128"/>
      <x:c r="B34" s="128"/>
      <x:c r="C34" s="128"/>
      <x:c r="D34" s="128"/>
      <x:c r="E34" s="128"/>
      <x:c r="F34" s="128"/>
      <x:c r="G34" s="128"/>
      <x:c r="H34" s="128"/>
      <x:c r="I34" s="128"/>
      <x:c r="J34" s="128"/>
      <x:c r="K34" s="128"/>
      <x:c r="L34" s="128"/>
      <x:c r="M34" s="128"/>
      <x:c r="N34" s="128"/>
      <x:c r="O34" s="128"/>
      <x:c r="P34" s="125"/>
      <x:c r="Q34" s="125"/>
    </x:row>
    <x:row r="35">
      <x:c r="A35" s="128"/>
      <x:c r="B35" s="128"/>
      <x:c r="C35" s="128"/>
      <x:c r="D35" s="128"/>
      <x:c r="E35" s="128"/>
      <x:c r="F35" s="128"/>
      <x:c r="G35" s="128"/>
      <x:c r="H35" s="128"/>
      <x:c r="I35" s="128"/>
      <x:c r="J35" s="128"/>
      <x:c r="K35" s="128"/>
      <x:c r="L35" s="128"/>
      <x:c r="M35" s="128"/>
      <x:c r="N35" s="128"/>
      <x:c r="O35" s="128"/>
      <x:c r="P35" s="125"/>
      <x:c r="Q35" s="125"/>
    </x:row>
    <x:row r="36">
      <x:c r="A36" s="128"/>
      <x:c r="B36" s="128"/>
      <x:c r="C36" s="128"/>
      <x:c r="D36" s="128"/>
      <x:c r="E36" s="128"/>
      <x:c r="F36" s="128"/>
      <x:c r="G36" s="128"/>
      <x:c r="H36" s="128"/>
      <x:c r="I36" s="128"/>
      <x:c r="J36" s="128"/>
      <x:c r="K36" s="128"/>
      <x:c r="L36" s="128"/>
      <x:c r="M36" s="128"/>
      <x:c r="N36" s="128"/>
      <x:c r="O36" s="128"/>
      <x:c r="P36" s="125"/>
      <x:c r="Q36" s="125"/>
    </x:row>
    <x:row r="37">
      <x:c r="A37" s="128"/>
      <x:c r="B37" s="128"/>
      <x:c r="C37" s="128"/>
      <x:c r="D37" s="128"/>
      <x:c r="E37" s="128"/>
      <x:c r="F37" s="128"/>
      <x:c r="G37" s="128"/>
      <x:c r="H37" s="128"/>
      <x:c r="I37" s="128"/>
      <x:c r="J37" s="128"/>
      <x:c r="K37" s="128"/>
      <x:c r="L37" s="128"/>
      <x:c r="M37" s="128"/>
      <x:c r="N37" s="128"/>
      <x:c r="O37" s="128"/>
      <x:c r="P37" s="125"/>
      <x:c r="Q37" s="125"/>
    </x:row>
    <x:row r="38">
      <x:c r="A38" s="128"/>
      <x:c r="B38" s="128"/>
      <x:c r="C38" s="128"/>
      <x:c r="D38" s="128"/>
      <x:c r="E38" s="128"/>
      <x:c r="F38" s="128"/>
      <x:c r="G38" s="128"/>
      <x:c r="H38" s="128"/>
      <x:c r="I38" s="128"/>
      <x:c r="J38" s="128"/>
      <x:c r="K38" s="128"/>
      <x:c r="L38" s="128"/>
      <x:c r="M38" s="128"/>
      <x:c r="N38" s="128"/>
      <x:c r="O38" s="128"/>
      <x:c r="P38" s="125"/>
      <x:c r="Q38" s="125"/>
    </x:row>
    <x:row r="39">
      <x:c r="A39" s="128"/>
      <x:c r="B39" s="128"/>
      <x:c r="C39" s="128"/>
      <x:c r="D39" s="128"/>
      <x:c r="E39" s="128"/>
      <x:c r="F39" s="128"/>
      <x:c r="G39" s="128"/>
      <x:c r="H39" s="128"/>
      <x:c r="I39" s="128"/>
      <x:c r="J39" s="128"/>
      <x:c r="K39" s="128"/>
      <x:c r="L39" s="128"/>
      <x:c r="M39" s="128"/>
      <x:c r="N39" s="128"/>
      <x:c r="O39" s="128"/>
      <x:c r="P39" s="125"/>
      <x:c r="Q39" s="125"/>
    </x:row>
    <x:row r="40">
      <x:c r="A40" s="128"/>
      <x:c r="B40" s="128"/>
      <x:c r="C40" s="128"/>
      <x:c r="D40" s="128"/>
      <x:c r="E40" s="128"/>
      <x:c r="F40" s="128"/>
      <x:c r="G40" s="128"/>
      <x:c r="H40" s="128"/>
      <x:c r="I40" s="128"/>
      <x:c r="J40" s="128"/>
      <x:c r="K40" s="128"/>
      <x:c r="L40" s="128"/>
      <x:c r="M40" s="128"/>
      <x:c r="N40" s="128"/>
      <x:c r="O40" s="128"/>
      <x:c r="P40" s="125"/>
      <x:c r="Q40" s="125"/>
    </x:row>
    <x:row r="41">
      <x:c r="A41" s="128"/>
      <x:c r="B41" s="128"/>
      <x:c r="C41" s="128"/>
      <x:c r="D41" s="128"/>
      <x:c r="E41" s="128"/>
      <x:c r="F41" s="128"/>
      <x:c r="G41" s="128"/>
      <x:c r="H41" s="128"/>
      <x:c r="I41" s="128"/>
      <x:c r="J41" s="128"/>
      <x:c r="K41" s="128"/>
      <x:c r="L41" s="128"/>
      <x:c r="M41" s="128"/>
      <x:c r="N41" s="128"/>
      <x:c r="O41" s="128"/>
      <x:c r="P41" s="125"/>
      <x:c r="Q41" s="125"/>
    </x:row>
    <x:row r="42">
      <x:c r="A42" s="128"/>
      <x:c r="B42" s="128"/>
      <x:c r="C42" s="128"/>
      <x:c r="D42" s="128"/>
      <x:c r="E42" s="128"/>
      <x:c r="F42" s="128"/>
      <x:c r="G42" s="128"/>
      <x:c r="H42" s="128"/>
      <x:c r="I42" s="128"/>
      <x:c r="J42" s="128"/>
      <x:c r="K42" s="128"/>
      <x:c r="L42" s="128"/>
      <x:c r="M42" s="128"/>
      <x:c r="N42" s="128"/>
      <x:c r="O42" s="128"/>
      <x:c r="P42" s="125"/>
      <x:c r="Q42" s="125"/>
    </x:row>
    <x:row r="43">
      <x:c r="A43" s="128"/>
      <x:c r="B43" s="128"/>
      <x:c r="C43" s="128"/>
      <x:c r="D43" s="128"/>
      <x:c r="E43" s="128"/>
      <x:c r="F43" s="128"/>
      <x:c r="G43" s="128"/>
      <x:c r="H43" s="128"/>
      <x:c r="I43" s="128"/>
      <x:c r="J43" s="128"/>
      <x:c r="K43" s="128"/>
      <x:c r="L43" s="128"/>
      <x:c r="M43" s="128"/>
      <x:c r="N43" s="128"/>
      <x:c r="O43" s="128"/>
      <x:c r="P43" s="125"/>
      <x:c r="Q43" s="125"/>
    </x:row>
    <x:row r="44">
      <x:c r="A44" s="128"/>
      <x:c r="B44" s="128"/>
      <x:c r="C44" s="128"/>
      <x:c r="D44" s="128"/>
      <x:c r="E44" s="128"/>
      <x:c r="F44" s="128"/>
      <x:c r="G44" s="128"/>
      <x:c r="H44" s="128"/>
      <x:c r="I44" s="128"/>
      <x:c r="J44" s="128"/>
      <x:c r="K44" s="128"/>
      <x:c r="L44" s="128"/>
      <x:c r="M44" s="128"/>
      <x:c r="N44" s="128"/>
      <x:c r="O44" s="128"/>
      <x:c r="P44" s="125"/>
      <x:c r="Q44" s="125"/>
    </x:row>
    <x:row r="45">
      <x:c r="A45" s="128"/>
      <x:c r="B45" s="128"/>
      <x:c r="C45" s="128"/>
      <x:c r="D45" s="128"/>
      <x:c r="E45" s="128"/>
      <x:c r="F45" s="128"/>
      <x:c r="G45" s="128"/>
      <x:c r="H45" s="128"/>
      <x:c r="I45" s="128"/>
      <x:c r="J45" s="128"/>
      <x:c r="K45" s="128"/>
      <x:c r="L45" s="128"/>
      <x:c r="M45" s="128"/>
      <x:c r="N45" s="128"/>
      <x:c r="O45" s="128"/>
      <x:c r="P45" s="125"/>
      <x:c r="Q45" s="125"/>
    </x:row>
    <x:row r="46">
      <x:c r="A46" s="128"/>
      <x:c r="B46" s="128"/>
      <x:c r="C46" s="128"/>
      <x:c r="D46" s="128"/>
      <x:c r="E46" s="128"/>
      <x:c r="F46" s="128"/>
      <x:c r="G46" s="128"/>
      <x:c r="H46" s="128"/>
      <x:c r="I46" s="128"/>
      <x:c r="J46" s="128"/>
      <x:c r="K46" s="128"/>
      <x:c r="L46" s="128"/>
      <x:c r="M46" s="128"/>
      <x:c r="N46" s="128"/>
      <x:c r="O46" s="128"/>
      <x:c r="P46" s="125"/>
      <x:c r="Q46" s="125"/>
    </x:row>
    <x:row r="47">
      <x:c r="A47" s="128"/>
      <x:c r="B47" s="128"/>
      <x:c r="C47" s="128"/>
      <x:c r="D47" s="128"/>
      <x:c r="E47" s="128"/>
      <x:c r="F47" s="128"/>
      <x:c r="G47" s="128"/>
      <x:c r="H47" s="128"/>
      <x:c r="I47" s="128"/>
      <x:c r="J47" s="128"/>
      <x:c r="K47" s="128"/>
      <x:c r="L47" s="128"/>
      <x:c r="M47" s="128"/>
      <x:c r="N47" s="128"/>
      <x:c r="O47" s="128"/>
      <x:c r="P47" s="125"/>
      <x:c r="Q47" s="125"/>
    </x:row>
    <x:row r="48">
      <x:c r="A48" s="128"/>
      <x:c r="B48" s="128"/>
      <x:c r="C48" s="128"/>
      <x:c r="D48" s="128"/>
      <x:c r="E48" s="128"/>
      <x:c r="F48" s="128"/>
      <x:c r="G48" s="128"/>
      <x:c r="H48" s="128"/>
      <x:c r="I48" s="128"/>
      <x:c r="J48" s="128"/>
      <x:c r="K48" s="128"/>
      <x:c r="L48" s="128"/>
      <x:c r="M48" s="128"/>
      <x:c r="N48" s="128"/>
      <x:c r="O48" s="128"/>
      <x:c r="P48" s="125"/>
      <x:c r="Q48" s="125"/>
    </x:row>
    <x:row r="49">
      <x:c r="A49" s="128"/>
      <x:c r="B49" s="128"/>
      <x:c r="C49" s="128"/>
      <x:c r="D49" s="128"/>
      <x:c r="E49" s="128"/>
      <x:c r="F49" s="128"/>
      <x:c r="G49" s="128"/>
      <x:c r="H49" s="128"/>
      <x:c r="I49" s="128"/>
      <x:c r="J49" s="128"/>
      <x:c r="K49" s="128"/>
      <x:c r="L49" s="128"/>
      <x:c r="M49" s="128"/>
      <x:c r="N49" s="128"/>
      <x:c r="O49" s="128"/>
      <x:c r="P49" s="125"/>
      <x:c r="Q49" s="125"/>
    </x:row>
    <x:row r="50">
      <x:c r="A50" s="128"/>
      <x:c r="B50" s="128"/>
      <x:c r="C50" s="128"/>
      <x:c r="D50" s="128"/>
      <x:c r="E50" s="128"/>
      <x:c r="F50" s="128"/>
      <x:c r="G50" s="128"/>
      <x:c r="H50" s="128"/>
      <x:c r="I50" s="128"/>
      <x:c r="J50" s="128"/>
      <x:c r="K50" s="128"/>
      <x:c r="L50" s="128"/>
      <x:c r="M50" s="128"/>
      <x:c r="N50" s="128"/>
      <x:c r="O50" s="128"/>
      <x:c r="P50" s="125"/>
      <x:c r="Q50" s="125"/>
    </x:row>
    <x:row r="51">
      <x:c r="A51" s="128"/>
      <x:c r="B51" s="128"/>
      <x:c r="C51" s="128"/>
      <x:c r="D51" s="128"/>
      <x:c r="E51" s="128"/>
      <x:c r="F51" s="128"/>
      <x:c r="G51" s="128"/>
      <x:c r="H51" s="128"/>
      <x:c r="I51" s="128"/>
      <x:c r="J51" s="128"/>
      <x:c r="K51" s="128"/>
      <x:c r="L51" s="128"/>
      <x:c r="M51" s="128"/>
      <x:c r="N51" s="128"/>
      <x:c r="O51" s="128"/>
      <x:c r="P51" s="125"/>
      <x:c r="Q51" s="125"/>
    </x:row>
    <x:row r="52">
      <x:c r="A52" s="128"/>
      <x:c r="B52" s="128"/>
      <x:c r="C52" s="128"/>
      <x:c r="D52" s="128"/>
      <x:c r="E52" s="128"/>
      <x:c r="F52" s="128"/>
      <x:c r="G52" s="128"/>
      <x:c r="H52" s="128"/>
      <x:c r="I52" s="128"/>
      <x:c r="J52" s="128"/>
      <x:c r="K52" s="128"/>
      <x:c r="L52" s="128"/>
      <x:c r="M52" s="128"/>
      <x:c r="N52" s="128"/>
      <x:c r="O52" s="128"/>
      <x:c r="P52" s="125"/>
      <x:c r="Q52" s="125"/>
    </x:row>
    <x:row r="53">
      <x:c r="A53" s="128"/>
      <x:c r="B53" s="128"/>
      <x:c r="C53" s="128"/>
      <x:c r="D53" s="128"/>
      <x:c r="E53" s="128"/>
      <x:c r="F53" s="128"/>
      <x:c r="G53" s="128"/>
      <x:c r="H53" s="128"/>
      <x:c r="I53" s="128"/>
      <x:c r="J53" s="128"/>
      <x:c r="K53" s="128"/>
      <x:c r="L53" s="128"/>
      <x:c r="M53" s="128"/>
      <x:c r="N53" s="128"/>
      <x:c r="O53" s="128"/>
      <x:c r="P53" s="125"/>
      <x:c r="Q53" s="125"/>
    </x:row>
    <x:row r="54">
      <x:c r="A54" s="128"/>
      <x:c r="B54" s="128"/>
      <x:c r="C54" s="128"/>
      <x:c r="D54" s="128"/>
      <x:c r="E54" s="128"/>
      <x:c r="F54" s="128"/>
      <x:c r="G54" s="128"/>
      <x:c r="H54" s="128"/>
      <x:c r="I54" s="128"/>
      <x:c r="J54" s="128"/>
      <x:c r="K54" s="128"/>
      <x:c r="L54" s="128"/>
      <x:c r="M54" s="128"/>
      <x:c r="N54" s="128"/>
      <x:c r="O54" s="128"/>
      <x:c r="P54" s="125"/>
      <x:c r="Q54" s="125"/>
    </x:row>
    <x:row r="55">
      <x:c r="A55" s="128"/>
      <x:c r="B55" s="128"/>
      <x:c r="C55" s="128"/>
      <x:c r="D55" s="128"/>
      <x:c r="E55" s="128"/>
      <x:c r="F55" s="128"/>
      <x:c r="G55" s="128"/>
      <x:c r="H55" s="128"/>
      <x:c r="I55" s="128"/>
      <x:c r="J55" s="128"/>
      <x:c r="K55" s="128"/>
      <x:c r="L55" s="128"/>
      <x:c r="M55" s="128"/>
      <x:c r="N55" s="128"/>
      <x:c r="O55" s="128"/>
      <x:c r="P55" s="125"/>
      <x:c r="Q55" s="125"/>
    </x:row>
    <x:row r="56">
      <x:c r="A56" s="128"/>
      <x:c r="B56" s="128"/>
      <x:c r="C56" s="128"/>
      <x:c r="D56" s="128"/>
      <x:c r="E56" s="128"/>
      <x:c r="F56" s="128"/>
      <x:c r="G56" s="128"/>
      <x:c r="H56" s="128"/>
      <x:c r="I56" s="128"/>
      <x:c r="J56" s="128"/>
      <x:c r="K56" s="128"/>
      <x:c r="L56" s="128"/>
      <x:c r="M56" s="128"/>
      <x:c r="N56" s="128"/>
      <x:c r="O56" s="128"/>
      <x:c r="P56" s="125"/>
      <x:c r="Q56" s="125"/>
    </x:row>
    <x:row r="57">
      <x:c r="A57" s="128"/>
      <x:c r="B57" s="128"/>
      <x:c r="C57" s="128"/>
      <x:c r="D57" s="128"/>
      <x:c r="E57" s="128"/>
      <x:c r="F57" s="128"/>
      <x:c r="G57" s="128"/>
      <x:c r="H57" s="128"/>
      <x:c r="I57" s="128"/>
      <x:c r="J57" s="128"/>
      <x:c r="K57" s="128"/>
      <x:c r="L57" s="128"/>
      <x:c r="M57" s="128"/>
      <x:c r="N57" s="128"/>
      <x:c r="O57" s="128"/>
      <x:c r="P57" s="125"/>
      <x:c r="Q57" s="125"/>
    </x:row>
    <x:row r="58">
      <x:c r="A58" s="128"/>
      <x:c r="B58" s="128"/>
      <x:c r="C58" s="128"/>
      <x:c r="D58" s="128"/>
      <x:c r="E58" s="128"/>
      <x:c r="F58" s="128"/>
      <x:c r="G58" s="128"/>
      <x:c r="H58" s="128"/>
      <x:c r="I58" s="128"/>
      <x:c r="J58" s="128"/>
      <x:c r="K58" s="128"/>
      <x:c r="L58" s="128"/>
      <x:c r="M58" s="128"/>
      <x:c r="N58" s="128"/>
      <x:c r="O58" s="128"/>
      <x:c r="P58" s="125"/>
      <x:c r="Q58" s="125"/>
    </x:row>
    <x:row r="59">
      <x:c r="A59" s="128"/>
      <x:c r="B59" s="128"/>
      <x:c r="C59" s="128"/>
      <x:c r="D59" s="128"/>
      <x:c r="E59" s="128"/>
      <x:c r="F59" s="128"/>
      <x:c r="G59" s="128"/>
      <x:c r="H59" s="128"/>
      <x:c r="I59" s="128"/>
      <x:c r="J59" s="128"/>
      <x:c r="K59" s="128"/>
      <x:c r="L59" s="128"/>
      <x:c r="M59" s="128"/>
      <x:c r="N59" s="128"/>
      <x:c r="O59" s="128"/>
      <x:c r="P59" s="125"/>
      <x:c r="Q59" s="125"/>
    </x:row>
    <x:row r="60">
      <x:c r="A60" s="128"/>
      <x:c r="B60" s="128"/>
      <x:c r="C60" s="128"/>
      <x:c r="D60" s="128"/>
      <x:c r="E60" s="128"/>
      <x:c r="F60" s="128"/>
      <x:c r="G60" s="128"/>
      <x:c r="H60" s="128"/>
      <x:c r="I60" s="128"/>
      <x:c r="J60" s="128"/>
      <x:c r="K60" s="128"/>
      <x:c r="L60" s="128"/>
      <x:c r="M60" s="128"/>
      <x:c r="N60" s="128"/>
      <x:c r="O60" s="128"/>
      <x:c r="P60" s="125"/>
      <x:c r="Q60" s="125"/>
    </x:row>
    <x:row r="61">
      <x:c r="A61" s="128"/>
      <x:c r="B61" s="128"/>
      <x:c r="C61" s="128"/>
      <x:c r="D61" s="128"/>
      <x:c r="E61" s="128"/>
      <x:c r="F61" s="128"/>
      <x:c r="G61" s="128"/>
      <x:c r="H61" s="128"/>
      <x:c r="I61" s="128"/>
      <x:c r="J61" s="128"/>
      <x:c r="K61" s="128"/>
      <x:c r="L61" s="128"/>
      <x:c r="M61" s="128"/>
      <x:c r="N61" s="128"/>
      <x:c r="O61" s="128"/>
      <x:c r="P61" s="125"/>
      <x:c r="Q61" s="125"/>
    </x:row>
    <x:row r="62">
      <x:c r="A62" s="128"/>
      <x:c r="B62" s="128"/>
      <x:c r="C62" s="128"/>
      <x:c r="D62" s="128"/>
      <x:c r="E62" s="128"/>
      <x:c r="F62" s="128"/>
      <x:c r="G62" s="128"/>
      <x:c r="H62" s="128"/>
      <x:c r="I62" s="128"/>
      <x:c r="J62" s="128"/>
      <x:c r="K62" s="128"/>
      <x:c r="L62" s="128"/>
      <x:c r="M62" s="128"/>
      <x:c r="N62" s="128"/>
      <x:c r="O62" s="128"/>
      <x:c r="P62" s="125"/>
      <x:c r="Q62" s="125"/>
    </x:row>
    <x:row r="63">
      <x:c r="A63" s="128"/>
      <x:c r="B63" s="128"/>
      <x:c r="C63" s="128"/>
      <x:c r="D63" s="128"/>
      <x:c r="E63" s="128"/>
      <x:c r="F63" s="128"/>
      <x:c r="G63" s="128"/>
      <x:c r="H63" s="128"/>
      <x:c r="I63" s="128"/>
      <x:c r="J63" s="128"/>
      <x:c r="K63" s="128"/>
      <x:c r="L63" s="128"/>
      <x:c r="M63" s="128"/>
      <x:c r="N63" s="128"/>
      <x:c r="O63" s="128"/>
      <x:c r="P63" s="125"/>
      <x:c r="Q63" s="125"/>
    </x:row>
    <x:row r="64">
      <x:c r="A64" s="128"/>
      <x:c r="B64" s="128"/>
      <x:c r="C64" s="128"/>
      <x:c r="D64" s="128"/>
      <x:c r="E64" s="128"/>
      <x:c r="F64" s="128"/>
      <x:c r="G64" s="128"/>
      <x:c r="H64" s="128"/>
      <x:c r="I64" s="128"/>
      <x:c r="J64" s="128"/>
      <x:c r="K64" s="128"/>
      <x:c r="L64" s="128"/>
      <x:c r="M64" s="128"/>
      <x:c r="N64" s="128"/>
      <x:c r="O64" s="128"/>
      <x:c r="P64" s="125"/>
      <x:c r="Q64" s="125"/>
    </x:row>
    <x:row r="65">
      <x:c r="A65" s="128"/>
      <x:c r="B65" s="128"/>
      <x:c r="C65" s="128"/>
      <x:c r="D65" s="128"/>
      <x:c r="E65" s="128"/>
      <x:c r="F65" s="128"/>
      <x:c r="G65" s="128"/>
      <x:c r="H65" s="128"/>
      <x:c r="I65" s="128"/>
      <x:c r="J65" s="128"/>
      <x:c r="K65" s="128"/>
      <x:c r="L65" s="128"/>
      <x:c r="M65" s="128"/>
      <x:c r="N65" s="128"/>
      <x:c r="O65" s="128"/>
      <x:c r="P65" s="125"/>
      <x:c r="Q65" s="125"/>
    </x:row>
    <x:row r="66">
      <x:c r="A66" s="128"/>
      <x:c r="B66" s="128"/>
      <x:c r="C66" s="128"/>
      <x:c r="D66" s="128"/>
      <x:c r="E66" s="128"/>
      <x:c r="F66" s="128"/>
      <x:c r="G66" s="128"/>
      <x:c r="H66" s="128"/>
      <x:c r="I66" s="128"/>
      <x:c r="J66" s="128"/>
      <x:c r="K66" s="128"/>
      <x:c r="L66" s="128"/>
      <x:c r="M66" s="128"/>
      <x:c r="N66" s="128"/>
      <x:c r="O66" s="128"/>
      <x:c r="P66" s="125"/>
      <x:c r="Q66" s="125"/>
    </x:row>
    <x:row r="67">
      <x:c r="A67" s="128"/>
      <x:c r="B67" s="128"/>
      <x:c r="C67" s="128"/>
      <x:c r="D67" s="128"/>
      <x:c r="E67" s="128"/>
      <x:c r="F67" s="128"/>
      <x:c r="G67" s="128"/>
      <x:c r="H67" s="128"/>
      <x:c r="I67" s="128"/>
      <x:c r="J67" s="128"/>
      <x:c r="K67" s="128"/>
      <x:c r="L67" s="128"/>
      <x:c r="M67" s="128"/>
      <x:c r="N67" s="128"/>
      <x:c r="O67" s="128"/>
      <x:c r="P67" s="125"/>
      <x:c r="Q67" s="125"/>
    </x:row>
    <x:row r="68">
      <x:c r="A68" s="128"/>
      <x:c r="B68" s="128"/>
      <x:c r="C68" s="128"/>
      <x:c r="D68" s="128"/>
      <x:c r="E68" s="128"/>
      <x:c r="F68" s="128"/>
      <x:c r="G68" s="128"/>
      <x:c r="H68" s="128"/>
      <x:c r="I68" s="128"/>
      <x:c r="J68" s="128"/>
      <x:c r="K68" s="128"/>
      <x:c r="L68" s="128"/>
      <x:c r="M68" s="128"/>
      <x:c r="N68" s="128"/>
      <x:c r="O68" s="128"/>
      <x:c r="P68" s="125"/>
      <x:c r="Q68" s="125"/>
    </x:row>
    <x:row r="69">
      <x:c r="A69" s="128"/>
      <x:c r="B69" s="128"/>
      <x:c r="C69" s="128"/>
      <x:c r="D69" s="128"/>
      <x:c r="E69" s="128"/>
      <x:c r="F69" s="128"/>
      <x:c r="G69" s="128"/>
      <x:c r="H69" s="128"/>
      <x:c r="I69" s="128"/>
      <x:c r="J69" s="128"/>
      <x:c r="K69" s="128"/>
      <x:c r="L69" s="128"/>
      <x:c r="M69" s="128"/>
      <x:c r="N69" s="128"/>
      <x:c r="O69" s="128"/>
      <x:c r="P69" s="125"/>
      <x:c r="Q69" s="125"/>
    </x:row>
    <x:row r="70">
      <x:c r="A70" s="128"/>
      <x:c r="B70" s="128"/>
      <x:c r="C70" s="128"/>
      <x:c r="D70" s="128"/>
      <x:c r="E70" s="128"/>
      <x:c r="F70" s="128"/>
      <x:c r="G70" s="128"/>
      <x:c r="H70" s="128"/>
      <x:c r="I70" s="128"/>
      <x:c r="J70" s="128"/>
      <x:c r="K70" s="128"/>
      <x:c r="L70" s="128"/>
      <x:c r="M70" s="128"/>
      <x:c r="N70" s="128"/>
      <x:c r="O70" s="128"/>
      <x:c r="P70" s="125"/>
      <x:c r="Q70" s="125"/>
    </x:row>
    <x:row r="71">
      <x:c r="A71" s="128"/>
      <x:c r="B71" s="128"/>
      <x:c r="C71" s="128"/>
      <x:c r="D71" s="128"/>
      <x:c r="E71" s="128"/>
      <x:c r="F71" s="128"/>
      <x:c r="G71" s="128"/>
      <x:c r="H71" s="128"/>
      <x:c r="I71" s="128"/>
      <x:c r="J71" s="128"/>
      <x:c r="K71" s="128"/>
      <x:c r="L71" s="128"/>
      <x:c r="M71" s="128"/>
      <x:c r="N71" s="128"/>
      <x:c r="O71" s="128"/>
      <x:c r="P71" s="125"/>
      <x:c r="Q71" s="125"/>
    </x:row>
    <x:row r="72">
      <x:c r="A72" s="128"/>
      <x:c r="B72" s="128"/>
      <x:c r="C72" s="128"/>
      <x:c r="D72" s="128"/>
      <x:c r="E72" s="128"/>
      <x:c r="F72" s="128"/>
      <x:c r="G72" s="128"/>
      <x:c r="H72" s="128"/>
      <x:c r="I72" s="128"/>
      <x:c r="J72" s="128"/>
      <x:c r="K72" s="128"/>
      <x:c r="L72" s="128"/>
      <x:c r="M72" s="128"/>
      <x:c r="N72" s="128"/>
      <x:c r="O72" s="128"/>
      <x:c r="P72" s="125"/>
      <x:c r="Q72" s="125"/>
    </x:row>
    <x:row r="73">
      <x:c r="A73" s="128"/>
      <x:c r="B73" s="128"/>
      <x:c r="C73" s="128"/>
      <x:c r="D73" s="128"/>
      <x:c r="E73" s="128"/>
      <x:c r="F73" s="128"/>
      <x:c r="G73" s="128"/>
      <x:c r="H73" s="128"/>
      <x:c r="I73" s="128"/>
      <x:c r="J73" s="128"/>
      <x:c r="K73" s="128"/>
      <x:c r="L73" s="128"/>
      <x:c r="M73" s="128"/>
      <x:c r="N73" s="128"/>
      <x:c r="O73" s="128"/>
      <x:c r="P73" s="125"/>
      <x:c r="Q73" s="125"/>
    </x:row>
    <x:row r="74">
      <x:c r="A74" s="128"/>
      <x:c r="B74" s="128"/>
      <x:c r="C74" s="128"/>
      <x:c r="D74" s="128"/>
      <x:c r="E74" s="128"/>
      <x:c r="F74" s="128"/>
      <x:c r="G74" s="128"/>
      <x:c r="H74" s="128"/>
      <x:c r="I74" s="128"/>
      <x:c r="J74" s="128"/>
      <x:c r="K74" s="128"/>
      <x:c r="L74" s="128"/>
      <x:c r="M74" s="128"/>
      <x:c r="N74" s="128"/>
      <x:c r="O74" s="128"/>
      <x:c r="P74" s="125"/>
      <x:c r="Q74" s="125"/>
    </x:row>
    <x:row r="75">
      <x:c r="A75" s="128"/>
      <x:c r="B75" s="128"/>
      <x:c r="C75" s="128"/>
      <x:c r="D75" s="128"/>
      <x:c r="E75" s="128"/>
      <x:c r="F75" s="128"/>
      <x:c r="G75" s="128"/>
      <x:c r="H75" s="128"/>
      <x:c r="I75" s="128"/>
      <x:c r="J75" s="128"/>
      <x:c r="K75" s="128"/>
      <x:c r="L75" s="128"/>
      <x:c r="M75" s="128"/>
      <x:c r="N75" s="128"/>
      <x:c r="O75" s="128"/>
      <x:c r="P75" s="125"/>
      <x:c r="Q75" s="125"/>
    </x:row>
    <x:row r="76">
      <x:c r="A76" s="128"/>
      <x:c r="B76" s="128"/>
      <x:c r="C76" s="128"/>
      <x:c r="D76" s="128"/>
      <x:c r="E76" s="128"/>
      <x:c r="F76" s="128"/>
      <x:c r="G76" s="128"/>
      <x:c r="H76" s="128"/>
      <x:c r="I76" s="128"/>
      <x:c r="J76" s="128"/>
      <x:c r="K76" s="128"/>
      <x:c r="L76" s="128"/>
      <x:c r="M76" s="128"/>
      <x:c r="N76" s="128"/>
      <x:c r="O76" s="128"/>
      <x:c r="P76" s="125"/>
      <x:c r="Q76" s="125"/>
    </x:row>
    <x:row r="77">
      <x:c r="A77" s="128"/>
      <x:c r="B77" s="128"/>
      <x:c r="C77" s="128"/>
      <x:c r="D77" s="128"/>
      <x:c r="E77" s="128"/>
      <x:c r="F77" s="128"/>
      <x:c r="G77" s="128"/>
      <x:c r="H77" s="128"/>
      <x:c r="I77" s="128"/>
      <x:c r="J77" s="128"/>
      <x:c r="K77" s="128"/>
      <x:c r="L77" s="128"/>
      <x:c r="M77" s="128"/>
      <x:c r="N77" s="128"/>
      <x:c r="O77" s="128"/>
      <x:c r="P77" s="125"/>
      <x:c r="Q77" s="125"/>
    </x:row>
    <x:row r="78">
      <x:c r="A78" s="128"/>
      <x:c r="B78" s="128"/>
      <x:c r="C78" s="128"/>
      <x:c r="D78" s="128"/>
      <x:c r="E78" s="128"/>
      <x:c r="F78" s="128"/>
      <x:c r="G78" s="128"/>
      <x:c r="H78" s="128"/>
      <x:c r="I78" s="128"/>
      <x:c r="J78" s="128"/>
      <x:c r="K78" s="128"/>
      <x:c r="L78" s="128"/>
      <x:c r="M78" s="128"/>
      <x:c r="N78" s="128"/>
      <x:c r="O78" s="128"/>
      <x:c r="P78" s="125"/>
      <x:c r="Q78" s="125"/>
    </x:row>
    <x:row r="79">
      <x:c r="A79" s="128"/>
      <x:c r="B79" s="128"/>
      <x:c r="C79" s="128"/>
      <x:c r="D79" s="128"/>
      <x:c r="E79" s="128"/>
      <x:c r="F79" s="128"/>
      <x:c r="G79" s="128"/>
      <x:c r="H79" s="128"/>
      <x:c r="I79" s="128"/>
      <x:c r="J79" s="128"/>
      <x:c r="K79" s="128"/>
      <x:c r="L79" s="128"/>
      <x:c r="M79" s="128"/>
      <x:c r="N79" s="128"/>
      <x:c r="O79" s="128"/>
      <x:c r="P79" s="125"/>
      <x:c r="Q79" s="125"/>
    </x:row>
    <x:row r="80">
      <x:c r="A80" s="128"/>
      <x:c r="B80" s="128"/>
      <x:c r="C80" s="128"/>
      <x:c r="D80" s="128"/>
      <x:c r="E80" s="128"/>
      <x:c r="F80" s="128"/>
      <x:c r="G80" s="128"/>
      <x:c r="H80" s="128"/>
      <x:c r="I80" s="128"/>
      <x:c r="J80" s="128"/>
      <x:c r="K80" s="128"/>
      <x:c r="L80" s="128"/>
      <x:c r="M80" s="128"/>
      <x:c r="N80" s="128"/>
      <x:c r="O80" s="128"/>
      <x:c r="P80" s="125"/>
      <x:c r="Q80" s="125"/>
    </x:row>
    <x:row r="81">
      <x:c r="A81" s="128"/>
      <x:c r="B81" s="128"/>
      <x:c r="C81" s="128"/>
      <x:c r="D81" s="128"/>
      <x:c r="E81" s="128"/>
      <x:c r="F81" s="128"/>
      <x:c r="G81" s="128"/>
      <x:c r="H81" s="128"/>
      <x:c r="I81" s="128"/>
      <x:c r="J81" s="128"/>
      <x:c r="K81" s="128"/>
      <x:c r="L81" s="128"/>
      <x:c r="M81" s="128"/>
      <x:c r="N81" s="128"/>
      <x:c r="O81" s="128"/>
      <x:c r="P81" s="125"/>
      <x:c r="Q81" s="125"/>
    </x:row>
    <x:row r="82">
      <x:c r="A82" s="128"/>
      <x:c r="B82" s="128"/>
      <x:c r="C82" s="128"/>
      <x:c r="D82" s="128"/>
      <x:c r="E82" s="128"/>
      <x:c r="F82" s="128"/>
      <x:c r="G82" s="128"/>
      <x:c r="H82" s="128"/>
      <x:c r="I82" s="128"/>
      <x:c r="J82" s="128"/>
      <x:c r="K82" s="128"/>
      <x:c r="L82" s="128"/>
      <x:c r="M82" s="128"/>
      <x:c r="N82" s="128"/>
      <x:c r="O82" s="128"/>
      <x:c r="P82" s="125"/>
      <x:c r="Q82" s="125"/>
    </x:row>
    <x:row r="83">
      <x:c r="A83" s="128"/>
      <x:c r="B83" s="128"/>
      <x:c r="C83" s="128"/>
      <x:c r="D83" s="128"/>
      <x:c r="E83" s="128"/>
      <x:c r="F83" s="128"/>
      <x:c r="G83" s="128"/>
      <x:c r="H83" s="128"/>
      <x:c r="I83" s="128"/>
      <x:c r="J83" s="128"/>
      <x:c r="K83" s="128"/>
      <x:c r="L83" s="128"/>
      <x:c r="M83" s="128"/>
      <x:c r="N83" s="128"/>
      <x:c r="O83" s="128"/>
      <x:c r="P83" s="125"/>
      <x:c r="Q83" s="125"/>
    </x:row>
    <x:row r="84">
      <x:c r="A84" s="128"/>
      <x:c r="B84" s="128"/>
      <x:c r="C84" s="128"/>
      <x:c r="D84" s="128"/>
      <x:c r="E84" s="128"/>
      <x:c r="F84" s="128"/>
      <x:c r="G84" s="128"/>
      <x:c r="H84" s="128"/>
      <x:c r="I84" s="128"/>
      <x:c r="J84" s="128"/>
      <x:c r="K84" s="128"/>
      <x:c r="L84" s="128"/>
      <x:c r="M84" s="128"/>
      <x:c r="N84" s="128"/>
      <x:c r="O84" s="128"/>
      <x:c r="P84" s="125"/>
      <x:c r="Q84" s="125"/>
    </x:row>
    <x:row r="85">
      <x:c r="A85" s="128"/>
      <x:c r="B85" s="128"/>
      <x:c r="C85" s="128"/>
      <x:c r="D85" s="128"/>
      <x:c r="E85" s="128"/>
      <x:c r="F85" s="128"/>
      <x:c r="G85" s="128"/>
      <x:c r="H85" s="128"/>
      <x:c r="I85" s="128"/>
      <x:c r="J85" s="128"/>
      <x:c r="K85" s="128"/>
      <x:c r="L85" s="128"/>
      <x:c r="M85" s="128"/>
      <x:c r="N85" s="128"/>
      <x:c r="O85" s="128"/>
      <x:c r="P85" s="125"/>
      <x:c r="Q85" s="125"/>
    </x:row>
    <x:row r="86">
      <x:c r="A86" s="128"/>
      <x:c r="B86" s="128"/>
      <x:c r="C86" s="128"/>
      <x:c r="D86" s="128"/>
      <x:c r="E86" s="128"/>
      <x:c r="F86" s="128"/>
      <x:c r="G86" s="128"/>
      <x:c r="H86" s="128"/>
      <x:c r="I86" s="128"/>
      <x:c r="J86" s="128"/>
      <x:c r="K86" s="128"/>
      <x:c r="L86" s="128"/>
      <x:c r="M86" s="128"/>
      <x:c r="N86" s="128"/>
      <x:c r="O86" s="128"/>
      <x:c r="P86" s="125"/>
      <x:c r="Q86" s="125"/>
    </x:row>
    <x:row r="87">
      <x:c r="A87" s="128"/>
      <x:c r="B87" s="128"/>
      <x:c r="C87" s="128"/>
      <x:c r="D87" s="128"/>
      <x:c r="E87" s="128"/>
      <x:c r="F87" s="128"/>
      <x:c r="G87" s="128"/>
      <x:c r="H87" s="128"/>
      <x:c r="I87" s="128"/>
      <x:c r="J87" s="128"/>
      <x:c r="K87" s="128"/>
      <x:c r="L87" s="128"/>
      <x:c r="M87" s="128"/>
      <x:c r="N87" s="128"/>
      <x:c r="O87" s="128"/>
      <x:c r="P87" s="125"/>
      <x:c r="Q87" s="125"/>
    </x:row>
    <x:row r="88">
      <x:c r="A88" s="128"/>
      <x:c r="B88" s="128"/>
      <x:c r="C88" s="128"/>
      <x:c r="D88" s="128"/>
      <x:c r="E88" s="128"/>
      <x:c r="F88" s="128"/>
      <x:c r="G88" s="128"/>
      <x:c r="H88" s="128"/>
      <x:c r="I88" s="128"/>
      <x:c r="J88" s="128"/>
      <x:c r="K88" s="128"/>
      <x:c r="L88" s="128"/>
      <x:c r="M88" s="128"/>
      <x:c r="N88" s="128"/>
      <x:c r="O88" s="128"/>
      <x:c r="P88" s="125"/>
      <x:c r="Q88" s="125"/>
    </x:row>
    <x:row r="89">
      <x:c r="A89" s="128"/>
      <x:c r="B89" s="128"/>
      <x:c r="C89" s="128"/>
      <x:c r="D89" s="128"/>
      <x:c r="E89" s="128"/>
      <x:c r="F89" s="128"/>
      <x:c r="G89" s="128"/>
      <x:c r="H89" s="128"/>
      <x:c r="I89" s="128"/>
      <x:c r="J89" s="128"/>
      <x:c r="K89" s="128"/>
      <x:c r="L89" s="128"/>
      <x:c r="M89" s="128"/>
      <x:c r="N89" s="128"/>
      <x:c r="O89" s="128"/>
      <x:c r="P89" s="125"/>
      <x:c r="Q89" s="125"/>
    </x:row>
    <x:row r="90">
      <x:c r="A90" s="128"/>
      <x:c r="B90" s="128"/>
      <x:c r="C90" s="128"/>
      <x:c r="D90" s="128"/>
      <x:c r="E90" s="128"/>
      <x:c r="F90" s="128"/>
      <x:c r="G90" s="128"/>
      <x:c r="H90" s="128"/>
      <x:c r="I90" s="128"/>
      <x:c r="J90" s="128"/>
      <x:c r="K90" s="128"/>
      <x:c r="L90" s="128"/>
      <x:c r="M90" s="128"/>
      <x:c r="N90" s="128"/>
      <x:c r="O90" s="128"/>
      <x:c r="P90" s="125"/>
      <x:c r="Q90" s="125"/>
    </x:row>
    <x:row r="91">
      <x:c r="A91" s="128"/>
      <x:c r="B91" s="128"/>
      <x:c r="C91" s="128"/>
      <x:c r="D91" s="128"/>
      <x:c r="E91" s="128"/>
      <x:c r="F91" s="128"/>
      <x:c r="G91" s="128"/>
      <x:c r="H91" s="128"/>
      <x:c r="I91" s="128"/>
      <x:c r="J91" s="128"/>
      <x:c r="K91" s="128"/>
      <x:c r="L91" s="128"/>
      <x:c r="M91" s="128"/>
      <x:c r="N91" s="128"/>
      <x:c r="O91" s="128"/>
      <x:c r="P91" s="125"/>
      <x:c r="Q91" s="125"/>
    </x:row>
    <x:row r="92">
      <x:c r="A92" s="128"/>
      <x:c r="B92" s="128"/>
      <x:c r="C92" s="128"/>
      <x:c r="D92" s="128"/>
      <x:c r="E92" s="128"/>
      <x:c r="F92" s="128"/>
      <x:c r="G92" s="128"/>
      <x:c r="H92" s="128"/>
      <x:c r="I92" s="128"/>
      <x:c r="J92" s="128"/>
      <x:c r="K92" s="128"/>
      <x:c r="L92" s="128"/>
      <x:c r="M92" s="128"/>
      <x:c r="N92" s="128"/>
      <x:c r="O92" s="128"/>
      <x:c r="P92" s="125"/>
      <x:c r="Q92" s="125"/>
    </x:row>
    <x:row r="93">
      <x:c r="A93" s="128"/>
      <x:c r="B93" s="128"/>
      <x:c r="C93" s="128"/>
      <x:c r="D93" s="128"/>
      <x:c r="E93" s="128"/>
      <x:c r="F93" s="128"/>
      <x:c r="G93" s="128"/>
      <x:c r="H93" s="128"/>
      <x:c r="I93" s="128"/>
      <x:c r="J93" s="128"/>
      <x:c r="K93" s="128"/>
      <x:c r="L93" s="128"/>
      <x:c r="M93" s="128"/>
      <x:c r="N93" s="128"/>
      <x:c r="O93" s="128"/>
      <x:c r="P93" s="125"/>
      <x:c r="Q93" s="125"/>
    </x:row>
    <x:row r="94">
      <x:c r="A94" s="128"/>
      <x:c r="B94" s="128"/>
      <x:c r="C94" s="128"/>
      <x:c r="D94" s="128"/>
      <x:c r="E94" s="128"/>
      <x:c r="F94" s="128"/>
      <x:c r="G94" s="128"/>
      <x:c r="H94" s="128"/>
      <x:c r="I94" s="128"/>
      <x:c r="J94" s="128"/>
      <x:c r="K94" s="128"/>
      <x:c r="L94" s="128"/>
      <x:c r="M94" s="128"/>
      <x:c r="N94" s="128"/>
      <x:c r="O94" s="128"/>
      <x:c r="P94" s="125"/>
      <x:c r="Q94" s="125"/>
    </x:row>
    <x:row r="95">
      <x:c r="A95" s="128"/>
      <x:c r="B95" s="128"/>
      <x:c r="C95" s="128"/>
      <x:c r="D95" s="128"/>
      <x:c r="E95" s="128"/>
      <x:c r="F95" s="128"/>
      <x:c r="G95" s="128"/>
      <x:c r="H95" s="128"/>
      <x:c r="I95" s="128"/>
      <x:c r="J95" s="128"/>
      <x:c r="K95" s="128"/>
      <x:c r="L95" s="128"/>
      <x:c r="M95" s="128"/>
      <x:c r="N95" s="128"/>
      <x:c r="O95" s="128"/>
      <x:c r="P95" s="125"/>
      <x:c r="Q95" s="125"/>
    </x:row>
    <x:row r="96">
      <x:c r="A96" s="128"/>
      <x:c r="B96" s="128"/>
      <x:c r="C96" s="128"/>
      <x:c r="D96" s="128"/>
      <x:c r="E96" s="128"/>
      <x:c r="F96" s="128"/>
      <x:c r="G96" s="128"/>
      <x:c r="H96" s="128"/>
      <x:c r="I96" s="128"/>
      <x:c r="J96" s="128"/>
      <x:c r="K96" s="128"/>
      <x:c r="L96" s="128"/>
      <x:c r="M96" s="128"/>
      <x:c r="N96" s="128"/>
      <x:c r="O96" s="128"/>
      <x:c r="P96" s="125"/>
      <x:c r="Q96" s="125"/>
    </x:row>
    <x:row r="97">
      <x:c r="A97" s="128"/>
      <x:c r="B97" s="128"/>
      <x:c r="C97" s="128"/>
      <x:c r="D97" s="128"/>
      <x:c r="E97" s="128"/>
      <x:c r="F97" s="128"/>
      <x:c r="G97" s="128"/>
      <x:c r="H97" s="128"/>
      <x:c r="I97" s="128"/>
      <x:c r="J97" s="128"/>
      <x:c r="K97" s="128"/>
      <x:c r="L97" s="128"/>
      <x:c r="M97" s="128"/>
      <x:c r="N97" s="128"/>
      <x:c r="O97" s="128"/>
      <x:c r="P97" s="125"/>
      <x:c r="Q97" s="125"/>
    </x:row>
    <x:row r="98">
      <x:c r="A98" s="128"/>
      <x:c r="B98" s="128"/>
      <x:c r="C98" s="128"/>
      <x:c r="D98" s="128"/>
      <x:c r="E98" s="128"/>
      <x:c r="F98" s="128"/>
      <x:c r="G98" s="128"/>
      <x:c r="H98" s="128"/>
      <x:c r="I98" s="128"/>
      <x:c r="J98" s="128"/>
      <x:c r="K98" s="128"/>
      <x:c r="L98" s="128"/>
      <x:c r="M98" s="128"/>
      <x:c r="N98" s="128"/>
      <x:c r="O98" s="128"/>
      <x:c r="P98" s="125"/>
      <x:c r="Q98" s="125"/>
    </x:row>
    <x:row r="99">
      <x:c r="A99" s="128"/>
      <x:c r="B99" s="128"/>
      <x:c r="C99" s="128"/>
      <x:c r="D99" s="128"/>
      <x:c r="E99" s="128"/>
      <x:c r="F99" s="128"/>
      <x:c r="G99" s="128"/>
      <x:c r="H99" s="128"/>
      <x:c r="I99" s="128"/>
      <x:c r="J99" s="128"/>
      <x:c r="K99" s="128"/>
      <x:c r="L99" s="128"/>
      <x:c r="M99" s="128"/>
      <x:c r="N99" s="128"/>
      <x:c r="O99" s="128"/>
      <x:c r="P99" s="125"/>
      <x:c r="Q99" s="125"/>
    </x:row>
    <x:row r="100">
      <x:c r="A100" s="128"/>
      <x:c r="B100" s="128"/>
      <x:c r="C100" s="128"/>
      <x:c r="D100" s="128"/>
      <x:c r="E100" s="128"/>
      <x:c r="F100" s="128"/>
      <x:c r="G100" s="128"/>
      <x:c r="H100" s="128"/>
      <x:c r="I100" s="128"/>
      <x:c r="J100" s="128"/>
      <x:c r="K100" s="128"/>
      <x:c r="L100" s="128"/>
      <x:c r="M100" s="128"/>
      <x:c r="N100" s="128"/>
      <x:c r="O100" s="128"/>
      <x:c r="P100" s="125"/>
      <x:c r="Q100" s="125"/>
    </x:row>
    <x:row r="101">
      <x:c r="A101" s="128"/>
      <x:c r="B101" s="128"/>
      <x:c r="C101" s="128"/>
      <x:c r="D101" s="128"/>
      <x:c r="E101" s="128"/>
      <x:c r="F101" s="128"/>
      <x:c r="G101" s="128"/>
      <x:c r="H101" s="128"/>
      <x:c r="I101" s="128"/>
      <x:c r="J101" s="128"/>
      <x:c r="K101" s="128"/>
      <x:c r="L101" s="128"/>
      <x:c r="M101" s="128"/>
      <x:c r="N101" s="128"/>
      <x:c r="O101" s="128"/>
      <x:c r="P101" s="125"/>
      <x:c r="Q101" s="125"/>
    </x:row>
    <x:row r="102">
      <x:c r="A102" s="128"/>
      <x:c r="B102" s="128"/>
      <x:c r="C102" s="128"/>
      <x:c r="D102" s="128"/>
      <x:c r="E102" s="128"/>
      <x:c r="F102" s="128"/>
      <x:c r="G102" s="128"/>
      <x:c r="H102" s="128"/>
      <x:c r="I102" s="128"/>
      <x:c r="J102" s="128"/>
      <x:c r="K102" s="128"/>
      <x:c r="L102" s="128"/>
      <x:c r="M102" s="128"/>
      <x:c r="N102" s="128"/>
      <x:c r="O102" s="128"/>
      <x:c r="P102" s="125"/>
      <x:c r="Q102" s="125"/>
    </x:row>
    <x:row r="103">
      <x:c r="A103" s="128"/>
      <x:c r="B103" s="128"/>
      <x:c r="C103" s="128"/>
      <x:c r="D103" s="128"/>
      <x:c r="E103" s="128"/>
      <x:c r="F103" s="128"/>
      <x:c r="G103" s="128"/>
      <x:c r="H103" s="128"/>
      <x:c r="I103" s="128"/>
      <x:c r="J103" s="128"/>
      <x:c r="K103" s="128"/>
      <x:c r="L103" s="128"/>
      <x:c r="M103" s="128"/>
      <x:c r="N103" s="128"/>
      <x:c r="O103" s="128"/>
      <x:c r="P103" s="125"/>
      <x:c r="Q103" s="125"/>
    </x:row>
    <x:row r="104">
      <x:c r="A104" s="128"/>
      <x:c r="B104" s="128"/>
      <x:c r="C104" s="128"/>
      <x:c r="D104" s="128"/>
      <x:c r="E104" s="128"/>
      <x:c r="F104" s="128"/>
      <x:c r="G104" s="128"/>
      <x:c r="H104" s="128"/>
      <x:c r="I104" s="128"/>
      <x:c r="J104" s="128"/>
      <x:c r="K104" s="128"/>
      <x:c r="L104" s="128"/>
      <x:c r="M104" s="128"/>
      <x:c r="N104" s="128"/>
      <x:c r="O104" s="128"/>
      <x:c r="P104" s="125"/>
      <x:c r="Q104" s="125"/>
    </x:row>
    <x:row r="105">
      <x:c r="A105" s="128"/>
      <x:c r="B105" s="128"/>
      <x:c r="C105" s="128"/>
      <x:c r="D105" s="128"/>
      <x:c r="E105" s="128"/>
      <x:c r="F105" s="128"/>
      <x:c r="G105" s="128"/>
      <x:c r="H105" s="128"/>
      <x:c r="I105" s="128"/>
      <x:c r="J105" s="128"/>
      <x:c r="K105" s="128"/>
      <x:c r="L105" s="128"/>
      <x:c r="M105" s="128"/>
      <x:c r="N105" s="128"/>
      <x:c r="O105" s="128"/>
      <x:c r="P105" s="125"/>
      <x:c r="Q105" s="125"/>
    </x:row>
    <x:row r="106">
      <x:c r="A106" s="128"/>
      <x:c r="B106" s="128"/>
      <x:c r="C106" s="128"/>
      <x:c r="D106" s="128"/>
      <x:c r="E106" s="128"/>
      <x:c r="F106" s="128"/>
      <x:c r="G106" s="128"/>
      <x:c r="H106" s="128"/>
      <x:c r="I106" s="128"/>
      <x:c r="J106" s="128"/>
      <x:c r="K106" s="128"/>
      <x:c r="L106" s="128"/>
      <x:c r="M106" s="128"/>
      <x:c r="N106" s="128"/>
      <x:c r="O106" s="128"/>
      <x:c r="P106" s="125"/>
      <x:c r="Q106" s="125"/>
    </x:row>
    <x:row r="107">
      <x:c r="A107" s="128"/>
      <x:c r="B107" s="128"/>
      <x:c r="C107" s="128"/>
      <x:c r="D107" s="128"/>
      <x:c r="E107" s="128"/>
      <x:c r="F107" s="128"/>
      <x:c r="G107" s="128"/>
      <x:c r="H107" s="128"/>
      <x:c r="I107" s="128"/>
      <x:c r="J107" s="128"/>
      <x:c r="K107" s="128"/>
      <x:c r="L107" s="128"/>
      <x:c r="M107" s="128"/>
      <x:c r="N107" s="128"/>
      <x:c r="O107" s="128"/>
      <x:c r="P107" s="125"/>
      <x:c r="Q107" s="125"/>
    </x:row>
    <x:row r="108">
      <x:c r="A108" s="128"/>
      <x:c r="B108" s="128"/>
      <x:c r="C108" s="128"/>
      <x:c r="D108" s="128"/>
      <x:c r="E108" s="128"/>
      <x:c r="F108" s="128"/>
      <x:c r="G108" s="128"/>
      <x:c r="H108" s="128"/>
      <x:c r="I108" s="128"/>
      <x:c r="J108" s="128"/>
      <x:c r="K108" s="128"/>
      <x:c r="L108" s="128"/>
      <x:c r="M108" s="128"/>
      <x:c r="N108" s="128"/>
      <x:c r="O108" s="128"/>
      <x:c r="P108" s="125"/>
      <x:c r="Q108" s="125"/>
    </x:row>
    <x:row r="109">
      <x:c r="A109" s="128"/>
      <x:c r="B109" s="128"/>
      <x:c r="C109" s="128"/>
      <x:c r="D109" s="128"/>
      <x:c r="E109" s="128"/>
      <x:c r="F109" s="128"/>
      <x:c r="G109" s="128"/>
      <x:c r="H109" s="128"/>
      <x:c r="I109" s="128"/>
      <x:c r="J109" s="128"/>
      <x:c r="K109" s="128"/>
      <x:c r="L109" s="128"/>
      <x:c r="M109" s="128"/>
      <x:c r="N109" s="128"/>
      <x:c r="O109" s="128"/>
      <x:c r="P109" s="125"/>
      <x:c r="Q109" s="125"/>
    </x:row>
    <x:row r="110">
      <x:c r="A110" s="128"/>
      <x:c r="B110" s="128"/>
      <x:c r="C110" s="128"/>
      <x:c r="D110" s="128"/>
      <x:c r="E110" s="128"/>
      <x:c r="F110" s="128"/>
      <x:c r="G110" s="128"/>
      <x:c r="H110" s="128"/>
      <x:c r="I110" s="128"/>
      <x:c r="J110" s="128"/>
      <x:c r="K110" s="128"/>
      <x:c r="L110" s="128"/>
      <x:c r="M110" s="128"/>
      <x:c r="N110" s="128"/>
      <x:c r="O110" s="128"/>
      <x:c r="P110" s="125"/>
      <x:c r="Q110" s="125"/>
    </x:row>
    <x:row r="111">
      <x:c r="A111" s="128"/>
      <x:c r="B111" s="128"/>
      <x:c r="C111" s="128"/>
      <x:c r="D111" s="128"/>
      <x:c r="E111" s="128"/>
      <x:c r="F111" s="128"/>
      <x:c r="G111" s="128"/>
      <x:c r="H111" s="128"/>
      <x:c r="I111" s="128"/>
      <x:c r="J111" s="128"/>
      <x:c r="K111" s="128"/>
      <x:c r="L111" s="128"/>
      <x:c r="M111" s="128"/>
      <x:c r="N111" s="128"/>
      <x:c r="O111" s="128"/>
      <x:c r="P111" s="125"/>
      <x:c r="Q111" s="125"/>
    </x:row>
    <x:row r="112">
      <x:c r="A112" s="128"/>
      <x:c r="B112" s="128"/>
      <x:c r="C112" s="128"/>
      <x:c r="D112" s="128"/>
      <x:c r="E112" s="128"/>
      <x:c r="F112" s="128"/>
      <x:c r="G112" s="128"/>
      <x:c r="H112" s="128"/>
      <x:c r="I112" s="128"/>
      <x:c r="J112" s="128"/>
      <x:c r="K112" s="128"/>
      <x:c r="L112" s="128"/>
      <x:c r="M112" s="128"/>
      <x:c r="N112" s="128"/>
      <x:c r="O112" s="128"/>
      <x:c r="P112" s="125"/>
      <x:c r="Q112" s="125"/>
    </x:row>
    <x:row r="113">
      <x:c r="A113" s="128"/>
      <x:c r="B113" s="128"/>
      <x:c r="C113" s="128"/>
      <x:c r="D113" s="128"/>
      <x:c r="E113" s="128"/>
      <x:c r="F113" s="128"/>
      <x:c r="G113" s="128"/>
      <x:c r="H113" s="128"/>
      <x:c r="I113" s="128"/>
      <x:c r="J113" s="128"/>
      <x:c r="K113" s="128"/>
      <x:c r="L113" s="128"/>
      <x:c r="M113" s="128"/>
      <x:c r="N113" s="128"/>
      <x:c r="O113" s="128"/>
      <x:c r="P113" s="125"/>
      <x:c r="Q113" s="125"/>
    </x:row>
    <x:row r="114">
      <x:c r="A114" s="128"/>
      <x:c r="B114" s="128"/>
      <x:c r="C114" s="128"/>
      <x:c r="D114" s="128"/>
      <x:c r="E114" s="128"/>
      <x:c r="F114" s="128"/>
      <x:c r="G114" s="128"/>
      <x:c r="H114" s="128"/>
      <x:c r="I114" s="128"/>
      <x:c r="J114" s="128"/>
      <x:c r="K114" s="128"/>
      <x:c r="L114" s="128"/>
      <x:c r="M114" s="128"/>
      <x:c r="N114" s="128"/>
      <x:c r="O114" s="128"/>
      <x:c r="P114" s="125"/>
      <x:c r="Q114" s="125"/>
    </x:row>
    <x:row r="115">
      <x:c r="A115" s="128"/>
      <x:c r="B115" s="128"/>
      <x:c r="C115" s="128"/>
      <x:c r="D115" s="128"/>
      <x:c r="E115" s="128"/>
      <x:c r="F115" s="128"/>
      <x:c r="G115" s="128"/>
      <x:c r="H115" s="128"/>
      <x:c r="I115" s="128"/>
      <x:c r="J115" s="128"/>
      <x:c r="K115" s="128"/>
      <x:c r="L115" s="128"/>
      <x:c r="M115" s="128"/>
      <x:c r="N115" s="128"/>
      <x:c r="O115" s="128"/>
      <x:c r="P115" s="125"/>
      <x:c r="Q115" s="125"/>
    </x:row>
    <x:row r="116">
      <x:c r="A116" s="128"/>
      <x:c r="B116" s="128"/>
      <x:c r="C116" s="128"/>
      <x:c r="D116" s="128"/>
      <x:c r="E116" s="128"/>
      <x:c r="F116" s="128"/>
      <x:c r="G116" s="128"/>
      <x:c r="H116" s="128"/>
      <x:c r="I116" s="128"/>
      <x:c r="J116" s="128"/>
      <x:c r="K116" s="128"/>
      <x:c r="L116" s="128"/>
      <x:c r="M116" s="128"/>
      <x:c r="N116" s="128"/>
      <x:c r="O116" s="128"/>
      <x:c r="P116" s="125"/>
      <x:c r="Q116" s="125"/>
    </x:row>
    <x:row r="117">
      <x:c r="A117" s="128"/>
      <x:c r="B117" s="128"/>
      <x:c r="C117" s="128"/>
      <x:c r="D117" s="128"/>
      <x:c r="E117" s="128"/>
      <x:c r="F117" s="128"/>
      <x:c r="G117" s="128"/>
      <x:c r="H117" s="128"/>
      <x:c r="I117" s="128"/>
      <x:c r="J117" s="128"/>
      <x:c r="K117" s="128"/>
      <x:c r="L117" s="128"/>
      <x:c r="M117" s="128"/>
      <x:c r="N117" s="128"/>
      <x:c r="O117" s="128"/>
      <x:c r="P117" s="125"/>
      <x:c r="Q117" s="125"/>
    </x:row>
    <x:row r="118">
      <x:c r="A118" s="128"/>
      <x:c r="B118" s="128"/>
      <x:c r="C118" s="128"/>
      <x:c r="D118" s="128"/>
      <x:c r="E118" s="128"/>
      <x:c r="F118" s="128"/>
      <x:c r="G118" s="128"/>
      <x:c r="H118" s="128"/>
      <x:c r="I118" s="128"/>
      <x:c r="J118" s="128"/>
      <x:c r="K118" s="128"/>
      <x:c r="L118" s="128"/>
      <x:c r="M118" s="128"/>
      <x:c r="N118" s="128"/>
      <x:c r="O118" s="128"/>
      <x:c r="P118" s="125"/>
      <x:c r="Q118" s="125"/>
    </x:row>
    <x:row r="119">
      <x:c r="A119" s="128"/>
      <x:c r="B119" s="128"/>
      <x:c r="C119" s="128"/>
      <x:c r="D119" s="128"/>
      <x:c r="E119" s="128"/>
      <x:c r="F119" s="128"/>
      <x:c r="G119" s="128"/>
      <x:c r="H119" s="128"/>
      <x:c r="I119" s="128"/>
      <x:c r="J119" s="128"/>
      <x:c r="K119" s="128"/>
      <x:c r="L119" s="128"/>
      <x:c r="M119" s="128"/>
      <x:c r="N119" s="128"/>
      <x:c r="O119" s="128"/>
      <x:c r="P119" s="125"/>
      <x:c r="Q119" s="125"/>
    </x:row>
    <x:row r="120">
      <x:c r="A120" s="128"/>
      <x:c r="B120" s="128"/>
      <x:c r="C120" s="128"/>
      <x:c r="D120" s="128"/>
      <x:c r="E120" s="128"/>
      <x:c r="F120" s="128"/>
      <x:c r="G120" s="128"/>
      <x:c r="H120" s="128"/>
      <x:c r="I120" s="128"/>
      <x:c r="J120" s="128"/>
      <x:c r="K120" s="128"/>
      <x:c r="L120" s="128"/>
      <x:c r="M120" s="128"/>
      <x:c r="N120" s="128"/>
      <x:c r="O120" s="128"/>
      <x:c r="P120" s="125"/>
      <x:c r="Q120" s="125"/>
    </x:row>
    <x:row r="121">
      <x:c r="A121" s="128"/>
      <x:c r="B121" s="128"/>
      <x:c r="C121" s="128"/>
      <x:c r="D121" s="128"/>
      <x:c r="E121" s="128"/>
      <x:c r="F121" s="128"/>
      <x:c r="G121" s="128"/>
      <x:c r="H121" s="128"/>
      <x:c r="I121" s="128"/>
      <x:c r="J121" s="128"/>
      <x:c r="K121" s="128"/>
      <x:c r="L121" s="128"/>
      <x:c r="M121" s="128"/>
      <x:c r="N121" s="128"/>
      <x:c r="O121" s="128"/>
      <x:c r="P121" s="125"/>
      <x:c r="Q121" s="125"/>
    </x:row>
    <x:row r="122">
      <x:c r="A122" s="128"/>
      <x:c r="B122" s="128"/>
      <x:c r="C122" s="128"/>
      <x:c r="D122" s="128"/>
      <x:c r="E122" s="128"/>
      <x:c r="F122" s="128"/>
      <x:c r="G122" s="128"/>
      <x:c r="H122" s="128"/>
      <x:c r="I122" s="128"/>
      <x:c r="J122" s="128"/>
      <x:c r="K122" s="128"/>
      <x:c r="L122" s="128"/>
      <x:c r="M122" s="128"/>
      <x:c r="N122" s="128"/>
      <x:c r="O122" s="128"/>
      <x:c r="P122" s="125"/>
      <x:c r="Q122" s="125"/>
    </x:row>
    <x:row r="123">
      <x:c r="A123" s="128"/>
      <x:c r="B123" s="128"/>
      <x:c r="C123" s="128"/>
      <x:c r="D123" s="128"/>
      <x:c r="E123" s="128"/>
      <x:c r="F123" s="128"/>
      <x:c r="G123" s="128"/>
      <x:c r="H123" s="128"/>
      <x:c r="I123" s="128"/>
      <x:c r="J123" s="128"/>
      <x:c r="K123" s="128"/>
      <x:c r="L123" s="128"/>
      <x:c r="M123" s="128"/>
      <x:c r="N123" s="128"/>
      <x:c r="O123" s="128"/>
      <x:c r="P123" s="125"/>
      <x:c r="Q123" s="125"/>
    </x:row>
    <x:row r="124">
      <x:c r="A124" s="128"/>
      <x:c r="B124" s="128"/>
      <x:c r="C124" s="128"/>
      <x:c r="D124" s="128"/>
      <x:c r="E124" s="128"/>
      <x:c r="F124" s="128"/>
      <x:c r="G124" s="128"/>
      <x:c r="H124" s="128"/>
      <x:c r="I124" s="128"/>
      <x:c r="J124" s="128"/>
      <x:c r="K124" s="128"/>
      <x:c r="L124" s="128"/>
      <x:c r="M124" s="128"/>
      <x:c r="N124" s="128"/>
      <x:c r="O124" s="128"/>
      <x:c r="P124" s="125"/>
      <x:c r="Q124" s="125"/>
    </x:row>
    <x:row r="125">
      <x:c r="A125" s="128"/>
      <x:c r="B125" s="128"/>
      <x:c r="C125" s="128"/>
      <x:c r="D125" s="128"/>
      <x:c r="E125" s="128"/>
      <x:c r="F125" s="128"/>
      <x:c r="G125" s="128"/>
      <x:c r="H125" s="128"/>
      <x:c r="I125" s="128"/>
      <x:c r="J125" s="128"/>
      <x:c r="K125" s="128"/>
      <x:c r="L125" s="128"/>
      <x:c r="M125" s="128"/>
      <x:c r="N125" s="128"/>
      <x:c r="O125" s="128"/>
      <x:c r="P125" s="125"/>
      <x:c r="Q125" s="125"/>
    </x:row>
    <x:row r="126">
      <x:c r="A126" s="128"/>
      <x:c r="B126" s="128"/>
      <x:c r="C126" s="128"/>
      <x:c r="D126" s="128"/>
      <x:c r="E126" s="128"/>
      <x:c r="F126" s="128"/>
      <x:c r="G126" s="128"/>
      <x:c r="H126" s="128"/>
      <x:c r="I126" s="128"/>
      <x:c r="J126" s="128"/>
      <x:c r="K126" s="128"/>
      <x:c r="L126" s="128"/>
      <x:c r="M126" s="128"/>
      <x:c r="N126" s="128"/>
      <x:c r="O126" s="128"/>
      <x:c r="P126" s="125"/>
      <x:c r="Q126" s="125"/>
    </x:row>
    <x:row r="127">
      <x:c r="A127" s="128"/>
      <x:c r="B127" s="128"/>
      <x:c r="C127" s="128"/>
      <x:c r="D127" s="128"/>
      <x:c r="E127" s="128"/>
      <x:c r="F127" s="128"/>
      <x:c r="G127" s="128"/>
      <x:c r="H127" s="128"/>
      <x:c r="I127" s="128"/>
      <x:c r="J127" s="128"/>
      <x:c r="K127" s="128"/>
      <x:c r="L127" s="128"/>
      <x:c r="M127" s="128"/>
      <x:c r="N127" s="128"/>
      <x:c r="O127" s="128"/>
      <x:c r="P127" s="125"/>
      <x:c r="Q127" s="125"/>
    </x:row>
    <x:row r="128">
      <x:c r="A128" s="128"/>
      <x:c r="B128" s="128"/>
      <x:c r="C128" s="128"/>
      <x:c r="D128" s="128"/>
      <x:c r="E128" s="128"/>
      <x:c r="F128" s="128"/>
      <x:c r="G128" s="128"/>
      <x:c r="H128" s="128"/>
      <x:c r="I128" s="128"/>
      <x:c r="J128" s="128"/>
      <x:c r="K128" s="128"/>
      <x:c r="L128" s="128"/>
      <x:c r="M128" s="128"/>
      <x:c r="N128" s="128"/>
      <x:c r="O128" s="128"/>
      <x:c r="P128" s="125"/>
      <x:c r="Q128" s="125"/>
    </x:row>
    <x:row r="129">
      <x:c r="A129" s="128"/>
      <x:c r="B129" s="128"/>
      <x:c r="C129" s="128"/>
      <x:c r="D129" s="128"/>
      <x:c r="E129" s="128"/>
      <x:c r="F129" s="128"/>
      <x:c r="G129" s="128"/>
      <x:c r="H129" s="128"/>
      <x:c r="I129" s="128"/>
      <x:c r="J129" s="128"/>
      <x:c r="K129" s="128"/>
      <x:c r="L129" s="128"/>
      <x:c r="M129" s="128"/>
      <x:c r="N129" s="128"/>
      <x:c r="O129" s="128"/>
      <x:c r="P129" s="125"/>
      <x:c r="Q129" s="125"/>
    </x:row>
    <x:row r="130">
      <x:c r="A130" s="128"/>
      <x:c r="B130" s="128"/>
      <x:c r="C130" s="128"/>
      <x:c r="D130" s="128"/>
      <x:c r="E130" s="128"/>
      <x:c r="F130" s="128"/>
      <x:c r="G130" s="128"/>
      <x:c r="H130" s="128"/>
      <x:c r="I130" s="128"/>
      <x:c r="J130" s="128"/>
      <x:c r="K130" s="128"/>
      <x:c r="L130" s="128"/>
      <x:c r="M130" s="128"/>
      <x:c r="N130" s="128"/>
      <x:c r="O130" s="128"/>
      <x:c r="P130" s="125"/>
      <x:c r="Q130" s="125"/>
    </x:row>
    <x:row r="131">
      <x:c r="A131" s="128"/>
      <x:c r="B131" s="128"/>
      <x:c r="C131" s="128"/>
      <x:c r="D131" s="128"/>
      <x:c r="E131" s="128"/>
      <x:c r="F131" s="128"/>
      <x:c r="G131" s="128"/>
      <x:c r="H131" s="128"/>
      <x:c r="I131" s="128"/>
      <x:c r="J131" s="128"/>
      <x:c r="K131" s="128"/>
      <x:c r="L131" s="128"/>
      <x:c r="M131" s="128"/>
      <x:c r="N131" s="128"/>
      <x:c r="O131" s="128"/>
      <x:c r="P131" s="125"/>
      <x:c r="Q131" s="125"/>
    </x:row>
    <x:row r="132">
      <x:c r="A132" s="128"/>
      <x:c r="B132" s="128"/>
      <x:c r="C132" s="128"/>
      <x:c r="D132" s="128"/>
      <x:c r="E132" s="128"/>
      <x:c r="F132" s="128"/>
      <x:c r="G132" s="128"/>
      <x:c r="H132" s="128"/>
      <x:c r="I132" s="128"/>
      <x:c r="J132" s="128"/>
      <x:c r="K132" s="128"/>
      <x:c r="L132" s="128"/>
      <x:c r="M132" s="128"/>
      <x:c r="N132" s="128"/>
      <x:c r="O132" s="128"/>
      <x:c r="P132" s="125"/>
      <x:c r="Q132" s="125"/>
    </x:row>
    <x:row r="133">
      <x:c r="A133" s="128"/>
      <x:c r="B133" s="128"/>
      <x:c r="C133" s="128"/>
      <x:c r="D133" s="128"/>
      <x:c r="E133" s="128"/>
      <x:c r="F133" s="128"/>
      <x:c r="G133" s="128"/>
      <x:c r="H133" s="128"/>
      <x:c r="I133" s="128"/>
      <x:c r="J133" s="128"/>
      <x:c r="K133" s="128"/>
      <x:c r="L133" s="128"/>
      <x:c r="M133" s="128"/>
      <x:c r="N133" s="128"/>
      <x:c r="O133" s="128"/>
      <x:c r="P133" s="125"/>
      <x:c r="Q133" s="125"/>
    </x:row>
    <x:row r="134">
      <x:c r="A134" s="128"/>
      <x:c r="B134" s="128"/>
      <x:c r="C134" s="128"/>
      <x:c r="D134" s="128"/>
      <x:c r="E134" s="128"/>
      <x:c r="F134" s="128"/>
      <x:c r="G134" s="128"/>
      <x:c r="H134" s="128"/>
      <x:c r="I134" s="128"/>
      <x:c r="J134" s="128"/>
      <x:c r="K134" s="128"/>
      <x:c r="L134" s="128"/>
      <x:c r="M134" s="128"/>
      <x:c r="N134" s="128"/>
      <x:c r="O134" s="128"/>
      <x:c r="P134" s="125"/>
      <x:c r="Q134" s="125"/>
    </x:row>
    <x:row r="135">
      <x:c r="A135" s="128"/>
      <x:c r="B135" s="128"/>
      <x:c r="C135" s="128"/>
      <x:c r="D135" s="128"/>
      <x:c r="E135" s="128"/>
      <x:c r="F135" s="128"/>
      <x:c r="G135" s="128"/>
      <x:c r="H135" s="128"/>
      <x:c r="I135" s="128"/>
      <x:c r="J135" s="128"/>
      <x:c r="K135" s="128"/>
      <x:c r="L135" s="128"/>
      <x:c r="M135" s="128"/>
      <x:c r="N135" s="128"/>
      <x:c r="O135" s="128"/>
      <x:c r="P135" s="125"/>
      <x:c r="Q135" s="125"/>
    </x:row>
    <x:row r="136">
      <x:c r="A136" s="128"/>
      <x:c r="B136" s="128"/>
      <x:c r="C136" s="128"/>
      <x:c r="D136" s="128"/>
      <x:c r="E136" s="128"/>
      <x:c r="F136" s="128"/>
      <x:c r="G136" s="128"/>
      <x:c r="H136" s="128"/>
      <x:c r="I136" s="128"/>
      <x:c r="J136" s="128"/>
      <x:c r="K136" s="128"/>
      <x:c r="L136" s="128"/>
      <x:c r="M136" s="128"/>
      <x:c r="N136" s="128"/>
      <x:c r="O136" s="128"/>
      <x:c r="P136" s="125"/>
      <x:c r="Q136" s="125"/>
    </x:row>
    <x:row r="137">
      <x:c r="A137" s="128"/>
      <x:c r="B137" s="128"/>
      <x:c r="C137" s="128"/>
      <x:c r="D137" s="128"/>
      <x:c r="E137" s="128"/>
      <x:c r="F137" s="128"/>
      <x:c r="G137" s="128"/>
      <x:c r="H137" s="128"/>
      <x:c r="I137" s="128"/>
      <x:c r="J137" s="128"/>
      <x:c r="K137" s="128"/>
      <x:c r="L137" s="128"/>
      <x:c r="M137" s="128"/>
      <x:c r="N137" s="128"/>
      <x:c r="O137" s="128"/>
      <x:c r="P137" s="125"/>
      <x:c r="Q137" s="125"/>
    </x:row>
    <x:row r="138">
      <x:c r="A138" s="128"/>
      <x:c r="B138" s="128"/>
      <x:c r="C138" s="128"/>
      <x:c r="D138" s="128"/>
      <x:c r="E138" s="128"/>
      <x:c r="F138" s="128"/>
      <x:c r="G138" s="128"/>
      <x:c r="H138" s="128"/>
      <x:c r="I138" s="128"/>
      <x:c r="J138" s="128"/>
      <x:c r="K138" s="128"/>
      <x:c r="L138" s="128"/>
      <x:c r="M138" s="128"/>
      <x:c r="N138" s="128"/>
      <x:c r="O138" s="128"/>
      <x:c r="P138" s="125"/>
      <x:c r="Q138" s="125"/>
    </x:row>
    <x:row r="139">
      <x:c r="A139" s="128"/>
      <x:c r="B139" s="128"/>
      <x:c r="C139" s="128"/>
      <x:c r="D139" s="128"/>
      <x:c r="E139" s="128"/>
      <x:c r="F139" s="128"/>
      <x:c r="G139" s="128"/>
      <x:c r="H139" s="128"/>
      <x:c r="I139" s="128"/>
      <x:c r="J139" s="128"/>
      <x:c r="K139" s="128"/>
      <x:c r="L139" s="128"/>
      <x:c r="M139" s="128"/>
      <x:c r="N139" s="128"/>
      <x:c r="O139" s="128"/>
      <x:c r="P139" s="125"/>
      <x:c r="Q139" s="125"/>
    </x:row>
    <x:row r="140">
      <x:c r="A140" s="128"/>
      <x:c r="B140" s="128"/>
      <x:c r="C140" s="128"/>
      <x:c r="D140" s="128"/>
      <x:c r="E140" s="128"/>
      <x:c r="F140" s="128"/>
      <x:c r="G140" s="128"/>
      <x:c r="H140" s="128"/>
      <x:c r="I140" s="128"/>
      <x:c r="J140" s="128"/>
      <x:c r="K140" s="128"/>
      <x:c r="L140" s="128"/>
      <x:c r="M140" s="128"/>
      <x:c r="N140" s="128"/>
      <x:c r="O140" s="128"/>
      <x:c r="P140" s="125"/>
      <x:c r="Q140" s="125"/>
    </x:row>
    <x:row r="141">
      <x:c r="A141" s="128"/>
      <x:c r="B141" s="128"/>
      <x:c r="C141" s="128"/>
      <x:c r="D141" s="128"/>
      <x:c r="E141" s="128"/>
      <x:c r="F141" s="128"/>
      <x:c r="G141" s="128"/>
      <x:c r="H141" s="128"/>
      <x:c r="I141" s="128"/>
      <x:c r="J141" s="128"/>
      <x:c r="K141" s="128"/>
      <x:c r="L141" s="128"/>
      <x:c r="M141" s="128"/>
      <x:c r="N141" s="128"/>
      <x:c r="O141" s="128"/>
      <x:c r="P141" s="125"/>
      <x:c r="Q141" s="125"/>
    </x:row>
    <x:row r="142">
      <x:c r="A142" s="128"/>
      <x:c r="B142" s="128"/>
      <x:c r="C142" s="128"/>
      <x:c r="D142" s="128"/>
      <x:c r="E142" s="128"/>
      <x:c r="F142" s="128"/>
      <x:c r="G142" s="128"/>
      <x:c r="H142" s="128"/>
      <x:c r="I142" s="128"/>
      <x:c r="J142" s="128"/>
      <x:c r="K142" s="128"/>
      <x:c r="L142" s="128"/>
      <x:c r="M142" s="128"/>
      <x:c r="N142" s="128"/>
      <x:c r="O142" s="128"/>
      <x:c r="P142" s="125"/>
      <x:c r="Q142" s="125"/>
    </x:row>
    <x:row r="143">
      <x:c r="A143" s="128"/>
      <x:c r="B143" s="128"/>
      <x:c r="C143" s="128"/>
      <x:c r="D143" s="128"/>
      <x:c r="E143" s="128"/>
      <x:c r="F143" s="128"/>
      <x:c r="G143" s="128"/>
      <x:c r="H143" s="128"/>
      <x:c r="I143" s="128"/>
      <x:c r="J143" s="128"/>
      <x:c r="K143" s="128"/>
      <x:c r="L143" s="128"/>
      <x:c r="M143" s="128"/>
      <x:c r="N143" s="128"/>
      <x:c r="O143" s="128"/>
      <x:c r="P143" s="125"/>
      <x:c r="Q143" s="125"/>
    </x:row>
    <x:row r="144">
      <x:c r="A144" s="128"/>
      <x:c r="B144" s="128"/>
      <x:c r="C144" s="128"/>
      <x:c r="D144" s="128"/>
      <x:c r="E144" s="128"/>
      <x:c r="F144" s="128"/>
      <x:c r="G144" s="128"/>
      <x:c r="H144" s="128"/>
      <x:c r="I144" s="128"/>
      <x:c r="J144" s="128"/>
      <x:c r="K144" s="128"/>
      <x:c r="L144" s="128"/>
      <x:c r="M144" s="128"/>
      <x:c r="N144" s="128"/>
      <x:c r="O144" s="128"/>
      <x:c r="P144" s="125"/>
      <x:c r="Q144" s="125"/>
    </x:row>
    <x:row r="145">
      <x:c r="A145" s="128"/>
      <x:c r="B145" s="128"/>
      <x:c r="C145" s="128"/>
      <x:c r="D145" s="128"/>
      <x:c r="E145" s="128"/>
      <x:c r="F145" s="128"/>
      <x:c r="G145" s="128"/>
      <x:c r="H145" s="128"/>
      <x:c r="I145" s="128"/>
      <x:c r="J145" s="128"/>
      <x:c r="K145" s="128"/>
      <x:c r="L145" s="128"/>
      <x:c r="M145" s="128"/>
      <x:c r="N145" s="128"/>
      <x:c r="O145" s="128"/>
      <x:c r="P145" s="125"/>
      <x:c r="Q145" s="125"/>
    </x:row>
    <x:row r="146">
      <x:c r="A146" s="128"/>
      <x:c r="B146" s="128"/>
      <x:c r="C146" s="128"/>
      <x:c r="D146" s="128"/>
      <x:c r="E146" s="128"/>
      <x:c r="F146" s="128"/>
      <x:c r="G146" s="128"/>
      <x:c r="H146" s="128"/>
      <x:c r="I146" s="128"/>
      <x:c r="J146" s="128"/>
      <x:c r="K146" s="128"/>
      <x:c r="L146" s="128"/>
      <x:c r="M146" s="128"/>
      <x:c r="N146" s="128"/>
      <x:c r="O146" s="128"/>
      <x:c r="P146" s="125"/>
      <x:c r="Q146" s="125"/>
    </x:row>
    <x:row r="147">
      <x:c r="A147" s="128"/>
      <x:c r="B147" s="128"/>
      <x:c r="C147" s="128"/>
      <x:c r="D147" s="128"/>
      <x:c r="E147" s="128"/>
      <x:c r="F147" s="128"/>
      <x:c r="G147" s="128"/>
      <x:c r="H147" s="128"/>
      <x:c r="I147" s="128"/>
      <x:c r="J147" s="128"/>
      <x:c r="K147" s="128"/>
      <x:c r="L147" s="128"/>
      <x:c r="M147" s="128"/>
      <x:c r="N147" s="128"/>
      <x:c r="O147" s="128"/>
      <x:c r="P147" s="125"/>
      <x:c r="Q147" s="125"/>
    </x:row>
    <x:row r="148">
      <x:c r="A148" s="128"/>
      <x:c r="B148" s="128"/>
      <x:c r="C148" s="128"/>
      <x:c r="D148" s="128"/>
      <x:c r="E148" s="128"/>
      <x:c r="F148" s="128"/>
      <x:c r="G148" s="128"/>
      <x:c r="H148" s="128"/>
      <x:c r="I148" s="128"/>
      <x:c r="J148" s="128"/>
      <x:c r="K148" s="128"/>
      <x:c r="L148" s="128"/>
      <x:c r="M148" s="128"/>
      <x:c r="N148" s="128"/>
      <x:c r="O148" s="128"/>
      <x:c r="P148" s="125"/>
      <x:c r="Q148" s="125"/>
    </x:row>
    <x:row r="149">
      <x:c r="A149" s="128"/>
      <x:c r="B149" s="128"/>
      <x:c r="C149" s="128"/>
      <x:c r="D149" s="128"/>
      <x:c r="E149" s="128"/>
      <x:c r="F149" s="128"/>
      <x:c r="G149" s="128"/>
      <x:c r="H149" s="128"/>
      <x:c r="I149" s="128"/>
      <x:c r="J149" s="128"/>
      <x:c r="K149" s="128"/>
      <x:c r="L149" s="128"/>
      <x:c r="M149" s="128"/>
      <x:c r="N149" s="128"/>
      <x:c r="O149" s="128"/>
      <x:c r="P149" s="125"/>
      <x:c r="Q149" s="125"/>
    </x:row>
    <x:row r="150">
      <x:c r="A150" s="128"/>
      <x:c r="B150" s="128"/>
      <x:c r="C150" s="128"/>
      <x:c r="D150" s="128"/>
      <x:c r="E150" s="128"/>
      <x:c r="F150" s="128"/>
      <x:c r="G150" s="128"/>
      <x:c r="H150" s="128"/>
      <x:c r="I150" s="128"/>
      <x:c r="J150" s="128"/>
      <x:c r="K150" s="128"/>
      <x:c r="L150" s="128"/>
      <x:c r="M150" s="128"/>
      <x:c r="N150" s="128"/>
      <x:c r="O150" s="128"/>
      <x:c r="P150" s="125"/>
      <x:c r="Q150" s="125"/>
    </x:row>
    <x:row r="151">
      <x:c r="A151" s="128"/>
      <x:c r="B151" s="128"/>
      <x:c r="C151" s="128"/>
      <x:c r="D151" s="128"/>
      <x:c r="E151" s="128"/>
      <x:c r="F151" s="128"/>
      <x:c r="G151" s="128"/>
      <x:c r="H151" s="128"/>
      <x:c r="I151" s="128"/>
      <x:c r="J151" s="128"/>
      <x:c r="K151" s="128"/>
      <x:c r="L151" s="128"/>
      <x:c r="M151" s="128"/>
      <x:c r="N151" s="128"/>
      <x:c r="O151" s="128"/>
      <x:c r="P151" s="125"/>
      <x:c r="Q151" s="125"/>
    </x:row>
    <x:row r="152">
      <x:c r="A152" s="128"/>
      <x:c r="B152" s="128"/>
      <x:c r="C152" s="128"/>
      <x:c r="D152" s="128"/>
      <x:c r="E152" s="128"/>
      <x:c r="F152" s="128"/>
      <x:c r="G152" s="128"/>
      <x:c r="H152" s="128"/>
      <x:c r="I152" s="128"/>
      <x:c r="J152" s="128"/>
      <x:c r="K152" s="128"/>
      <x:c r="L152" s="128"/>
      <x:c r="M152" s="128"/>
      <x:c r="N152" s="128"/>
      <x:c r="O152" s="128"/>
      <x:c r="P152" s="125"/>
      <x:c r="Q152" s="125"/>
    </x:row>
    <x:row r="153">
      <x:c r="A153" s="128"/>
      <x:c r="B153" s="128"/>
      <x:c r="C153" s="128"/>
      <x:c r="D153" s="128"/>
      <x:c r="E153" s="128"/>
      <x:c r="F153" s="128"/>
      <x:c r="G153" s="128"/>
      <x:c r="H153" s="128"/>
      <x:c r="I153" s="128"/>
      <x:c r="J153" s="128"/>
      <x:c r="K153" s="128"/>
      <x:c r="L153" s="128"/>
      <x:c r="M153" s="128"/>
      <x:c r="N153" s="128"/>
      <x:c r="O153" s="128"/>
      <x:c r="P153" s="125"/>
      <x:c r="Q153" s="125"/>
    </x:row>
    <x:row r="154">
      <x:c r="A154" s="128"/>
      <x:c r="B154" s="128"/>
      <x:c r="C154" s="128"/>
      <x:c r="D154" s="128"/>
      <x:c r="E154" s="128"/>
      <x:c r="F154" s="128"/>
      <x:c r="G154" s="128"/>
      <x:c r="H154" s="128"/>
      <x:c r="I154" s="128"/>
      <x:c r="J154" s="128"/>
      <x:c r="K154" s="128"/>
      <x:c r="L154" s="128"/>
      <x:c r="M154" s="128"/>
      <x:c r="N154" s="128"/>
      <x:c r="O154" s="128"/>
      <x:c r="P154" s="125"/>
      <x:c r="Q154" s="125"/>
    </x:row>
    <x:row r="155">
      <x:c r="A155" s="128"/>
      <x:c r="B155" s="128"/>
      <x:c r="C155" s="128"/>
      <x:c r="D155" s="128"/>
      <x:c r="E155" s="128"/>
      <x:c r="F155" s="128"/>
      <x:c r="G155" s="128"/>
      <x:c r="H155" s="128"/>
      <x:c r="I155" s="128"/>
      <x:c r="J155" s="128"/>
      <x:c r="K155" s="128"/>
      <x:c r="L155" s="128"/>
      <x:c r="M155" s="128"/>
      <x:c r="N155" s="128"/>
      <x:c r="O155" s="128"/>
      <x:c r="P155" s="125"/>
      <x:c r="Q155" s="125"/>
    </x:row>
    <x:row r="156">
      <x:c r="A156" s="128"/>
      <x:c r="B156" s="128"/>
      <x:c r="C156" s="128"/>
      <x:c r="D156" s="128"/>
      <x:c r="E156" s="128"/>
      <x:c r="F156" s="128"/>
      <x:c r="G156" s="128"/>
      <x:c r="H156" s="128"/>
      <x:c r="I156" s="128"/>
      <x:c r="J156" s="128"/>
      <x:c r="K156" s="128"/>
      <x:c r="L156" s="128"/>
      <x:c r="M156" s="128"/>
      <x:c r="N156" s="128"/>
      <x:c r="O156" s="128"/>
      <x:c r="P156" s="125"/>
      <x:c r="Q156" s="125"/>
    </x:row>
    <x:row r="157">
      <x:c r="A157" s="128"/>
      <x:c r="B157" s="128"/>
      <x:c r="C157" s="128"/>
      <x:c r="D157" s="128"/>
      <x:c r="E157" s="128"/>
      <x:c r="F157" s="128"/>
      <x:c r="G157" s="128"/>
      <x:c r="H157" s="128"/>
      <x:c r="I157" s="128"/>
      <x:c r="J157" s="128"/>
      <x:c r="K157" s="128"/>
      <x:c r="L157" s="128"/>
      <x:c r="M157" s="128"/>
      <x:c r="N157" s="128"/>
      <x:c r="O157" s="128"/>
      <x:c r="P157" s="125"/>
      <x:c r="Q157" s="125"/>
    </x:row>
    <x:row r="158">
      <x:c r="A158" s="128"/>
      <x:c r="B158" s="128"/>
      <x:c r="C158" s="128"/>
      <x:c r="D158" s="128"/>
      <x:c r="E158" s="128"/>
      <x:c r="F158" s="128"/>
      <x:c r="G158" s="128"/>
      <x:c r="H158" s="128"/>
      <x:c r="I158" s="128"/>
      <x:c r="J158" s="128"/>
      <x:c r="K158" s="128"/>
      <x:c r="L158" s="128"/>
      <x:c r="M158" s="128"/>
      <x:c r="N158" s="128"/>
      <x:c r="O158" s="128"/>
      <x:c r="P158" s="125"/>
      <x:c r="Q158" s="125"/>
    </x:row>
    <x:row r="159">
      <x:c r="A159" s="128"/>
      <x:c r="B159" s="128"/>
      <x:c r="C159" s="128"/>
      <x:c r="D159" s="128"/>
      <x:c r="E159" s="128"/>
      <x:c r="F159" s="128"/>
      <x:c r="G159" s="128"/>
      <x:c r="H159" s="128"/>
      <x:c r="I159" s="128"/>
      <x:c r="J159" s="128"/>
      <x:c r="K159" s="128"/>
      <x:c r="L159" s="128"/>
      <x:c r="M159" s="128"/>
      <x:c r="N159" s="128"/>
      <x:c r="O159" s="128"/>
      <x:c r="P159" s="125"/>
      <x:c r="Q159" s="125"/>
    </x:row>
    <x:row r="160">
      <x:c r="A160" s="128"/>
      <x:c r="B160" s="128"/>
      <x:c r="C160" s="128"/>
      <x:c r="D160" s="128"/>
      <x:c r="E160" s="128"/>
      <x:c r="F160" s="128"/>
      <x:c r="G160" s="128"/>
      <x:c r="H160" s="128"/>
      <x:c r="I160" s="128"/>
      <x:c r="J160" s="128"/>
      <x:c r="K160" s="128"/>
      <x:c r="L160" s="128"/>
      <x:c r="M160" s="128"/>
      <x:c r="N160" s="128"/>
      <x:c r="O160" s="128"/>
      <x:c r="P160" s="125"/>
      <x:c r="Q160" s="125"/>
    </x:row>
    <x:row r="161">
      <x:c r="A161" s="128"/>
      <x:c r="B161" s="128"/>
      <x:c r="C161" s="128"/>
      <x:c r="D161" s="128"/>
      <x:c r="E161" s="128"/>
      <x:c r="F161" s="128"/>
      <x:c r="G161" s="128"/>
      <x:c r="H161" s="128"/>
      <x:c r="I161" s="128"/>
      <x:c r="J161" s="128"/>
      <x:c r="K161" s="128"/>
      <x:c r="L161" s="128"/>
      <x:c r="M161" s="128"/>
      <x:c r="N161" s="128"/>
      <x:c r="O161" s="128"/>
      <x:c r="P161" s="125"/>
      <x:c r="Q161" s="125"/>
    </x:row>
    <x:row r="162">
      <x:c r="A162" s="128"/>
      <x:c r="B162" s="128"/>
      <x:c r="C162" s="128"/>
      <x:c r="D162" s="128"/>
      <x:c r="E162" s="128"/>
      <x:c r="F162" s="128"/>
      <x:c r="G162" s="128"/>
      <x:c r="H162" s="128"/>
      <x:c r="I162" s="128"/>
      <x:c r="J162" s="128"/>
      <x:c r="K162" s="128"/>
      <x:c r="L162" s="128"/>
      <x:c r="M162" s="128"/>
      <x:c r="N162" s="128"/>
      <x:c r="O162" s="128"/>
      <x:c r="P162" s="125"/>
      <x:c r="Q162" s="125"/>
    </x:row>
    <x:row r="163">
      <x:c r="A163" s="128"/>
      <x:c r="B163" s="128"/>
      <x:c r="C163" s="128"/>
      <x:c r="D163" s="128"/>
      <x:c r="E163" s="128"/>
      <x:c r="F163" s="128"/>
      <x:c r="G163" s="128"/>
      <x:c r="H163" s="128"/>
      <x:c r="I163" s="128"/>
      <x:c r="J163" s="128"/>
      <x:c r="K163" s="128"/>
      <x:c r="L163" s="128"/>
      <x:c r="M163" s="128"/>
      <x:c r="N163" s="128"/>
      <x:c r="O163" s="128"/>
      <x:c r="P163" s="125"/>
      <x:c r="Q163" s="125"/>
    </x:row>
    <x:row r="164">
      <x:c r="A164" s="128"/>
      <x:c r="B164" s="128"/>
      <x:c r="C164" s="128"/>
      <x:c r="D164" s="128"/>
      <x:c r="E164" s="128"/>
      <x:c r="F164" s="128"/>
      <x:c r="G164" s="128"/>
      <x:c r="H164" s="128"/>
      <x:c r="I164" s="128"/>
      <x:c r="J164" s="128"/>
      <x:c r="K164" s="128"/>
      <x:c r="L164" s="128"/>
      <x:c r="M164" s="128"/>
      <x:c r="N164" s="128"/>
      <x:c r="O164" s="128"/>
      <x:c r="P164" s="125"/>
      <x:c r="Q164" s="125"/>
    </x:row>
    <x:row r="165">
      <x:c r="A165" s="128"/>
      <x:c r="B165" s="128"/>
      <x:c r="C165" s="128"/>
      <x:c r="D165" s="128"/>
      <x:c r="E165" s="128"/>
      <x:c r="F165" s="128"/>
      <x:c r="G165" s="128"/>
      <x:c r="H165" s="128"/>
      <x:c r="I165" s="128"/>
      <x:c r="J165" s="128"/>
      <x:c r="K165" s="128"/>
      <x:c r="L165" s="128"/>
      <x:c r="M165" s="128"/>
      <x:c r="N165" s="128"/>
      <x:c r="O165" s="128"/>
      <x:c r="P165" s="125"/>
      <x:c r="Q165" s="125"/>
    </x:row>
    <x:row r="166">
      <x:c r="A166" s="128"/>
      <x:c r="B166" s="128"/>
      <x:c r="C166" s="128"/>
      <x:c r="D166" s="128"/>
      <x:c r="E166" s="128"/>
      <x:c r="F166" s="128"/>
      <x:c r="G166" s="128"/>
      <x:c r="H166" s="128"/>
      <x:c r="I166" s="128"/>
      <x:c r="J166" s="128"/>
      <x:c r="K166" s="128"/>
      <x:c r="L166" s="128"/>
      <x:c r="M166" s="128"/>
      <x:c r="N166" s="128"/>
      <x:c r="O166" s="128"/>
      <x:c r="P166" s="125"/>
      <x:c r="Q166" s="125"/>
    </x:row>
    <x:row r="167">
      <x:c r="A167" s="128"/>
      <x:c r="B167" s="128"/>
      <x:c r="C167" s="128"/>
      <x:c r="D167" s="128"/>
      <x:c r="E167" s="128"/>
      <x:c r="F167" s="128"/>
      <x:c r="G167" s="128"/>
      <x:c r="H167" s="128"/>
      <x:c r="I167" s="128"/>
      <x:c r="J167" s="128"/>
      <x:c r="K167" s="128"/>
      <x:c r="L167" s="128"/>
      <x:c r="M167" s="128"/>
      <x:c r="N167" s="128"/>
      <x:c r="O167" s="128"/>
      <x:c r="P167" s="125"/>
      <x:c r="Q167" s="125"/>
    </x:row>
    <x:row r="168">
      <x:c r="A168" s="128"/>
      <x:c r="B168" s="128"/>
      <x:c r="C168" s="128"/>
      <x:c r="D168" s="128"/>
      <x:c r="E168" s="128"/>
      <x:c r="F168" s="128"/>
      <x:c r="G168" s="128"/>
      <x:c r="H168" s="128"/>
      <x:c r="I168" s="128"/>
      <x:c r="J168" s="128"/>
      <x:c r="K168" s="128"/>
      <x:c r="L168" s="128"/>
      <x:c r="M168" s="128"/>
      <x:c r="N168" s="128"/>
      <x:c r="O168" s="128"/>
      <x:c r="P168" s="125"/>
      <x:c r="Q168" s="125"/>
    </x:row>
    <x:row r="169">
      <x:c r="A169" s="128"/>
      <x:c r="B169" s="128"/>
      <x:c r="C169" s="128"/>
      <x:c r="D169" s="128"/>
      <x:c r="E169" s="128"/>
      <x:c r="F169" s="128"/>
      <x:c r="G169" s="128"/>
      <x:c r="H169" s="128"/>
      <x:c r="I169" s="128"/>
      <x:c r="J169" s="128"/>
      <x:c r="K169" s="128"/>
      <x:c r="L169" s="128"/>
      <x:c r="M169" s="128"/>
      <x:c r="N169" s="128"/>
      <x:c r="O169" s="128"/>
      <x:c r="P169" s="125"/>
      <x:c r="Q169" s="125"/>
    </x:row>
    <x:row r="170">
      <x:c r="A170" s="128"/>
      <x:c r="B170" s="128"/>
      <x:c r="C170" s="128"/>
      <x:c r="D170" s="128"/>
      <x:c r="E170" s="128"/>
      <x:c r="F170" s="128"/>
      <x:c r="G170" s="128"/>
      <x:c r="H170" s="128"/>
      <x:c r="I170" s="128"/>
      <x:c r="J170" s="128"/>
      <x:c r="K170" s="128"/>
      <x:c r="L170" s="128"/>
      <x:c r="M170" s="128"/>
      <x:c r="N170" s="128"/>
      <x:c r="O170" s="128"/>
      <x:c r="P170" s="125"/>
      <x:c r="Q170" s="125"/>
    </x:row>
    <x:row r="171">
      <x:c r="A171" s="128"/>
      <x:c r="B171" s="128"/>
      <x:c r="C171" s="128"/>
      <x:c r="D171" s="128"/>
      <x:c r="E171" s="128"/>
      <x:c r="F171" s="128"/>
      <x:c r="G171" s="128"/>
      <x:c r="H171" s="128"/>
      <x:c r="I171" s="128"/>
      <x:c r="J171" s="128"/>
      <x:c r="K171" s="128"/>
      <x:c r="L171" s="128"/>
      <x:c r="M171" s="128"/>
      <x:c r="N171" s="128"/>
      <x:c r="O171" s="128"/>
      <x:c r="P171" s="125"/>
      <x:c r="Q171" s="125"/>
    </x:row>
    <x:row r="172">
      <x:c r="A172" s="128"/>
      <x:c r="B172" s="128"/>
      <x:c r="C172" s="128"/>
      <x:c r="D172" s="128"/>
      <x:c r="E172" s="128"/>
      <x:c r="F172" s="128"/>
      <x:c r="G172" s="128"/>
      <x:c r="H172" s="128"/>
      <x:c r="I172" s="128"/>
      <x:c r="J172" s="128"/>
      <x:c r="K172" s="128"/>
      <x:c r="L172" s="128"/>
      <x:c r="M172" s="128"/>
      <x:c r="N172" s="128"/>
      <x:c r="O172" s="128"/>
      <x:c r="P172" s="125"/>
      <x:c r="Q172" s="125"/>
    </x:row>
    <x:row r="173">
      <x:c r="A173" s="128"/>
      <x:c r="B173" s="128"/>
      <x:c r="C173" s="128"/>
      <x:c r="D173" s="128"/>
      <x:c r="E173" s="128"/>
      <x:c r="F173" s="128"/>
      <x:c r="G173" s="128"/>
      <x:c r="H173" s="128"/>
      <x:c r="I173" s="128"/>
      <x:c r="J173" s="128"/>
      <x:c r="K173" s="128"/>
      <x:c r="L173" s="128"/>
      <x:c r="M173" s="128"/>
      <x:c r="N173" s="128"/>
      <x:c r="O173" s="128"/>
      <x:c r="P173" s="125"/>
      <x:c r="Q173" s="125"/>
    </x:row>
    <x:row r="174">
      <x:c r="A174" s="128"/>
      <x:c r="B174" s="128"/>
      <x:c r="C174" s="128"/>
      <x:c r="D174" s="128"/>
      <x:c r="E174" s="128"/>
      <x:c r="F174" s="128"/>
      <x:c r="G174" s="128"/>
      <x:c r="H174" s="128"/>
      <x:c r="I174" s="128"/>
      <x:c r="J174" s="128"/>
      <x:c r="K174" s="128"/>
      <x:c r="L174" s="128"/>
      <x:c r="M174" s="128"/>
      <x:c r="N174" s="128"/>
      <x:c r="O174" s="128"/>
      <x:c r="P174" s="125"/>
      <x:c r="Q174" s="125"/>
    </x:row>
    <x:row r="175">
      <x:c r="A175" s="128"/>
      <x:c r="B175" s="128"/>
      <x:c r="C175" s="128"/>
      <x:c r="D175" s="128"/>
      <x:c r="E175" s="128"/>
      <x:c r="F175" s="128"/>
      <x:c r="G175" s="128"/>
      <x:c r="H175" s="128"/>
      <x:c r="I175" s="128"/>
      <x:c r="J175" s="128"/>
      <x:c r="K175" s="128"/>
      <x:c r="L175" s="128"/>
      <x:c r="M175" s="128"/>
      <x:c r="N175" s="128"/>
      <x:c r="O175" s="128"/>
      <x:c r="P175" s="125"/>
      <x:c r="Q175" s="125"/>
    </x:row>
    <x:row r="176">
      <x:c r="A176" s="128"/>
      <x:c r="B176" s="128"/>
      <x:c r="C176" s="128"/>
      <x:c r="D176" s="128"/>
      <x:c r="E176" s="128"/>
      <x:c r="F176" s="128"/>
      <x:c r="G176" s="128"/>
      <x:c r="H176" s="128"/>
      <x:c r="I176" s="128"/>
      <x:c r="J176" s="128"/>
      <x:c r="K176" s="128"/>
      <x:c r="L176" s="128"/>
      <x:c r="M176" s="128"/>
      <x:c r="N176" s="128"/>
      <x:c r="O176" s="128"/>
      <x:c r="P176" s="125"/>
      <x:c r="Q176" s="125"/>
    </x:row>
    <x:row r="177">
      <x:c r="A177" s="128"/>
      <x:c r="B177" s="128"/>
      <x:c r="C177" s="128"/>
      <x:c r="D177" s="128"/>
      <x:c r="E177" s="128"/>
      <x:c r="F177" s="128"/>
      <x:c r="G177" s="128"/>
      <x:c r="H177" s="128"/>
      <x:c r="I177" s="128"/>
      <x:c r="J177" s="128"/>
      <x:c r="K177" s="128"/>
      <x:c r="L177" s="128"/>
      <x:c r="M177" s="128"/>
      <x:c r="N177" s="128"/>
      <x:c r="O177" s="128"/>
      <x:c r="P177" s="125"/>
      <x:c r="Q177" s="125"/>
    </x:row>
    <x:row r="178">
      <x:c r="A178" s="128"/>
      <x:c r="B178" s="128"/>
      <x:c r="C178" s="128"/>
      <x:c r="D178" s="128"/>
      <x:c r="E178" s="128"/>
      <x:c r="F178" s="128"/>
      <x:c r="G178" s="128"/>
      <x:c r="H178" s="128"/>
      <x:c r="I178" s="128"/>
      <x:c r="J178" s="128"/>
      <x:c r="K178" s="128"/>
      <x:c r="L178" s="128"/>
      <x:c r="M178" s="128"/>
      <x:c r="N178" s="128"/>
      <x:c r="O178" s="128"/>
      <x:c r="P178" s="125"/>
      <x:c r="Q178" s="125"/>
    </x:row>
    <x:row r="179">
      <x:c r="A179" s="128"/>
      <x:c r="B179" s="128"/>
      <x:c r="C179" s="128"/>
      <x:c r="D179" s="128"/>
      <x:c r="E179" s="128"/>
      <x:c r="F179" s="128"/>
      <x:c r="G179" s="128"/>
      <x:c r="H179" s="128"/>
      <x:c r="I179" s="128"/>
      <x:c r="J179" s="128"/>
      <x:c r="K179" s="128"/>
      <x:c r="L179" s="128"/>
      <x:c r="M179" s="128"/>
      <x:c r="N179" s="128"/>
      <x:c r="O179" s="128"/>
      <x:c r="P179" s="125"/>
      <x:c r="Q179" s="125"/>
    </x:row>
    <x:row r="180">
      <x:c r="A180" s="128"/>
      <x:c r="B180" s="128"/>
      <x:c r="C180" s="128"/>
      <x:c r="D180" s="128"/>
      <x:c r="E180" s="128"/>
      <x:c r="F180" s="128"/>
      <x:c r="G180" s="128"/>
      <x:c r="H180" s="128"/>
      <x:c r="I180" s="128"/>
      <x:c r="J180" s="128"/>
      <x:c r="K180" s="128"/>
      <x:c r="L180" s="128"/>
      <x:c r="M180" s="128"/>
      <x:c r="N180" s="128"/>
      <x:c r="O180" s="128"/>
      <x:c r="P180" s="125"/>
      <x:c r="Q180" s="125"/>
    </x:row>
    <x:row r="181">
      <x:c r="A181" s="128"/>
      <x:c r="B181" s="128"/>
      <x:c r="C181" s="128"/>
      <x:c r="D181" s="128"/>
      <x:c r="E181" s="128"/>
      <x:c r="F181" s="128"/>
      <x:c r="G181" s="128"/>
      <x:c r="H181" s="128"/>
      <x:c r="I181" s="128"/>
      <x:c r="J181" s="128"/>
      <x:c r="K181" s="128"/>
      <x:c r="L181" s="128"/>
      <x:c r="M181" s="128"/>
      <x:c r="N181" s="128"/>
      <x:c r="O181" s="128"/>
      <x:c r="P181" s="125"/>
      <x:c r="Q181" s="125"/>
    </x:row>
    <x:row r="182">
      <x:c r="A182" s="128"/>
      <x:c r="B182" s="128"/>
      <x:c r="C182" s="128"/>
      <x:c r="D182" s="128"/>
      <x:c r="E182" s="128"/>
      <x:c r="F182" s="128"/>
      <x:c r="G182" s="128"/>
      <x:c r="H182" s="128"/>
      <x:c r="I182" s="128"/>
      <x:c r="J182" s="128"/>
      <x:c r="K182" s="128"/>
      <x:c r="L182" s="128"/>
      <x:c r="M182" s="128"/>
      <x:c r="N182" s="128"/>
      <x:c r="O182" s="128"/>
      <x:c r="P182" s="125"/>
      <x:c r="Q182" s="125"/>
    </x:row>
    <x:row r="183">
      <x:c r="A183" s="128"/>
      <x:c r="B183" s="128"/>
      <x:c r="C183" s="128"/>
      <x:c r="D183" s="128"/>
      <x:c r="E183" s="128"/>
      <x:c r="F183" s="128"/>
      <x:c r="G183" s="128"/>
      <x:c r="H183" s="128"/>
      <x:c r="I183" s="128"/>
      <x:c r="J183" s="128"/>
      <x:c r="K183" s="128"/>
      <x:c r="L183" s="128"/>
      <x:c r="M183" s="128"/>
      <x:c r="N183" s="128"/>
      <x:c r="O183" s="128"/>
      <x:c r="P183" s="125"/>
      <x:c r="Q183" s="125"/>
    </x:row>
    <x:row r="184">
      <x:c r="A184" s="128"/>
      <x:c r="B184" s="128"/>
      <x:c r="C184" s="128"/>
      <x:c r="D184" s="128"/>
      <x:c r="E184" s="128"/>
      <x:c r="F184" s="128"/>
      <x:c r="G184" s="128"/>
      <x:c r="H184" s="128"/>
      <x:c r="I184" s="128"/>
      <x:c r="J184" s="128"/>
      <x:c r="K184" s="128"/>
      <x:c r="L184" s="128"/>
      <x:c r="M184" s="128"/>
      <x:c r="N184" s="128"/>
      <x:c r="O184" s="128"/>
      <x:c r="P184" s="125"/>
      <x:c r="Q184" s="125"/>
    </x:row>
    <x:row r="185">
      <x:c r="A185" s="128"/>
      <x:c r="B185" s="128"/>
      <x:c r="C185" s="128"/>
      <x:c r="D185" s="128"/>
      <x:c r="E185" s="128"/>
      <x:c r="F185" s="128"/>
      <x:c r="G185" s="128"/>
      <x:c r="H185" s="128"/>
      <x:c r="I185" s="128"/>
      <x:c r="J185" s="128"/>
      <x:c r="K185" s="128"/>
      <x:c r="L185" s="128"/>
      <x:c r="M185" s="128"/>
      <x:c r="N185" s="128"/>
      <x:c r="O185" s="128"/>
      <x:c r="P185" s="125"/>
      <x:c r="Q185" s="125"/>
    </x:row>
    <x:row r="186">
      <x:c r="A186" s="128"/>
      <x:c r="B186" s="128"/>
      <x:c r="C186" s="128"/>
      <x:c r="D186" s="128"/>
      <x:c r="E186" s="128"/>
      <x:c r="F186" s="128"/>
      <x:c r="G186" s="128"/>
      <x:c r="H186" s="128"/>
      <x:c r="I186" s="128"/>
      <x:c r="J186" s="128"/>
      <x:c r="K186" s="128"/>
      <x:c r="L186" s="128"/>
      <x:c r="M186" s="128"/>
      <x:c r="N186" s="128"/>
      <x:c r="O186" s="128"/>
      <x:c r="P186" s="125"/>
      <x:c r="Q186" s="125"/>
    </x:row>
    <x:row r="187">
      <x:c r="A187" s="128"/>
      <x:c r="B187" s="128"/>
      <x:c r="C187" s="128"/>
      <x:c r="D187" s="128"/>
      <x:c r="E187" s="128"/>
      <x:c r="F187" s="128"/>
      <x:c r="G187" s="128"/>
      <x:c r="H187" s="128"/>
      <x:c r="I187" s="128"/>
      <x:c r="J187" s="128"/>
      <x:c r="K187" s="128"/>
      <x:c r="L187" s="128"/>
      <x:c r="M187" s="128"/>
      <x:c r="N187" s="128"/>
      <x:c r="O187" s="128"/>
      <x:c r="P187" s="125"/>
      <x:c r="Q187" s="125"/>
    </x:row>
    <x:row r="188">
      <x:c r="A188" s="128"/>
      <x:c r="B188" s="128"/>
      <x:c r="C188" s="128"/>
      <x:c r="D188" s="128"/>
      <x:c r="E188" s="128"/>
      <x:c r="F188" s="128"/>
      <x:c r="G188" s="128"/>
      <x:c r="H188" s="128"/>
      <x:c r="I188" s="128"/>
      <x:c r="J188" s="128"/>
      <x:c r="K188" s="128"/>
      <x:c r="L188" s="128"/>
      <x:c r="M188" s="128"/>
      <x:c r="N188" s="128"/>
      <x:c r="O188" s="128"/>
      <x:c r="P188" s="125"/>
      <x:c r="Q188" s="125"/>
    </x:row>
    <x:row r="189">
      <x:c r="A189" s="128"/>
      <x:c r="B189" s="128"/>
      <x:c r="C189" s="128"/>
      <x:c r="D189" s="128"/>
      <x:c r="E189" s="128"/>
      <x:c r="F189" s="128"/>
      <x:c r="G189" s="128"/>
      <x:c r="H189" s="128"/>
      <x:c r="I189" s="128"/>
      <x:c r="J189" s="128"/>
      <x:c r="K189" s="128"/>
      <x:c r="L189" s="128"/>
      <x:c r="M189" s="128"/>
      <x:c r="N189" s="128"/>
      <x:c r="O189" s="128"/>
      <x:c r="P189" s="125"/>
      <x:c r="Q189" s="125"/>
    </x:row>
    <x:row r="190">
      <x:c r="A190" s="128"/>
      <x:c r="B190" s="128"/>
      <x:c r="C190" s="128"/>
      <x:c r="D190" s="128"/>
      <x:c r="E190" s="128"/>
      <x:c r="F190" s="128"/>
      <x:c r="G190" s="128"/>
      <x:c r="H190" s="128"/>
      <x:c r="I190" s="128"/>
      <x:c r="J190" s="128"/>
      <x:c r="K190" s="128"/>
      <x:c r="L190" s="128"/>
      <x:c r="M190" s="128"/>
      <x:c r="N190" s="128"/>
      <x:c r="O190" s="128"/>
      <x:c r="P190" s="125"/>
      <x:c r="Q190" s="125"/>
    </x:row>
    <x:row r="191">
      <x:c r="A191" s="128"/>
      <x:c r="B191" s="128"/>
      <x:c r="C191" s="128"/>
      <x:c r="D191" s="128"/>
      <x:c r="E191" s="128"/>
      <x:c r="F191" s="128"/>
      <x:c r="G191" s="128"/>
      <x:c r="H191" s="128"/>
      <x:c r="I191" s="128"/>
      <x:c r="J191" s="128"/>
      <x:c r="K191" s="128"/>
      <x:c r="L191" s="128"/>
      <x:c r="M191" s="128"/>
      <x:c r="N191" s="128"/>
      <x:c r="O191" s="128"/>
      <x:c r="P191" s="125"/>
      <x:c r="Q191" s="125"/>
    </x:row>
    <x:row r="192">
      <x:c r="A192" s="128"/>
      <x:c r="B192" s="128"/>
      <x:c r="C192" s="128"/>
      <x:c r="D192" s="128"/>
      <x:c r="E192" s="128"/>
      <x:c r="F192" s="128"/>
      <x:c r="G192" s="128"/>
      <x:c r="H192" s="128"/>
      <x:c r="I192" s="128"/>
      <x:c r="J192" s="128"/>
      <x:c r="K192" s="128"/>
      <x:c r="L192" s="128"/>
      <x:c r="M192" s="128"/>
      <x:c r="N192" s="128"/>
      <x:c r="O192" s="128"/>
      <x:c r="P192" s="125"/>
      <x:c r="Q192" s="125"/>
    </x:row>
    <x:row r="193">
      <x:c r="A193" s="128"/>
      <x:c r="B193" s="128"/>
      <x:c r="C193" s="128"/>
      <x:c r="D193" s="128"/>
      <x:c r="E193" s="128"/>
      <x:c r="F193" s="128"/>
      <x:c r="G193" s="128"/>
      <x:c r="H193" s="128"/>
      <x:c r="I193" s="128"/>
      <x:c r="J193" s="128"/>
      <x:c r="K193" s="128"/>
      <x:c r="L193" s="128"/>
      <x:c r="M193" s="128"/>
      <x:c r="N193" s="128"/>
      <x:c r="O193" s="128"/>
      <x:c r="P193" s="125"/>
      <x:c r="Q193" s="125"/>
    </x:row>
    <x:row r="194">
      <x:c r="A194" s="128"/>
      <x:c r="B194" s="128"/>
      <x:c r="C194" s="128"/>
      <x:c r="D194" s="128"/>
      <x:c r="E194" s="128"/>
      <x:c r="F194" s="128"/>
      <x:c r="G194" s="128"/>
      <x:c r="H194" s="128"/>
      <x:c r="I194" s="128"/>
      <x:c r="J194" s="128"/>
      <x:c r="K194" s="128"/>
      <x:c r="L194" s="128"/>
      <x:c r="M194" s="128"/>
      <x:c r="N194" s="128"/>
      <x:c r="O194" s="128"/>
      <x:c r="P194" s="125"/>
      <x:c r="Q194" s="125"/>
    </x:row>
    <x:row r="195">
      <x:c r="A195" s="128"/>
      <x:c r="B195" s="128"/>
      <x:c r="C195" s="128"/>
      <x:c r="D195" s="128"/>
      <x:c r="E195" s="128"/>
      <x:c r="F195" s="128"/>
      <x:c r="G195" s="128"/>
      <x:c r="H195" s="128"/>
      <x:c r="I195" s="128"/>
      <x:c r="J195" s="128"/>
      <x:c r="K195" s="128"/>
      <x:c r="L195" s="128"/>
      <x:c r="M195" s="128"/>
      <x:c r="N195" s="128"/>
      <x:c r="O195" s="128"/>
      <x:c r="P195" s="125"/>
      <x:c r="Q195" s="125"/>
    </x:row>
    <x:row r="196">
      <x:c r="A196" s="128"/>
      <x:c r="B196" s="128"/>
      <x:c r="C196" s="128"/>
      <x:c r="D196" s="128"/>
      <x:c r="E196" s="128"/>
      <x:c r="F196" s="128"/>
      <x:c r="G196" s="128"/>
      <x:c r="H196" s="128"/>
      <x:c r="I196" s="128"/>
      <x:c r="J196" s="128"/>
      <x:c r="K196" s="128"/>
      <x:c r="L196" s="128"/>
      <x:c r="M196" s="128"/>
      <x:c r="N196" s="128"/>
      <x:c r="O196" s="128"/>
      <x:c r="P196" s="125"/>
      <x:c r="Q196" s="125"/>
    </x:row>
    <x:row r="197">
      <x:c r="A197" s="128"/>
      <x:c r="B197" s="128"/>
      <x:c r="C197" s="128"/>
      <x:c r="D197" s="128"/>
      <x:c r="E197" s="128"/>
      <x:c r="F197" s="128"/>
      <x:c r="G197" s="128"/>
      <x:c r="H197" s="128"/>
      <x:c r="I197" s="128"/>
      <x:c r="J197" s="128"/>
      <x:c r="K197" s="128"/>
      <x:c r="L197" s="128"/>
      <x:c r="M197" s="128"/>
      <x:c r="N197" s="128"/>
      <x:c r="O197" s="128"/>
      <x:c r="P197" s="125"/>
      <x:c r="Q197" s="125"/>
    </x:row>
    <x:row r="198">
      <x:c r="A198" s="128"/>
      <x:c r="B198" s="128"/>
      <x:c r="C198" s="128"/>
      <x:c r="D198" s="128"/>
      <x:c r="E198" s="128"/>
      <x:c r="F198" s="128"/>
      <x:c r="G198" s="128"/>
      <x:c r="H198" s="128"/>
      <x:c r="I198" s="128"/>
      <x:c r="J198" s="128"/>
      <x:c r="K198" s="128"/>
      <x:c r="L198" s="128"/>
      <x:c r="M198" s="128"/>
      <x:c r="N198" s="128"/>
      <x:c r="O198" s="128"/>
      <x:c r="P198" s="125"/>
      <x:c r="Q198" s="125"/>
    </x:row>
    <x:row r="199">
      <x:c r="A199" s="128"/>
      <x:c r="B199" s="128"/>
      <x:c r="C199" s="128"/>
      <x:c r="D199" s="128"/>
      <x:c r="E199" s="128"/>
      <x:c r="F199" s="128"/>
      <x:c r="G199" s="128"/>
      <x:c r="H199" s="128"/>
      <x:c r="I199" s="128"/>
      <x:c r="J199" s="128"/>
      <x:c r="K199" s="128"/>
      <x:c r="L199" s="128"/>
      <x:c r="M199" s="128"/>
      <x:c r="N199" s="128"/>
      <x:c r="O199" s="128"/>
      <x:c r="P199" s="125"/>
      <x:c r="Q199" s="125"/>
    </x:row>
    <x:row r="200">
      <x:c r="A200" s="128"/>
      <x:c r="B200" s="128"/>
      <x:c r="C200" s="128"/>
      <x:c r="D200" s="128"/>
      <x:c r="E200" s="128"/>
      <x:c r="F200" s="128"/>
      <x:c r="G200" s="128"/>
      <x:c r="H200" s="128"/>
      <x:c r="I200" s="128"/>
      <x:c r="J200" s="128"/>
      <x:c r="K200" s="128"/>
      <x:c r="L200" s="128"/>
      <x:c r="M200" s="128"/>
      <x:c r="N200" s="128"/>
      <x:c r="O200" s="128"/>
      <x:c r="P200" s="125"/>
      <x:c r="Q200" s="125"/>
    </x:row>
    <x:row r="201">
      <x:c r="A201" s="128"/>
      <x:c r="B201" s="128"/>
      <x:c r="C201" s="128"/>
      <x:c r="D201" s="128"/>
      <x:c r="E201" s="128"/>
      <x:c r="F201" s="128"/>
      <x:c r="G201" s="128"/>
      <x:c r="H201" s="128"/>
      <x:c r="I201" s="128"/>
      <x:c r="J201" s="128"/>
      <x:c r="K201" s="128"/>
      <x:c r="L201" s="128"/>
      <x:c r="M201" s="128"/>
      <x:c r="N201" s="128"/>
      <x:c r="O201" s="128"/>
      <x:c r="P201" s="125"/>
      <x:c r="Q201" s="125"/>
    </x:row>
    <x:row r="202">
      <x:c r="A202" s="128"/>
      <x:c r="B202" s="128"/>
      <x:c r="C202" s="128"/>
      <x:c r="D202" s="128"/>
      <x:c r="E202" s="128"/>
      <x:c r="F202" s="128"/>
      <x:c r="G202" s="128"/>
      <x:c r="H202" s="128"/>
      <x:c r="I202" s="128"/>
      <x:c r="J202" s="128"/>
      <x:c r="K202" s="128"/>
      <x:c r="L202" s="128"/>
      <x:c r="M202" s="128"/>
      <x:c r="N202" s="128"/>
      <x:c r="O202" s="128"/>
      <x:c r="P202" s="125"/>
      <x:c r="Q202" s="125"/>
    </x:row>
    <x:row r="203">
      <x:c r="A203" s="128"/>
      <x:c r="B203" s="128"/>
      <x:c r="C203" s="128"/>
      <x:c r="D203" s="128"/>
      <x:c r="E203" s="128"/>
      <x:c r="F203" s="128"/>
      <x:c r="G203" s="128"/>
      <x:c r="H203" s="128"/>
      <x:c r="I203" s="128"/>
      <x:c r="J203" s="128"/>
      <x:c r="K203" s="128"/>
      <x:c r="L203" s="128"/>
      <x:c r="M203" s="128"/>
      <x:c r="N203" s="128"/>
      <x:c r="O203" s="128"/>
      <x:c r="P203" s="125"/>
      <x:c r="Q203" s="125"/>
    </x:row>
    <x:row r="204">
      <x:c r="A204" s="128"/>
      <x:c r="B204" s="128"/>
      <x:c r="C204" s="128"/>
      <x:c r="D204" s="128"/>
      <x:c r="E204" s="128"/>
      <x:c r="F204" s="128"/>
      <x:c r="G204" s="128"/>
      <x:c r="H204" s="128"/>
      <x:c r="I204" s="128"/>
      <x:c r="J204" s="128"/>
      <x:c r="K204" s="128"/>
      <x:c r="L204" s="128"/>
      <x:c r="M204" s="128"/>
      <x:c r="N204" s="128"/>
      <x:c r="O204" s="128"/>
      <x:c r="P204" s="125"/>
      <x:c r="Q204" s="125"/>
    </x:row>
    <x:row r="205">
      <x:c r="A205" s="128"/>
      <x:c r="B205" s="128"/>
      <x:c r="C205" s="128"/>
      <x:c r="D205" s="128"/>
      <x:c r="E205" s="128"/>
      <x:c r="F205" s="128"/>
      <x:c r="G205" s="128"/>
      <x:c r="H205" s="128"/>
      <x:c r="I205" s="128"/>
      <x:c r="J205" s="128"/>
      <x:c r="K205" s="128"/>
      <x:c r="L205" s="128"/>
      <x:c r="M205" s="128"/>
      <x:c r="N205" s="128"/>
      <x:c r="O205" s="128"/>
      <x:c r="P205" s="125"/>
      <x:c r="Q205" s="125"/>
    </x:row>
    <x:row r="206">
      <x:c r="A206" s="128"/>
      <x:c r="B206" s="128"/>
      <x:c r="C206" s="128"/>
      <x:c r="D206" s="128"/>
      <x:c r="E206" s="128"/>
      <x:c r="F206" s="128"/>
      <x:c r="G206" s="128"/>
      <x:c r="H206" s="128"/>
      <x:c r="I206" s="128"/>
      <x:c r="J206" s="128"/>
      <x:c r="K206" s="128"/>
      <x:c r="L206" s="128"/>
      <x:c r="M206" s="128"/>
      <x:c r="N206" s="128"/>
      <x:c r="O206" s="128"/>
      <x:c r="P206" s="125"/>
      <x:c r="Q206" s="125"/>
    </x:row>
    <x:row r="207">
      <x:c r="A207" s="125"/>
      <x:c r="B207" s="125"/>
      <x:c r="C207" s="125"/>
      <x:c r="D207" s="125"/>
      <x:c r="E207" s="125"/>
      <x:c r="F207" s="125"/>
      <x:c r="G207" s="125"/>
      <x:c r="H207" s="125"/>
      <x:c r="I207" s="125"/>
      <x:c r="J207" s="125"/>
      <x:c r="K207" s="125"/>
      <x:c r="L207" s="125"/>
      <x:c r="M207" s="125"/>
      <x:c r="N207" s="125"/>
      <x:c r="O207" s="125"/>
      <x:c r="P207" s="125"/>
      <x:c r="Q207" s="125"/>
    </x:row>
    <x:row r="208">
      <x:c r="A208" s="125"/>
      <x:c r="B208" s="125"/>
      <x:c r="C208" s="125"/>
      <x:c r="D208" s="125"/>
      <x:c r="E208" s="125"/>
      <x:c r="F208" s="125"/>
      <x:c r="G208" s="125"/>
      <x:c r="H208" s="125"/>
      <x:c r="I208" s="125"/>
      <x:c r="J208" s="125"/>
      <x:c r="K208" s="125"/>
      <x:c r="L208" s="125"/>
      <x:c r="M208" s="125"/>
      <x:c r="N208" s="125"/>
      <x:c r="O208" s="125"/>
      <x:c r="P208" s="125"/>
      <x:c r="Q208" s="125"/>
    </x:row>
    <x:row r="209">
      <x:c r="A209" s="125"/>
      <x:c r="B209" s="125"/>
      <x:c r="C209" s="125"/>
      <x:c r="D209" s="125"/>
      <x:c r="E209" s="125"/>
      <x:c r="F209" s="125"/>
      <x:c r="G209" s="125"/>
      <x:c r="H209" s="125"/>
      <x:c r="I209" s="125"/>
      <x:c r="J209" s="125"/>
      <x:c r="K209" s="125"/>
      <x:c r="L209" s="125"/>
      <x:c r="M209" s="125"/>
      <x:c r="N209" s="125"/>
      <x:c r="O209" s="125"/>
      <x:c r="P209" s="125"/>
      <x:c r="Q209" s="125"/>
    </x:row>
    <x:row r="210">
      <x:c r="A210" s="125"/>
      <x:c r="B210" s="125"/>
      <x:c r="C210" s="125"/>
      <x:c r="D210" s="125"/>
      <x:c r="E210" s="125"/>
      <x:c r="F210" s="125"/>
      <x:c r="G210" s="125"/>
      <x:c r="H210" s="125"/>
      <x:c r="I210" s="125"/>
      <x:c r="J210" s="125"/>
      <x:c r="K210" s="125"/>
      <x:c r="L210" s="125"/>
      <x:c r="M210" s="125"/>
      <x:c r="N210" s="125"/>
      <x:c r="O210" s="125"/>
      <x:c r="P210" s="125"/>
      <x:c r="Q210" s="125"/>
    </x:row>
    <x:row r="211">
      <x:c r="A211" s="125"/>
      <x:c r="B211" s="125"/>
      <x:c r="C211" s="125"/>
      <x:c r="D211" s="125"/>
      <x:c r="E211" s="125"/>
      <x:c r="F211" s="125"/>
      <x:c r="G211" s="125"/>
      <x:c r="H211" s="125"/>
      <x:c r="I211" s="125"/>
      <x:c r="J211" s="125"/>
      <x:c r="K211" s="125"/>
      <x:c r="L211" s="125"/>
      <x:c r="M211" s="125"/>
      <x:c r="N211" s="125"/>
      <x:c r="O211" s="125"/>
      <x:c r="P211" s="125"/>
      <x:c r="Q211" s="125"/>
    </x:row>
    <x:row r="212">
      <x:c r="A212" s="125"/>
      <x:c r="B212" s="125"/>
      <x:c r="C212" s="125"/>
      <x:c r="D212" s="125"/>
      <x:c r="E212" s="125"/>
      <x:c r="F212" s="125"/>
      <x:c r="G212" s="125"/>
      <x:c r="H212" s="125"/>
      <x:c r="I212" s="125"/>
      <x:c r="J212" s="125"/>
      <x:c r="K212" s="125"/>
      <x:c r="L212" s="125"/>
      <x:c r="M212" s="125"/>
      <x:c r="N212" s="125"/>
      <x:c r="O212" s="125"/>
      <x:c r="P212" s="125"/>
      <x:c r="Q212" s="125"/>
    </x:row>
    <x:row r="213">
      <x:c r="A213" s="125"/>
      <x:c r="B213" s="125"/>
      <x:c r="C213" s="125"/>
      <x:c r="D213" s="125"/>
      <x:c r="E213" s="125"/>
      <x:c r="F213" s="125"/>
      <x:c r="G213" s="125"/>
      <x:c r="H213" s="125"/>
      <x:c r="I213" s="125"/>
      <x:c r="J213" s="125"/>
      <x:c r="K213" s="125"/>
      <x:c r="L213" s="125"/>
      <x:c r="M213" s="125"/>
      <x:c r="N213" s="125"/>
      <x:c r="O213" s="125"/>
      <x:c r="P213" s="125"/>
      <x:c r="Q213" s="125"/>
    </x:row>
    <x:row r="214">
      <x:c r="A214" s="125"/>
      <x:c r="B214" s="125"/>
      <x:c r="C214" s="125"/>
      <x:c r="D214" s="125"/>
      <x:c r="E214" s="125"/>
      <x:c r="F214" s="125"/>
      <x:c r="G214" s="125"/>
      <x:c r="H214" s="125"/>
      <x:c r="I214" s="125"/>
      <x:c r="J214" s="125"/>
      <x:c r="K214" s="125"/>
      <x:c r="L214" s="125"/>
      <x:c r="M214" s="125"/>
      <x:c r="N214" s="125"/>
      <x:c r="O214" s="125"/>
      <x:c r="P214" s="125"/>
      <x:c r="Q214" s="125"/>
    </x:row>
    <x:row r="215">
      <x:c r="A215" s="125"/>
      <x:c r="B215" s="125"/>
      <x:c r="C215" s="125"/>
      <x:c r="D215" s="125"/>
      <x:c r="E215" s="125"/>
      <x:c r="F215" s="125"/>
      <x:c r="G215" s="125"/>
      <x:c r="H215" s="125"/>
      <x:c r="I215" s="125"/>
      <x:c r="J215" s="125"/>
      <x:c r="K215" s="125"/>
      <x:c r="L215" s="125"/>
      <x:c r="M215" s="125"/>
      <x:c r="N215" s="125"/>
      <x:c r="O215" s="125"/>
      <x:c r="P215" s="125"/>
      <x:c r="Q215" s="125"/>
    </x:row>
    <x:row r="216">
      <x:c r="A216" s="125"/>
      <x:c r="B216" s="125"/>
      <x:c r="C216" s="125"/>
      <x:c r="D216" s="125"/>
      <x:c r="E216" s="125"/>
      <x:c r="F216" s="125"/>
      <x:c r="G216" s="125"/>
      <x:c r="H216" s="125"/>
      <x:c r="I216" s="125"/>
      <x:c r="J216" s="125"/>
      <x:c r="K216" s="125"/>
      <x:c r="L216" s="125"/>
      <x:c r="M216" s="125"/>
      <x:c r="N216" s="125"/>
      <x:c r="O216" s="125"/>
      <x:c r="P216" s="125"/>
      <x:c r="Q216" s="125"/>
    </x:row>
    <x:row r="217">
      <x:c r="A217" s="125"/>
      <x:c r="B217" s="125"/>
      <x:c r="C217" s="125"/>
      <x:c r="D217" s="125"/>
      <x:c r="E217" s="125"/>
      <x:c r="F217" s="125"/>
      <x:c r="G217" s="125"/>
      <x:c r="H217" s="125"/>
      <x:c r="I217" s="125"/>
      <x:c r="J217" s="125"/>
      <x:c r="K217" s="125"/>
      <x:c r="L217" s="125"/>
      <x:c r="M217" s="125"/>
      <x:c r="N217" s="125"/>
      <x:c r="O217" s="125"/>
      <x:c r="P217" s="125"/>
      <x:c r="Q217" s="125"/>
    </x:row>
    <x:row r="218">
      <x:c r="A218" s="125"/>
      <x:c r="B218" s="125"/>
      <x:c r="C218" s="125"/>
      <x:c r="D218" s="125"/>
      <x:c r="E218" s="125"/>
      <x:c r="F218" s="125"/>
      <x:c r="G218" s="125"/>
      <x:c r="H218" s="125"/>
      <x:c r="I218" s="125"/>
      <x:c r="J218" s="125"/>
      <x:c r="K218" s="125"/>
      <x:c r="L218" s="125"/>
      <x:c r="M218" s="125"/>
      <x:c r="N218" s="125"/>
      <x:c r="O218" s="125"/>
      <x:c r="P218" s="125"/>
      <x:c r="Q218" s="125"/>
    </x:row>
    <x:row r="219">
      <x:c r="A219" s="125"/>
      <x:c r="B219" s="125"/>
      <x:c r="C219" s="125"/>
      <x:c r="D219" s="125"/>
      <x:c r="E219" s="125"/>
      <x:c r="F219" s="125"/>
      <x:c r="G219" s="125"/>
      <x:c r="H219" s="125"/>
      <x:c r="I219" s="125"/>
      <x:c r="J219" s="125"/>
      <x:c r="K219" s="125"/>
      <x:c r="L219" s="125"/>
      <x:c r="M219" s="125"/>
      <x:c r="N219" s="125"/>
      <x:c r="O219" s="125"/>
      <x:c r="P219" s="125"/>
      <x:c r="Q219" s="125"/>
    </x:row>
    <x:row r="220">
      <x:c r="A220" s="125"/>
      <x:c r="B220" s="125"/>
      <x:c r="C220" s="125"/>
      <x:c r="D220" s="125"/>
      <x:c r="E220" s="125"/>
      <x:c r="F220" s="125"/>
      <x:c r="G220" s="125"/>
      <x:c r="H220" s="125"/>
      <x:c r="I220" s="125"/>
      <x:c r="J220" s="125"/>
      <x:c r="K220" s="125"/>
      <x:c r="L220" s="125"/>
      <x:c r="M220" s="125"/>
      <x:c r="N220" s="125"/>
      <x:c r="O220" s="125"/>
      <x:c r="P220" s="125"/>
      <x:c r="Q220" s="125"/>
    </x:row>
    <x:row r="221">
      <x:c r="A221" s="125"/>
      <x:c r="B221" s="125"/>
      <x:c r="C221" s="125"/>
      <x:c r="D221" s="125"/>
      <x:c r="E221" s="125"/>
      <x:c r="F221" s="125"/>
      <x:c r="G221" s="125"/>
      <x:c r="H221" s="125"/>
      <x:c r="I221" s="125"/>
      <x:c r="J221" s="125"/>
      <x:c r="K221" s="125"/>
      <x:c r="L221" s="125"/>
      <x:c r="M221" s="125"/>
      <x:c r="N221" s="125"/>
      <x:c r="O221" s="125"/>
      <x:c r="P221" s="125"/>
      <x:c r="Q221" s="125"/>
    </x:row>
    <x:row r="222">
      <x:c r="A222" s="125"/>
      <x:c r="B222" s="125"/>
      <x:c r="C222" s="125"/>
      <x:c r="D222" s="125"/>
      <x:c r="E222" s="125"/>
      <x:c r="F222" s="125"/>
      <x:c r="G222" s="125"/>
      <x:c r="H222" s="125"/>
      <x:c r="I222" s="125"/>
      <x:c r="J222" s="125"/>
      <x:c r="K222" s="125"/>
      <x:c r="L222" s="125"/>
      <x:c r="M222" s="125"/>
      <x:c r="N222" s="125"/>
      <x:c r="O222" s="125"/>
      <x:c r="P222" s="125"/>
      <x:c r="Q222" s="125"/>
    </x:row>
    <x:row r="223">
      <x:c r="A223" s="125"/>
      <x:c r="B223" s="125"/>
      <x:c r="C223" s="125"/>
      <x:c r="D223" s="125"/>
      <x:c r="E223" s="125"/>
      <x:c r="F223" s="125"/>
      <x:c r="G223" s="125"/>
      <x:c r="H223" s="125"/>
      <x:c r="I223" s="125"/>
      <x:c r="J223" s="125"/>
      <x:c r="K223" s="125"/>
      <x:c r="L223" s="125"/>
      <x:c r="M223" s="125"/>
      <x:c r="N223" s="125"/>
      <x:c r="O223" s="125"/>
      <x:c r="P223" s="125"/>
      <x:c r="Q223" s="125"/>
    </x:row>
    <x:row r="224">
      <x:c r="A224" s="125"/>
      <x:c r="B224" s="125"/>
      <x:c r="C224" s="125"/>
      <x:c r="D224" s="125"/>
      <x:c r="E224" s="125"/>
      <x:c r="F224" s="125"/>
      <x:c r="G224" s="125"/>
      <x:c r="H224" s="125"/>
      <x:c r="I224" s="125"/>
      <x:c r="J224" s="125"/>
      <x:c r="K224" s="125"/>
      <x:c r="L224" s="125"/>
      <x:c r="M224" s="125"/>
      <x:c r="N224" s="125"/>
      <x:c r="O224" s="125"/>
      <x:c r="P224" s="125"/>
      <x:c r="Q224" s="125"/>
    </x:row>
    <x:row r="225">
      <x:c r="A225" s="125"/>
      <x:c r="B225" s="125"/>
      <x:c r="C225" s="125"/>
      <x:c r="D225" s="125"/>
      <x:c r="E225" s="125"/>
      <x:c r="F225" s="125"/>
      <x:c r="G225" s="125"/>
      <x:c r="H225" s="125"/>
      <x:c r="I225" s="125"/>
      <x:c r="J225" s="125"/>
      <x:c r="K225" s="125"/>
      <x:c r="L225" s="125"/>
      <x:c r="M225" s="125"/>
      <x:c r="N225" s="125"/>
      <x:c r="O225" s="125"/>
      <x:c r="P225" s="125"/>
      <x:c r="Q225" s="125"/>
    </x:row>
    <x:row r="226">
      <x:c r="A226" s="125"/>
      <x:c r="B226" s="125"/>
      <x:c r="C226" s="125"/>
      <x:c r="D226" s="125"/>
      <x:c r="E226" s="125"/>
      <x:c r="F226" s="125"/>
      <x:c r="G226" s="125"/>
      <x:c r="H226" s="125"/>
      <x:c r="I226" s="125"/>
      <x:c r="J226" s="125"/>
      <x:c r="K226" s="125"/>
      <x:c r="L226" s="125"/>
      <x:c r="M226" s="125"/>
      <x:c r="N226" s="125"/>
      <x:c r="O226" s="125"/>
      <x:c r="P226" s="125"/>
      <x:c r="Q226" s="125"/>
    </x:row>
    <x:row r="227">
      <x:c r="A227" s="125"/>
      <x:c r="B227" s="125"/>
      <x:c r="C227" s="125"/>
      <x:c r="D227" s="125"/>
      <x:c r="E227" s="125"/>
      <x:c r="F227" s="125"/>
      <x:c r="G227" s="125"/>
      <x:c r="H227" s="125"/>
      <x:c r="I227" s="125"/>
      <x:c r="J227" s="125"/>
      <x:c r="K227" s="125"/>
      <x:c r="L227" s="125"/>
      <x:c r="M227" s="125"/>
      <x:c r="N227" s="125"/>
      <x:c r="O227" s="125"/>
      <x:c r="P227" s="125"/>
      <x:c r="Q227" s="125"/>
    </x:row>
    <x:row r="228">
      <x:c r="A228" s="125"/>
      <x:c r="B228" s="125"/>
      <x:c r="C228" s="125"/>
      <x:c r="D228" s="125"/>
      <x:c r="E228" s="125"/>
      <x:c r="F228" s="125"/>
      <x:c r="G228" s="125"/>
      <x:c r="H228" s="125"/>
      <x:c r="I228" s="125"/>
      <x:c r="J228" s="125"/>
      <x:c r="K228" s="125"/>
      <x:c r="L228" s="125"/>
      <x:c r="M228" s="125"/>
      <x:c r="N228" s="125"/>
      <x:c r="O228" s="125"/>
      <x:c r="P228" s="125"/>
      <x:c r="Q228" s="125"/>
    </x:row>
    <x:row r="229">
      <x:c r="A229" s="125"/>
      <x:c r="B229" s="125"/>
      <x:c r="C229" s="125"/>
      <x:c r="D229" s="125"/>
      <x:c r="E229" s="125"/>
      <x:c r="F229" s="125"/>
      <x:c r="G229" s="125"/>
      <x:c r="H229" s="125"/>
      <x:c r="I229" s="125"/>
      <x:c r="J229" s="125"/>
      <x:c r="K229" s="125"/>
      <x:c r="L229" s="125"/>
      <x:c r="M229" s="125"/>
      <x:c r="N229" s="125"/>
      <x:c r="O229" s="125"/>
      <x:c r="P229" s="125"/>
      <x:c r="Q229" s="125"/>
    </x:row>
    <x:row r="230">
      <x:c r="A230" s="125"/>
      <x:c r="B230" s="125"/>
      <x:c r="C230" s="125"/>
      <x:c r="D230" s="125"/>
      <x:c r="E230" s="125"/>
      <x:c r="F230" s="125"/>
      <x:c r="G230" s="125"/>
      <x:c r="H230" s="125"/>
      <x:c r="I230" s="125"/>
      <x:c r="J230" s="125"/>
      <x:c r="K230" s="125"/>
      <x:c r="L230" s="125"/>
      <x:c r="M230" s="125"/>
      <x:c r="N230" s="125"/>
      <x:c r="O230" s="125"/>
      <x:c r="P230" s="125"/>
      <x:c r="Q230" s="125"/>
    </x:row>
    <x:row r="231">
      <x:c r="A231" s="125"/>
      <x:c r="B231" s="125"/>
      <x:c r="C231" s="125"/>
      <x:c r="D231" s="125"/>
      <x:c r="E231" s="125"/>
      <x:c r="F231" s="125"/>
      <x:c r="G231" s="125"/>
      <x:c r="H231" s="125"/>
      <x:c r="I231" s="125"/>
      <x:c r="J231" s="125"/>
      <x:c r="K231" s="125"/>
      <x:c r="L231" s="125"/>
      <x:c r="M231" s="125"/>
      <x:c r="N231" s="125"/>
      <x:c r="O231" s="125"/>
      <x:c r="P231" s="125"/>
      <x:c r="Q231" s="125"/>
    </x:row>
    <x:row r="232">
      <x:c r="A232" s="125"/>
      <x:c r="B232" s="125"/>
      <x:c r="C232" s="125"/>
      <x:c r="D232" s="125"/>
      <x:c r="E232" s="125"/>
      <x:c r="F232" s="125"/>
      <x:c r="G232" s="125"/>
      <x:c r="H232" s="125"/>
      <x:c r="I232" s="125"/>
      <x:c r="J232" s="125"/>
      <x:c r="K232" s="125"/>
      <x:c r="L232" s="125"/>
      <x:c r="M232" s="125"/>
      <x:c r="N232" s="125"/>
      <x:c r="O232" s="125"/>
      <x:c r="P232" s="125"/>
      <x:c r="Q232" s="125"/>
    </x:row>
    <x:row r="233">
      <x:c r="A233" s="125"/>
      <x:c r="B233" s="125"/>
      <x:c r="C233" s="125"/>
      <x:c r="D233" s="125"/>
      <x:c r="E233" s="125"/>
      <x:c r="F233" s="125"/>
      <x:c r="G233" s="125"/>
      <x:c r="H233" s="125"/>
      <x:c r="I233" s="125"/>
      <x:c r="J233" s="125"/>
      <x:c r="K233" s="125"/>
      <x:c r="L233" s="125"/>
      <x:c r="M233" s="125"/>
      <x:c r="N233" s="125"/>
      <x:c r="O233" s="125"/>
      <x:c r="P233" s="125"/>
      <x:c r="Q233" s="125"/>
    </x:row>
    <x:row r="234">
      <x:c r="A234" s="125"/>
      <x:c r="B234" s="125"/>
      <x:c r="C234" s="125"/>
      <x:c r="D234" s="125"/>
      <x:c r="E234" s="125"/>
      <x:c r="F234" s="125"/>
      <x:c r="G234" s="125"/>
      <x:c r="H234" s="125"/>
      <x:c r="I234" s="125"/>
      <x:c r="J234" s="125"/>
      <x:c r="K234" s="125"/>
      <x:c r="L234" s="125"/>
      <x:c r="M234" s="125"/>
      <x:c r="N234" s="125"/>
      <x:c r="O234" s="125"/>
      <x:c r="P234" s="125"/>
      <x:c r="Q234" s="125"/>
    </x:row>
    <x:row r="235">
      <x:c r="A235" s="125"/>
      <x:c r="B235" s="125"/>
      <x:c r="C235" s="125"/>
      <x:c r="D235" s="125"/>
      <x:c r="E235" s="125"/>
      <x:c r="F235" s="125"/>
      <x:c r="G235" s="125"/>
      <x:c r="H235" s="125"/>
      <x:c r="I235" s="125"/>
      <x:c r="J235" s="125"/>
      <x:c r="K235" s="125"/>
      <x:c r="L235" s="125"/>
      <x:c r="M235" s="125"/>
      <x:c r="N235" s="125"/>
      <x:c r="O235" s="125"/>
      <x:c r="P235" s="125"/>
      <x:c r="Q235" s="125"/>
    </x:row>
    <x:row r="236">
      <x:c r="A236" s="125"/>
      <x:c r="B236" s="125"/>
      <x:c r="C236" s="125"/>
      <x:c r="D236" s="125"/>
      <x:c r="E236" s="125"/>
      <x:c r="F236" s="125"/>
      <x:c r="G236" s="125"/>
      <x:c r="H236" s="125"/>
      <x:c r="I236" s="125"/>
      <x:c r="J236" s="125"/>
      <x:c r="K236" s="125"/>
      <x:c r="L236" s="125"/>
      <x:c r="M236" s="125"/>
      <x:c r="N236" s="125"/>
      <x:c r="O236" s="125"/>
      <x:c r="P236" s="125"/>
      <x:c r="Q236" s="125"/>
    </x:row>
    <x:row r="237">
      <x:c r="A237" s="125"/>
      <x:c r="B237" s="125"/>
      <x:c r="C237" s="125"/>
      <x:c r="D237" s="125"/>
      <x:c r="E237" s="125"/>
      <x:c r="F237" s="125"/>
      <x:c r="G237" s="125"/>
      <x:c r="H237" s="125"/>
      <x:c r="I237" s="125"/>
      <x:c r="J237" s="125"/>
      <x:c r="K237" s="125"/>
      <x:c r="L237" s="125"/>
      <x:c r="M237" s="125"/>
      <x:c r="N237" s="125"/>
      <x:c r="O237" s="125"/>
      <x:c r="P237" s="125"/>
      <x:c r="Q237" s="125"/>
    </x:row>
    <x:row r="238">
      <x:c r="A238" s="125"/>
      <x:c r="B238" s="125"/>
      <x:c r="C238" s="125"/>
      <x:c r="D238" s="125"/>
      <x:c r="E238" s="125"/>
      <x:c r="F238" s="125"/>
      <x:c r="G238" s="125"/>
      <x:c r="H238" s="125"/>
      <x:c r="I238" s="125"/>
      <x:c r="J238" s="125"/>
      <x:c r="K238" s="125"/>
      <x:c r="L238" s="125"/>
      <x:c r="M238" s="125"/>
      <x:c r="N238" s="125"/>
      <x:c r="O238" s="125"/>
      <x:c r="P238" s="125"/>
      <x:c r="Q238" s="125"/>
    </x:row>
    <x:row r="239">
      <x:c r="A239" s="125"/>
      <x:c r="B239" s="125"/>
      <x:c r="C239" s="125"/>
      <x:c r="D239" s="125"/>
      <x:c r="E239" s="125"/>
      <x:c r="F239" s="125"/>
      <x:c r="G239" s="125"/>
      <x:c r="H239" s="125"/>
      <x:c r="I239" s="125"/>
      <x:c r="J239" s="125"/>
      <x:c r="K239" s="125"/>
      <x:c r="L239" s="125"/>
      <x:c r="M239" s="125"/>
      <x:c r="N239" s="125"/>
      <x:c r="O239" s="125"/>
      <x:c r="P239" s="125"/>
      <x:c r="Q239" s="125"/>
    </x:row>
    <x:row r="240">
      <x:c r="A240" s="125"/>
      <x:c r="B240" s="125"/>
      <x:c r="C240" s="125"/>
      <x:c r="D240" s="125"/>
      <x:c r="E240" s="125"/>
      <x:c r="F240" s="125"/>
      <x:c r="G240" s="125"/>
      <x:c r="H240" s="125"/>
      <x:c r="I240" s="125"/>
      <x:c r="J240" s="125"/>
      <x:c r="K240" s="125"/>
      <x:c r="L240" s="125"/>
      <x:c r="M240" s="125"/>
      <x:c r="N240" s="125"/>
      <x:c r="O240" s="125"/>
      <x:c r="P240" s="125"/>
      <x:c r="Q240" s="125"/>
    </x:row>
    <x:row r="241">
      <x:c r="A241" s="125"/>
      <x:c r="B241" s="125"/>
      <x:c r="C241" s="125"/>
      <x:c r="D241" s="125"/>
      <x:c r="E241" s="125"/>
      <x:c r="F241" s="125"/>
      <x:c r="G241" s="125"/>
      <x:c r="H241" s="125"/>
      <x:c r="I241" s="125"/>
      <x:c r="J241" s="125"/>
      <x:c r="K241" s="125"/>
      <x:c r="L241" s="125"/>
      <x:c r="M241" s="125"/>
      <x:c r="N241" s="125"/>
      <x:c r="O241" s="125"/>
      <x:c r="P241" s="125"/>
      <x:c r="Q241" s="125"/>
    </x:row>
    <x:row r="242">
      <x:c r="A242" s="125"/>
      <x:c r="B242" s="125"/>
      <x:c r="C242" s="125"/>
      <x:c r="D242" s="125"/>
      <x:c r="E242" s="125"/>
      <x:c r="F242" s="125"/>
      <x:c r="G242" s="125"/>
      <x:c r="H242" s="125"/>
      <x:c r="I242" s="125"/>
      <x:c r="J242" s="125"/>
      <x:c r="K242" s="125"/>
      <x:c r="L242" s="125"/>
      <x:c r="M242" s="125"/>
      <x:c r="N242" s="125"/>
      <x:c r="O242" s="125"/>
      <x:c r="P242" s="125"/>
      <x:c r="Q242" s="125"/>
    </x:row>
    <x:row r="243">
      <x:c r="A243" s="125"/>
      <x:c r="B243" s="125"/>
      <x:c r="C243" s="125"/>
      <x:c r="D243" s="125"/>
      <x:c r="E243" s="125"/>
      <x:c r="F243" s="125"/>
      <x:c r="G243" s="125"/>
      <x:c r="H243" s="125"/>
      <x:c r="I243" s="125"/>
      <x:c r="J243" s="125"/>
      <x:c r="K243" s="125"/>
      <x:c r="L243" s="125"/>
      <x:c r="M243" s="125"/>
      <x:c r="N243" s="125"/>
      <x:c r="O243" s="125"/>
      <x:c r="P243" s="125"/>
      <x:c r="Q243" s="125"/>
    </x:row>
    <x:row r="244">
      <x:c r="A244" s="125"/>
      <x:c r="B244" s="125"/>
      <x:c r="C244" s="125"/>
      <x:c r="D244" s="125"/>
      <x:c r="E244" s="125"/>
      <x:c r="F244" s="125"/>
      <x:c r="G244" s="125"/>
      <x:c r="H244" s="125"/>
      <x:c r="I244" s="125"/>
      <x:c r="J244" s="125"/>
      <x:c r="K244" s="125"/>
      <x:c r="L244" s="125"/>
      <x:c r="M244" s="125"/>
      <x:c r="N244" s="125"/>
      <x:c r="O244" s="125"/>
      <x:c r="P244" s="125"/>
      <x:c r="Q244" s="125"/>
    </x:row>
    <x:row r="245">
      <x:c r="A245" s="125"/>
      <x:c r="B245" s="125"/>
      <x:c r="C245" s="125"/>
      <x:c r="D245" s="125"/>
      <x:c r="E245" s="125"/>
      <x:c r="F245" s="125"/>
      <x:c r="G245" s="125"/>
      <x:c r="H245" s="125"/>
      <x:c r="I245" s="125"/>
      <x:c r="J245" s="125"/>
      <x:c r="K245" s="125"/>
      <x:c r="L245" s="125"/>
      <x:c r="M245" s="125"/>
      <x:c r="N245" s="125"/>
      <x:c r="O245" s="125"/>
      <x:c r="P245" s="125"/>
      <x:c r="Q245" s="125"/>
    </x:row>
    <x:row r="246">
      <x:c r="A246" s="125"/>
      <x:c r="B246" s="125"/>
      <x:c r="C246" s="125"/>
      <x:c r="D246" s="125"/>
      <x:c r="E246" s="125"/>
      <x:c r="F246" s="125"/>
      <x:c r="G246" s="125"/>
      <x:c r="H246" s="125"/>
      <x:c r="I246" s="125"/>
      <x:c r="J246" s="125"/>
      <x:c r="K246" s="125"/>
      <x:c r="L246" s="125"/>
      <x:c r="M246" s="125"/>
      <x:c r="N246" s="125"/>
      <x:c r="O246" s="125"/>
      <x:c r="P246" s="125"/>
      <x:c r="Q246" s="125"/>
    </x:row>
    <x:row r="247">
      <x:c r="A247" s="125"/>
      <x:c r="B247" s="125"/>
      <x:c r="C247" s="125"/>
      <x:c r="D247" s="125"/>
      <x:c r="E247" s="125"/>
      <x:c r="F247" s="125"/>
      <x:c r="G247" s="125"/>
      <x:c r="H247" s="125"/>
      <x:c r="I247" s="125"/>
      <x:c r="J247" s="125"/>
      <x:c r="K247" s="125"/>
      <x:c r="L247" s="125"/>
      <x:c r="M247" s="125"/>
      <x:c r="N247" s="125"/>
      <x:c r="O247" s="125"/>
      <x:c r="P247" s="125"/>
      <x:c r="Q247" s="125"/>
    </x:row>
    <x:row r="248">
      <x:c r="A248" s="125"/>
      <x:c r="B248" s="125"/>
      <x:c r="C248" s="125"/>
      <x:c r="D248" s="125"/>
      <x:c r="E248" s="125"/>
      <x:c r="F248" s="125"/>
      <x:c r="G248" s="125"/>
      <x:c r="H248" s="125"/>
      <x:c r="I248" s="125"/>
      <x:c r="J248" s="125"/>
      <x:c r="K248" s="125"/>
      <x:c r="L248" s="125"/>
      <x:c r="M248" s="125"/>
      <x:c r="N248" s="125"/>
      <x:c r="O248" s="125"/>
      <x:c r="P248" s="125"/>
      <x:c r="Q248" s="125"/>
    </x:row>
    <x:row r="249">
      <x:c r="A249" s="125"/>
      <x:c r="B249" s="125"/>
      <x:c r="C249" s="125"/>
      <x:c r="D249" s="125"/>
      <x:c r="E249" s="125"/>
      <x:c r="F249" s="125"/>
      <x:c r="G249" s="125"/>
      <x:c r="H249" s="125"/>
      <x:c r="I249" s="125"/>
      <x:c r="J249" s="125"/>
      <x:c r="K249" s="125"/>
      <x:c r="L249" s="125"/>
      <x:c r="M249" s="125"/>
      <x:c r="N249" s="125"/>
      <x:c r="O249" s="125"/>
      <x:c r="P249" s="125"/>
      <x:c r="Q249" s="125"/>
    </x:row>
    <x:row r="250">
      <x:c r="A250" s="125"/>
      <x:c r="B250" s="125"/>
      <x:c r="C250" s="125"/>
      <x:c r="D250" s="125"/>
      <x:c r="E250" s="125"/>
      <x:c r="F250" s="125"/>
      <x:c r="G250" s="125"/>
      <x:c r="H250" s="125"/>
      <x:c r="I250" s="125"/>
      <x:c r="J250" s="125"/>
      <x:c r="K250" s="125"/>
      <x:c r="L250" s="125"/>
      <x:c r="M250" s="125"/>
      <x:c r="N250" s="125"/>
      <x:c r="O250" s="125"/>
      <x:c r="P250" s="125"/>
      <x:c r="Q250" s="125"/>
    </x:row>
  </x:sheetData>
  <x:mergeCells>
    <x:mergeCell ref="A1:O1"/>
    <x:mergeCell ref="A2:O2"/>
  </x:mergeCells>
  <x:pageMargins left="0.7" right="0.7" top="0.75" bottom="0.75" header="0.3" footer="0.3"/>
</x:worksheet>
</file>

<file path=xl/worksheets/sheet9.xml><?xml version="1.0" encoding="utf-8"?>
<x:worksheet xmlns:x="http://schemas.openxmlformats.org/spreadsheetml/2006/main">
  <x:sheetFormatPr defaultRowHeight="15"/>
  <x:cols>
    <x:col min="1" max="1" width="12" hidden="0" customWidth="1"/>
    <x:col min="2" max="2" width="12" hidden="0" customWidth="1"/>
    <x:col min="3" max="3" width="28" hidden="0" customWidth="1"/>
    <x:col min="4" max="4" width="18" hidden="0" customWidth="1"/>
    <x:col min="5" max="5" width="18" hidden="0" customWidth="1"/>
    <x:col min="6" max="6" width="14" hidden="0" customWidth="1"/>
    <x:col min="7" max="7" width="14" hidden="0" customWidth="1"/>
    <x:col min="8" max="8" width="12" hidden="0" customWidth="1"/>
    <x:col min="9" max="9" width="14" hidden="0" customWidth="1"/>
    <x:col min="10" max="10" width="14" hidden="0" customWidth="1"/>
    <x:col min="11" max="11" width="16" hidden="0" customWidth="1"/>
    <x:col min="12" max="12" width="16" hidden="0" customWidth="1"/>
    <x:col min="13" max="13" width="14" hidden="0" customWidth="1"/>
  </x:cols>
  <x:sheetData>
    <x:row r="1" ht="24" customHeight="1">
      <x:c r="A1" s="200" t="str">
        <x:v>DATA_RENT_ROLL — Optional Rent Roll Detail</x:v>
      </x:c>
      <x:c r="B1" s="198"/>
      <x:c r="C1" s="198"/>
      <x:c r="D1" s="198"/>
      <x:c r="E1" s="198"/>
      <x:c r="F1" s="198"/>
      <x:c r="G1" s="198"/>
      <x:c r="H1" s="198"/>
      <x:c r="I1" s="198"/>
      <x:c r="J1" s="198"/>
      <x:c r="K1" s="198"/>
      <x:c r="L1" s="125"/>
      <x:c r="M1" s="125"/>
      <x:c r="N1" s="125"/>
      <x:c r="O1" s="125"/>
      <x:c r="P1" s="125"/>
      <x:c r="Q1" s="125"/>
    </x:row>
    <x:row r="2" ht="34" customHeight="1">
      <x:c r="A2" s="126" t="str">
        <x:v>Blue cells are writable. MVP v1 can work from operating forecast if detailed rent roll is unavailable. Blank template: populate blue/orange cells for a new organization; formulas remain live.</x:v>
      </x:c>
      <x:c r="B2" s="125"/>
      <x:c r="C2" s="125"/>
      <x:c r="D2" s="125"/>
      <x:c r="E2" s="125"/>
      <x:c r="F2" s="125"/>
      <x:c r="G2" s="125"/>
      <x:c r="H2" s="125"/>
      <x:c r="I2" s="125"/>
      <x:c r="J2" s="125"/>
      <x:c r="K2" s="125"/>
      <x:c r="L2" s="125"/>
      <x:c r="M2" s="125"/>
      <x:c r="N2" s="125"/>
      <x:c r="O2" s="125"/>
      <x:c r="P2" s="125"/>
      <x:c r="Q2" s="125"/>
    </x:row>
    <x:row r="3">
      <x:c r="A3" s="125"/>
      <x:c r="B3" s="125"/>
      <x:c r="C3" s="125"/>
      <x:c r="D3" s="125"/>
      <x:c r="E3" s="125"/>
      <x:c r="F3" s="125"/>
      <x:c r="G3" s="125"/>
      <x:c r="H3" s="125"/>
      <x:c r="I3" s="125"/>
      <x:c r="J3" s="125"/>
      <x:c r="K3" s="125"/>
      <x:c r="L3" s="125"/>
      <x:c r="M3" s="125"/>
      <x:c r="N3" s="125"/>
      <x:c r="O3" s="125"/>
      <x:c r="P3" s="125"/>
      <x:c r="Q3" s="125"/>
    </x:row>
    <x:row r="4">
      <x:c r="A4" s="125"/>
      <x:c r="B4" s="125"/>
      <x:c r="C4" s="125"/>
      <x:c r="D4" s="125"/>
      <x:c r="E4" s="125"/>
      <x:c r="F4" s="125"/>
      <x:c r="G4" s="125"/>
      <x:c r="H4" s="125"/>
      <x:c r="I4" s="125"/>
      <x:c r="J4" s="125"/>
      <x:c r="K4" s="125"/>
      <x:c r="L4" s="125"/>
      <x:c r="M4" s="125"/>
      <x:c r="N4" s="125"/>
      <x:c r="O4" s="125"/>
      <x:c r="P4" s="125"/>
      <x:c r="Q4" s="125"/>
    </x:row>
    <x:row r="5">
      <x:c r="A5" s="125"/>
      <x:c r="B5" s="125"/>
      <x:c r="C5" s="125"/>
      <x:c r="D5" s="125"/>
      <x:c r="E5" s="125"/>
      <x:c r="F5" s="125"/>
      <x:c r="G5" s="125"/>
      <x:c r="H5" s="125"/>
      <x:c r="I5" s="125"/>
      <x:c r="J5" s="125"/>
      <x:c r="K5" s="125"/>
      <x:c r="L5" s="125"/>
      <x:c r="M5" s="125"/>
      <x:c r="N5" s="125"/>
      <x:c r="O5" s="125"/>
      <x:c r="P5" s="125"/>
      <x:c r="Q5" s="125"/>
    </x:row>
    <x:row r="6" ht="26" customHeight="1">
      <x:c r="A6" s="127" t="str">
        <x:v>Record_ID</x:v>
      </x:c>
      <x:c r="B6" s="127" t="str">
        <x:v>Property_ID</x:v>
      </x:c>
      <x:c r="C6" s="127" t="str">
        <x:v>Property_Name</x:v>
      </x:c>
      <x:c r="D6" s="127" t="str">
        <x:v>Rent_Record_Level</x:v>
      </x:c>
      <x:c r="E6" s="127" t="str">
        <x:v>Unit_ID_or_Group</x:v>
      </x:c>
      <x:c r="F6" s="127" t="str">
        <x:v>Bedroom_Type</x:v>
      </x:c>
      <x:c r="G6" s="127" t="str">
        <x:v>Unit_Type</x:v>
      </x:c>
      <x:c r="H6" s="127" t="str">
        <x:v>Unit_Count</x:v>
      </x:c>
      <x:c r="I6" s="127" t="str">
        <x:v>Tenant_Status</x:v>
      </x:c>
      <x:c r="J6" s="127" t="str">
        <x:v>Vacancy_Status</x:v>
      </x:c>
      <x:c r="K6" s="127" t="str">
        <x:v>Current_Monthly_Rent</x:v>
      </x:c>
      <x:c r="L6" s="127" t="str">
        <x:v>Market_Monthly_Rent</x:v>
      </x:c>
      <x:c r="M6" s="127" t="str">
        <x:v>Source_File_ID</x:v>
      </x:c>
      <x:c r="N6" s="125"/>
      <x:c r="O6" s="125"/>
      <x:c r="P6" s="125"/>
      <x:c r="Q6" s="125"/>
    </x:row>
    <x:row r="7">
      <x:c r="A7" s="148"/>
      <x:c r="B7" s="148"/>
      <x:c r="C7" s="148"/>
      <x:c r="D7" s="148"/>
      <x:c r="E7" s="148"/>
      <x:c r="F7" s="148"/>
      <x:c r="G7" s="148"/>
      <x:c r="H7" s="148"/>
      <x:c r="I7" s="148"/>
      <x:c r="J7" s="148"/>
      <x:c r="K7" s="148"/>
      <x:c r="L7" s="148"/>
      <x:c r="M7" s="148"/>
      <x:c r="N7" s="125"/>
      <x:c r="O7" s="125"/>
      <x:c r="P7" s="125"/>
      <x:c r="Q7" s="125"/>
    </x:row>
    <x:row r="8">
      <x:c r="A8" s="148"/>
      <x:c r="B8" s="148"/>
      <x:c r="C8" s="148"/>
      <x:c r="D8" s="148"/>
      <x:c r="E8" s="148"/>
      <x:c r="F8" s="148"/>
      <x:c r="G8" s="148"/>
      <x:c r="H8" s="148"/>
      <x:c r="I8" s="148"/>
      <x:c r="J8" s="148"/>
      <x:c r="K8" s="148"/>
      <x:c r="L8" s="148"/>
      <x:c r="M8" s="148"/>
      <x:c r="N8" s="125"/>
      <x:c r="O8" s="125"/>
      <x:c r="P8" s="125"/>
      <x:c r="Q8" s="125"/>
    </x:row>
    <x:row r="9">
      <x:c r="A9" s="148"/>
      <x:c r="B9" s="148"/>
      <x:c r="C9" s="148"/>
      <x:c r="D9" s="148"/>
      <x:c r="E9" s="148"/>
      <x:c r="F9" s="148"/>
      <x:c r="G9" s="148"/>
      <x:c r="H9" s="148"/>
      <x:c r="I9" s="148"/>
      <x:c r="J9" s="148"/>
      <x:c r="K9" s="148"/>
      <x:c r="L9" s="148"/>
      <x:c r="M9" s="148"/>
      <x:c r="N9" s="125"/>
      <x:c r="O9" s="125"/>
      <x:c r="P9" s="125"/>
      <x:c r="Q9" s="125"/>
    </x:row>
    <x:row r="10">
      <x:c r="A10" s="148"/>
      <x:c r="B10" s="148"/>
      <x:c r="C10" s="148"/>
      <x:c r="D10" s="148"/>
      <x:c r="E10" s="148"/>
      <x:c r="F10" s="148"/>
      <x:c r="G10" s="148"/>
      <x:c r="H10" s="148"/>
      <x:c r="I10" s="148"/>
      <x:c r="J10" s="148"/>
      <x:c r="K10" s="148"/>
      <x:c r="L10" s="148"/>
      <x:c r="M10" s="148"/>
      <x:c r="N10" s="125"/>
      <x:c r="O10" s="125"/>
      <x:c r="P10" s="125"/>
      <x:c r="Q10" s="125"/>
    </x:row>
    <x:row r="11">
      <x:c r="A11" s="148"/>
      <x:c r="B11" s="148"/>
      <x:c r="C11" s="148"/>
      <x:c r="D11" s="148"/>
      <x:c r="E11" s="148"/>
      <x:c r="F11" s="148"/>
      <x:c r="G11" s="148"/>
      <x:c r="H11" s="148"/>
      <x:c r="I11" s="148"/>
      <x:c r="J11" s="148"/>
      <x:c r="K11" s="148"/>
      <x:c r="L11" s="148"/>
      <x:c r="M11" s="148"/>
      <x:c r="N11" s="125"/>
      <x:c r="O11" s="125"/>
      <x:c r="P11" s="125"/>
      <x:c r="Q11" s="125"/>
    </x:row>
    <x:row r="12">
      <x:c r="A12" s="148"/>
      <x:c r="B12" s="148"/>
      <x:c r="C12" s="148"/>
      <x:c r="D12" s="148"/>
      <x:c r="E12" s="148"/>
      <x:c r="F12" s="148"/>
      <x:c r="G12" s="148"/>
      <x:c r="H12" s="148"/>
      <x:c r="I12" s="148"/>
      <x:c r="J12" s="148"/>
      <x:c r="K12" s="148"/>
      <x:c r="L12" s="148"/>
      <x:c r="M12" s="148"/>
      <x:c r="N12" s="125"/>
      <x:c r="O12" s="125"/>
      <x:c r="P12" s="125"/>
      <x:c r="Q12" s="125"/>
    </x:row>
    <x:row r="13">
      <x:c r="A13" s="148"/>
      <x:c r="B13" s="148"/>
      <x:c r="C13" s="148"/>
      <x:c r="D13" s="148"/>
      <x:c r="E13" s="148"/>
      <x:c r="F13" s="148"/>
      <x:c r="G13" s="148"/>
      <x:c r="H13" s="148"/>
      <x:c r="I13" s="148"/>
      <x:c r="J13" s="148"/>
      <x:c r="K13" s="148"/>
      <x:c r="L13" s="148"/>
      <x:c r="M13" s="148"/>
      <x:c r="N13" s="125"/>
      <x:c r="O13" s="125"/>
      <x:c r="P13" s="125"/>
      <x:c r="Q13" s="125"/>
    </x:row>
    <x:row r="14">
      <x:c r="A14" s="148"/>
      <x:c r="B14" s="148"/>
      <x:c r="C14" s="148"/>
      <x:c r="D14" s="148"/>
      <x:c r="E14" s="148"/>
      <x:c r="F14" s="148"/>
      <x:c r="G14" s="148"/>
      <x:c r="H14" s="148"/>
      <x:c r="I14" s="148"/>
      <x:c r="J14" s="148"/>
      <x:c r="K14" s="148"/>
      <x:c r="L14" s="148"/>
      <x:c r="M14" s="148"/>
      <x:c r="N14" s="125"/>
      <x:c r="O14" s="125"/>
      <x:c r="P14" s="125"/>
      <x:c r="Q14" s="125"/>
    </x:row>
    <x:row r="15">
      <x:c r="A15" s="148"/>
      <x:c r="B15" s="148"/>
      <x:c r="C15" s="148"/>
      <x:c r="D15" s="148"/>
      <x:c r="E15" s="148"/>
      <x:c r="F15" s="148"/>
      <x:c r="G15" s="148"/>
      <x:c r="H15" s="148"/>
      <x:c r="I15" s="148"/>
      <x:c r="J15" s="148"/>
      <x:c r="K15" s="148"/>
      <x:c r="L15" s="148"/>
      <x:c r="M15" s="148"/>
      <x:c r="N15" s="125"/>
      <x:c r="O15" s="125"/>
      <x:c r="P15" s="125"/>
      <x:c r="Q15" s="125"/>
    </x:row>
    <x:row r="16">
      <x:c r="A16" s="148"/>
      <x:c r="B16" s="148"/>
      <x:c r="C16" s="148"/>
      <x:c r="D16" s="148"/>
      <x:c r="E16" s="148"/>
      <x:c r="F16" s="148"/>
      <x:c r="G16" s="148"/>
      <x:c r="H16" s="148"/>
      <x:c r="I16" s="148"/>
      <x:c r="J16" s="148"/>
      <x:c r="K16" s="148"/>
      <x:c r="L16" s="148"/>
      <x:c r="M16" s="148"/>
      <x:c r="N16" s="125"/>
      <x:c r="O16" s="125"/>
      <x:c r="P16" s="125"/>
      <x:c r="Q16" s="125"/>
    </x:row>
    <x:row r="17">
      <x:c r="A17" s="148"/>
      <x:c r="B17" s="148"/>
      <x:c r="C17" s="148"/>
      <x:c r="D17" s="148"/>
      <x:c r="E17" s="148"/>
      <x:c r="F17" s="148"/>
      <x:c r="G17" s="148"/>
      <x:c r="H17" s="148"/>
      <x:c r="I17" s="148"/>
      <x:c r="J17" s="148"/>
      <x:c r="K17" s="148"/>
      <x:c r="L17" s="148"/>
      <x:c r="M17" s="148"/>
      <x:c r="N17" s="125"/>
      <x:c r="O17" s="125"/>
      <x:c r="P17" s="125"/>
      <x:c r="Q17" s="125"/>
    </x:row>
    <x:row r="18">
      <x:c r="A18" s="148"/>
      <x:c r="B18" s="148"/>
      <x:c r="C18" s="148"/>
      <x:c r="D18" s="148"/>
      <x:c r="E18" s="148"/>
      <x:c r="F18" s="148"/>
      <x:c r="G18" s="148"/>
      <x:c r="H18" s="148"/>
      <x:c r="I18" s="148"/>
      <x:c r="J18" s="148"/>
      <x:c r="K18" s="148"/>
      <x:c r="L18" s="148"/>
      <x:c r="M18" s="148"/>
      <x:c r="N18" s="125"/>
      <x:c r="O18" s="125"/>
      <x:c r="P18" s="125"/>
      <x:c r="Q18" s="125"/>
    </x:row>
    <x:row r="19">
      <x:c r="A19" s="148"/>
      <x:c r="B19" s="148"/>
      <x:c r="C19" s="148"/>
      <x:c r="D19" s="148"/>
      <x:c r="E19" s="148"/>
      <x:c r="F19" s="148"/>
      <x:c r="G19" s="148"/>
      <x:c r="H19" s="148"/>
      <x:c r="I19" s="148"/>
      <x:c r="J19" s="148"/>
      <x:c r="K19" s="148"/>
      <x:c r="L19" s="148"/>
      <x:c r="M19" s="148"/>
      <x:c r="N19" s="125"/>
      <x:c r="O19" s="125"/>
      <x:c r="P19" s="125"/>
      <x:c r="Q19" s="125"/>
    </x:row>
    <x:row r="20">
      <x:c r="A20" s="148"/>
      <x:c r="B20" s="148"/>
      <x:c r="C20" s="148"/>
      <x:c r="D20" s="148"/>
      <x:c r="E20" s="148"/>
      <x:c r="F20" s="148"/>
      <x:c r="G20" s="148"/>
      <x:c r="H20" s="148"/>
      <x:c r="I20" s="148"/>
      <x:c r="J20" s="148"/>
      <x:c r="K20" s="148"/>
      <x:c r="L20" s="148"/>
      <x:c r="M20" s="148"/>
      <x:c r="N20" s="125"/>
      <x:c r="O20" s="125"/>
      <x:c r="P20" s="125"/>
      <x:c r="Q20" s="125"/>
    </x:row>
    <x:row r="21">
      <x:c r="A21" s="148"/>
      <x:c r="B21" s="148"/>
      <x:c r="C21" s="148"/>
      <x:c r="D21" s="148"/>
      <x:c r="E21" s="148"/>
      <x:c r="F21" s="148"/>
      <x:c r="G21" s="148"/>
      <x:c r="H21" s="148"/>
      <x:c r="I21" s="148"/>
      <x:c r="J21" s="148"/>
      <x:c r="K21" s="148"/>
      <x:c r="L21" s="148"/>
      <x:c r="M21" s="148"/>
      <x:c r="N21" s="125"/>
      <x:c r="O21" s="125"/>
      <x:c r="P21" s="125"/>
      <x:c r="Q21" s="125"/>
    </x:row>
    <x:row r="22">
      <x:c r="A22" s="148"/>
      <x:c r="B22" s="148"/>
      <x:c r="C22" s="148"/>
      <x:c r="D22" s="148"/>
      <x:c r="E22" s="148"/>
      <x:c r="F22" s="148"/>
      <x:c r="G22" s="148"/>
      <x:c r="H22" s="148"/>
      <x:c r="I22" s="148"/>
      <x:c r="J22" s="148"/>
      <x:c r="K22" s="148"/>
      <x:c r="L22" s="148"/>
      <x:c r="M22" s="148"/>
      <x:c r="N22" s="125"/>
      <x:c r="O22" s="125"/>
      <x:c r="P22" s="125"/>
      <x:c r="Q22" s="125"/>
    </x:row>
    <x:row r="23">
      <x:c r="A23" s="148"/>
      <x:c r="B23" s="148"/>
      <x:c r="C23" s="148"/>
      <x:c r="D23" s="148"/>
      <x:c r="E23" s="148"/>
      <x:c r="F23" s="148"/>
      <x:c r="G23" s="148"/>
      <x:c r="H23" s="148"/>
      <x:c r="I23" s="148"/>
      <x:c r="J23" s="148"/>
      <x:c r="K23" s="148"/>
      <x:c r="L23" s="148"/>
      <x:c r="M23" s="148"/>
      <x:c r="N23" s="125"/>
      <x:c r="O23" s="125"/>
      <x:c r="P23" s="125"/>
      <x:c r="Q23" s="125"/>
    </x:row>
    <x:row r="24">
      <x:c r="A24" s="148"/>
      <x:c r="B24" s="148"/>
      <x:c r="C24" s="148"/>
      <x:c r="D24" s="148"/>
      <x:c r="E24" s="148"/>
      <x:c r="F24" s="148"/>
      <x:c r="G24" s="148"/>
      <x:c r="H24" s="148"/>
      <x:c r="I24" s="148"/>
      <x:c r="J24" s="148"/>
      <x:c r="K24" s="148"/>
      <x:c r="L24" s="148"/>
      <x:c r="M24" s="148"/>
      <x:c r="N24" s="125"/>
      <x:c r="O24" s="125"/>
      <x:c r="P24" s="125"/>
      <x:c r="Q24" s="125"/>
    </x:row>
    <x:row r="25">
      <x:c r="A25" s="148"/>
      <x:c r="B25" s="148"/>
      <x:c r="C25" s="148"/>
      <x:c r="D25" s="148"/>
      <x:c r="E25" s="148"/>
      <x:c r="F25" s="148"/>
      <x:c r="G25" s="148"/>
      <x:c r="H25" s="148"/>
      <x:c r="I25" s="148"/>
      <x:c r="J25" s="148"/>
      <x:c r="K25" s="148"/>
      <x:c r="L25" s="148"/>
      <x:c r="M25" s="148"/>
      <x:c r="N25" s="125"/>
      <x:c r="O25" s="125"/>
      <x:c r="P25" s="125"/>
      <x:c r="Q25" s="125"/>
    </x:row>
    <x:row r="26">
      <x:c r="A26" s="148"/>
      <x:c r="B26" s="148"/>
      <x:c r="C26" s="148"/>
      <x:c r="D26" s="148"/>
      <x:c r="E26" s="148"/>
      <x:c r="F26" s="148"/>
      <x:c r="G26" s="148"/>
      <x:c r="H26" s="148"/>
      <x:c r="I26" s="148"/>
      <x:c r="J26" s="148"/>
      <x:c r="K26" s="148"/>
      <x:c r="L26" s="148"/>
      <x:c r="M26" s="148"/>
      <x:c r="N26" s="125"/>
      <x:c r="O26" s="125"/>
      <x:c r="P26" s="125"/>
      <x:c r="Q26" s="125"/>
    </x:row>
    <x:row r="27">
      <x:c r="A27" s="148"/>
      <x:c r="B27" s="148"/>
      <x:c r="C27" s="148"/>
      <x:c r="D27" s="148"/>
      <x:c r="E27" s="148"/>
      <x:c r="F27" s="148"/>
      <x:c r="G27" s="148"/>
      <x:c r="H27" s="148"/>
      <x:c r="I27" s="148"/>
      <x:c r="J27" s="148"/>
      <x:c r="K27" s="148"/>
      <x:c r="L27" s="148"/>
      <x:c r="M27" s="148"/>
      <x:c r="N27" s="125"/>
      <x:c r="O27" s="125"/>
      <x:c r="P27" s="125"/>
      <x:c r="Q27" s="125"/>
    </x:row>
    <x:row r="28">
      <x:c r="A28" s="148"/>
      <x:c r="B28" s="148"/>
      <x:c r="C28" s="148"/>
      <x:c r="D28" s="148"/>
      <x:c r="E28" s="148"/>
      <x:c r="F28" s="148"/>
      <x:c r="G28" s="148"/>
      <x:c r="H28" s="148"/>
      <x:c r="I28" s="148"/>
      <x:c r="J28" s="148"/>
      <x:c r="K28" s="148"/>
      <x:c r="L28" s="148"/>
      <x:c r="M28" s="148"/>
      <x:c r="N28" s="125"/>
      <x:c r="O28" s="125"/>
      <x:c r="P28" s="125"/>
      <x:c r="Q28" s="125"/>
    </x:row>
    <x:row r="29">
      <x:c r="A29" s="148"/>
      <x:c r="B29" s="148"/>
      <x:c r="C29" s="148"/>
      <x:c r="D29" s="148"/>
      <x:c r="E29" s="148"/>
      <x:c r="F29" s="148"/>
      <x:c r="G29" s="148"/>
      <x:c r="H29" s="148"/>
      <x:c r="I29" s="148"/>
      <x:c r="J29" s="148"/>
      <x:c r="K29" s="148"/>
      <x:c r="L29" s="148"/>
      <x:c r="M29" s="148"/>
      <x:c r="N29" s="125"/>
      <x:c r="O29" s="125"/>
      <x:c r="P29" s="125"/>
      <x:c r="Q29" s="125"/>
    </x:row>
    <x:row r="30">
      <x:c r="A30" s="148"/>
      <x:c r="B30" s="148"/>
      <x:c r="C30" s="148"/>
      <x:c r="D30" s="148"/>
      <x:c r="E30" s="148"/>
      <x:c r="F30" s="148"/>
      <x:c r="G30" s="148"/>
      <x:c r="H30" s="148"/>
      <x:c r="I30" s="148"/>
      <x:c r="J30" s="148"/>
      <x:c r="K30" s="148"/>
      <x:c r="L30" s="148"/>
      <x:c r="M30" s="148"/>
      <x:c r="N30" s="125"/>
      <x:c r="O30" s="125"/>
      <x:c r="P30" s="125"/>
      <x:c r="Q30" s="125"/>
    </x:row>
    <x:row r="31">
      <x:c r="A31" s="148"/>
      <x:c r="B31" s="148"/>
      <x:c r="C31" s="148"/>
      <x:c r="D31" s="148"/>
      <x:c r="E31" s="148"/>
      <x:c r="F31" s="148"/>
      <x:c r="G31" s="148"/>
      <x:c r="H31" s="148"/>
      <x:c r="I31" s="148"/>
      <x:c r="J31" s="148"/>
      <x:c r="K31" s="148"/>
      <x:c r="L31" s="148"/>
      <x:c r="M31" s="148"/>
      <x:c r="N31" s="125"/>
      <x:c r="O31" s="125"/>
      <x:c r="P31" s="125"/>
      <x:c r="Q31" s="125"/>
    </x:row>
    <x:row r="32">
      <x:c r="A32" s="148"/>
      <x:c r="B32" s="148"/>
      <x:c r="C32" s="148"/>
      <x:c r="D32" s="148"/>
      <x:c r="E32" s="148"/>
      <x:c r="F32" s="148"/>
      <x:c r="G32" s="148"/>
      <x:c r="H32" s="148"/>
      <x:c r="I32" s="148"/>
      <x:c r="J32" s="148"/>
      <x:c r="K32" s="148"/>
      <x:c r="L32" s="148"/>
      <x:c r="M32" s="148"/>
      <x:c r="N32" s="125"/>
      <x:c r="O32" s="125"/>
      <x:c r="P32" s="125"/>
      <x:c r="Q32" s="125"/>
    </x:row>
    <x:row r="33">
      <x:c r="A33" s="148"/>
      <x:c r="B33" s="148"/>
      <x:c r="C33" s="148"/>
      <x:c r="D33" s="148"/>
      <x:c r="E33" s="148"/>
      <x:c r="F33" s="148"/>
      <x:c r="G33" s="148"/>
      <x:c r="H33" s="148"/>
      <x:c r="I33" s="148"/>
      <x:c r="J33" s="148"/>
      <x:c r="K33" s="148"/>
      <x:c r="L33" s="148"/>
      <x:c r="M33" s="148"/>
      <x:c r="N33" s="125"/>
      <x:c r="O33" s="125"/>
      <x:c r="P33" s="125"/>
      <x:c r="Q33" s="125"/>
    </x:row>
    <x:row r="34">
      <x:c r="A34" s="148"/>
      <x:c r="B34" s="148"/>
      <x:c r="C34" s="148"/>
      <x:c r="D34" s="148"/>
      <x:c r="E34" s="148"/>
      <x:c r="F34" s="148"/>
      <x:c r="G34" s="148"/>
      <x:c r="H34" s="148"/>
      <x:c r="I34" s="148"/>
      <x:c r="J34" s="148"/>
      <x:c r="K34" s="148"/>
      <x:c r="L34" s="148"/>
      <x:c r="M34" s="148"/>
      <x:c r="N34" s="125"/>
      <x:c r="O34" s="125"/>
      <x:c r="P34" s="125"/>
      <x:c r="Q34" s="125"/>
    </x:row>
    <x:row r="35">
      <x:c r="A35" s="148"/>
      <x:c r="B35" s="148"/>
      <x:c r="C35" s="148"/>
      <x:c r="D35" s="148"/>
      <x:c r="E35" s="148"/>
      <x:c r="F35" s="148"/>
      <x:c r="G35" s="148"/>
      <x:c r="H35" s="148"/>
      <x:c r="I35" s="148"/>
      <x:c r="J35" s="148"/>
      <x:c r="K35" s="148"/>
      <x:c r="L35" s="148"/>
      <x:c r="M35" s="148"/>
      <x:c r="N35" s="125"/>
      <x:c r="O35" s="125"/>
      <x:c r="P35" s="125"/>
      <x:c r="Q35" s="125"/>
    </x:row>
    <x:row r="36">
      <x:c r="A36" s="148"/>
      <x:c r="B36" s="148"/>
      <x:c r="C36" s="148"/>
      <x:c r="D36" s="148"/>
      <x:c r="E36" s="148"/>
      <x:c r="F36" s="148"/>
      <x:c r="G36" s="148"/>
      <x:c r="H36" s="148"/>
      <x:c r="I36" s="148"/>
      <x:c r="J36" s="148"/>
      <x:c r="K36" s="148"/>
      <x:c r="L36" s="148"/>
      <x:c r="M36" s="148"/>
      <x:c r="N36" s="125"/>
      <x:c r="O36" s="125"/>
      <x:c r="P36" s="125"/>
      <x:c r="Q36" s="125"/>
    </x:row>
    <x:row r="37">
      <x:c r="A37" s="148"/>
      <x:c r="B37" s="148"/>
      <x:c r="C37" s="148"/>
      <x:c r="D37" s="148"/>
      <x:c r="E37" s="148"/>
      <x:c r="F37" s="148"/>
      <x:c r="G37" s="148"/>
      <x:c r="H37" s="148"/>
      <x:c r="I37" s="148"/>
      <x:c r="J37" s="148"/>
      <x:c r="K37" s="148"/>
      <x:c r="L37" s="148"/>
      <x:c r="M37" s="148"/>
      <x:c r="N37" s="125"/>
      <x:c r="O37" s="125"/>
      <x:c r="P37" s="125"/>
      <x:c r="Q37" s="125"/>
    </x:row>
    <x:row r="38">
      <x:c r="A38" s="148"/>
      <x:c r="B38" s="148"/>
      <x:c r="C38" s="148"/>
      <x:c r="D38" s="148"/>
      <x:c r="E38" s="148"/>
      <x:c r="F38" s="148"/>
      <x:c r="G38" s="148"/>
      <x:c r="H38" s="148"/>
      <x:c r="I38" s="148"/>
      <x:c r="J38" s="148"/>
      <x:c r="K38" s="148"/>
      <x:c r="L38" s="148"/>
      <x:c r="M38" s="148"/>
      <x:c r="N38" s="125"/>
      <x:c r="O38" s="125"/>
      <x:c r="P38" s="125"/>
      <x:c r="Q38" s="125"/>
    </x:row>
    <x:row r="39">
      <x:c r="A39" s="148"/>
      <x:c r="B39" s="148"/>
      <x:c r="C39" s="148"/>
      <x:c r="D39" s="148"/>
      <x:c r="E39" s="148"/>
      <x:c r="F39" s="148"/>
      <x:c r="G39" s="148"/>
      <x:c r="H39" s="148"/>
      <x:c r="I39" s="148"/>
      <x:c r="J39" s="148"/>
      <x:c r="K39" s="148"/>
      <x:c r="L39" s="148"/>
      <x:c r="M39" s="148"/>
      <x:c r="N39" s="125"/>
      <x:c r="O39" s="125"/>
      <x:c r="P39" s="125"/>
      <x:c r="Q39" s="125"/>
    </x:row>
    <x:row r="40">
      <x:c r="A40" s="148"/>
      <x:c r="B40" s="148"/>
      <x:c r="C40" s="148"/>
      <x:c r="D40" s="148"/>
      <x:c r="E40" s="148"/>
      <x:c r="F40" s="148"/>
      <x:c r="G40" s="148"/>
      <x:c r="H40" s="148"/>
      <x:c r="I40" s="148"/>
      <x:c r="J40" s="148"/>
      <x:c r="K40" s="148"/>
      <x:c r="L40" s="148"/>
      <x:c r="M40" s="148"/>
      <x:c r="N40" s="125"/>
      <x:c r="O40" s="125"/>
      <x:c r="P40" s="125"/>
      <x:c r="Q40" s="125"/>
    </x:row>
    <x:row r="41">
      <x:c r="A41" s="148"/>
      <x:c r="B41" s="148"/>
      <x:c r="C41" s="148"/>
      <x:c r="D41" s="148"/>
      <x:c r="E41" s="148"/>
      <x:c r="F41" s="148"/>
      <x:c r="G41" s="148"/>
      <x:c r="H41" s="148"/>
      <x:c r="I41" s="148"/>
      <x:c r="J41" s="148"/>
      <x:c r="K41" s="148"/>
      <x:c r="L41" s="148"/>
      <x:c r="M41" s="148"/>
      <x:c r="N41" s="125"/>
      <x:c r="O41" s="125"/>
      <x:c r="P41" s="125"/>
      <x:c r="Q41" s="125"/>
    </x:row>
    <x:row r="42">
      <x:c r="A42" s="148"/>
      <x:c r="B42" s="148"/>
      <x:c r="C42" s="148"/>
      <x:c r="D42" s="148"/>
      <x:c r="E42" s="148"/>
      <x:c r="F42" s="148"/>
      <x:c r="G42" s="148"/>
      <x:c r="H42" s="148"/>
      <x:c r="I42" s="148"/>
      <x:c r="J42" s="148"/>
      <x:c r="K42" s="148"/>
      <x:c r="L42" s="148"/>
      <x:c r="M42" s="148"/>
      <x:c r="N42" s="125"/>
      <x:c r="O42" s="125"/>
      <x:c r="P42" s="125"/>
      <x:c r="Q42" s="125"/>
    </x:row>
    <x:row r="43">
      <x:c r="A43" s="148"/>
      <x:c r="B43" s="148"/>
      <x:c r="C43" s="148"/>
      <x:c r="D43" s="148"/>
      <x:c r="E43" s="148"/>
      <x:c r="F43" s="148"/>
      <x:c r="G43" s="148"/>
      <x:c r="H43" s="148"/>
      <x:c r="I43" s="148"/>
      <x:c r="J43" s="148"/>
      <x:c r="K43" s="148"/>
      <x:c r="L43" s="148"/>
      <x:c r="M43" s="148"/>
      <x:c r="N43" s="125"/>
      <x:c r="O43" s="125"/>
      <x:c r="P43" s="125"/>
      <x:c r="Q43" s="125"/>
    </x:row>
    <x:row r="44">
      <x:c r="A44" s="148"/>
      <x:c r="B44" s="148"/>
      <x:c r="C44" s="148"/>
      <x:c r="D44" s="148"/>
      <x:c r="E44" s="148"/>
      <x:c r="F44" s="148"/>
      <x:c r="G44" s="148"/>
      <x:c r="H44" s="148"/>
      <x:c r="I44" s="148"/>
      <x:c r="J44" s="148"/>
      <x:c r="K44" s="148"/>
      <x:c r="L44" s="148"/>
      <x:c r="M44" s="148"/>
      <x:c r="N44" s="125"/>
      <x:c r="O44" s="125"/>
      <x:c r="P44" s="125"/>
      <x:c r="Q44" s="125"/>
    </x:row>
    <x:row r="45">
      <x:c r="A45" s="148"/>
      <x:c r="B45" s="148"/>
      <x:c r="C45" s="148"/>
      <x:c r="D45" s="148"/>
      <x:c r="E45" s="148"/>
      <x:c r="F45" s="148"/>
      <x:c r="G45" s="148"/>
      <x:c r="H45" s="148"/>
      <x:c r="I45" s="148"/>
      <x:c r="J45" s="148"/>
      <x:c r="K45" s="148"/>
      <x:c r="L45" s="148"/>
      <x:c r="M45" s="148"/>
      <x:c r="N45" s="125"/>
      <x:c r="O45" s="125"/>
      <x:c r="P45" s="125"/>
      <x:c r="Q45" s="125"/>
    </x:row>
    <x:row r="46">
      <x:c r="A46" s="148"/>
      <x:c r="B46" s="148"/>
      <x:c r="C46" s="148"/>
      <x:c r="D46" s="148"/>
      <x:c r="E46" s="148"/>
      <x:c r="F46" s="148"/>
      <x:c r="G46" s="148"/>
      <x:c r="H46" s="148"/>
      <x:c r="I46" s="148"/>
      <x:c r="J46" s="148"/>
      <x:c r="K46" s="148"/>
      <x:c r="L46" s="148"/>
      <x:c r="M46" s="148"/>
      <x:c r="N46" s="125"/>
      <x:c r="O46" s="125"/>
      <x:c r="P46" s="125"/>
      <x:c r="Q46" s="125"/>
    </x:row>
    <x:row r="47">
      <x:c r="A47" s="148"/>
      <x:c r="B47" s="148"/>
      <x:c r="C47" s="148"/>
      <x:c r="D47" s="148"/>
      <x:c r="E47" s="148"/>
      <x:c r="F47" s="148"/>
      <x:c r="G47" s="148"/>
      <x:c r="H47" s="148"/>
      <x:c r="I47" s="148"/>
      <x:c r="J47" s="148"/>
      <x:c r="K47" s="148"/>
      <x:c r="L47" s="148"/>
      <x:c r="M47" s="148"/>
      <x:c r="N47" s="125"/>
      <x:c r="O47" s="125"/>
      <x:c r="P47" s="125"/>
      <x:c r="Q47" s="125"/>
    </x:row>
    <x:row r="48">
      <x:c r="A48" s="148"/>
      <x:c r="B48" s="148"/>
      <x:c r="C48" s="148"/>
      <x:c r="D48" s="148"/>
      <x:c r="E48" s="148"/>
      <x:c r="F48" s="148"/>
      <x:c r="G48" s="148"/>
      <x:c r="H48" s="148"/>
      <x:c r="I48" s="148"/>
      <x:c r="J48" s="148"/>
      <x:c r="K48" s="148"/>
      <x:c r="L48" s="148"/>
      <x:c r="M48" s="148"/>
      <x:c r="N48" s="125"/>
      <x:c r="O48" s="125"/>
      <x:c r="P48" s="125"/>
      <x:c r="Q48" s="125"/>
    </x:row>
    <x:row r="49">
      <x:c r="A49" s="148"/>
      <x:c r="B49" s="148"/>
      <x:c r="C49" s="148"/>
      <x:c r="D49" s="148"/>
      <x:c r="E49" s="148"/>
      <x:c r="F49" s="148"/>
      <x:c r="G49" s="148"/>
      <x:c r="H49" s="148"/>
      <x:c r="I49" s="148"/>
      <x:c r="J49" s="148"/>
      <x:c r="K49" s="148"/>
      <x:c r="L49" s="148"/>
      <x:c r="M49" s="148"/>
      <x:c r="N49" s="125"/>
      <x:c r="O49" s="125"/>
      <x:c r="P49" s="125"/>
      <x:c r="Q49" s="125"/>
    </x:row>
    <x:row r="50">
      <x:c r="A50" s="148"/>
      <x:c r="B50" s="148"/>
      <x:c r="C50" s="148"/>
      <x:c r="D50" s="148"/>
      <x:c r="E50" s="148"/>
      <x:c r="F50" s="148"/>
      <x:c r="G50" s="148"/>
      <x:c r="H50" s="148"/>
      <x:c r="I50" s="148"/>
      <x:c r="J50" s="148"/>
      <x:c r="K50" s="148"/>
      <x:c r="L50" s="148"/>
      <x:c r="M50" s="148"/>
      <x:c r="N50" s="125"/>
      <x:c r="O50" s="125"/>
      <x:c r="P50" s="125"/>
      <x:c r="Q50" s="125"/>
    </x:row>
    <x:row r="51">
      <x:c r="A51" s="148"/>
      <x:c r="B51" s="148"/>
      <x:c r="C51" s="148"/>
      <x:c r="D51" s="148"/>
      <x:c r="E51" s="148"/>
      <x:c r="F51" s="148"/>
      <x:c r="G51" s="148"/>
      <x:c r="H51" s="148"/>
      <x:c r="I51" s="148"/>
      <x:c r="J51" s="148"/>
      <x:c r="K51" s="148"/>
      <x:c r="L51" s="148"/>
      <x:c r="M51" s="148"/>
      <x:c r="N51" s="125"/>
      <x:c r="O51" s="125"/>
      <x:c r="P51" s="125"/>
      <x:c r="Q51" s="125"/>
    </x:row>
    <x:row r="52">
      <x:c r="A52" s="148"/>
      <x:c r="B52" s="148"/>
      <x:c r="C52" s="148"/>
      <x:c r="D52" s="148"/>
      <x:c r="E52" s="148"/>
      <x:c r="F52" s="148"/>
      <x:c r="G52" s="148"/>
      <x:c r="H52" s="148"/>
      <x:c r="I52" s="148"/>
      <x:c r="J52" s="148"/>
      <x:c r="K52" s="148"/>
      <x:c r="L52" s="148"/>
      <x:c r="M52" s="148"/>
      <x:c r="N52" s="125"/>
      <x:c r="O52" s="125"/>
      <x:c r="P52" s="125"/>
      <x:c r="Q52" s="125"/>
    </x:row>
    <x:row r="53">
      <x:c r="A53" s="148"/>
      <x:c r="B53" s="148"/>
      <x:c r="C53" s="148"/>
      <x:c r="D53" s="148"/>
      <x:c r="E53" s="148"/>
      <x:c r="F53" s="148"/>
      <x:c r="G53" s="148"/>
      <x:c r="H53" s="148"/>
      <x:c r="I53" s="148"/>
      <x:c r="J53" s="148"/>
      <x:c r="K53" s="148"/>
      <x:c r="L53" s="148"/>
      <x:c r="M53" s="148"/>
      <x:c r="N53" s="125"/>
      <x:c r="O53" s="125"/>
      <x:c r="P53" s="125"/>
      <x:c r="Q53" s="125"/>
    </x:row>
    <x:row r="54">
      <x:c r="A54" s="148"/>
      <x:c r="B54" s="148"/>
      <x:c r="C54" s="148"/>
      <x:c r="D54" s="148"/>
      <x:c r="E54" s="148"/>
      <x:c r="F54" s="148"/>
      <x:c r="G54" s="148"/>
      <x:c r="H54" s="148"/>
      <x:c r="I54" s="148"/>
      <x:c r="J54" s="148"/>
      <x:c r="K54" s="148"/>
      <x:c r="L54" s="148"/>
      <x:c r="M54" s="148"/>
      <x:c r="N54" s="125"/>
      <x:c r="O54" s="125"/>
      <x:c r="P54" s="125"/>
      <x:c r="Q54" s="125"/>
    </x:row>
    <x:row r="55">
      <x:c r="A55" s="148"/>
      <x:c r="B55" s="148"/>
      <x:c r="C55" s="148"/>
      <x:c r="D55" s="148"/>
      <x:c r="E55" s="148"/>
      <x:c r="F55" s="148"/>
      <x:c r="G55" s="148"/>
      <x:c r="H55" s="148"/>
      <x:c r="I55" s="148"/>
      <x:c r="J55" s="148"/>
      <x:c r="K55" s="148"/>
      <x:c r="L55" s="148"/>
      <x:c r="M55" s="148"/>
      <x:c r="N55" s="125"/>
      <x:c r="O55" s="125"/>
      <x:c r="P55" s="125"/>
      <x:c r="Q55" s="125"/>
    </x:row>
    <x:row r="56">
      <x:c r="A56" s="148"/>
      <x:c r="B56" s="148"/>
      <x:c r="C56" s="148"/>
      <x:c r="D56" s="148"/>
      <x:c r="E56" s="148"/>
      <x:c r="F56" s="148"/>
      <x:c r="G56" s="148"/>
      <x:c r="H56" s="148"/>
      <x:c r="I56" s="148"/>
      <x:c r="J56" s="148"/>
      <x:c r="K56" s="148"/>
      <x:c r="L56" s="148"/>
      <x:c r="M56" s="148"/>
      <x:c r="N56" s="125"/>
      <x:c r="O56" s="125"/>
      <x:c r="P56" s="125"/>
      <x:c r="Q56" s="125"/>
    </x:row>
    <x:row r="57">
      <x:c r="A57" s="148"/>
      <x:c r="B57" s="148"/>
      <x:c r="C57" s="148"/>
      <x:c r="D57" s="148"/>
      <x:c r="E57" s="148"/>
      <x:c r="F57" s="148"/>
      <x:c r="G57" s="148"/>
      <x:c r="H57" s="148"/>
      <x:c r="I57" s="148"/>
      <x:c r="J57" s="148"/>
      <x:c r="K57" s="148"/>
      <x:c r="L57" s="148"/>
      <x:c r="M57" s="148"/>
      <x:c r="N57" s="125"/>
      <x:c r="O57" s="125"/>
      <x:c r="P57" s="125"/>
      <x:c r="Q57" s="125"/>
    </x:row>
    <x:row r="58">
      <x:c r="A58" s="148"/>
      <x:c r="B58" s="148"/>
      <x:c r="C58" s="148"/>
      <x:c r="D58" s="148"/>
      <x:c r="E58" s="148"/>
      <x:c r="F58" s="148"/>
      <x:c r="G58" s="148"/>
      <x:c r="H58" s="148"/>
      <x:c r="I58" s="148"/>
      <x:c r="J58" s="148"/>
      <x:c r="K58" s="148"/>
      <x:c r="L58" s="148"/>
      <x:c r="M58" s="148"/>
      <x:c r="N58" s="125"/>
      <x:c r="O58" s="125"/>
      <x:c r="P58" s="125"/>
      <x:c r="Q58" s="125"/>
    </x:row>
    <x:row r="59">
      <x:c r="A59" s="148"/>
      <x:c r="B59" s="148"/>
      <x:c r="C59" s="148"/>
      <x:c r="D59" s="148"/>
      <x:c r="E59" s="148"/>
      <x:c r="F59" s="148"/>
      <x:c r="G59" s="148"/>
      <x:c r="H59" s="148"/>
      <x:c r="I59" s="148"/>
      <x:c r="J59" s="148"/>
      <x:c r="K59" s="148"/>
      <x:c r="L59" s="148"/>
      <x:c r="M59" s="148"/>
      <x:c r="N59" s="125"/>
      <x:c r="O59" s="125"/>
      <x:c r="P59" s="125"/>
      <x:c r="Q59" s="125"/>
    </x:row>
    <x:row r="60">
      <x:c r="A60" s="148"/>
      <x:c r="B60" s="148"/>
      <x:c r="C60" s="148"/>
      <x:c r="D60" s="148"/>
      <x:c r="E60" s="148"/>
      <x:c r="F60" s="148"/>
      <x:c r="G60" s="148"/>
      <x:c r="H60" s="148"/>
      <x:c r="I60" s="148"/>
      <x:c r="J60" s="148"/>
      <x:c r="K60" s="148"/>
      <x:c r="L60" s="148"/>
      <x:c r="M60" s="148"/>
      <x:c r="N60" s="125"/>
      <x:c r="O60" s="125"/>
      <x:c r="P60" s="125"/>
      <x:c r="Q60" s="125"/>
    </x:row>
    <x:row r="61">
      <x:c r="A61" s="148"/>
      <x:c r="B61" s="148"/>
      <x:c r="C61" s="148"/>
      <x:c r="D61" s="148"/>
      <x:c r="E61" s="148"/>
      <x:c r="F61" s="148"/>
      <x:c r="G61" s="148"/>
      <x:c r="H61" s="148"/>
      <x:c r="I61" s="148"/>
      <x:c r="J61" s="148"/>
      <x:c r="K61" s="148"/>
      <x:c r="L61" s="148"/>
      <x:c r="M61" s="148"/>
      <x:c r="N61" s="125"/>
      <x:c r="O61" s="125"/>
      <x:c r="P61" s="125"/>
      <x:c r="Q61" s="125"/>
    </x:row>
    <x:row r="62">
      <x:c r="A62" s="148"/>
      <x:c r="B62" s="148"/>
      <x:c r="C62" s="148"/>
      <x:c r="D62" s="148"/>
      <x:c r="E62" s="148"/>
      <x:c r="F62" s="148"/>
      <x:c r="G62" s="148"/>
      <x:c r="H62" s="148"/>
      <x:c r="I62" s="148"/>
      <x:c r="J62" s="148"/>
      <x:c r="K62" s="148"/>
      <x:c r="L62" s="148"/>
      <x:c r="M62" s="148"/>
      <x:c r="N62" s="125"/>
      <x:c r="O62" s="125"/>
      <x:c r="P62" s="125"/>
      <x:c r="Q62" s="125"/>
    </x:row>
    <x:row r="63">
      <x:c r="A63" s="148"/>
      <x:c r="B63" s="148"/>
      <x:c r="C63" s="148"/>
      <x:c r="D63" s="148"/>
      <x:c r="E63" s="148"/>
      <x:c r="F63" s="148"/>
      <x:c r="G63" s="148"/>
      <x:c r="H63" s="148"/>
      <x:c r="I63" s="148"/>
      <x:c r="J63" s="148"/>
      <x:c r="K63" s="148"/>
      <x:c r="L63" s="148"/>
      <x:c r="M63" s="148"/>
      <x:c r="N63" s="125"/>
      <x:c r="O63" s="125"/>
      <x:c r="P63" s="125"/>
      <x:c r="Q63" s="125"/>
    </x:row>
    <x:row r="64">
      <x:c r="A64" s="148"/>
      <x:c r="B64" s="148"/>
      <x:c r="C64" s="148"/>
      <x:c r="D64" s="148"/>
      <x:c r="E64" s="148"/>
      <x:c r="F64" s="148"/>
      <x:c r="G64" s="148"/>
      <x:c r="H64" s="148"/>
      <x:c r="I64" s="148"/>
      <x:c r="J64" s="148"/>
      <x:c r="K64" s="148"/>
      <x:c r="L64" s="148"/>
      <x:c r="M64" s="148"/>
      <x:c r="N64" s="125"/>
      <x:c r="O64" s="125"/>
      <x:c r="P64" s="125"/>
      <x:c r="Q64" s="125"/>
    </x:row>
    <x:row r="65">
      <x:c r="A65" s="148"/>
      <x:c r="B65" s="148"/>
      <x:c r="C65" s="148"/>
      <x:c r="D65" s="148"/>
      <x:c r="E65" s="148"/>
      <x:c r="F65" s="148"/>
      <x:c r="G65" s="148"/>
      <x:c r="H65" s="148"/>
      <x:c r="I65" s="148"/>
      <x:c r="J65" s="148"/>
      <x:c r="K65" s="148"/>
      <x:c r="L65" s="148"/>
      <x:c r="M65" s="148"/>
      <x:c r="N65" s="125"/>
      <x:c r="O65" s="125"/>
      <x:c r="P65" s="125"/>
      <x:c r="Q65" s="125"/>
    </x:row>
    <x:row r="66">
      <x:c r="A66" s="148"/>
      <x:c r="B66" s="148"/>
      <x:c r="C66" s="148"/>
      <x:c r="D66" s="148"/>
      <x:c r="E66" s="148"/>
      <x:c r="F66" s="148"/>
      <x:c r="G66" s="148"/>
      <x:c r="H66" s="148"/>
      <x:c r="I66" s="148"/>
      <x:c r="J66" s="148"/>
      <x:c r="K66" s="148"/>
      <x:c r="L66" s="148"/>
      <x:c r="M66" s="148"/>
      <x:c r="N66" s="125"/>
      <x:c r="O66" s="125"/>
      <x:c r="P66" s="125"/>
      <x:c r="Q66" s="125"/>
    </x:row>
    <x:row r="67">
      <x:c r="A67" s="148"/>
      <x:c r="B67" s="148"/>
      <x:c r="C67" s="148"/>
      <x:c r="D67" s="148"/>
      <x:c r="E67" s="148"/>
      <x:c r="F67" s="148"/>
      <x:c r="G67" s="148"/>
      <x:c r="H67" s="148"/>
      <x:c r="I67" s="148"/>
      <x:c r="J67" s="148"/>
      <x:c r="K67" s="148"/>
      <x:c r="L67" s="148"/>
      <x:c r="M67" s="148"/>
      <x:c r="N67" s="125"/>
      <x:c r="O67" s="125"/>
      <x:c r="P67" s="125"/>
      <x:c r="Q67" s="125"/>
    </x:row>
    <x:row r="68">
      <x:c r="A68" s="148"/>
      <x:c r="B68" s="148"/>
      <x:c r="C68" s="148"/>
      <x:c r="D68" s="148"/>
      <x:c r="E68" s="148"/>
      <x:c r="F68" s="148"/>
      <x:c r="G68" s="148"/>
      <x:c r="H68" s="148"/>
      <x:c r="I68" s="148"/>
      <x:c r="J68" s="148"/>
      <x:c r="K68" s="148"/>
      <x:c r="L68" s="148"/>
      <x:c r="M68" s="148"/>
      <x:c r="N68" s="125"/>
      <x:c r="O68" s="125"/>
      <x:c r="P68" s="125"/>
      <x:c r="Q68" s="125"/>
    </x:row>
    <x:row r="69">
      <x:c r="A69" s="148"/>
      <x:c r="B69" s="148"/>
      <x:c r="C69" s="148"/>
      <x:c r="D69" s="148"/>
      <x:c r="E69" s="148"/>
      <x:c r="F69" s="148"/>
      <x:c r="G69" s="148"/>
      <x:c r="H69" s="148"/>
      <x:c r="I69" s="148"/>
      <x:c r="J69" s="148"/>
      <x:c r="K69" s="148"/>
      <x:c r="L69" s="148"/>
      <x:c r="M69" s="148"/>
      <x:c r="N69" s="125"/>
      <x:c r="O69" s="125"/>
      <x:c r="P69" s="125"/>
      <x:c r="Q69" s="125"/>
    </x:row>
    <x:row r="70">
      <x:c r="A70" s="148"/>
      <x:c r="B70" s="148"/>
      <x:c r="C70" s="148"/>
      <x:c r="D70" s="148"/>
      <x:c r="E70" s="148"/>
      <x:c r="F70" s="148"/>
      <x:c r="G70" s="148"/>
      <x:c r="H70" s="148"/>
      <x:c r="I70" s="148"/>
      <x:c r="J70" s="148"/>
      <x:c r="K70" s="148"/>
      <x:c r="L70" s="148"/>
      <x:c r="M70" s="148"/>
      <x:c r="N70" s="125"/>
      <x:c r="O70" s="125"/>
      <x:c r="P70" s="125"/>
      <x:c r="Q70" s="125"/>
    </x:row>
    <x:row r="71">
      <x:c r="A71" s="148"/>
      <x:c r="B71" s="148"/>
      <x:c r="C71" s="148"/>
      <x:c r="D71" s="148"/>
      <x:c r="E71" s="148"/>
      <x:c r="F71" s="148"/>
      <x:c r="G71" s="148"/>
      <x:c r="H71" s="148"/>
      <x:c r="I71" s="148"/>
      <x:c r="J71" s="148"/>
      <x:c r="K71" s="148"/>
      <x:c r="L71" s="148"/>
      <x:c r="M71" s="148"/>
      <x:c r="N71" s="125"/>
      <x:c r="O71" s="125"/>
      <x:c r="P71" s="125"/>
      <x:c r="Q71" s="125"/>
    </x:row>
    <x:row r="72">
      <x:c r="A72" s="148"/>
      <x:c r="B72" s="148"/>
      <x:c r="C72" s="148"/>
      <x:c r="D72" s="148"/>
      <x:c r="E72" s="148"/>
      <x:c r="F72" s="148"/>
      <x:c r="G72" s="148"/>
      <x:c r="H72" s="148"/>
      <x:c r="I72" s="148"/>
      <x:c r="J72" s="148"/>
      <x:c r="K72" s="148"/>
      <x:c r="L72" s="148"/>
      <x:c r="M72" s="148"/>
      <x:c r="N72" s="125"/>
      <x:c r="O72" s="125"/>
      <x:c r="P72" s="125"/>
      <x:c r="Q72" s="125"/>
    </x:row>
    <x:row r="73">
      <x:c r="A73" s="148"/>
      <x:c r="B73" s="148"/>
      <x:c r="C73" s="148"/>
      <x:c r="D73" s="148"/>
      <x:c r="E73" s="148"/>
      <x:c r="F73" s="148"/>
      <x:c r="G73" s="148"/>
      <x:c r="H73" s="148"/>
      <x:c r="I73" s="148"/>
      <x:c r="J73" s="148"/>
      <x:c r="K73" s="148"/>
      <x:c r="L73" s="148"/>
      <x:c r="M73" s="148"/>
      <x:c r="N73" s="125"/>
      <x:c r="O73" s="125"/>
      <x:c r="P73" s="125"/>
      <x:c r="Q73" s="125"/>
    </x:row>
    <x:row r="74">
      <x:c r="A74" s="148"/>
      <x:c r="B74" s="148"/>
      <x:c r="C74" s="148"/>
      <x:c r="D74" s="148"/>
      <x:c r="E74" s="148"/>
      <x:c r="F74" s="148"/>
      <x:c r="G74" s="148"/>
      <x:c r="H74" s="148"/>
      <x:c r="I74" s="148"/>
      <x:c r="J74" s="148"/>
      <x:c r="K74" s="148"/>
      <x:c r="L74" s="148"/>
      <x:c r="M74" s="148"/>
      <x:c r="N74" s="125"/>
      <x:c r="O74" s="125"/>
      <x:c r="P74" s="125"/>
      <x:c r="Q74" s="125"/>
    </x:row>
    <x:row r="75">
      <x:c r="A75" s="148"/>
      <x:c r="B75" s="148"/>
      <x:c r="C75" s="148"/>
      <x:c r="D75" s="148"/>
      <x:c r="E75" s="148"/>
      <x:c r="F75" s="148"/>
      <x:c r="G75" s="148"/>
      <x:c r="H75" s="148"/>
      <x:c r="I75" s="148"/>
      <x:c r="J75" s="148"/>
      <x:c r="K75" s="148"/>
      <x:c r="L75" s="148"/>
      <x:c r="M75" s="148"/>
      <x:c r="N75" s="125"/>
      <x:c r="O75" s="125"/>
      <x:c r="P75" s="125"/>
      <x:c r="Q75" s="125"/>
    </x:row>
    <x:row r="76">
      <x:c r="A76" s="148"/>
      <x:c r="B76" s="148"/>
      <x:c r="C76" s="148"/>
      <x:c r="D76" s="148"/>
      <x:c r="E76" s="148"/>
      <x:c r="F76" s="148"/>
      <x:c r="G76" s="148"/>
      <x:c r="H76" s="148"/>
      <x:c r="I76" s="148"/>
      <x:c r="J76" s="148"/>
      <x:c r="K76" s="148"/>
      <x:c r="L76" s="148"/>
      <x:c r="M76" s="148"/>
      <x:c r="N76" s="125"/>
      <x:c r="O76" s="125"/>
      <x:c r="P76" s="125"/>
      <x:c r="Q76" s="125"/>
    </x:row>
    <x:row r="77">
      <x:c r="A77" s="148"/>
      <x:c r="B77" s="148"/>
      <x:c r="C77" s="148"/>
      <x:c r="D77" s="148"/>
      <x:c r="E77" s="148"/>
      <x:c r="F77" s="148"/>
      <x:c r="G77" s="148"/>
      <x:c r="H77" s="148"/>
      <x:c r="I77" s="148"/>
      <x:c r="J77" s="148"/>
      <x:c r="K77" s="148"/>
      <x:c r="L77" s="148"/>
      <x:c r="M77" s="148"/>
      <x:c r="N77" s="125"/>
      <x:c r="O77" s="125"/>
      <x:c r="P77" s="125"/>
      <x:c r="Q77" s="125"/>
    </x:row>
    <x:row r="78">
      <x:c r="A78" s="148"/>
      <x:c r="B78" s="148"/>
      <x:c r="C78" s="148"/>
      <x:c r="D78" s="148"/>
      <x:c r="E78" s="148"/>
      <x:c r="F78" s="148"/>
      <x:c r="G78" s="148"/>
      <x:c r="H78" s="148"/>
      <x:c r="I78" s="148"/>
      <x:c r="J78" s="148"/>
      <x:c r="K78" s="148"/>
      <x:c r="L78" s="148"/>
      <x:c r="M78" s="148"/>
      <x:c r="N78" s="125"/>
      <x:c r="O78" s="125"/>
      <x:c r="P78" s="125"/>
      <x:c r="Q78" s="125"/>
    </x:row>
    <x:row r="79">
      <x:c r="A79" s="148"/>
      <x:c r="B79" s="148"/>
      <x:c r="C79" s="148"/>
      <x:c r="D79" s="148"/>
      <x:c r="E79" s="148"/>
      <x:c r="F79" s="148"/>
      <x:c r="G79" s="148"/>
      <x:c r="H79" s="148"/>
      <x:c r="I79" s="148"/>
      <x:c r="J79" s="148"/>
      <x:c r="K79" s="148"/>
      <x:c r="L79" s="148"/>
      <x:c r="M79" s="148"/>
      <x:c r="N79" s="125"/>
      <x:c r="O79" s="125"/>
      <x:c r="P79" s="125"/>
      <x:c r="Q79" s="125"/>
    </x:row>
    <x:row r="80">
      <x:c r="A80" s="148"/>
      <x:c r="B80" s="148"/>
      <x:c r="C80" s="148"/>
      <x:c r="D80" s="148"/>
      <x:c r="E80" s="148"/>
      <x:c r="F80" s="148"/>
      <x:c r="G80" s="148"/>
      <x:c r="H80" s="148"/>
      <x:c r="I80" s="148"/>
      <x:c r="J80" s="148"/>
      <x:c r="K80" s="148"/>
      <x:c r="L80" s="148"/>
      <x:c r="M80" s="148"/>
      <x:c r="N80" s="125"/>
      <x:c r="O80" s="125"/>
      <x:c r="P80" s="125"/>
      <x:c r="Q80" s="125"/>
    </x:row>
    <x:row r="81">
      <x:c r="A81" s="148"/>
      <x:c r="B81" s="148"/>
      <x:c r="C81" s="148"/>
      <x:c r="D81" s="148"/>
      <x:c r="E81" s="148"/>
      <x:c r="F81" s="148"/>
      <x:c r="G81" s="148"/>
      <x:c r="H81" s="148"/>
      <x:c r="I81" s="148"/>
      <x:c r="J81" s="148"/>
      <x:c r="K81" s="148"/>
      <x:c r="L81" s="148"/>
      <x:c r="M81" s="148"/>
      <x:c r="N81" s="125"/>
      <x:c r="O81" s="125"/>
      <x:c r="P81" s="125"/>
      <x:c r="Q81" s="125"/>
    </x:row>
    <x:row r="82">
      <x:c r="A82" s="148"/>
      <x:c r="B82" s="148"/>
      <x:c r="C82" s="148"/>
      <x:c r="D82" s="148"/>
      <x:c r="E82" s="148"/>
      <x:c r="F82" s="148"/>
      <x:c r="G82" s="148"/>
      <x:c r="H82" s="148"/>
      <x:c r="I82" s="148"/>
      <x:c r="J82" s="148"/>
      <x:c r="K82" s="148"/>
      <x:c r="L82" s="148"/>
      <x:c r="M82" s="148"/>
      <x:c r="N82" s="125"/>
      <x:c r="O82" s="125"/>
      <x:c r="P82" s="125"/>
      <x:c r="Q82" s="125"/>
    </x:row>
    <x:row r="83">
      <x:c r="A83" s="148"/>
      <x:c r="B83" s="148"/>
      <x:c r="C83" s="148"/>
      <x:c r="D83" s="148"/>
      <x:c r="E83" s="148"/>
      <x:c r="F83" s="148"/>
      <x:c r="G83" s="148"/>
      <x:c r="H83" s="148"/>
      <x:c r="I83" s="148"/>
      <x:c r="J83" s="148"/>
      <x:c r="K83" s="148"/>
      <x:c r="L83" s="148"/>
      <x:c r="M83" s="148"/>
      <x:c r="N83" s="125"/>
      <x:c r="O83" s="125"/>
      <x:c r="P83" s="125"/>
      <x:c r="Q83" s="125"/>
    </x:row>
    <x:row r="84">
      <x:c r="A84" s="148"/>
      <x:c r="B84" s="148"/>
      <x:c r="C84" s="148"/>
      <x:c r="D84" s="148"/>
      <x:c r="E84" s="148"/>
      <x:c r="F84" s="148"/>
      <x:c r="G84" s="148"/>
      <x:c r="H84" s="148"/>
      <x:c r="I84" s="148"/>
      <x:c r="J84" s="148"/>
      <x:c r="K84" s="148"/>
      <x:c r="L84" s="148"/>
      <x:c r="M84" s="148"/>
      <x:c r="N84" s="125"/>
      <x:c r="O84" s="125"/>
      <x:c r="P84" s="125"/>
      <x:c r="Q84" s="125"/>
    </x:row>
    <x:row r="85">
      <x:c r="A85" s="148"/>
      <x:c r="B85" s="148"/>
      <x:c r="C85" s="148"/>
      <x:c r="D85" s="148"/>
      <x:c r="E85" s="148"/>
      <x:c r="F85" s="148"/>
      <x:c r="G85" s="148"/>
      <x:c r="H85" s="148"/>
      <x:c r="I85" s="148"/>
      <x:c r="J85" s="148"/>
      <x:c r="K85" s="148"/>
      <x:c r="L85" s="148"/>
      <x:c r="M85" s="148"/>
      <x:c r="N85" s="125"/>
      <x:c r="O85" s="125"/>
      <x:c r="P85" s="125"/>
      <x:c r="Q85" s="125"/>
    </x:row>
    <x:row r="86">
      <x:c r="A86" s="148"/>
      <x:c r="B86" s="148"/>
      <x:c r="C86" s="148"/>
      <x:c r="D86" s="148"/>
      <x:c r="E86" s="148"/>
      <x:c r="F86" s="148"/>
      <x:c r="G86" s="148"/>
      <x:c r="H86" s="148"/>
      <x:c r="I86" s="148"/>
      <x:c r="J86" s="148"/>
      <x:c r="K86" s="148"/>
      <x:c r="L86" s="148"/>
      <x:c r="M86" s="148"/>
      <x:c r="N86" s="125"/>
      <x:c r="O86" s="125"/>
      <x:c r="P86" s="125"/>
      <x:c r="Q86" s="125"/>
    </x:row>
    <x:row r="87">
      <x:c r="A87" s="148"/>
      <x:c r="B87" s="148"/>
      <x:c r="C87" s="148"/>
      <x:c r="D87" s="148"/>
      <x:c r="E87" s="148"/>
      <x:c r="F87" s="148"/>
      <x:c r="G87" s="148"/>
      <x:c r="H87" s="148"/>
      <x:c r="I87" s="148"/>
      <x:c r="J87" s="148"/>
      <x:c r="K87" s="148"/>
      <x:c r="L87" s="148"/>
      <x:c r="M87" s="148"/>
      <x:c r="N87" s="125"/>
      <x:c r="O87" s="125"/>
      <x:c r="P87" s="125"/>
      <x:c r="Q87" s="125"/>
    </x:row>
    <x:row r="88">
      <x:c r="A88" s="148"/>
      <x:c r="B88" s="148"/>
      <x:c r="C88" s="148"/>
      <x:c r="D88" s="148"/>
      <x:c r="E88" s="148"/>
      <x:c r="F88" s="148"/>
      <x:c r="G88" s="148"/>
      <x:c r="H88" s="148"/>
      <x:c r="I88" s="148"/>
      <x:c r="J88" s="148"/>
      <x:c r="K88" s="148"/>
      <x:c r="L88" s="148"/>
      <x:c r="M88" s="148"/>
      <x:c r="N88" s="125"/>
      <x:c r="O88" s="125"/>
      <x:c r="P88" s="125"/>
      <x:c r="Q88" s="125"/>
    </x:row>
    <x:row r="89">
      <x:c r="A89" s="148"/>
      <x:c r="B89" s="148"/>
      <x:c r="C89" s="148"/>
      <x:c r="D89" s="148"/>
      <x:c r="E89" s="148"/>
      <x:c r="F89" s="148"/>
      <x:c r="G89" s="148"/>
      <x:c r="H89" s="148"/>
      <x:c r="I89" s="148"/>
      <x:c r="J89" s="148"/>
      <x:c r="K89" s="148"/>
      <x:c r="L89" s="148"/>
      <x:c r="M89" s="148"/>
      <x:c r="N89" s="125"/>
      <x:c r="O89" s="125"/>
      <x:c r="P89" s="125"/>
      <x:c r="Q89" s="125"/>
    </x:row>
    <x:row r="90">
      <x:c r="A90" s="148"/>
      <x:c r="B90" s="148"/>
      <x:c r="C90" s="148"/>
      <x:c r="D90" s="148"/>
      <x:c r="E90" s="148"/>
      <x:c r="F90" s="148"/>
      <x:c r="G90" s="148"/>
      <x:c r="H90" s="148"/>
      <x:c r="I90" s="148"/>
      <x:c r="J90" s="148"/>
      <x:c r="K90" s="148"/>
      <x:c r="L90" s="148"/>
      <x:c r="M90" s="148"/>
      <x:c r="N90" s="125"/>
      <x:c r="O90" s="125"/>
      <x:c r="P90" s="125"/>
      <x:c r="Q90" s="125"/>
    </x:row>
    <x:row r="91">
      <x:c r="A91" s="148"/>
      <x:c r="B91" s="148"/>
      <x:c r="C91" s="148"/>
      <x:c r="D91" s="148"/>
      <x:c r="E91" s="148"/>
      <x:c r="F91" s="148"/>
      <x:c r="G91" s="148"/>
      <x:c r="H91" s="148"/>
      <x:c r="I91" s="148"/>
      <x:c r="J91" s="148"/>
      <x:c r="K91" s="148"/>
      <x:c r="L91" s="148"/>
      <x:c r="M91" s="148"/>
      <x:c r="N91" s="125"/>
      <x:c r="O91" s="125"/>
      <x:c r="P91" s="125"/>
      <x:c r="Q91" s="125"/>
    </x:row>
    <x:row r="92">
      <x:c r="A92" s="148"/>
      <x:c r="B92" s="148"/>
      <x:c r="C92" s="148"/>
      <x:c r="D92" s="148"/>
      <x:c r="E92" s="148"/>
      <x:c r="F92" s="148"/>
      <x:c r="G92" s="148"/>
      <x:c r="H92" s="148"/>
      <x:c r="I92" s="148"/>
      <x:c r="J92" s="148"/>
      <x:c r="K92" s="148"/>
      <x:c r="L92" s="148"/>
      <x:c r="M92" s="148"/>
      <x:c r="N92" s="125"/>
      <x:c r="O92" s="125"/>
      <x:c r="P92" s="125"/>
      <x:c r="Q92" s="125"/>
    </x:row>
    <x:row r="93">
      <x:c r="A93" s="148"/>
      <x:c r="B93" s="148"/>
      <x:c r="C93" s="148"/>
      <x:c r="D93" s="148"/>
      <x:c r="E93" s="148"/>
      <x:c r="F93" s="148"/>
      <x:c r="G93" s="148"/>
      <x:c r="H93" s="148"/>
      <x:c r="I93" s="148"/>
      <x:c r="J93" s="148"/>
      <x:c r="K93" s="148"/>
      <x:c r="L93" s="148"/>
      <x:c r="M93" s="148"/>
      <x:c r="N93" s="125"/>
      <x:c r="O93" s="125"/>
      <x:c r="P93" s="125"/>
      <x:c r="Q93" s="125"/>
    </x:row>
    <x:row r="94">
      <x:c r="A94" s="148"/>
      <x:c r="B94" s="148"/>
      <x:c r="C94" s="148"/>
      <x:c r="D94" s="148"/>
      <x:c r="E94" s="148"/>
      <x:c r="F94" s="148"/>
      <x:c r="G94" s="148"/>
      <x:c r="H94" s="148"/>
      <x:c r="I94" s="148"/>
      <x:c r="J94" s="148"/>
      <x:c r="K94" s="148"/>
      <x:c r="L94" s="148"/>
      <x:c r="M94" s="148"/>
      <x:c r="N94" s="125"/>
      <x:c r="O94" s="125"/>
      <x:c r="P94" s="125"/>
      <x:c r="Q94" s="125"/>
    </x:row>
    <x:row r="95">
      <x:c r="A95" s="148"/>
      <x:c r="B95" s="148"/>
      <x:c r="C95" s="148"/>
      <x:c r="D95" s="148"/>
      <x:c r="E95" s="148"/>
      <x:c r="F95" s="148"/>
      <x:c r="G95" s="148"/>
      <x:c r="H95" s="148"/>
      <x:c r="I95" s="148"/>
      <x:c r="J95" s="148"/>
      <x:c r="K95" s="148"/>
      <x:c r="L95" s="148"/>
      <x:c r="M95" s="148"/>
      <x:c r="N95" s="125"/>
      <x:c r="O95" s="125"/>
      <x:c r="P95" s="125"/>
      <x:c r="Q95" s="125"/>
    </x:row>
    <x:row r="96">
      <x:c r="A96" s="148"/>
      <x:c r="B96" s="148"/>
      <x:c r="C96" s="148"/>
      <x:c r="D96" s="148"/>
      <x:c r="E96" s="148"/>
      <x:c r="F96" s="148"/>
      <x:c r="G96" s="148"/>
      <x:c r="H96" s="148"/>
      <x:c r="I96" s="148"/>
      <x:c r="J96" s="148"/>
      <x:c r="K96" s="148"/>
      <x:c r="L96" s="148"/>
      <x:c r="M96" s="148"/>
      <x:c r="N96" s="125"/>
      <x:c r="O96" s="125"/>
      <x:c r="P96" s="125"/>
      <x:c r="Q96" s="125"/>
    </x:row>
    <x:row r="97">
      <x:c r="A97" s="148"/>
      <x:c r="B97" s="148"/>
      <x:c r="C97" s="148"/>
      <x:c r="D97" s="148"/>
      <x:c r="E97" s="148"/>
      <x:c r="F97" s="148"/>
      <x:c r="G97" s="148"/>
      <x:c r="H97" s="148"/>
      <x:c r="I97" s="148"/>
      <x:c r="J97" s="148"/>
      <x:c r="K97" s="148"/>
      <x:c r="L97" s="148"/>
      <x:c r="M97" s="148"/>
      <x:c r="N97" s="125"/>
      <x:c r="O97" s="125"/>
      <x:c r="P97" s="125"/>
      <x:c r="Q97" s="125"/>
    </x:row>
    <x:row r="98">
      <x:c r="A98" s="148"/>
      <x:c r="B98" s="148"/>
      <x:c r="C98" s="148"/>
      <x:c r="D98" s="148"/>
      <x:c r="E98" s="148"/>
      <x:c r="F98" s="148"/>
      <x:c r="G98" s="148"/>
      <x:c r="H98" s="148"/>
      <x:c r="I98" s="148"/>
      <x:c r="J98" s="148"/>
      <x:c r="K98" s="148"/>
      <x:c r="L98" s="148"/>
      <x:c r="M98" s="148"/>
      <x:c r="N98" s="125"/>
      <x:c r="O98" s="125"/>
      <x:c r="P98" s="125"/>
      <x:c r="Q98" s="125"/>
    </x:row>
    <x:row r="99">
      <x:c r="A99" s="148"/>
      <x:c r="B99" s="148"/>
      <x:c r="C99" s="148"/>
      <x:c r="D99" s="148"/>
      <x:c r="E99" s="148"/>
      <x:c r="F99" s="148"/>
      <x:c r="G99" s="148"/>
      <x:c r="H99" s="148"/>
      <x:c r="I99" s="148"/>
      <x:c r="J99" s="148"/>
      <x:c r="K99" s="148"/>
      <x:c r="L99" s="148"/>
      <x:c r="M99" s="148"/>
      <x:c r="N99" s="125"/>
      <x:c r="O99" s="125"/>
      <x:c r="P99" s="125"/>
      <x:c r="Q99" s="125"/>
    </x:row>
    <x:row r="100">
      <x:c r="A100" s="148"/>
      <x:c r="B100" s="148"/>
      <x:c r="C100" s="148"/>
      <x:c r="D100" s="148"/>
      <x:c r="E100" s="148"/>
      <x:c r="F100" s="148"/>
      <x:c r="G100" s="148"/>
      <x:c r="H100" s="148"/>
      <x:c r="I100" s="148"/>
      <x:c r="J100" s="148"/>
      <x:c r="K100" s="148"/>
      <x:c r="L100" s="148"/>
      <x:c r="M100" s="148"/>
      <x:c r="N100" s="125"/>
      <x:c r="O100" s="125"/>
      <x:c r="P100" s="125"/>
      <x:c r="Q100" s="125"/>
    </x:row>
    <x:row r="101">
      <x:c r="A101" s="148"/>
      <x:c r="B101" s="148"/>
      <x:c r="C101" s="148"/>
      <x:c r="D101" s="148"/>
      <x:c r="E101" s="148"/>
      <x:c r="F101" s="148"/>
      <x:c r="G101" s="148"/>
      <x:c r="H101" s="148"/>
      <x:c r="I101" s="148"/>
      <x:c r="J101" s="148"/>
      <x:c r="K101" s="148"/>
      <x:c r="L101" s="148"/>
      <x:c r="M101" s="148"/>
      <x:c r="N101" s="125"/>
      <x:c r="O101" s="125"/>
      <x:c r="P101" s="125"/>
      <x:c r="Q101" s="125"/>
    </x:row>
    <x:row r="102">
      <x:c r="A102" s="148"/>
      <x:c r="B102" s="148"/>
      <x:c r="C102" s="148"/>
      <x:c r="D102" s="148"/>
      <x:c r="E102" s="148"/>
      <x:c r="F102" s="148"/>
      <x:c r="G102" s="148"/>
      <x:c r="H102" s="148"/>
      <x:c r="I102" s="148"/>
      <x:c r="J102" s="148"/>
      <x:c r="K102" s="148"/>
      <x:c r="L102" s="148"/>
      <x:c r="M102" s="148"/>
      <x:c r="N102" s="125"/>
      <x:c r="O102" s="125"/>
      <x:c r="P102" s="125"/>
      <x:c r="Q102" s="125"/>
    </x:row>
    <x:row r="103">
      <x:c r="A103" s="148"/>
      <x:c r="B103" s="148"/>
      <x:c r="C103" s="148"/>
      <x:c r="D103" s="148"/>
      <x:c r="E103" s="148"/>
      <x:c r="F103" s="148"/>
      <x:c r="G103" s="148"/>
      <x:c r="H103" s="148"/>
      <x:c r="I103" s="148"/>
      <x:c r="J103" s="148"/>
      <x:c r="K103" s="148"/>
      <x:c r="L103" s="148"/>
      <x:c r="M103" s="148"/>
      <x:c r="N103" s="125"/>
      <x:c r="O103" s="125"/>
      <x:c r="P103" s="125"/>
      <x:c r="Q103" s="125"/>
    </x:row>
    <x:row r="104">
      <x:c r="A104" s="148"/>
      <x:c r="B104" s="148"/>
      <x:c r="C104" s="148"/>
      <x:c r="D104" s="148"/>
      <x:c r="E104" s="148"/>
      <x:c r="F104" s="148"/>
      <x:c r="G104" s="148"/>
      <x:c r="H104" s="148"/>
      <x:c r="I104" s="148"/>
      <x:c r="J104" s="148"/>
      <x:c r="K104" s="148"/>
      <x:c r="L104" s="148"/>
      <x:c r="M104" s="148"/>
      <x:c r="N104" s="125"/>
      <x:c r="O104" s="125"/>
      <x:c r="P104" s="125"/>
      <x:c r="Q104" s="125"/>
    </x:row>
    <x:row r="105">
      <x:c r="A105" s="148"/>
      <x:c r="B105" s="148"/>
      <x:c r="C105" s="148"/>
      <x:c r="D105" s="148"/>
      <x:c r="E105" s="148"/>
      <x:c r="F105" s="148"/>
      <x:c r="G105" s="148"/>
      <x:c r="H105" s="148"/>
      <x:c r="I105" s="148"/>
      <x:c r="J105" s="148"/>
      <x:c r="K105" s="148"/>
      <x:c r="L105" s="148"/>
      <x:c r="M105" s="148"/>
      <x:c r="N105" s="125"/>
      <x:c r="O105" s="125"/>
      <x:c r="P105" s="125"/>
      <x:c r="Q105" s="125"/>
    </x:row>
    <x:row r="106">
      <x:c r="A106" s="148"/>
      <x:c r="B106" s="148"/>
      <x:c r="C106" s="148"/>
      <x:c r="D106" s="148"/>
      <x:c r="E106" s="148"/>
      <x:c r="F106" s="148"/>
      <x:c r="G106" s="148"/>
      <x:c r="H106" s="148"/>
      <x:c r="I106" s="148"/>
      <x:c r="J106" s="148"/>
      <x:c r="K106" s="148"/>
      <x:c r="L106" s="148"/>
      <x:c r="M106" s="148"/>
      <x:c r="N106" s="125"/>
      <x:c r="O106" s="125"/>
      <x:c r="P106" s="125"/>
      <x:c r="Q106" s="125"/>
    </x:row>
    <x:row r="107">
      <x:c r="A107" s="148"/>
      <x:c r="B107" s="148"/>
      <x:c r="C107" s="148"/>
      <x:c r="D107" s="148"/>
      <x:c r="E107" s="148"/>
      <x:c r="F107" s="148"/>
      <x:c r="G107" s="148"/>
      <x:c r="H107" s="148"/>
      <x:c r="I107" s="148"/>
      <x:c r="J107" s="148"/>
      <x:c r="K107" s="148"/>
      <x:c r="L107" s="148"/>
      <x:c r="M107" s="148"/>
      <x:c r="N107" s="125"/>
      <x:c r="O107" s="125"/>
      <x:c r="P107" s="125"/>
      <x:c r="Q107" s="125"/>
    </x:row>
    <x:row r="108">
      <x:c r="A108" s="148"/>
      <x:c r="B108" s="148"/>
      <x:c r="C108" s="148"/>
      <x:c r="D108" s="148"/>
      <x:c r="E108" s="148"/>
      <x:c r="F108" s="148"/>
      <x:c r="G108" s="148"/>
      <x:c r="H108" s="148"/>
      <x:c r="I108" s="148"/>
      <x:c r="J108" s="148"/>
      <x:c r="K108" s="148"/>
      <x:c r="L108" s="148"/>
      <x:c r="M108" s="148"/>
      <x:c r="N108" s="125"/>
      <x:c r="O108" s="125"/>
      <x:c r="P108" s="125"/>
      <x:c r="Q108" s="125"/>
    </x:row>
    <x:row r="109">
      <x:c r="A109" s="148"/>
      <x:c r="B109" s="148"/>
      <x:c r="C109" s="148"/>
      <x:c r="D109" s="148"/>
      <x:c r="E109" s="148"/>
      <x:c r="F109" s="148"/>
      <x:c r="G109" s="148"/>
      <x:c r="H109" s="148"/>
      <x:c r="I109" s="148"/>
      <x:c r="J109" s="148"/>
      <x:c r="K109" s="148"/>
      <x:c r="L109" s="148"/>
      <x:c r="M109" s="148"/>
      <x:c r="N109" s="125"/>
      <x:c r="O109" s="125"/>
      <x:c r="P109" s="125"/>
      <x:c r="Q109" s="125"/>
    </x:row>
    <x:row r="110">
      <x:c r="A110" s="148"/>
      <x:c r="B110" s="148"/>
      <x:c r="C110" s="148"/>
      <x:c r="D110" s="148"/>
      <x:c r="E110" s="148"/>
      <x:c r="F110" s="148"/>
      <x:c r="G110" s="148"/>
      <x:c r="H110" s="148"/>
      <x:c r="I110" s="148"/>
      <x:c r="J110" s="148"/>
      <x:c r="K110" s="148"/>
      <x:c r="L110" s="148"/>
      <x:c r="M110" s="148"/>
      <x:c r="N110" s="125"/>
      <x:c r="O110" s="125"/>
      <x:c r="P110" s="125"/>
      <x:c r="Q110" s="125"/>
    </x:row>
    <x:row r="111">
      <x:c r="A111" s="148"/>
      <x:c r="B111" s="148"/>
      <x:c r="C111" s="148"/>
      <x:c r="D111" s="148"/>
      <x:c r="E111" s="148"/>
      <x:c r="F111" s="148"/>
      <x:c r="G111" s="148"/>
      <x:c r="H111" s="148"/>
      <x:c r="I111" s="148"/>
      <x:c r="J111" s="148"/>
      <x:c r="K111" s="148"/>
      <x:c r="L111" s="148"/>
      <x:c r="M111" s="148"/>
      <x:c r="N111" s="125"/>
      <x:c r="O111" s="125"/>
      <x:c r="P111" s="125"/>
      <x:c r="Q111" s="125"/>
    </x:row>
    <x:row r="112">
      <x:c r="A112" s="148"/>
      <x:c r="B112" s="148"/>
      <x:c r="C112" s="148"/>
      <x:c r="D112" s="148"/>
      <x:c r="E112" s="148"/>
      <x:c r="F112" s="148"/>
      <x:c r="G112" s="148"/>
      <x:c r="H112" s="148"/>
      <x:c r="I112" s="148"/>
      <x:c r="J112" s="148"/>
      <x:c r="K112" s="148"/>
      <x:c r="L112" s="148"/>
      <x:c r="M112" s="148"/>
      <x:c r="N112" s="125"/>
      <x:c r="O112" s="125"/>
      <x:c r="P112" s="125"/>
      <x:c r="Q112" s="125"/>
    </x:row>
    <x:row r="113">
      <x:c r="A113" s="148"/>
      <x:c r="B113" s="148"/>
      <x:c r="C113" s="148"/>
      <x:c r="D113" s="148"/>
      <x:c r="E113" s="148"/>
      <x:c r="F113" s="148"/>
      <x:c r="G113" s="148"/>
      <x:c r="H113" s="148"/>
      <x:c r="I113" s="148"/>
      <x:c r="J113" s="148"/>
      <x:c r="K113" s="148"/>
      <x:c r="L113" s="148"/>
      <x:c r="M113" s="148"/>
      <x:c r="N113" s="125"/>
      <x:c r="O113" s="125"/>
      <x:c r="P113" s="125"/>
      <x:c r="Q113" s="125"/>
    </x:row>
    <x:row r="114">
      <x:c r="A114" s="148"/>
      <x:c r="B114" s="148"/>
      <x:c r="C114" s="148"/>
      <x:c r="D114" s="148"/>
      <x:c r="E114" s="148"/>
      <x:c r="F114" s="148"/>
      <x:c r="G114" s="148"/>
      <x:c r="H114" s="148"/>
      <x:c r="I114" s="148"/>
      <x:c r="J114" s="148"/>
      <x:c r="K114" s="148"/>
      <x:c r="L114" s="148"/>
      <x:c r="M114" s="148"/>
      <x:c r="N114" s="125"/>
      <x:c r="O114" s="125"/>
      <x:c r="P114" s="125"/>
      <x:c r="Q114" s="125"/>
    </x:row>
    <x:row r="115">
      <x:c r="A115" s="148"/>
      <x:c r="B115" s="148"/>
      <x:c r="C115" s="148"/>
      <x:c r="D115" s="148"/>
      <x:c r="E115" s="148"/>
      <x:c r="F115" s="148"/>
      <x:c r="G115" s="148"/>
      <x:c r="H115" s="148"/>
      <x:c r="I115" s="148"/>
      <x:c r="J115" s="148"/>
      <x:c r="K115" s="148"/>
      <x:c r="L115" s="148"/>
      <x:c r="M115" s="148"/>
      <x:c r="N115" s="125"/>
      <x:c r="O115" s="125"/>
      <x:c r="P115" s="125"/>
      <x:c r="Q115" s="125"/>
    </x:row>
    <x:row r="116">
      <x:c r="A116" s="148"/>
      <x:c r="B116" s="148"/>
      <x:c r="C116" s="148"/>
      <x:c r="D116" s="148"/>
      <x:c r="E116" s="148"/>
      <x:c r="F116" s="148"/>
      <x:c r="G116" s="148"/>
      <x:c r="H116" s="148"/>
      <x:c r="I116" s="148"/>
      <x:c r="J116" s="148"/>
      <x:c r="K116" s="148"/>
      <x:c r="L116" s="148"/>
      <x:c r="M116" s="148"/>
      <x:c r="N116" s="125"/>
      <x:c r="O116" s="125"/>
      <x:c r="P116" s="125"/>
      <x:c r="Q116" s="125"/>
    </x:row>
    <x:row r="117">
      <x:c r="A117" s="148"/>
      <x:c r="B117" s="148"/>
      <x:c r="C117" s="148"/>
      <x:c r="D117" s="148"/>
      <x:c r="E117" s="148"/>
      <x:c r="F117" s="148"/>
      <x:c r="G117" s="148"/>
      <x:c r="H117" s="148"/>
      <x:c r="I117" s="148"/>
      <x:c r="J117" s="148"/>
      <x:c r="K117" s="148"/>
      <x:c r="L117" s="148"/>
      <x:c r="M117" s="148"/>
      <x:c r="N117" s="125"/>
      <x:c r="O117" s="125"/>
      <x:c r="P117" s="125"/>
      <x:c r="Q117" s="125"/>
    </x:row>
    <x:row r="118">
      <x:c r="A118" s="148"/>
      <x:c r="B118" s="148"/>
      <x:c r="C118" s="148"/>
      <x:c r="D118" s="148"/>
      <x:c r="E118" s="148"/>
      <x:c r="F118" s="148"/>
      <x:c r="G118" s="148"/>
      <x:c r="H118" s="148"/>
      <x:c r="I118" s="148"/>
      <x:c r="J118" s="148"/>
      <x:c r="K118" s="148"/>
      <x:c r="L118" s="148"/>
      <x:c r="M118" s="148"/>
      <x:c r="N118" s="125"/>
      <x:c r="O118" s="125"/>
      <x:c r="P118" s="125"/>
      <x:c r="Q118" s="125"/>
    </x:row>
    <x:row r="119">
      <x:c r="A119" s="148"/>
      <x:c r="B119" s="148"/>
      <x:c r="C119" s="148"/>
      <x:c r="D119" s="148"/>
      <x:c r="E119" s="148"/>
      <x:c r="F119" s="148"/>
      <x:c r="G119" s="148"/>
      <x:c r="H119" s="148"/>
      <x:c r="I119" s="148"/>
      <x:c r="J119" s="148"/>
      <x:c r="K119" s="148"/>
      <x:c r="L119" s="148"/>
      <x:c r="M119" s="148"/>
      <x:c r="N119" s="125"/>
      <x:c r="O119" s="125"/>
      <x:c r="P119" s="125"/>
      <x:c r="Q119" s="125"/>
    </x:row>
    <x:row r="120">
      <x:c r="A120" s="148"/>
      <x:c r="B120" s="148"/>
      <x:c r="C120" s="148"/>
      <x:c r="D120" s="148"/>
      <x:c r="E120" s="148"/>
      <x:c r="F120" s="148"/>
      <x:c r="G120" s="148"/>
      <x:c r="H120" s="148"/>
      <x:c r="I120" s="148"/>
      <x:c r="J120" s="148"/>
      <x:c r="K120" s="148"/>
      <x:c r="L120" s="148"/>
      <x:c r="M120" s="148"/>
      <x:c r="N120" s="125"/>
      <x:c r="O120" s="125"/>
      <x:c r="P120" s="125"/>
      <x:c r="Q120" s="125"/>
    </x:row>
    <x:row r="121">
      <x:c r="A121" s="148"/>
      <x:c r="B121" s="148"/>
      <x:c r="C121" s="148"/>
      <x:c r="D121" s="148"/>
      <x:c r="E121" s="148"/>
      <x:c r="F121" s="148"/>
      <x:c r="G121" s="148"/>
      <x:c r="H121" s="148"/>
      <x:c r="I121" s="148"/>
      <x:c r="J121" s="148"/>
      <x:c r="K121" s="148"/>
      <x:c r="L121" s="148"/>
      <x:c r="M121" s="148"/>
      <x:c r="N121" s="125"/>
      <x:c r="O121" s="125"/>
      <x:c r="P121" s="125"/>
      <x:c r="Q121" s="125"/>
    </x:row>
    <x:row r="122">
      <x:c r="A122" s="148"/>
      <x:c r="B122" s="148"/>
      <x:c r="C122" s="148"/>
      <x:c r="D122" s="148"/>
      <x:c r="E122" s="148"/>
      <x:c r="F122" s="148"/>
      <x:c r="G122" s="148"/>
      <x:c r="H122" s="148"/>
      <x:c r="I122" s="148"/>
      <x:c r="J122" s="148"/>
      <x:c r="K122" s="148"/>
      <x:c r="L122" s="148"/>
      <x:c r="M122" s="148"/>
      <x:c r="N122" s="125"/>
      <x:c r="O122" s="125"/>
      <x:c r="P122" s="125"/>
      <x:c r="Q122" s="125"/>
    </x:row>
    <x:row r="123">
      <x:c r="A123" s="148"/>
      <x:c r="B123" s="148"/>
      <x:c r="C123" s="148"/>
      <x:c r="D123" s="148"/>
      <x:c r="E123" s="148"/>
      <x:c r="F123" s="148"/>
      <x:c r="G123" s="148"/>
      <x:c r="H123" s="148"/>
      <x:c r="I123" s="148"/>
      <x:c r="J123" s="148"/>
      <x:c r="K123" s="148"/>
      <x:c r="L123" s="148"/>
      <x:c r="M123" s="148"/>
      <x:c r="N123" s="125"/>
      <x:c r="O123" s="125"/>
      <x:c r="P123" s="125"/>
      <x:c r="Q123" s="125"/>
    </x:row>
    <x:row r="124">
      <x:c r="A124" s="148"/>
      <x:c r="B124" s="148"/>
      <x:c r="C124" s="148"/>
      <x:c r="D124" s="148"/>
      <x:c r="E124" s="148"/>
      <x:c r="F124" s="148"/>
      <x:c r="G124" s="148"/>
      <x:c r="H124" s="148"/>
      <x:c r="I124" s="148"/>
      <x:c r="J124" s="148"/>
      <x:c r="K124" s="148"/>
      <x:c r="L124" s="148"/>
      <x:c r="M124" s="148"/>
      <x:c r="N124" s="125"/>
      <x:c r="O124" s="125"/>
      <x:c r="P124" s="125"/>
      <x:c r="Q124" s="125"/>
    </x:row>
    <x:row r="125">
      <x:c r="A125" s="148"/>
      <x:c r="B125" s="148"/>
      <x:c r="C125" s="148"/>
      <x:c r="D125" s="148"/>
      <x:c r="E125" s="148"/>
      <x:c r="F125" s="148"/>
      <x:c r="G125" s="148"/>
      <x:c r="H125" s="148"/>
      <x:c r="I125" s="148"/>
      <x:c r="J125" s="148"/>
      <x:c r="K125" s="148"/>
      <x:c r="L125" s="148"/>
      <x:c r="M125" s="148"/>
      <x:c r="N125" s="125"/>
      <x:c r="O125" s="125"/>
      <x:c r="P125" s="125"/>
      <x:c r="Q125" s="125"/>
    </x:row>
    <x:row r="126">
      <x:c r="A126" s="148"/>
      <x:c r="B126" s="148"/>
      <x:c r="C126" s="148"/>
      <x:c r="D126" s="148"/>
      <x:c r="E126" s="148"/>
      <x:c r="F126" s="148"/>
      <x:c r="G126" s="148"/>
      <x:c r="H126" s="148"/>
      <x:c r="I126" s="148"/>
      <x:c r="J126" s="148"/>
      <x:c r="K126" s="148"/>
      <x:c r="L126" s="148"/>
      <x:c r="M126" s="148"/>
      <x:c r="N126" s="125"/>
      <x:c r="O126" s="125"/>
      <x:c r="P126" s="125"/>
      <x:c r="Q126" s="125"/>
    </x:row>
    <x:row r="127">
      <x:c r="A127" s="148"/>
      <x:c r="B127" s="148"/>
      <x:c r="C127" s="148"/>
      <x:c r="D127" s="148"/>
      <x:c r="E127" s="148"/>
      <x:c r="F127" s="148"/>
      <x:c r="G127" s="148"/>
      <x:c r="H127" s="148"/>
      <x:c r="I127" s="148"/>
      <x:c r="J127" s="148"/>
      <x:c r="K127" s="148"/>
      <x:c r="L127" s="148"/>
      <x:c r="M127" s="148"/>
      <x:c r="N127" s="125"/>
      <x:c r="O127" s="125"/>
      <x:c r="P127" s="125"/>
      <x:c r="Q127" s="125"/>
    </x:row>
    <x:row r="128">
      <x:c r="A128" s="148"/>
      <x:c r="B128" s="148"/>
      <x:c r="C128" s="148"/>
      <x:c r="D128" s="148"/>
      <x:c r="E128" s="148"/>
      <x:c r="F128" s="148"/>
      <x:c r="G128" s="148"/>
      <x:c r="H128" s="148"/>
      <x:c r="I128" s="148"/>
      <x:c r="J128" s="148"/>
      <x:c r="K128" s="148"/>
      <x:c r="L128" s="148"/>
      <x:c r="M128" s="148"/>
      <x:c r="N128" s="125"/>
      <x:c r="O128" s="125"/>
      <x:c r="P128" s="125"/>
      <x:c r="Q128" s="125"/>
    </x:row>
    <x:row r="129">
      <x:c r="A129" s="148"/>
      <x:c r="B129" s="148"/>
      <x:c r="C129" s="148"/>
      <x:c r="D129" s="148"/>
      <x:c r="E129" s="148"/>
      <x:c r="F129" s="148"/>
      <x:c r="G129" s="148"/>
      <x:c r="H129" s="148"/>
      <x:c r="I129" s="148"/>
      <x:c r="J129" s="148"/>
      <x:c r="K129" s="148"/>
      <x:c r="L129" s="148"/>
      <x:c r="M129" s="148"/>
      <x:c r="N129" s="125"/>
      <x:c r="O129" s="125"/>
      <x:c r="P129" s="125"/>
      <x:c r="Q129" s="125"/>
    </x:row>
    <x:row r="130">
      <x:c r="A130" s="148"/>
      <x:c r="B130" s="148"/>
      <x:c r="C130" s="148"/>
      <x:c r="D130" s="148"/>
      <x:c r="E130" s="148"/>
      <x:c r="F130" s="148"/>
      <x:c r="G130" s="148"/>
      <x:c r="H130" s="148"/>
      <x:c r="I130" s="148"/>
      <x:c r="J130" s="148"/>
      <x:c r="K130" s="148"/>
      <x:c r="L130" s="148"/>
      <x:c r="M130" s="148"/>
      <x:c r="N130" s="125"/>
      <x:c r="O130" s="125"/>
      <x:c r="P130" s="125"/>
      <x:c r="Q130" s="125"/>
    </x:row>
    <x:row r="131">
      <x:c r="A131" s="148"/>
      <x:c r="B131" s="148"/>
      <x:c r="C131" s="148"/>
      <x:c r="D131" s="148"/>
      <x:c r="E131" s="148"/>
      <x:c r="F131" s="148"/>
      <x:c r="G131" s="148"/>
      <x:c r="H131" s="148"/>
      <x:c r="I131" s="148"/>
      <x:c r="J131" s="148"/>
      <x:c r="K131" s="148"/>
      <x:c r="L131" s="148"/>
      <x:c r="M131" s="148"/>
      <x:c r="N131" s="125"/>
      <x:c r="O131" s="125"/>
      <x:c r="P131" s="125"/>
      <x:c r="Q131" s="125"/>
    </x:row>
    <x:row r="132">
      <x:c r="A132" s="148"/>
      <x:c r="B132" s="148"/>
      <x:c r="C132" s="148"/>
      <x:c r="D132" s="148"/>
      <x:c r="E132" s="148"/>
      <x:c r="F132" s="148"/>
      <x:c r="G132" s="148"/>
      <x:c r="H132" s="148"/>
      <x:c r="I132" s="148"/>
      <x:c r="J132" s="148"/>
      <x:c r="K132" s="148"/>
      <x:c r="L132" s="148"/>
      <x:c r="M132" s="148"/>
      <x:c r="N132" s="125"/>
      <x:c r="O132" s="125"/>
      <x:c r="P132" s="125"/>
      <x:c r="Q132" s="125"/>
    </x:row>
    <x:row r="133">
      <x:c r="A133" s="148"/>
      <x:c r="B133" s="148"/>
      <x:c r="C133" s="148"/>
      <x:c r="D133" s="148"/>
      <x:c r="E133" s="148"/>
      <x:c r="F133" s="148"/>
      <x:c r="G133" s="148"/>
      <x:c r="H133" s="148"/>
      <x:c r="I133" s="148"/>
      <x:c r="J133" s="148"/>
      <x:c r="K133" s="148"/>
      <x:c r="L133" s="148"/>
      <x:c r="M133" s="148"/>
      <x:c r="N133" s="125"/>
      <x:c r="O133" s="125"/>
      <x:c r="P133" s="125"/>
      <x:c r="Q133" s="125"/>
    </x:row>
    <x:row r="134">
      <x:c r="A134" s="148"/>
      <x:c r="B134" s="148"/>
      <x:c r="C134" s="148"/>
      <x:c r="D134" s="148"/>
      <x:c r="E134" s="148"/>
      <x:c r="F134" s="148"/>
      <x:c r="G134" s="148"/>
      <x:c r="H134" s="148"/>
      <x:c r="I134" s="148"/>
      <x:c r="J134" s="148"/>
      <x:c r="K134" s="148"/>
      <x:c r="L134" s="148"/>
      <x:c r="M134" s="148"/>
      <x:c r="N134" s="125"/>
      <x:c r="O134" s="125"/>
      <x:c r="P134" s="125"/>
      <x:c r="Q134" s="125"/>
    </x:row>
    <x:row r="135">
      <x:c r="A135" s="148"/>
      <x:c r="B135" s="148"/>
      <x:c r="C135" s="148"/>
      <x:c r="D135" s="148"/>
      <x:c r="E135" s="148"/>
      <x:c r="F135" s="148"/>
      <x:c r="G135" s="148"/>
      <x:c r="H135" s="148"/>
      <x:c r="I135" s="148"/>
      <x:c r="J135" s="148"/>
      <x:c r="K135" s="148"/>
      <x:c r="L135" s="148"/>
      <x:c r="M135" s="148"/>
      <x:c r="N135" s="125"/>
      <x:c r="O135" s="125"/>
      <x:c r="P135" s="125"/>
      <x:c r="Q135" s="125"/>
    </x:row>
    <x:row r="136">
      <x:c r="A136" s="148"/>
      <x:c r="B136" s="148"/>
      <x:c r="C136" s="148"/>
      <x:c r="D136" s="148"/>
      <x:c r="E136" s="148"/>
      <x:c r="F136" s="148"/>
      <x:c r="G136" s="148"/>
      <x:c r="H136" s="148"/>
      <x:c r="I136" s="148"/>
      <x:c r="J136" s="148"/>
      <x:c r="K136" s="148"/>
      <x:c r="L136" s="148"/>
      <x:c r="M136" s="148"/>
      <x:c r="N136" s="125"/>
      <x:c r="O136" s="125"/>
      <x:c r="P136" s="125"/>
      <x:c r="Q136" s="125"/>
    </x:row>
    <x:row r="137">
      <x:c r="A137" s="148"/>
      <x:c r="B137" s="148"/>
      <x:c r="C137" s="148"/>
      <x:c r="D137" s="148"/>
      <x:c r="E137" s="148"/>
      <x:c r="F137" s="148"/>
      <x:c r="G137" s="148"/>
      <x:c r="H137" s="148"/>
      <x:c r="I137" s="148"/>
      <x:c r="J137" s="148"/>
      <x:c r="K137" s="148"/>
      <x:c r="L137" s="148"/>
      <x:c r="M137" s="148"/>
      <x:c r="N137" s="125"/>
      <x:c r="O137" s="125"/>
      <x:c r="P137" s="125"/>
      <x:c r="Q137" s="125"/>
    </x:row>
    <x:row r="138">
      <x:c r="A138" s="148"/>
      <x:c r="B138" s="148"/>
      <x:c r="C138" s="148"/>
      <x:c r="D138" s="148"/>
      <x:c r="E138" s="148"/>
      <x:c r="F138" s="148"/>
      <x:c r="G138" s="148"/>
      <x:c r="H138" s="148"/>
      <x:c r="I138" s="148"/>
      <x:c r="J138" s="148"/>
      <x:c r="K138" s="148"/>
      <x:c r="L138" s="148"/>
      <x:c r="M138" s="148"/>
      <x:c r="N138" s="125"/>
      <x:c r="O138" s="125"/>
      <x:c r="P138" s="125"/>
      <x:c r="Q138" s="125"/>
    </x:row>
    <x:row r="139">
      <x:c r="A139" s="148"/>
      <x:c r="B139" s="148"/>
      <x:c r="C139" s="148"/>
      <x:c r="D139" s="148"/>
      <x:c r="E139" s="148"/>
      <x:c r="F139" s="148"/>
      <x:c r="G139" s="148"/>
      <x:c r="H139" s="148"/>
      <x:c r="I139" s="148"/>
      <x:c r="J139" s="148"/>
      <x:c r="K139" s="148"/>
      <x:c r="L139" s="148"/>
      <x:c r="M139" s="148"/>
      <x:c r="N139" s="125"/>
      <x:c r="O139" s="125"/>
      <x:c r="P139" s="125"/>
      <x:c r="Q139" s="125"/>
    </x:row>
    <x:row r="140">
      <x:c r="A140" s="148"/>
      <x:c r="B140" s="148"/>
      <x:c r="C140" s="148"/>
      <x:c r="D140" s="148"/>
      <x:c r="E140" s="148"/>
      <x:c r="F140" s="148"/>
      <x:c r="G140" s="148"/>
      <x:c r="H140" s="148"/>
      <x:c r="I140" s="148"/>
      <x:c r="J140" s="148"/>
      <x:c r="K140" s="148"/>
      <x:c r="L140" s="148"/>
      <x:c r="M140" s="148"/>
      <x:c r="N140" s="125"/>
      <x:c r="O140" s="125"/>
      <x:c r="P140" s="125"/>
      <x:c r="Q140" s="125"/>
    </x:row>
    <x:row r="141">
      <x:c r="A141" s="148"/>
      <x:c r="B141" s="148"/>
      <x:c r="C141" s="148"/>
      <x:c r="D141" s="148"/>
      <x:c r="E141" s="148"/>
      <x:c r="F141" s="148"/>
      <x:c r="G141" s="148"/>
      <x:c r="H141" s="148"/>
      <x:c r="I141" s="148"/>
      <x:c r="J141" s="148"/>
      <x:c r="K141" s="148"/>
      <x:c r="L141" s="148"/>
      <x:c r="M141" s="148"/>
      <x:c r="N141" s="125"/>
      <x:c r="O141" s="125"/>
      <x:c r="P141" s="125"/>
      <x:c r="Q141" s="125"/>
    </x:row>
    <x:row r="142">
      <x:c r="A142" s="148"/>
      <x:c r="B142" s="148"/>
      <x:c r="C142" s="148"/>
      <x:c r="D142" s="148"/>
      <x:c r="E142" s="148"/>
      <x:c r="F142" s="148"/>
      <x:c r="G142" s="148"/>
      <x:c r="H142" s="148"/>
      <x:c r="I142" s="148"/>
      <x:c r="J142" s="148"/>
      <x:c r="K142" s="148"/>
      <x:c r="L142" s="148"/>
      <x:c r="M142" s="148"/>
      <x:c r="N142" s="125"/>
      <x:c r="O142" s="125"/>
      <x:c r="P142" s="125"/>
      <x:c r="Q142" s="125"/>
    </x:row>
    <x:row r="143">
      <x:c r="A143" s="148"/>
      <x:c r="B143" s="148"/>
      <x:c r="C143" s="148"/>
      <x:c r="D143" s="148"/>
      <x:c r="E143" s="148"/>
      <x:c r="F143" s="148"/>
      <x:c r="G143" s="148"/>
      <x:c r="H143" s="148"/>
      <x:c r="I143" s="148"/>
      <x:c r="J143" s="148"/>
      <x:c r="K143" s="148"/>
      <x:c r="L143" s="148"/>
      <x:c r="M143" s="148"/>
      <x:c r="N143" s="125"/>
      <x:c r="O143" s="125"/>
      <x:c r="P143" s="125"/>
      <x:c r="Q143" s="125"/>
    </x:row>
    <x:row r="144">
      <x:c r="A144" s="148"/>
      <x:c r="B144" s="148"/>
      <x:c r="C144" s="148"/>
      <x:c r="D144" s="148"/>
      <x:c r="E144" s="148"/>
      <x:c r="F144" s="148"/>
      <x:c r="G144" s="148"/>
      <x:c r="H144" s="148"/>
      <x:c r="I144" s="148"/>
      <x:c r="J144" s="148"/>
      <x:c r="K144" s="148"/>
      <x:c r="L144" s="148"/>
      <x:c r="M144" s="148"/>
      <x:c r="N144" s="125"/>
      <x:c r="O144" s="125"/>
      <x:c r="P144" s="125"/>
      <x:c r="Q144" s="125"/>
    </x:row>
    <x:row r="145">
      <x:c r="A145" s="148"/>
      <x:c r="B145" s="148"/>
      <x:c r="C145" s="148"/>
      <x:c r="D145" s="148"/>
      <x:c r="E145" s="148"/>
      <x:c r="F145" s="148"/>
      <x:c r="G145" s="148"/>
      <x:c r="H145" s="148"/>
      <x:c r="I145" s="148"/>
      <x:c r="J145" s="148"/>
      <x:c r="K145" s="148"/>
      <x:c r="L145" s="148"/>
      <x:c r="M145" s="148"/>
      <x:c r="N145" s="125"/>
      <x:c r="O145" s="125"/>
      <x:c r="P145" s="125"/>
      <x:c r="Q145" s="125"/>
    </x:row>
    <x:row r="146">
      <x:c r="A146" s="148"/>
      <x:c r="B146" s="148"/>
      <x:c r="C146" s="148"/>
      <x:c r="D146" s="148"/>
      <x:c r="E146" s="148"/>
      <x:c r="F146" s="148"/>
      <x:c r="G146" s="148"/>
      <x:c r="H146" s="148"/>
      <x:c r="I146" s="148"/>
      <x:c r="J146" s="148"/>
      <x:c r="K146" s="148"/>
      <x:c r="L146" s="148"/>
      <x:c r="M146" s="148"/>
      <x:c r="N146" s="125"/>
      <x:c r="O146" s="125"/>
      <x:c r="P146" s="125"/>
      <x:c r="Q146" s="125"/>
    </x:row>
    <x:row r="147">
      <x:c r="A147" s="148"/>
      <x:c r="B147" s="148"/>
      <x:c r="C147" s="148"/>
      <x:c r="D147" s="148"/>
      <x:c r="E147" s="148"/>
      <x:c r="F147" s="148"/>
      <x:c r="G147" s="148"/>
      <x:c r="H147" s="148"/>
      <x:c r="I147" s="148"/>
      <x:c r="J147" s="148"/>
      <x:c r="K147" s="148"/>
      <x:c r="L147" s="148"/>
      <x:c r="M147" s="148"/>
      <x:c r="N147" s="125"/>
      <x:c r="O147" s="125"/>
      <x:c r="P147" s="125"/>
      <x:c r="Q147" s="125"/>
    </x:row>
    <x:row r="148">
      <x:c r="A148" s="148"/>
      <x:c r="B148" s="148"/>
      <x:c r="C148" s="148"/>
      <x:c r="D148" s="148"/>
      <x:c r="E148" s="148"/>
      <x:c r="F148" s="148"/>
      <x:c r="G148" s="148"/>
      <x:c r="H148" s="148"/>
      <x:c r="I148" s="148"/>
      <x:c r="J148" s="148"/>
      <x:c r="K148" s="148"/>
      <x:c r="L148" s="148"/>
      <x:c r="M148" s="148"/>
      <x:c r="N148" s="125"/>
      <x:c r="O148" s="125"/>
      <x:c r="P148" s="125"/>
      <x:c r="Q148" s="125"/>
    </x:row>
    <x:row r="149">
      <x:c r="A149" s="148"/>
      <x:c r="B149" s="148"/>
      <x:c r="C149" s="148"/>
      <x:c r="D149" s="148"/>
      <x:c r="E149" s="148"/>
      <x:c r="F149" s="148"/>
      <x:c r="G149" s="148"/>
      <x:c r="H149" s="148"/>
      <x:c r="I149" s="148"/>
      <x:c r="J149" s="148"/>
      <x:c r="K149" s="148"/>
      <x:c r="L149" s="148"/>
      <x:c r="M149" s="148"/>
      <x:c r="N149" s="125"/>
      <x:c r="O149" s="125"/>
      <x:c r="P149" s="125"/>
      <x:c r="Q149" s="125"/>
    </x:row>
    <x:row r="150">
      <x:c r="A150" s="148"/>
      <x:c r="B150" s="148"/>
      <x:c r="C150" s="148"/>
      <x:c r="D150" s="148"/>
      <x:c r="E150" s="148"/>
      <x:c r="F150" s="148"/>
      <x:c r="G150" s="148"/>
      <x:c r="H150" s="148"/>
      <x:c r="I150" s="148"/>
      <x:c r="J150" s="148"/>
      <x:c r="K150" s="148"/>
      <x:c r="L150" s="148"/>
      <x:c r="M150" s="148"/>
      <x:c r="N150" s="125"/>
      <x:c r="O150" s="125"/>
      <x:c r="P150" s="125"/>
      <x:c r="Q150" s="125"/>
    </x:row>
    <x:row r="151">
      <x:c r="A151" s="148"/>
      <x:c r="B151" s="148"/>
      <x:c r="C151" s="148"/>
      <x:c r="D151" s="148"/>
      <x:c r="E151" s="148"/>
      <x:c r="F151" s="148"/>
      <x:c r="G151" s="148"/>
      <x:c r="H151" s="148"/>
      <x:c r="I151" s="148"/>
      <x:c r="J151" s="148"/>
      <x:c r="K151" s="148"/>
      <x:c r="L151" s="148"/>
      <x:c r="M151" s="148"/>
      <x:c r="N151" s="125"/>
      <x:c r="O151" s="125"/>
      <x:c r="P151" s="125"/>
      <x:c r="Q151" s="125"/>
    </x:row>
    <x:row r="152">
      <x:c r="A152" s="148"/>
      <x:c r="B152" s="148"/>
      <x:c r="C152" s="148"/>
      <x:c r="D152" s="148"/>
      <x:c r="E152" s="148"/>
      <x:c r="F152" s="148"/>
      <x:c r="G152" s="148"/>
      <x:c r="H152" s="148"/>
      <x:c r="I152" s="148"/>
      <x:c r="J152" s="148"/>
      <x:c r="K152" s="148"/>
      <x:c r="L152" s="148"/>
      <x:c r="M152" s="148"/>
      <x:c r="N152" s="125"/>
      <x:c r="O152" s="125"/>
      <x:c r="P152" s="125"/>
      <x:c r="Q152" s="125"/>
    </x:row>
    <x:row r="153">
      <x:c r="A153" s="148"/>
      <x:c r="B153" s="148"/>
      <x:c r="C153" s="148"/>
      <x:c r="D153" s="148"/>
      <x:c r="E153" s="148"/>
      <x:c r="F153" s="148"/>
      <x:c r="G153" s="148"/>
      <x:c r="H153" s="148"/>
      <x:c r="I153" s="148"/>
      <x:c r="J153" s="148"/>
      <x:c r="K153" s="148"/>
      <x:c r="L153" s="148"/>
      <x:c r="M153" s="148"/>
      <x:c r="N153" s="125"/>
      <x:c r="O153" s="125"/>
      <x:c r="P153" s="125"/>
      <x:c r="Q153" s="125"/>
    </x:row>
    <x:row r="154">
      <x:c r="A154" s="148"/>
      <x:c r="B154" s="148"/>
      <x:c r="C154" s="148"/>
      <x:c r="D154" s="148"/>
      <x:c r="E154" s="148"/>
      <x:c r="F154" s="148"/>
      <x:c r="G154" s="148"/>
      <x:c r="H154" s="148"/>
      <x:c r="I154" s="148"/>
      <x:c r="J154" s="148"/>
      <x:c r="K154" s="148"/>
      <x:c r="L154" s="148"/>
      <x:c r="M154" s="148"/>
      <x:c r="N154" s="125"/>
      <x:c r="O154" s="125"/>
      <x:c r="P154" s="125"/>
      <x:c r="Q154" s="125"/>
    </x:row>
    <x:row r="155">
      <x:c r="A155" s="148"/>
      <x:c r="B155" s="148"/>
      <x:c r="C155" s="148"/>
      <x:c r="D155" s="148"/>
      <x:c r="E155" s="148"/>
      <x:c r="F155" s="148"/>
      <x:c r="G155" s="148"/>
      <x:c r="H155" s="148"/>
      <x:c r="I155" s="148"/>
      <x:c r="J155" s="148"/>
      <x:c r="K155" s="148"/>
      <x:c r="L155" s="148"/>
      <x:c r="M155" s="148"/>
      <x:c r="N155" s="125"/>
      <x:c r="O155" s="125"/>
      <x:c r="P155" s="125"/>
      <x:c r="Q155" s="125"/>
    </x:row>
    <x:row r="156">
      <x:c r="A156" s="148"/>
      <x:c r="B156" s="148"/>
      <x:c r="C156" s="148"/>
      <x:c r="D156" s="148"/>
      <x:c r="E156" s="148"/>
      <x:c r="F156" s="148"/>
      <x:c r="G156" s="148"/>
      <x:c r="H156" s="148"/>
      <x:c r="I156" s="148"/>
      <x:c r="J156" s="148"/>
      <x:c r="K156" s="148"/>
      <x:c r="L156" s="148"/>
      <x:c r="M156" s="148"/>
      <x:c r="N156" s="125"/>
      <x:c r="O156" s="125"/>
      <x:c r="P156" s="125"/>
      <x:c r="Q156" s="125"/>
    </x:row>
    <x:row r="157">
      <x:c r="A157" s="148"/>
      <x:c r="B157" s="148"/>
      <x:c r="C157" s="148"/>
      <x:c r="D157" s="148"/>
      <x:c r="E157" s="148"/>
      <x:c r="F157" s="148"/>
      <x:c r="G157" s="148"/>
      <x:c r="H157" s="148"/>
      <x:c r="I157" s="148"/>
      <x:c r="J157" s="148"/>
      <x:c r="K157" s="148"/>
      <x:c r="L157" s="148"/>
      <x:c r="M157" s="148"/>
      <x:c r="N157" s="125"/>
      <x:c r="O157" s="125"/>
      <x:c r="P157" s="125"/>
      <x:c r="Q157" s="125"/>
    </x:row>
    <x:row r="158">
      <x:c r="A158" s="148"/>
      <x:c r="B158" s="148"/>
      <x:c r="C158" s="148"/>
      <x:c r="D158" s="148"/>
      <x:c r="E158" s="148"/>
      <x:c r="F158" s="148"/>
      <x:c r="G158" s="148"/>
      <x:c r="H158" s="148"/>
      <x:c r="I158" s="148"/>
      <x:c r="J158" s="148"/>
      <x:c r="K158" s="148"/>
      <x:c r="L158" s="148"/>
      <x:c r="M158" s="148"/>
      <x:c r="N158" s="125"/>
      <x:c r="O158" s="125"/>
      <x:c r="P158" s="125"/>
      <x:c r="Q158" s="125"/>
    </x:row>
    <x:row r="159">
      <x:c r="A159" s="148"/>
      <x:c r="B159" s="148"/>
      <x:c r="C159" s="148"/>
      <x:c r="D159" s="148"/>
      <x:c r="E159" s="148"/>
      <x:c r="F159" s="148"/>
      <x:c r="G159" s="148"/>
      <x:c r="H159" s="148"/>
      <x:c r="I159" s="148"/>
      <x:c r="J159" s="148"/>
      <x:c r="K159" s="148"/>
      <x:c r="L159" s="148"/>
      <x:c r="M159" s="148"/>
      <x:c r="N159" s="125"/>
      <x:c r="O159" s="125"/>
      <x:c r="P159" s="125"/>
      <x:c r="Q159" s="125"/>
    </x:row>
    <x:row r="160">
      <x:c r="A160" s="148"/>
      <x:c r="B160" s="148"/>
      <x:c r="C160" s="148"/>
      <x:c r="D160" s="148"/>
      <x:c r="E160" s="148"/>
      <x:c r="F160" s="148"/>
      <x:c r="G160" s="148"/>
      <x:c r="H160" s="148"/>
      <x:c r="I160" s="148"/>
      <x:c r="J160" s="148"/>
      <x:c r="K160" s="148"/>
      <x:c r="L160" s="148"/>
      <x:c r="M160" s="148"/>
      <x:c r="N160" s="125"/>
      <x:c r="O160" s="125"/>
      <x:c r="P160" s="125"/>
      <x:c r="Q160" s="125"/>
    </x:row>
    <x:row r="161">
      <x:c r="A161" s="148"/>
      <x:c r="B161" s="148"/>
      <x:c r="C161" s="148"/>
      <x:c r="D161" s="148"/>
      <x:c r="E161" s="148"/>
      <x:c r="F161" s="148"/>
      <x:c r="G161" s="148"/>
      <x:c r="H161" s="148"/>
      <x:c r="I161" s="148"/>
      <x:c r="J161" s="148"/>
      <x:c r="K161" s="148"/>
      <x:c r="L161" s="148"/>
      <x:c r="M161" s="148"/>
      <x:c r="N161" s="125"/>
      <x:c r="O161" s="125"/>
      <x:c r="P161" s="125"/>
      <x:c r="Q161" s="125"/>
    </x:row>
    <x:row r="162">
      <x:c r="A162" s="148"/>
      <x:c r="B162" s="148"/>
      <x:c r="C162" s="148"/>
      <x:c r="D162" s="148"/>
      <x:c r="E162" s="148"/>
      <x:c r="F162" s="148"/>
      <x:c r="G162" s="148"/>
      <x:c r="H162" s="148"/>
      <x:c r="I162" s="148"/>
      <x:c r="J162" s="148"/>
      <x:c r="K162" s="148"/>
      <x:c r="L162" s="148"/>
      <x:c r="M162" s="148"/>
      <x:c r="N162" s="125"/>
      <x:c r="O162" s="125"/>
      <x:c r="P162" s="125"/>
      <x:c r="Q162" s="125"/>
    </x:row>
    <x:row r="163">
      <x:c r="A163" s="148"/>
      <x:c r="B163" s="148"/>
      <x:c r="C163" s="148"/>
      <x:c r="D163" s="148"/>
      <x:c r="E163" s="148"/>
      <x:c r="F163" s="148"/>
      <x:c r="G163" s="148"/>
      <x:c r="H163" s="148"/>
      <x:c r="I163" s="148"/>
      <x:c r="J163" s="148"/>
      <x:c r="K163" s="148"/>
      <x:c r="L163" s="148"/>
      <x:c r="M163" s="148"/>
      <x:c r="N163" s="125"/>
      <x:c r="O163" s="125"/>
      <x:c r="P163" s="125"/>
      <x:c r="Q163" s="125"/>
    </x:row>
    <x:row r="164">
      <x:c r="A164" s="148"/>
      <x:c r="B164" s="148"/>
      <x:c r="C164" s="148"/>
      <x:c r="D164" s="148"/>
      <x:c r="E164" s="148"/>
      <x:c r="F164" s="148"/>
      <x:c r="G164" s="148"/>
      <x:c r="H164" s="148"/>
      <x:c r="I164" s="148"/>
      <x:c r="J164" s="148"/>
      <x:c r="K164" s="148"/>
      <x:c r="L164" s="148"/>
      <x:c r="M164" s="148"/>
      <x:c r="N164" s="125"/>
      <x:c r="O164" s="125"/>
      <x:c r="P164" s="125"/>
      <x:c r="Q164" s="125"/>
    </x:row>
    <x:row r="165">
      <x:c r="A165" s="148"/>
      <x:c r="B165" s="148"/>
      <x:c r="C165" s="148"/>
      <x:c r="D165" s="148"/>
      <x:c r="E165" s="148"/>
      <x:c r="F165" s="148"/>
      <x:c r="G165" s="148"/>
      <x:c r="H165" s="148"/>
      <x:c r="I165" s="148"/>
      <x:c r="J165" s="148"/>
      <x:c r="K165" s="148"/>
      <x:c r="L165" s="148"/>
      <x:c r="M165" s="148"/>
      <x:c r="N165" s="125"/>
      <x:c r="O165" s="125"/>
      <x:c r="P165" s="125"/>
      <x:c r="Q165" s="125"/>
    </x:row>
    <x:row r="166">
      <x:c r="A166" s="148"/>
      <x:c r="B166" s="148"/>
      <x:c r="C166" s="148"/>
      <x:c r="D166" s="148"/>
      <x:c r="E166" s="148"/>
      <x:c r="F166" s="148"/>
      <x:c r="G166" s="148"/>
      <x:c r="H166" s="148"/>
      <x:c r="I166" s="148"/>
      <x:c r="J166" s="148"/>
      <x:c r="K166" s="148"/>
      <x:c r="L166" s="148"/>
      <x:c r="M166" s="148"/>
      <x:c r="N166" s="125"/>
      <x:c r="O166" s="125"/>
      <x:c r="P166" s="125"/>
      <x:c r="Q166" s="125"/>
    </x:row>
    <x:row r="167">
      <x:c r="A167" s="148"/>
      <x:c r="B167" s="148"/>
      <x:c r="C167" s="148"/>
      <x:c r="D167" s="148"/>
      <x:c r="E167" s="148"/>
      <x:c r="F167" s="148"/>
      <x:c r="G167" s="148"/>
      <x:c r="H167" s="148"/>
      <x:c r="I167" s="148"/>
      <x:c r="J167" s="148"/>
      <x:c r="K167" s="148"/>
      <x:c r="L167" s="148"/>
      <x:c r="M167" s="148"/>
      <x:c r="N167" s="125"/>
      <x:c r="O167" s="125"/>
      <x:c r="P167" s="125"/>
      <x:c r="Q167" s="125"/>
    </x:row>
    <x:row r="168">
      <x:c r="A168" s="148"/>
      <x:c r="B168" s="148"/>
      <x:c r="C168" s="148"/>
      <x:c r="D168" s="148"/>
      <x:c r="E168" s="148"/>
      <x:c r="F168" s="148"/>
      <x:c r="G168" s="148"/>
      <x:c r="H168" s="148"/>
      <x:c r="I168" s="148"/>
      <x:c r="J168" s="148"/>
      <x:c r="K168" s="148"/>
      <x:c r="L168" s="148"/>
      <x:c r="M168" s="148"/>
      <x:c r="N168" s="125"/>
      <x:c r="O168" s="125"/>
      <x:c r="P168" s="125"/>
      <x:c r="Q168" s="125"/>
    </x:row>
    <x:row r="169">
      <x:c r="A169" s="148"/>
      <x:c r="B169" s="148"/>
      <x:c r="C169" s="148"/>
      <x:c r="D169" s="148"/>
      <x:c r="E169" s="148"/>
      <x:c r="F169" s="148"/>
      <x:c r="G169" s="148"/>
      <x:c r="H169" s="148"/>
      <x:c r="I169" s="148"/>
      <x:c r="J169" s="148"/>
      <x:c r="K169" s="148"/>
      <x:c r="L169" s="148"/>
      <x:c r="M169" s="148"/>
      <x:c r="N169" s="125"/>
      <x:c r="O169" s="125"/>
      <x:c r="P169" s="125"/>
      <x:c r="Q169" s="125"/>
    </x:row>
    <x:row r="170">
      <x:c r="A170" s="148"/>
      <x:c r="B170" s="148"/>
      <x:c r="C170" s="148"/>
      <x:c r="D170" s="148"/>
      <x:c r="E170" s="148"/>
      <x:c r="F170" s="148"/>
      <x:c r="G170" s="148"/>
      <x:c r="H170" s="148"/>
      <x:c r="I170" s="148"/>
      <x:c r="J170" s="148"/>
      <x:c r="K170" s="148"/>
      <x:c r="L170" s="148"/>
      <x:c r="M170" s="148"/>
      <x:c r="N170" s="125"/>
      <x:c r="O170" s="125"/>
      <x:c r="P170" s="125"/>
      <x:c r="Q170" s="125"/>
    </x:row>
    <x:row r="171">
      <x:c r="A171" s="148"/>
      <x:c r="B171" s="148"/>
      <x:c r="C171" s="148"/>
      <x:c r="D171" s="148"/>
      <x:c r="E171" s="148"/>
      <x:c r="F171" s="148"/>
      <x:c r="G171" s="148"/>
      <x:c r="H171" s="148"/>
      <x:c r="I171" s="148"/>
      <x:c r="J171" s="148"/>
      <x:c r="K171" s="148"/>
      <x:c r="L171" s="148"/>
      <x:c r="M171" s="148"/>
      <x:c r="N171" s="125"/>
      <x:c r="O171" s="125"/>
      <x:c r="P171" s="125"/>
      <x:c r="Q171" s="125"/>
    </x:row>
    <x:row r="172">
      <x:c r="A172" s="148"/>
      <x:c r="B172" s="148"/>
      <x:c r="C172" s="148"/>
      <x:c r="D172" s="148"/>
      <x:c r="E172" s="148"/>
      <x:c r="F172" s="148"/>
      <x:c r="G172" s="148"/>
      <x:c r="H172" s="148"/>
      <x:c r="I172" s="148"/>
      <x:c r="J172" s="148"/>
      <x:c r="K172" s="148"/>
      <x:c r="L172" s="148"/>
      <x:c r="M172" s="148"/>
      <x:c r="N172" s="125"/>
      <x:c r="O172" s="125"/>
      <x:c r="P172" s="125"/>
      <x:c r="Q172" s="125"/>
    </x:row>
    <x:row r="173">
      <x:c r="A173" s="148"/>
      <x:c r="B173" s="148"/>
      <x:c r="C173" s="148"/>
      <x:c r="D173" s="148"/>
      <x:c r="E173" s="148"/>
      <x:c r="F173" s="148"/>
      <x:c r="G173" s="148"/>
      <x:c r="H173" s="148"/>
      <x:c r="I173" s="148"/>
      <x:c r="J173" s="148"/>
      <x:c r="K173" s="148"/>
      <x:c r="L173" s="148"/>
      <x:c r="M173" s="148"/>
      <x:c r="N173" s="125"/>
      <x:c r="O173" s="125"/>
      <x:c r="P173" s="125"/>
      <x:c r="Q173" s="125"/>
    </x:row>
    <x:row r="174">
      <x:c r="A174" s="148"/>
      <x:c r="B174" s="148"/>
      <x:c r="C174" s="148"/>
      <x:c r="D174" s="148"/>
      <x:c r="E174" s="148"/>
      <x:c r="F174" s="148"/>
      <x:c r="G174" s="148"/>
      <x:c r="H174" s="148"/>
      <x:c r="I174" s="148"/>
      <x:c r="J174" s="148"/>
      <x:c r="K174" s="148"/>
      <x:c r="L174" s="148"/>
      <x:c r="M174" s="148"/>
      <x:c r="N174" s="125"/>
      <x:c r="O174" s="125"/>
      <x:c r="P174" s="125"/>
      <x:c r="Q174" s="125"/>
    </x:row>
    <x:row r="175">
      <x:c r="A175" s="148"/>
      <x:c r="B175" s="148"/>
      <x:c r="C175" s="148"/>
      <x:c r="D175" s="148"/>
      <x:c r="E175" s="148"/>
      <x:c r="F175" s="148"/>
      <x:c r="G175" s="148"/>
      <x:c r="H175" s="148"/>
      <x:c r="I175" s="148"/>
      <x:c r="J175" s="148"/>
      <x:c r="K175" s="148"/>
      <x:c r="L175" s="148"/>
      <x:c r="M175" s="148"/>
      <x:c r="N175" s="125"/>
      <x:c r="O175" s="125"/>
      <x:c r="P175" s="125"/>
      <x:c r="Q175" s="125"/>
    </x:row>
    <x:row r="176">
      <x:c r="A176" s="148"/>
      <x:c r="B176" s="148"/>
      <x:c r="C176" s="148"/>
      <x:c r="D176" s="148"/>
      <x:c r="E176" s="148"/>
      <x:c r="F176" s="148"/>
      <x:c r="G176" s="148"/>
      <x:c r="H176" s="148"/>
      <x:c r="I176" s="148"/>
      <x:c r="J176" s="148"/>
      <x:c r="K176" s="148"/>
      <x:c r="L176" s="148"/>
      <x:c r="M176" s="148"/>
      <x:c r="N176" s="125"/>
      <x:c r="O176" s="125"/>
      <x:c r="P176" s="125"/>
      <x:c r="Q176" s="125"/>
    </x:row>
    <x:row r="177">
      <x:c r="A177" s="148"/>
      <x:c r="B177" s="148"/>
      <x:c r="C177" s="148"/>
      <x:c r="D177" s="148"/>
      <x:c r="E177" s="148"/>
      <x:c r="F177" s="148"/>
      <x:c r="G177" s="148"/>
      <x:c r="H177" s="148"/>
      <x:c r="I177" s="148"/>
      <x:c r="J177" s="148"/>
      <x:c r="K177" s="148"/>
      <x:c r="L177" s="148"/>
      <x:c r="M177" s="148"/>
      <x:c r="N177" s="125"/>
      <x:c r="O177" s="125"/>
      <x:c r="P177" s="125"/>
      <x:c r="Q177" s="125"/>
    </x:row>
    <x:row r="178">
      <x:c r="A178" s="148"/>
      <x:c r="B178" s="148"/>
      <x:c r="C178" s="148"/>
      <x:c r="D178" s="148"/>
      <x:c r="E178" s="148"/>
      <x:c r="F178" s="148"/>
      <x:c r="G178" s="148"/>
      <x:c r="H178" s="148"/>
      <x:c r="I178" s="148"/>
      <x:c r="J178" s="148"/>
      <x:c r="K178" s="148"/>
      <x:c r="L178" s="148"/>
      <x:c r="M178" s="148"/>
      <x:c r="N178" s="125"/>
      <x:c r="O178" s="125"/>
      <x:c r="P178" s="125"/>
      <x:c r="Q178" s="125"/>
    </x:row>
    <x:row r="179">
      <x:c r="A179" s="148"/>
      <x:c r="B179" s="148"/>
      <x:c r="C179" s="148"/>
      <x:c r="D179" s="148"/>
      <x:c r="E179" s="148"/>
      <x:c r="F179" s="148"/>
      <x:c r="G179" s="148"/>
      <x:c r="H179" s="148"/>
      <x:c r="I179" s="148"/>
      <x:c r="J179" s="148"/>
      <x:c r="K179" s="148"/>
      <x:c r="L179" s="148"/>
      <x:c r="M179" s="148"/>
      <x:c r="N179" s="125"/>
      <x:c r="O179" s="125"/>
      <x:c r="P179" s="125"/>
      <x:c r="Q179" s="125"/>
    </x:row>
    <x:row r="180">
      <x:c r="A180" s="148"/>
      <x:c r="B180" s="148"/>
      <x:c r="C180" s="148"/>
      <x:c r="D180" s="148"/>
      <x:c r="E180" s="148"/>
      <x:c r="F180" s="148"/>
      <x:c r="G180" s="148"/>
      <x:c r="H180" s="148"/>
      <x:c r="I180" s="148"/>
      <x:c r="J180" s="148"/>
      <x:c r="K180" s="148"/>
      <x:c r="L180" s="148"/>
      <x:c r="M180" s="148"/>
      <x:c r="N180" s="125"/>
      <x:c r="O180" s="125"/>
      <x:c r="P180" s="125"/>
      <x:c r="Q180" s="125"/>
    </x:row>
    <x:row r="181">
      <x:c r="A181" s="148"/>
      <x:c r="B181" s="148"/>
      <x:c r="C181" s="148"/>
      <x:c r="D181" s="148"/>
      <x:c r="E181" s="148"/>
      <x:c r="F181" s="148"/>
      <x:c r="G181" s="148"/>
      <x:c r="H181" s="148"/>
      <x:c r="I181" s="148"/>
      <x:c r="J181" s="148"/>
      <x:c r="K181" s="148"/>
      <x:c r="L181" s="148"/>
      <x:c r="M181" s="148"/>
      <x:c r="N181" s="125"/>
      <x:c r="O181" s="125"/>
      <x:c r="P181" s="125"/>
      <x:c r="Q181" s="125"/>
    </x:row>
    <x:row r="182">
      <x:c r="A182" s="148"/>
      <x:c r="B182" s="148"/>
      <x:c r="C182" s="148"/>
      <x:c r="D182" s="148"/>
      <x:c r="E182" s="148"/>
      <x:c r="F182" s="148"/>
      <x:c r="G182" s="148"/>
      <x:c r="H182" s="148"/>
      <x:c r="I182" s="148"/>
      <x:c r="J182" s="148"/>
      <x:c r="K182" s="148"/>
      <x:c r="L182" s="148"/>
      <x:c r="M182" s="148"/>
      <x:c r="N182" s="125"/>
      <x:c r="O182" s="125"/>
      <x:c r="P182" s="125"/>
      <x:c r="Q182" s="125"/>
    </x:row>
    <x:row r="183">
      <x:c r="A183" s="148"/>
      <x:c r="B183" s="148"/>
      <x:c r="C183" s="148"/>
      <x:c r="D183" s="148"/>
      <x:c r="E183" s="148"/>
      <x:c r="F183" s="148"/>
      <x:c r="G183" s="148"/>
      <x:c r="H183" s="148"/>
      <x:c r="I183" s="148"/>
      <x:c r="J183" s="148"/>
      <x:c r="K183" s="148"/>
      <x:c r="L183" s="148"/>
      <x:c r="M183" s="148"/>
      <x:c r="N183" s="125"/>
      <x:c r="O183" s="125"/>
      <x:c r="P183" s="125"/>
      <x:c r="Q183" s="125"/>
    </x:row>
    <x:row r="184">
      <x:c r="A184" s="148"/>
      <x:c r="B184" s="148"/>
      <x:c r="C184" s="148"/>
      <x:c r="D184" s="148"/>
      <x:c r="E184" s="148"/>
      <x:c r="F184" s="148"/>
      <x:c r="G184" s="148"/>
      <x:c r="H184" s="148"/>
      <x:c r="I184" s="148"/>
      <x:c r="J184" s="148"/>
      <x:c r="K184" s="148"/>
      <x:c r="L184" s="148"/>
      <x:c r="M184" s="148"/>
      <x:c r="N184" s="125"/>
      <x:c r="O184" s="125"/>
      <x:c r="P184" s="125"/>
      <x:c r="Q184" s="125"/>
    </x:row>
    <x:row r="185">
      <x:c r="A185" s="148"/>
      <x:c r="B185" s="148"/>
      <x:c r="C185" s="148"/>
      <x:c r="D185" s="148"/>
      <x:c r="E185" s="148"/>
      <x:c r="F185" s="148"/>
      <x:c r="G185" s="148"/>
      <x:c r="H185" s="148"/>
      <x:c r="I185" s="148"/>
      <x:c r="J185" s="148"/>
      <x:c r="K185" s="148"/>
      <x:c r="L185" s="148"/>
      <x:c r="M185" s="148"/>
      <x:c r="N185" s="125"/>
      <x:c r="O185" s="125"/>
      <x:c r="P185" s="125"/>
      <x:c r="Q185" s="125"/>
    </x:row>
    <x:row r="186">
      <x:c r="A186" s="148"/>
      <x:c r="B186" s="148"/>
      <x:c r="C186" s="148"/>
      <x:c r="D186" s="148"/>
      <x:c r="E186" s="148"/>
      <x:c r="F186" s="148"/>
      <x:c r="G186" s="148"/>
      <x:c r="H186" s="148"/>
      <x:c r="I186" s="148"/>
      <x:c r="J186" s="148"/>
      <x:c r="K186" s="148"/>
      <x:c r="L186" s="148"/>
      <x:c r="M186" s="148"/>
      <x:c r="N186" s="125"/>
      <x:c r="O186" s="125"/>
      <x:c r="P186" s="125"/>
      <x:c r="Q186" s="125"/>
    </x:row>
    <x:row r="187">
      <x:c r="A187" s="148"/>
      <x:c r="B187" s="148"/>
      <x:c r="C187" s="148"/>
      <x:c r="D187" s="148"/>
      <x:c r="E187" s="148"/>
      <x:c r="F187" s="148"/>
      <x:c r="G187" s="148"/>
      <x:c r="H187" s="148"/>
      <x:c r="I187" s="148"/>
      <x:c r="J187" s="148"/>
      <x:c r="K187" s="148"/>
      <x:c r="L187" s="148"/>
      <x:c r="M187" s="148"/>
      <x:c r="N187" s="125"/>
      <x:c r="O187" s="125"/>
      <x:c r="P187" s="125"/>
      <x:c r="Q187" s="125"/>
    </x:row>
    <x:row r="188">
      <x:c r="A188" s="148"/>
      <x:c r="B188" s="148"/>
      <x:c r="C188" s="148"/>
      <x:c r="D188" s="148"/>
      <x:c r="E188" s="148"/>
      <x:c r="F188" s="148"/>
      <x:c r="G188" s="148"/>
      <x:c r="H188" s="148"/>
      <x:c r="I188" s="148"/>
      <x:c r="J188" s="148"/>
      <x:c r="K188" s="148"/>
      <x:c r="L188" s="148"/>
      <x:c r="M188" s="148"/>
      <x:c r="N188" s="125"/>
      <x:c r="O188" s="125"/>
      <x:c r="P188" s="125"/>
      <x:c r="Q188" s="125"/>
    </x:row>
    <x:row r="189">
      <x:c r="A189" s="148"/>
      <x:c r="B189" s="148"/>
      <x:c r="C189" s="148"/>
      <x:c r="D189" s="148"/>
      <x:c r="E189" s="148"/>
      <x:c r="F189" s="148"/>
      <x:c r="G189" s="148"/>
      <x:c r="H189" s="148"/>
      <x:c r="I189" s="148"/>
      <x:c r="J189" s="148"/>
      <x:c r="K189" s="148"/>
      <x:c r="L189" s="148"/>
      <x:c r="M189" s="148"/>
      <x:c r="N189" s="125"/>
      <x:c r="O189" s="125"/>
      <x:c r="P189" s="125"/>
      <x:c r="Q189" s="125"/>
    </x:row>
    <x:row r="190">
      <x:c r="A190" s="148"/>
      <x:c r="B190" s="148"/>
      <x:c r="C190" s="148"/>
      <x:c r="D190" s="148"/>
      <x:c r="E190" s="148"/>
      <x:c r="F190" s="148"/>
      <x:c r="G190" s="148"/>
      <x:c r="H190" s="148"/>
      <x:c r="I190" s="148"/>
      <x:c r="J190" s="148"/>
      <x:c r="K190" s="148"/>
      <x:c r="L190" s="148"/>
      <x:c r="M190" s="148"/>
      <x:c r="N190" s="125"/>
      <x:c r="O190" s="125"/>
      <x:c r="P190" s="125"/>
      <x:c r="Q190" s="125"/>
    </x:row>
    <x:row r="191">
      <x:c r="A191" s="148"/>
      <x:c r="B191" s="148"/>
      <x:c r="C191" s="148"/>
      <x:c r="D191" s="148"/>
      <x:c r="E191" s="148"/>
      <x:c r="F191" s="148"/>
      <x:c r="G191" s="148"/>
      <x:c r="H191" s="148"/>
      <x:c r="I191" s="148"/>
      <x:c r="J191" s="148"/>
      <x:c r="K191" s="148"/>
      <x:c r="L191" s="148"/>
      <x:c r="M191" s="148"/>
      <x:c r="N191" s="125"/>
      <x:c r="O191" s="125"/>
      <x:c r="P191" s="125"/>
      <x:c r="Q191" s="125"/>
    </x:row>
    <x:row r="192">
      <x:c r="A192" s="148"/>
      <x:c r="B192" s="148"/>
      <x:c r="C192" s="148"/>
      <x:c r="D192" s="148"/>
      <x:c r="E192" s="148"/>
      <x:c r="F192" s="148"/>
      <x:c r="G192" s="148"/>
      <x:c r="H192" s="148"/>
      <x:c r="I192" s="148"/>
      <x:c r="J192" s="148"/>
      <x:c r="K192" s="148"/>
      <x:c r="L192" s="148"/>
      <x:c r="M192" s="148"/>
      <x:c r="N192" s="125"/>
      <x:c r="O192" s="125"/>
      <x:c r="P192" s="125"/>
      <x:c r="Q192" s="125"/>
    </x:row>
    <x:row r="193">
      <x:c r="A193" s="148"/>
      <x:c r="B193" s="148"/>
      <x:c r="C193" s="148"/>
      <x:c r="D193" s="148"/>
      <x:c r="E193" s="148"/>
      <x:c r="F193" s="148"/>
      <x:c r="G193" s="148"/>
      <x:c r="H193" s="148"/>
      <x:c r="I193" s="148"/>
      <x:c r="J193" s="148"/>
      <x:c r="K193" s="148"/>
      <x:c r="L193" s="148"/>
      <x:c r="M193" s="148"/>
      <x:c r="N193" s="125"/>
      <x:c r="O193" s="125"/>
      <x:c r="P193" s="125"/>
      <x:c r="Q193" s="125"/>
    </x:row>
    <x:row r="194">
      <x:c r="A194" s="148"/>
      <x:c r="B194" s="148"/>
      <x:c r="C194" s="148"/>
      <x:c r="D194" s="148"/>
      <x:c r="E194" s="148"/>
      <x:c r="F194" s="148"/>
      <x:c r="G194" s="148"/>
      <x:c r="H194" s="148"/>
      <x:c r="I194" s="148"/>
      <x:c r="J194" s="148"/>
      <x:c r="K194" s="148"/>
      <x:c r="L194" s="148"/>
      <x:c r="M194" s="148"/>
      <x:c r="N194" s="125"/>
      <x:c r="O194" s="125"/>
      <x:c r="P194" s="125"/>
      <x:c r="Q194" s="125"/>
    </x:row>
    <x:row r="195">
      <x:c r="A195" s="148"/>
      <x:c r="B195" s="148"/>
      <x:c r="C195" s="148"/>
      <x:c r="D195" s="148"/>
      <x:c r="E195" s="148"/>
      <x:c r="F195" s="148"/>
      <x:c r="G195" s="148"/>
      <x:c r="H195" s="148"/>
      <x:c r="I195" s="148"/>
      <x:c r="J195" s="148"/>
      <x:c r="K195" s="148"/>
      <x:c r="L195" s="148"/>
      <x:c r="M195" s="148"/>
      <x:c r="N195" s="125"/>
      <x:c r="O195" s="125"/>
      <x:c r="P195" s="125"/>
      <x:c r="Q195" s="125"/>
    </x:row>
    <x:row r="196">
      <x:c r="A196" s="148"/>
      <x:c r="B196" s="148"/>
      <x:c r="C196" s="148"/>
      <x:c r="D196" s="148"/>
      <x:c r="E196" s="148"/>
      <x:c r="F196" s="148"/>
      <x:c r="G196" s="148"/>
      <x:c r="H196" s="148"/>
      <x:c r="I196" s="148"/>
      <x:c r="J196" s="148"/>
      <x:c r="K196" s="148"/>
      <x:c r="L196" s="148"/>
      <x:c r="M196" s="148"/>
      <x:c r="N196" s="125"/>
      <x:c r="O196" s="125"/>
      <x:c r="P196" s="125"/>
      <x:c r="Q196" s="125"/>
    </x:row>
    <x:row r="197">
      <x:c r="A197" s="148"/>
      <x:c r="B197" s="148"/>
      <x:c r="C197" s="148"/>
      <x:c r="D197" s="148"/>
      <x:c r="E197" s="148"/>
      <x:c r="F197" s="148"/>
      <x:c r="G197" s="148"/>
      <x:c r="H197" s="148"/>
      <x:c r="I197" s="148"/>
      <x:c r="J197" s="148"/>
      <x:c r="K197" s="148"/>
      <x:c r="L197" s="148"/>
      <x:c r="M197" s="148"/>
      <x:c r="N197" s="125"/>
      <x:c r="O197" s="125"/>
      <x:c r="P197" s="125"/>
      <x:c r="Q197" s="125"/>
    </x:row>
    <x:row r="198">
      <x:c r="A198" s="148"/>
      <x:c r="B198" s="148"/>
      <x:c r="C198" s="148"/>
      <x:c r="D198" s="148"/>
      <x:c r="E198" s="148"/>
      <x:c r="F198" s="148"/>
      <x:c r="G198" s="148"/>
      <x:c r="H198" s="148"/>
      <x:c r="I198" s="148"/>
      <x:c r="J198" s="148"/>
      <x:c r="K198" s="148"/>
      <x:c r="L198" s="148"/>
      <x:c r="M198" s="148"/>
      <x:c r="N198" s="125"/>
      <x:c r="O198" s="125"/>
      <x:c r="P198" s="125"/>
      <x:c r="Q198" s="125"/>
    </x:row>
    <x:row r="199">
      <x:c r="A199" s="148"/>
      <x:c r="B199" s="148"/>
      <x:c r="C199" s="148"/>
      <x:c r="D199" s="148"/>
      <x:c r="E199" s="148"/>
      <x:c r="F199" s="148"/>
      <x:c r="G199" s="148"/>
      <x:c r="H199" s="148"/>
      <x:c r="I199" s="148"/>
      <x:c r="J199" s="148"/>
      <x:c r="K199" s="148"/>
      <x:c r="L199" s="148"/>
      <x:c r="M199" s="148"/>
      <x:c r="N199" s="125"/>
      <x:c r="O199" s="125"/>
      <x:c r="P199" s="125"/>
      <x:c r="Q199" s="125"/>
    </x:row>
    <x:row r="200">
      <x:c r="A200" s="148"/>
      <x:c r="B200" s="148"/>
      <x:c r="C200" s="148"/>
      <x:c r="D200" s="148"/>
      <x:c r="E200" s="148"/>
      <x:c r="F200" s="148"/>
      <x:c r="G200" s="148"/>
      <x:c r="H200" s="148"/>
      <x:c r="I200" s="148"/>
      <x:c r="J200" s="148"/>
      <x:c r="K200" s="148"/>
      <x:c r="L200" s="148"/>
      <x:c r="M200" s="148"/>
      <x:c r="N200" s="125"/>
      <x:c r="O200" s="125"/>
      <x:c r="P200" s="125"/>
      <x:c r="Q200" s="125"/>
    </x:row>
    <x:row r="201">
      <x:c r="A201" s="148"/>
      <x:c r="B201" s="148"/>
      <x:c r="C201" s="148"/>
      <x:c r="D201" s="148"/>
      <x:c r="E201" s="148"/>
      <x:c r="F201" s="148"/>
      <x:c r="G201" s="148"/>
      <x:c r="H201" s="148"/>
      <x:c r="I201" s="148"/>
      <x:c r="J201" s="148"/>
      <x:c r="K201" s="148"/>
      <x:c r="L201" s="148"/>
      <x:c r="M201" s="148"/>
      <x:c r="N201" s="125"/>
      <x:c r="O201" s="125"/>
      <x:c r="P201" s="125"/>
      <x:c r="Q201" s="125"/>
    </x:row>
    <x:row r="202">
      <x:c r="A202" s="148"/>
      <x:c r="B202" s="148"/>
      <x:c r="C202" s="148"/>
      <x:c r="D202" s="148"/>
      <x:c r="E202" s="148"/>
      <x:c r="F202" s="148"/>
      <x:c r="G202" s="148"/>
      <x:c r="H202" s="148"/>
      <x:c r="I202" s="148"/>
      <x:c r="J202" s="148"/>
      <x:c r="K202" s="148"/>
      <x:c r="L202" s="148"/>
      <x:c r="M202" s="148"/>
      <x:c r="N202" s="125"/>
      <x:c r="O202" s="125"/>
      <x:c r="P202" s="125"/>
      <x:c r="Q202" s="125"/>
    </x:row>
    <x:row r="203">
      <x:c r="A203" s="148"/>
      <x:c r="B203" s="148"/>
      <x:c r="C203" s="148"/>
      <x:c r="D203" s="148"/>
      <x:c r="E203" s="148"/>
      <x:c r="F203" s="148"/>
      <x:c r="G203" s="148"/>
      <x:c r="H203" s="148"/>
      <x:c r="I203" s="148"/>
      <x:c r="J203" s="148"/>
      <x:c r="K203" s="148"/>
      <x:c r="L203" s="148"/>
      <x:c r="M203" s="148"/>
      <x:c r="N203" s="125"/>
      <x:c r="O203" s="125"/>
      <x:c r="P203" s="125"/>
      <x:c r="Q203" s="125"/>
    </x:row>
    <x:row r="204">
      <x:c r="A204" s="148"/>
      <x:c r="B204" s="148"/>
      <x:c r="C204" s="148"/>
      <x:c r="D204" s="148"/>
      <x:c r="E204" s="148"/>
      <x:c r="F204" s="148"/>
      <x:c r="G204" s="148"/>
      <x:c r="H204" s="148"/>
      <x:c r="I204" s="148"/>
      <x:c r="J204" s="148"/>
      <x:c r="K204" s="148"/>
      <x:c r="L204" s="148"/>
      <x:c r="M204" s="148"/>
      <x:c r="N204" s="125"/>
      <x:c r="O204" s="125"/>
      <x:c r="P204" s="125"/>
      <x:c r="Q204" s="125"/>
    </x:row>
    <x:row r="205">
      <x:c r="A205" s="148"/>
      <x:c r="B205" s="148"/>
      <x:c r="C205" s="148"/>
      <x:c r="D205" s="148"/>
      <x:c r="E205" s="148"/>
      <x:c r="F205" s="148"/>
      <x:c r="G205" s="148"/>
      <x:c r="H205" s="148"/>
      <x:c r="I205" s="148"/>
      <x:c r="J205" s="148"/>
      <x:c r="K205" s="148"/>
      <x:c r="L205" s="148"/>
      <x:c r="M205" s="148"/>
      <x:c r="N205" s="125"/>
      <x:c r="O205" s="125"/>
      <x:c r="P205" s="125"/>
      <x:c r="Q205" s="125"/>
    </x:row>
    <x:row r="206">
      <x:c r="A206" s="148"/>
      <x:c r="B206" s="148"/>
      <x:c r="C206" s="148"/>
      <x:c r="D206" s="148"/>
      <x:c r="E206" s="148"/>
      <x:c r="F206" s="148"/>
      <x:c r="G206" s="148"/>
      <x:c r="H206" s="148"/>
      <x:c r="I206" s="148"/>
      <x:c r="J206" s="148"/>
      <x:c r="K206" s="148"/>
      <x:c r="L206" s="148"/>
      <x:c r="M206" s="148"/>
      <x:c r="N206" s="125"/>
      <x:c r="O206" s="125"/>
      <x:c r="P206" s="125"/>
      <x:c r="Q206" s="125"/>
    </x:row>
    <x:row r="207">
      <x:c r="A207" s="125"/>
      <x:c r="B207" s="125"/>
      <x:c r="C207" s="125"/>
      <x:c r="D207" s="125"/>
      <x:c r="E207" s="125"/>
      <x:c r="F207" s="125"/>
      <x:c r="G207" s="125"/>
      <x:c r="H207" s="125"/>
      <x:c r="I207" s="125"/>
      <x:c r="J207" s="125"/>
      <x:c r="K207" s="125"/>
      <x:c r="L207" s="125"/>
      <x:c r="M207" s="125"/>
      <x:c r="N207" s="125"/>
      <x:c r="O207" s="125"/>
      <x:c r="P207" s="125"/>
      <x:c r="Q207" s="125"/>
    </x:row>
    <x:row r="208">
      <x:c r="A208" s="125"/>
      <x:c r="B208" s="125"/>
      <x:c r="C208" s="125"/>
      <x:c r="D208" s="125"/>
      <x:c r="E208" s="125"/>
      <x:c r="F208" s="125"/>
      <x:c r="G208" s="125"/>
      <x:c r="H208" s="125"/>
      <x:c r="I208" s="125"/>
      <x:c r="J208" s="125"/>
      <x:c r="K208" s="125"/>
      <x:c r="L208" s="125"/>
      <x:c r="M208" s="125"/>
      <x:c r="N208" s="125"/>
      <x:c r="O208" s="125"/>
      <x:c r="P208" s="125"/>
      <x:c r="Q208" s="125"/>
    </x:row>
    <x:row r="209">
      <x:c r="A209" s="125"/>
      <x:c r="B209" s="125"/>
      <x:c r="C209" s="125"/>
      <x:c r="D209" s="125"/>
      <x:c r="E209" s="125"/>
      <x:c r="F209" s="125"/>
      <x:c r="G209" s="125"/>
      <x:c r="H209" s="125"/>
      <x:c r="I209" s="125"/>
      <x:c r="J209" s="125"/>
      <x:c r="K209" s="125"/>
      <x:c r="L209" s="125"/>
      <x:c r="M209" s="125"/>
      <x:c r="N209" s="125"/>
      <x:c r="O209" s="125"/>
      <x:c r="P209" s="125"/>
      <x:c r="Q209" s="125"/>
    </x:row>
    <x:row r="210">
      <x:c r="A210" s="125"/>
      <x:c r="B210" s="125"/>
      <x:c r="C210" s="125"/>
      <x:c r="D210" s="125"/>
      <x:c r="E210" s="125"/>
      <x:c r="F210" s="125"/>
      <x:c r="G210" s="125"/>
      <x:c r="H210" s="125"/>
      <x:c r="I210" s="125"/>
      <x:c r="J210" s="125"/>
      <x:c r="K210" s="125"/>
      <x:c r="L210" s="125"/>
      <x:c r="M210" s="125"/>
      <x:c r="N210" s="125"/>
      <x:c r="O210" s="125"/>
      <x:c r="P210" s="125"/>
      <x:c r="Q210" s="125"/>
    </x:row>
    <x:row r="211">
      <x:c r="A211" s="125"/>
      <x:c r="B211" s="125"/>
      <x:c r="C211" s="125"/>
      <x:c r="D211" s="125"/>
      <x:c r="E211" s="125"/>
      <x:c r="F211" s="125"/>
      <x:c r="G211" s="125"/>
      <x:c r="H211" s="125"/>
      <x:c r="I211" s="125"/>
      <x:c r="J211" s="125"/>
      <x:c r="K211" s="125"/>
      <x:c r="L211" s="125"/>
      <x:c r="M211" s="125"/>
      <x:c r="N211" s="125"/>
      <x:c r="O211" s="125"/>
      <x:c r="P211" s="125"/>
      <x:c r="Q211" s="125"/>
    </x:row>
    <x:row r="212">
      <x:c r="A212" s="125"/>
      <x:c r="B212" s="125"/>
      <x:c r="C212" s="125"/>
      <x:c r="D212" s="125"/>
      <x:c r="E212" s="125"/>
      <x:c r="F212" s="125"/>
      <x:c r="G212" s="125"/>
      <x:c r="H212" s="125"/>
      <x:c r="I212" s="125"/>
      <x:c r="J212" s="125"/>
      <x:c r="K212" s="125"/>
      <x:c r="L212" s="125"/>
      <x:c r="M212" s="125"/>
      <x:c r="N212" s="125"/>
      <x:c r="O212" s="125"/>
      <x:c r="P212" s="125"/>
      <x:c r="Q212" s="125"/>
    </x:row>
    <x:row r="213">
      <x:c r="A213" s="125"/>
      <x:c r="B213" s="125"/>
      <x:c r="C213" s="125"/>
      <x:c r="D213" s="125"/>
      <x:c r="E213" s="125"/>
      <x:c r="F213" s="125"/>
      <x:c r="G213" s="125"/>
      <x:c r="H213" s="125"/>
      <x:c r="I213" s="125"/>
      <x:c r="J213" s="125"/>
      <x:c r="K213" s="125"/>
      <x:c r="L213" s="125"/>
      <x:c r="M213" s="125"/>
      <x:c r="N213" s="125"/>
      <x:c r="O213" s="125"/>
      <x:c r="P213" s="125"/>
      <x:c r="Q213" s="125"/>
    </x:row>
    <x:row r="214">
      <x:c r="A214" s="125"/>
      <x:c r="B214" s="125"/>
      <x:c r="C214" s="125"/>
      <x:c r="D214" s="125"/>
      <x:c r="E214" s="125"/>
      <x:c r="F214" s="125"/>
      <x:c r="G214" s="125"/>
      <x:c r="H214" s="125"/>
      <x:c r="I214" s="125"/>
      <x:c r="J214" s="125"/>
      <x:c r="K214" s="125"/>
      <x:c r="L214" s="125"/>
      <x:c r="M214" s="125"/>
      <x:c r="N214" s="125"/>
      <x:c r="O214" s="125"/>
      <x:c r="P214" s="125"/>
      <x:c r="Q214" s="125"/>
    </x:row>
    <x:row r="215">
      <x:c r="A215" s="125"/>
      <x:c r="B215" s="125"/>
      <x:c r="C215" s="125"/>
      <x:c r="D215" s="125"/>
      <x:c r="E215" s="125"/>
      <x:c r="F215" s="125"/>
      <x:c r="G215" s="125"/>
      <x:c r="H215" s="125"/>
      <x:c r="I215" s="125"/>
      <x:c r="J215" s="125"/>
      <x:c r="K215" s="125"/>
      <x:c r="L215" s="125"/>
      <x:c r="M215" s="125"/>
      <x:c r="N215" s="125"/>
      <x:c r="O215" s="125"/>
      <x:c r="P215" s="125"/>
      <x:c r="Q215" s="125"/>
    </x:row>
    <x:row r="216">
      <x:c r="A216" s="125"/>
      <x:c r="B216" s="125"/>
      <x:c r="C216" s="125"/>
      <x:c r="D216" s="125"/>
      <x:c r="E216" s="125"/>
      <x:c r="F216" s="125"/>
      <x:c r="G216" s="125"/>
      <x:c r="H216" s="125"/>
      <x:c r="I216" s="125"/>
      <x:c r="J216" s="125"/>
      <x:c r="K216" s="125"/>
      <x:c r="L216" s="125"/>
      <x:c r="M216" s="125"/>
      <x:c r="N216" s="125"/>
      <x:c r="O216" s="125"/>
      <x:c r="P216" s="125"/>
      <x:c r="Q216" s="125"/>
    </x:row>
    <x:row r="217">
      <x:c r="A217" s="125"/>
      <x:c r="B217" s="125"/>
      <x:c r="C217" s="125"/>
      <x:c r="D217" s="125"/>
      <x:c r="E217" s="125"/>
      <x:c r="F217" s="125"/>
      <x:c r="G217" s="125"/>
      <x:c r="H217" s="125"/>
      <x:c r="I217" s="125"/>
      <x:c r="J217" s="125"/>
      <x:c r="K217" s="125"/>
      <x:c r="L217" s="125"/>
      <x:c r="M217" s="125"/>
      <x:c r="N217" s="125"/>
      <x:c r="O217" s="125"/>
      <x:c r="P217" s="125"/>
      <x:c r="Q217" s="125"/>
    </x:row>
    <x:row r="218">
      <x:c r="A218" s="125"/>
      <x:c r="B218" s="125"/>
      <x:c r="C218" s="125"/>
      <x:c r="D218" s="125"/>
      <x:c r="E218" s="125"/>
      <x:c r="F218" s="125"/>
      <x:c r="G218" s="125"/>
      <x:c r="H218" s="125"/>
      <x:c r="I218" s="125"/>
      <x:c r="J218" s="125"/>
      <x:c r="K218" s="125"/>
      <x:c r="L218" s="125"/>
      <x:c r="M218" s="125"/>
      <x:c r="N218" s="125"/>
      <x:c r="O218" s="125"/>
      <x:c r="P218" s="125"/>
      <x:c r="Q218" s="125"/>
    </x:row>
    <x:row r="219">
      <x:c r="A219" s="125"/>
      <x:c r="B219" s="125"/>
      <x:c r="C219" s="125"/>
      <x:c r="D219" s="125"/>
      <x:c r="E219" s="125"/>
      <x:c r="F219" s="125"/>
      <x:c r="G219" s="125"/>
      <x:c r="H219" s="125"/>
      <x:c r="I219" s="125"/>
      <x:c r="J219" s="125"/>
      <x:c r="K219" s="125"/>
      <x:c r="L219" s="125"/>
      <x:c r="M219" s="125"/>
      <x:c r="N219" s="125"/>
      <x:c r="O219" s="125"/>
      <x:c r="P219" s="125"/>
      <x:c r="Q219" s="125"/>
    </x:row>
    <x:row r="220">
      <x:c r="A220" s="125"/>
      <x:c r="B220" s="125"/>
      <x:c r="C220" s="125"/>
      <x:c r="D220" s="125"/>
      <x:c r="E220" s="125"/>
      <x:c r="F220" s="125"/>
      <x:c r="G220" s="125"/>
      <x:c r="H220" s="125"/>
      <x:c r="I220" s="125"/>
      <x:c r="J220" s="125"/>
      <x:c r="K220" s="125"/>
      <x:c r="L220" s="125"/>
      <x:c r="M220" s="125"/>
      <x:c r="N220" s="125"/>
      <x:c r="O220" s="125"/>
      <x:c r="P220" s="125"/>
      <x:c r="Q220" s="125"/>
    </x:row>
    <x:row r="221">
      <x:c r="A221" s="125"/>
      <x:c r="B221" s="125"/>
      <x:c r="C221" s="125"/>
      <x:c r="D221" s="125"/>
      <x:c r="E221" s="125"/>
      <x:c r="F221" s="125"/>
      <x:c r="G221" s="125"/>
      <x:c r="H221" s="125"/>
      <x:c r="I221" s="125"/>
      <x:c r="J221" s="125"/>
      <x:c r="K221" s="125"/>
      <x:c r="L221" s="125"/>
      <x:c r="M221" s="125"/>
      <x:c r="N221" s="125"/>
      <x:c r="O221" s="125"/>
      <x:c r="P221" s="125"/>
      <x:c r="Q221" s="125"/>
    </x:row>
    <x:row r="222">
      <x:c r="A222" s="125"/>
      <x:c r="B222" s="125"/>
      <x:c r="C222" s="125"/>
      <x:c r="D222" s="125"/>
      <x:c r="E222" s="125"/>
      <x:c r="F222" s="125"/>
      <x:c r="G222" s="125"/>
      <x:c r="H222" s="125"/>
      <x:c r="I222" s="125"/>
      <x:c r="J222" s="125"/>
      <x:c r="K222" s="125"/>
      <x:c r="L222" s="125"/>
      <x:c r="M222" s="125"/>
      <x:c r="N222" s="125"/>
      <x:c r="O222" s="125"/>
      <x:c r="P222" s="125"/>
      <x:c r="Q222" s="125"/>
    </x:row>
    <x:row r="223">
      <x:c r="A223" s="125"/>
      <x:c r="B223" s="125"/>
      <x:c r="C223" s="125"/>
      <x:c r="D223" s="125"/>
      <x:c r="E223" s="125"/>
      <x:c r="F223" s="125"/>
      <x:c r="G223" s="125"/>
      <x:c r="H223" s="125"/>
      <x:c r="I223" s="125"/>
      <x:c r="J223" s="125"/>
      <x:c r="K223" s="125"/>
      <x:c r="L223" s="125"/>
      <x:c r="M223" s="125"/>
      <x:c r="N223" s="125"/>
      <x:c r="O223" s="125"/>
      <x:c r="P223" s="125"/>
      <x:c r="Q223" s="125"/>
    </x:row>
    <x:row r="224">
      <x:c r="A224" s="125"/>
      <x:c r="B224" s="125"/>
      <x:c r="C224" s="125"/>
      <x:c r="D224" s="125"/>
      <x:c r="E224" s="125"/>
      <x:c r="F224" s="125"/>
      <x:c r="G224" s="125"/>
      <x:c r="H224" s="125"/>
      <x:c r="I224" s="125"/>
      <x:c r="J224" s="125"/>
      <x:c r="K224" s="125"/>
      <x:c r="L224" s="125"/>
      <x:c r="M224" s="125"/>
      <x:c r="N224" s="125"/>
      <x:c r="O224" s="125"/>
      <x:c r="P224" s="125"/>
      <x:c r="Q224" s="125"/>
    </x:row>
    <x:row r="225">
      <x:c r="A225" s="125"/>
      <x:c r="B225" s="125"/>
      <x:c r="C225" s="125"/>
      <x:c r="D225" s="125"/>
      <x:c r="E225" s="125"/>
      <x:c r="F225" s="125"/>
      <x:c r="G225" s="125"/>
      <x:c r="H225" s="125"/>
      <x:c r="I225" s="125"/>
      <x:c r="J225" s="125"/>
      <x:c r="K225" s="125"/>
      <x:c r="L225" s="125"/>
      <x:c r="M225" s="125"/>
      <x:c r="N225" s="125"/>
      <x:c r="O225" s="125"/>
      <x:c r="P225" s="125"/>
      <x:c r="Q225" s="125"/>
    </x:row>
    <x:row r="226">
      <x:c r="A226" s="125"/>
      <x:c r="B226" s="125"/>
      <x:c r="C226" s="125"/>
      <x:c r="D226" s="125"/>
      <x:c r="E226" s="125"/>
      <x:c r="F226" s="125"/>
      <x:c r="G226" s="125"/>
      <x:c r="H226" s="125"/>
      <x:c r="I226" s="125"/>
      <x:c r="J226" s="125"/>
      <x:c r="K226" s="125"/>
      <x:c r="L226" s="125"/>
      <x:c r="M226" s="125"/>
      <x:c r="N226" s="125"/>
      <x:c r="O226" s="125"/>
      <x:c r="P226" s="125"/>
      <x:c r="Q226" s="125"/>
    </x:row>
    <x:row r="227">
      <x:c r="A227" s="125"/>
      <x:c r="B227" s="125"/>
      <x:c r="C227" s="125"/>
      <x:c r="D227" s="125"/>
      <x:c r="E227" s="125"/>
      <x:c r="F227" s="125"/>
      <x:c r="G227" s="125"/>
      <x:c r="H227" s="125"/>
      <x:c r="I227" s="125"/>
      <x:c r="J227" s="125"/>
      <x:c r="K227" s="125"/>
      <x:c r="L227" s="125"/>
      <x:c r="M227" s="125"/>
      <x:c r="N227" s="125"/>
      <x:c r="O227" s="125"/>
      <x:c r="P227" s="125"/>
      <x:c r="Q227" s="125"/>
    </x:row>
    <x:row r="228">
      <x:c r="A228" s="125"/>
      <x:c r="B228" s="125"/>
      <x:c r="C228" s="125"/>
      <x:c r="D228" s="125"/>
      <x:c r="E228" s="125"/>
      <x:c r="F228" s="125"/>
      <x:c r="G228" s="125"/>
      <x:c r="H228" s="125"/>
      <x:c r="I228" s="125"/>
      <x:c r="J228" s="125"/>
      <x:c r="K228" s="125"/>
      <x:c r="L228" s="125"/>
      <x:c r="M228" s="125"/>
      <x:c r="N228" s="125"/>
      <x:c r="O228" s="125"/>
      <x:c r="P228" s="125"/>
      <x:c r="Q228" s="125"/>
    </x:row>
    <x:row r="229">
      <x:c r="A229" s="125"/>
      <x:c r="B229" s="125"/>
      <x:c r="C229" s="125"/>
      <x:c r="D229" s="125"/>
      <x:c r="E229" s="125"/>
      <x:c r="F229" s="125"/>
      <x:c r="G229" s="125"/>
      <x:c r="H229" s="125"/>
      <x:c r="I229" s="125"/>
      <x:c r="J229" s="125"/>
      <x:c r="K229" s="125"/>
      <x:c r="L229" s="125"/>
      <x:c r="M229" s="125"/>
      <x:c r="N229" s="125"/>
      <x:c r="O229" s="125"/>
      <x:c r="P229" s="125"/>
      <x:c r="Q229" s="125"/>
    </x:row>
    <x:row r="230">
      <x:c r="A230" s="125"/>
      <x:c r="B230" s="125"/>
      <x:c r="C230" s="125"/>
      <x:c r="D230" s="125"/>
      <x:c r="E230" s="125"/>
      <x:c r="F230" s="125"/>
      <x:c r="G230" s="125"/>
      <x:c r="H230" s="125"/>
      <x:c r="I230" s="125"/>
      <x:c r="J230" s="125"/>
      <x:c r="K230" s="125"/>
      <x:c r="L230" s="125"/>
      <x:c r="M230" s="125"/>
      <x:c r="N230" s="125"/>
      <x:c r="O230" s="125"/>
      <x:c r="P230" s="125"/>
      <x:c r="Q230" s="125"/>
    </x:row>
    <x:row r="231">
      <x:c r="A231" s="125"/>
      <x:c r="B231" s="125"/>
      <x:c r="C231" s="125"/>
      <x:c r="D231" s="125"/>
      <x:c r="E231" s="125"/>
      <x:c r="F231" s="125"/>
      <x:c r="G231" s="125"/>
      <x:c r="H231" s="125"/>
      <x:c r="I231" s="125"/>
      <x:c r="J231" s="125"/>
      <x:c r="K231" s="125"/>
      <x:c r="L231" s="125"/>
      <x:c r="M231" s="125"/>
      <x:c r="N231" s="125"/>
      <x:c r="O231" s="125"/>
      <x:c r="P231" s="125"/>
      <x:c r="Q231" s="125"/>
    </x:row>
    <x:row r="232">
      <x:c r="A232" s="125"/>
      <x:c r="B232" s="125"/>
      <x:c r="C232" s="125"/>
      <x:c r="D232" s="125"/>
      <x:c r="E232" s="125"/>
      <x:c r="F232" s="125"/>
      <x:c r="G232" s="125"/>
      <x:c r="H232" s="125"/>
      <x:c r="I232" s="125"/>
      <x:c r="J232" s="125"/>
      <x:c r="K232" s="125"/>
      <x:c r="L232" s="125"/>
      <x:c r="M232" s="125"/>
      <x:c r="N232" s="125"/>
      <x:c r="O232" s="125"/>
      <x:c r="P232" s="125"/>
      <x:c r="Q232" s="125"/>
    </x:row>
    <x:row r="233">
      <x:c r="A233" s="125"/>
      <x:c r="B233" s="125"/>
      <x:c r="C233" s="125"/>
      <x:c r="D233" s="125"/>
      <x:c r="E233" s="125"/>
      <x:c r="F233" s="125"/>
      <x:c r="G233" s="125"/>
      <x:c r="H233" s="125"/>
      <x:c r="I233" s="125"/>
      <x:c r="J233" s="125"/>
      <x:c r="K233" s="125"/>
      <x:c r="L233" s="125"/>
      <x:c r="M233" s="125"/>
      <x:c r="N233" s="125"/>
      <x:c r="O233" s="125"/>
      <x:c r="P233" s="125"/>
      <x:c r="Q233" s="125"/>
    </x:row>
    <x:row r="234">
      <x:c r="A234" s="125"/>
      <x:c r="B234" s="125"/>
      <x:c r="C234" s="125"/>
      <x:c r="D234" s="125"/>
      <x:c r="E234" s="125"/>
      <x:c r="F234" s="125"/>
      <x:c r="G234" s="125"/>
      <x:c r="H234" s="125"/>
      <x:c r="I234" s="125"/>
      <x:c r="J234" s="125"/>
      <x:c r="K234" s="125"/>
      <x:c r="L234" s="125"/>
      <x:c r="M234" s="125"/>
      <x:c r="N234" s="125"/>
      <x:c r="O234" s="125"/>
      <x:c r="P234" s="125"/>
      <x:c r="Q234" s="125"/>
    </x:row>
    <x:row r="235">
      <x:c r="A235" s="125"/>
      <x:c r="B235" s="125"/>
      <x:c r="C235" s="125"/>
      <x:c r="D235" s="125"/>
      <x:c r="E235" s="125"/>
      <x:c r="F235" s="125"/>
      <x:c r="G235" s="125"/>
      <x:c r="H235" s="125"/>
      <x:c r="I235" s="125"/>
      <x:c r="J235" s="125"/>
      <x:c r="K235" s="125"/>
      <x:c r="L235" s="125"/>
      <x:c r="M235" s="125"/>
      <x:c r="N235" s="125"/>
      <x:c r="O235" s="125"/>
      <x:c r="P235" s="125"/>
      <x:c r="Q235" s="125"/>
    </x:row>
    <x:row r="236">
      <x:c r="A236" s="125"/>
      <x:c r="B236" s="125"/>
      <x:c r="C236" s="125"/>
      <x:c r="D236" s="125"/>
      <x:c r="E236" s="125"/>
      <x:c r="F236" s="125"/>
      <x:c r="G236" s="125"/>
      <x:c r="H236" s="125"/>
      <x:c r="I236" s="125"/>
      <x:c r="J236" s="125"/>
      <x:c r="K236" s="125"/>
      <x:c r="L236" s="125"/>
      <x:c r="M236" s="125"/>
      <x:c r="N236" s="125"/>
      <x:c r="O236" s="125"/>
      <x:c r="P236" s="125"/>
      <x:c r="Q236" s="125"/>
    </x:row>
    <x:row r="237">
      <x:c r="A237" s="125"/>
      <x:c r="B237" s="125"/>
      <x:c r="C237" s="125"/>
      <x:c r="D237" s="125"/>
      <x:c r="E237" s="125"/>
      <x:c r="F237" s="125"/>
      <x:c r="G237" s="125"/>
      <x:c r="H237" s="125"/>
      <x:c r="I237" s="125"/>
      <x:c r="J237" s="125"/>
      <x:c r="K237" s="125"/>
      <x:c r="L237" s="125"/>
      <x:c r="M237" s="125"/>
      <x:c r="N237" s="125"/>
      <x:c r="O237" s="125"/>
      <x:c r="P237" s="125"/>
      <x:c r="Q237" s="125"/>
    </x:row>
    <x:row r="238">
      <x:c r="A238" s="125"/>
      <x:c r="B238" s="125"/>
      <x:c r="C238" s="125"/>
      <x:c r="D238" s="125"/>
      <x:c r="E238" s="125"/>
      <x:c r="F238" s="125"/>
      <x:c r="G238" s="125"/>
      <x:c r="H238" s="125"/>
      <x:c r="I238" s="125"/>
      <x:c r="J238" s="125"/>
      <x:c r="K238" s="125"/>
      <x:c r="L238" s="125"/>
      <x:c r="M238" s="125"/>
      <x:c r="N238" s="125"/>
      <x:c r="O238" s="125"/>
      <x:c r="P238" s="125"/>
      <x:c r="Q238" s="125"/>
    </x:row>
    <x:row r="239">
      <x:c r="A239" s="125"/>
      <x:c r="B239" s="125"/>
      <x:c r="C239" s="125"/>
      <x:c r="D239" s="125"/>
      <x:c r="E239" s="125"/>
      <x:c r="F239" s="125"/>
      <x:c r="G239" s="125"/>
      <x:c r="H239" s="125"/>
      <x:c r="I239" s="125"/>
      <x:c r="J239" s="125"/>
      <x:c r="K239" s="125"/>
      <x:c r="L239" s="125"/>
      <x:c r="M239" s="125"/>
      <x:c r="N239" s="125"/>
      <x:c r="O239" s="125"/>
      <x:c r="P239" s="125"/>
      <x:c r="Q239" s="125"/>
    </x:row>
    <x:row r="240">
      <x:c r="A240" s="125"/>
      <x:c r="B240" s="125"/>
      <x:c r="C240" s="125"/>
      <x:c r="D240" s="125"/>
      <x:c r="E240" s="125"/>
      <x:c r="F240" s="125"/>
      <x:c r="G240" s="125"/>
      <x:c r="H240" s="125"/>
      <x:c r="I240" s="125"/>
      <x:c r="J240" s="125"/>
      <x:c r="K240" s="125"/>
      <x:c r="L240" s="125"/>
      <x:c r="M240" s="125"/>
      <x:c r="N240" s="125"/>
      <x:c r="O240" s="125"/>
      <x:c r="P240" s="125"/>
      <x:c r="Q240" s="125"/>
    </x:row>
    <x:row r="241">
      <x:c r="A241" s="125"/>
      <x:c r="B241" s="125"/>
      <x:c r="C241" s="125"/>
      <x:c r="D241" s="125"/>
      <x:c r="E241" s="125"/>
      <x:c r="F241" s="125"/>
      <x:c r="G241" s="125"/>
      <x:c r="H241" s="125"/>
      <x:c r="I241" s="125"/>
      <x:c r="J241" s="125"/>
      <x:c r="K241" s="125"/>
      <x:c r="L241" s="125"/>
      <x:c r="M241" s="125"/>
      <x:c r="N241" s="125"/>
      <x:c r="O241" s="125"/>
      <x:c r="P241" s="125"/>
      <x:c r="Q241" s="125"/>
    </x:row>
    <x:row r="242">
      <x:c r="A242" s="125"/>
      <x:c r="B242" s="125"/>
      <x:c r="C242" s="125"/>
      <x:c r="D242" s="125"/>
      <x:c r="E242" s="125"/>
      <x:c r="F242" s="125"/>
      <x:c r="G242" s="125"/>
      <x:c r="H242" s="125"/>
      <x:c r="I242" s="125"/>
      <x:c r="J242" s="125"/>
      <x:c r="K242" s="125"/>
      <x:c r="L242" s="125"/>
      <x:c r="M242" s="125"/>
      <x:c r="N242" s="125"/>
      <x:c r="O242" s="125"/>
      <x:c r="P242" s="125"/>
      <x:c r="Q242" s="125"/>
    </x:row>
    <x:row r="243">
      <x:c r="A243" s="125"/>
      <x:c r="B243" s="125"/>
      <x:c r="C243" s="125"/>
      <x:c r="D243" s="125"/>
      <x:c r="E243" s="125"/>
      <x:c r="F243" s="125"/>
      <x:c r="G243" s="125"/>
      <x:c r="H243" s="125"/>
      <x:c r="I243" s="125"/>
      <x:c r="J243" s="125"/>
      <x:c r="K243" s="125"/>
      <x:c r="L243" s="125"/>
      <x:c r="M243" s="125"/>
      <x:c r="N243" s="125"/>
      <x:c r="O243" s="125"/>
      <x:c r="P243" s="125"/>
      <x:c r="Q243" s="125"/>
    </x:row>
    <x:row r="244">
      <x:c r="A244" s="125"/>
      <x:c r="B244" s="125"/>
      <x:c r="C244" s="125"/>
      <x:c r="D244" s="125"/>
      <x:c r="E244" s="125"/>
      <x:c r="F244" s="125"/>
      <x:c r="G244" s="125"/>
      <x:c r="H244" s="125"/>
      <x:c r="I244" s="125"/>
      <x:c r="J244" s="125"/>
      <x:c r="K244" s="125"/>
      <x:c r="L244" s="125"/>
      <x:c r="M244" s="125"/>
      <x:c r="N244" s="125"/>
      <x:c r="O244" s="125"/>
      <x:c r="P244" s="125"/>
      <x:c r="Q244" s="125"/>
    </x:row>
    <x:row r="245">
      <x:c r="A245" s="125"/>
      <x:c r="B245" s="125"/>
      <x:c r="C245" s="125"/>
      <x:c r="D245" s="125"/>
      <x:c r="E245" s="125"/>
      <x:c r="F245" s="125"/>
      <x:c r="G245" s="125"/>
      <x:c r="H245" s="125"/>
      <x:c r="I245" s="125"/>
      <x:c r="J245" s="125"/>
      <x:c r="K245" s="125"/>
      <x:c r="L245" s="125"/>
      <x:c r="M245" s="125"/>
      <x:c r="N245" s="125"/>
      <x:c r="O245" s="125"/>
      <x:c r="P245" s="125"/>
      <x:c r="Q245" s="125"/>
    </x:row>
    <x:row r="246">
      <x:c r="A246" s="125"/>
      <x:c r="B246" s="125"/>
      <x:c r="C246" s="125"/>
      <x:c r="D246" s="125"/>
      <x:c r="E246" s="125"/>
      <x:c r="F246" s="125"/>
      <x:c r="G246" s="125"/>
      <x:c r="H246" s="125"/>
      <x:c r="I246" s="125"/>
      <x:c r="J246" s="125"/>
      <x:c r="K246" s="125"/>
      <x:c r="L246" s="125"/>
      <x:c r="M246" s="125"/>
      <x:c r="N246" s="125"/>
      <x:c r="O246" s="125"/>
      <x:c r="P246" s="125"/>
      <x:c r="Q246" s="125"/>
    </x:row>
    <x:row r="247">
      <x:c r="A247" s="125"/>
      <x:c r="B247" s="125"/>
      <x:c r="C247" s="125"/>
      <x:c r="D247" s="125"/>
      <x:c r="E247" s="125"/>
      <x:c r="F247" s="125"/>
      <x:c r="G247" s="125"/>
      <x:c r="H247" s="125"/>
      <x:c r="I247" s="125"/>
      <x:c r="J247" s="125"/>
      <x:c r="K247" s="125"/>
      <x:c r="L247" s="125"/>
      <x:c r="M247" s="125"/>
      <x:c r="N247" s="125"/>
      <x:c r="O247" s="125"/>
      <x:c r="P247" s="125"/>
      <x:c r="Q247" s="125"/>
    </x:row>
    <x:row r="248">
      <x:c r="A248" s="125"/>
      <x:c r="B248" s="125"/>
      <x:c r="C248" s="125"/>
      <x:c r="D248" s="125"/>
      <x:c r="E248" s="125"/>
      <x:c r="F248" s="125"/>
      <x:c r="G248" s="125"/>
      <x:c r="H248" s="125"/>
      <x:c r="I248" s="125"/>
      <x:c r="J248" s="125"/>
      <x:c r="K248" s="125"/>
      <x:c r="L248" s="125"/>
      <x:c r="M248" s="125"/>
      <x:c r="N248" s="125"/>
      <x:c r="O248" s="125"/>
      <x:c r="P248" s="125"/>
      <x:c r="Q248" s="125"/>
    </x:row>
    <x:row r="249">
      <x:c r="A249" s="125"/>
      <x:c r="B249" s="125"/>
      <x:c r="C249" s="125"/>
      <x:c r="D249" s="125"/>
      <x:c r="E249" s="125"/>
      <x:c r="F249" s="125"/>
      <x:c r="G249" s="125"/>
      <x:c r="H249" s="125"/>
      <x:c r="I249" s="125"/>
      <x:c r="J249" s="125"/>
      <x:c r="K249" s="125"/>
      <x:c r="L249" s="125"/>
      <x:c r="M249" s="125"/>
      <x:c r="N249" s="125"/>
      <x:c r="O249" s="125"/>
      <x:c r="P249" s="125"/>
      <x:c r="Q249" s="125"/>
    </x:row>
    <x:row r="250">
      <x:c r="A250" s="125"/>
      <x:c r="B250" s="125"/>
      <x:c r="C250" s="125"/>
      <x:c r="D250" s="125"/>
      <x:c r="E250" s="125"/>
      <x:c r="F250" s="125"/>
      <x:c r="G250" s="125"/>
      <x:c r="H250" s="125"/>
      <x:c r="I250" s="125"/>
      <x:c r="J250" s="125"/>
      <x:c r="K250" s="125"/>
      <x:c r="L250" s="125"/>
      <x:c r="M250" s="125"/>
      <x:c r="N250" s="125"/>
      <x:c r="O250" s="125"/>
      <x:c r="P250" s="125"/>
      <x:c r="Q250" s="125"/>
    </x:row>
  </x:sheetData>
  <x:mergeCells>
    <x:mergeCell ref="A1:M1"/>
    <x:mergeCell ref="A2:M2"/>
  </x:mergeCells>
  <x:pageMargins left="0.7" right="0.7" top="0.75" bottom="0.75" header="0.3" footer="0.3"/>
</x:worksheet>
</file>

<file path=xl/worksheets/sheet10.xml><?xml version="1.0" encoding="utf-8"?>
<x:worksheet xmlns:x="http://schemas.openxmlformats.org/spreadsheetml/2006/main">
  <x:sheetFormatPr defaultRowHeight="15"/>
  <x:cols>
    <x:col min="1" max="1" width="12" hidden="0" customWidth="1"/>
    <x:col min="2" max="2" width="12" hidden="0" customWidth="1"/>
    <x:col min="3" max="3" width="26" hidden="0" customWidth="1"/>
    <x:col min="4" max="4" width="12" hidden="0" customWidth="1"/>
    <x:col min="5" max="5" width="12" hidden="0" customWidth="1"/>
    <x:col min="6" max="6" width="12" hidden="0" customWidth="1"/>
    <x:col min="7" max="7" width="22" hidden="0" customWidth="1"/>
    <x:col min="8" max="8" width="30" hidden="0" customWidth="1"/>
    <x:col min="9" max="9" width="20" hidden="0" customWidth="1"/>
    <x:col min="10" max="10" width="14" hidden="0" customWidth="1"/>
    <x:col min="11" max="11" width="16" hidden="0" customWidth="1"/>
    <x:col min="12" max="12" width="14" hidden="0" customWidth="1"/>
    <x:col min="13" max="13" width="18" hidden="0" customWidth="1"/>
  </x:cols>
  <x:sheetData>
    <x:row r="1" ht="24" customHeight="1">
      <x:c r="A1" s="200" t="str">
        <x:v>DATA_OPERATING_ACTUALS — Operating Budgets / Actuals / Forecasts</x:v>
      </x:c>
      <x:c r="B1" s="198"/>
      <x:c r="C1" s="198"/>
      <x:c r="D1" s="198"/>
      <x:c r="E1" s="198"/>
      <x:c r="F1" s="198"/>
      <x:c r="G1" s="198"/>
      <x:c r="H1" s="198"/>
      <x:c r="I1" s="198"/>
      <x:c r="J1" s="198"/>
      <x:c r="K1" s="198"/>
      <x:c r="L1" s="125"/>
      <x:c r="M1" s="125"/>
      <x:c r="N1" s="125"/>
      <x:c r="O1" s="125"/>
      <x:c r="P1" s="125"/>
      <x:c r="Q1" s="125"/>
    </x:row>
    <x:row r="2" ht="34" customHeight="1">
      <x:c r="A2" s="126" t="str">
        <x:v>Blue cells are writable. Standardize source lines into IREI categories for live MVP metrics. Blank template: populate blue/orange cells for a new organization; formulas remain live.</x:v>
      </x:c>
      <x:c r="B2" s="125"/>
      <x:c r="C2" s="125"/>
      <x:c r="D2" s="125"/>
      <x:c r="E2" s="125"/>
      <x:c r="F2" s="125"/>
      <x:c r="G2" s="125"/>
      <x:c r="H2" s="125"/>
      <x:c r="I2" s="125"/>
      <x:c r="J2" s="125"/>
      <x:c r="K2" s="125"/>
      <x:c r="L2" s="125"/>
      <x:c r="M2" s="125"/>
      <x:c r="N2" s="125"/>
      <x:c r="O2" s="125"/>
      <x:c r="P2" s="125"/>
      <x:c r="Q2" s="125"/>
    </x:row>
    <x:row r="3">
      <x:c r="A3" s="125"/>
      <x:c r="B3" s="125"/>
      <x:c r="C3" s="125"/>
      <x:c r="D3" s="125"/>
      <x:c r="E3" s="125"/>
      <x:c r="F3" s="125"/>
      <x:c r="G3" s="125"/>
      <x:c r="H3" s="125"/>
      <x:c r="I3" s="125"/>
      <x:c r="J3" s="125"/>
      <x:c r="K3" s="125"/>
      <x:c r="L3" s="125"/>
      <x:c r="M3" s="125"/>
      <x:c r="N3" s="125"/>
      <x:c r="O3" s="125"/>
      <x:c r="P3" s="125"/>
      <x:c r="Q3" s="125"/>
    </x:row>
    <x:row r="4">
      <x:c r="A4" s="125"/>
      <x:c r="B4" s="125"/>
      <x:c r="C4" s="125"/>
      <x:c r="D4" s="125"/>
      <x:c r="E4" s="125"/>
      <x:c r="F4" s="125"/>
      <x:c r="G4" s="125"/>
      <x:c r="H4" s="125"/>
      <x:c r="I4" s="125"/>
      <x:c r="J4" s="125"/>
      <x:c r="K4" s="125"/>
      <x:c r="L4" s="125"/>
      <x:c r="M4" s="125"/>
      <x:c r="N4" s="125"/>
      <x:c r="O4" s="125"/>
      <x:c r="P4" s="125"/>
      <x:c r="Q4" s="125"/>
    </x:row>
    <x:row r="5">
      <x:c r="A5" s="125"/>
      <x:c r="B5" s="125"/>
      <x:c r="C5" s="125"/>
      <x:c r="D5" s="125"/>
      <x:c r="E5" s="125"/>
      <x:c r="F5" s="125"/>
      <x:c r="G5" s="125"/>
      <x:c r="H5" s="125"/>
      <x:c r="I5" s="125"/>
      <x:c r="J5" s="125"/>
      <x:c r="K5" s="125"/>
      <x:c r="L5" s="125"/>
      <x:c r="M5" s="125"/>
      <x:c r="N5" s="125"/>
      <x:c r="O5" s="125"/>
      <x:c r="P5" s="125"/>
      <x:c r="Q5" s="125"/>
    </x:row>
    <x:row r="6" ht="26" customHeight="1">
      <x:c r="A6" s="127" t="str">
        <x:v>Record_ID</x:v>
      </x:c>
      <x:c r="B6" s="127" t="str">
        <x:v>Property_ID</x:v>
      </x:c>
      <x:c r="C6" s="127" t="str">
        <x:v>Property_Name</x:v>
      </x:c>
      <x:c r="D6" s="127" t="str">
        <x:v>Fiscal_Year</x:v>
      </x:c>
      <x:c r="E6" s="127" t="str">
        <x:v>Period</x:v>
      </x:c>
      <x:c r="F6" s="127" t="str">
        <x:v>Scenario</x:v>
      </x:c>
      <x:c r="G6" s="127" t="str">
        <x:v>Actual_Budget_Projection</x:v>
      </x:c>
      <x:c r="H6" s="127" t="str">
        <x:v>Source_Line_Item</x:v>
      </x:c>
      <x:c r="I6" s="127" t="str">
        <x:v>IREI_Category</x:v>
      </x:c>
      <x:c r="J6" s="127" t="str">
        <x:v>Amount</x:v>
      </x:c>
      <x:c r="K6" s="127" t="str">
        <x:v>Cash_or_Accrual</x:v>
      </x:c>
      <x:c r="L6" s="127" t="str">
        <x:v>Source_File_ID</x:v>
      </x:c>
      <x:c r="M6" s="127" t="str">
        <x:v>Review_Status</x:v>
      </x:c>
      <x:c r="N6" s="125"/>
      <x:c r="O6" s="125"/>
      <x:c r="P6" s="125"/>
      <x:c r="Q6" s="125"/>
    </x:row>
    <x:row r="7">
      <x:c r="A7" s="128"/>
      <x:c r="B7" s="128"/>
      <x:c r="C7" s="128"/>
      <x:c r="D7" s="128"/>
      <x:c r="E7" s="128"/>
      <x:c r="F7" s="128"/>
      <x:c r="G7" s="128"/>
      <x:c r="H7" s="128"/>
      <x:c r="I7" s="128"/>
      <x:c r="J7" s="128"/>
      <x:c r="K7" s="128"/>
      <x:c r="L7" s="128"/>
      <x:c r="M7" s="128"/>
      <x:c r="N7" s="125"/>
      <x:c r="O7" s="125"/>
      <x:c r="P7" s="125"/>
      <x:c r="Q7" s="125"/>
    </x:row>
    <x:row r="8">
      <x:c r="A8" s="128"/>
      <x:c r="B8" s="128"/>
      <x:c r="C8" s="128"/>
      <x:c r="D8" s="128"/>
      <x:c r="E8" s="128"/>
      <x:c r="F8" s="128"/>
      <x:c r="G8" s="128"/>
      <x:c r="H8" s="128"/>
      <x:c r="I8" s="128"/>
      <x:c r="J8" s="128"/>
      <x:c r="K8" s="128"/>
      <x:c r="L8" s="128"/>
      <x:c r="M8" s="128"/>
      <x:c r="N8" s="125"/>
      <x:c r="O8" s="125"/>
      <x:c r="P8" s="125"/>
      <x:c r="Q8" s="125"/>
    </x:row>
    <x:row r="9">
      <x:c r="A9" s="128"/>
      <x:c r="B9" s="128"/>
      <x:c r="C9" s="128"/>
      <x:c r="D9" s="128"/>
      <x:c r="E9" s="128"/>
      <x:c r="F9" s="128"/>
      <x:c r="G9" s="128"/>
      <x:c r="H9" s="128"/>
      <x:c r="I9" s="128"/>
      <x:c r="J9" s="128"/>
      <x:c r="K9" s="128"/>
      <x:c r="L9" s="128"/>
      <x:c r="M9" s="128"/>
      <x:c r="N9" s="125"/>
      <x:c r="O9" s="125"/>
      <x:c r="P9" s="125"/>
      <x:c r="Q9" s="125"/>
    </x:row>
    <x:row r="10">
      <x:c r="A10" s="128"/>
      <x:c r="B10" s="128"/>
      <x:c r="C10" s="128"/>
      <x:c r="D10" s="128"/>
      <x:c r="E10" s="128"/>
      <x:c r="F10" s="128"/>
      <x:c r="G10" s="128"/>
      <x:c r="H10" s="128"/>
      <x:c r="I10" s="128"/>
      <x:c r="J10" s="128"/>
      <x:c r="K10" s="128"/>
      <x:c r="L10" s="128"/>
      <x:c r="M10" s="128"/>
      <x:c r="N10" s="125"/>
      <x:c r="O10" s="125"/>
      <x:c r="P10" s="125"/>
      <x:c r="Q10" s="125"/>
    </x:row>
    <x:row r="11">
      <x:c r="A11" s="128"/>
      <x:c r="B11" s="128"/>
      <x:c r="C11" s="128"/>
      <x:c r="D11" s="128"/>
      <x:c r="E11" s="128"/>
      <x:c r="F11" s="128"/>
      <x:c r="G11" s="128"/>
      <x:c r="H11" s="128"/>
      <x:c r="I11" s="128"/>
      <x:c r="J11" s="128"/>
      <x:c r="K11" s="128"/>
      <x:c r="L11" s="128"/>
      <x:c r="M11" s="128"/>
      <x:c r="N11" s="125"/>
      <x:c r="O11" s="125"/>
      <x:c r="P11" s="125"/>
      <x:c r="Q11" s="125"/>
    </x:row>
    <x:row r="12">
      <x:c r="A12" s="128"/>
      <x:c r="B12" s="128"/>
      <x:c r="C12" s="128"/>
      <x:c r="D12" s="128"/>
      <x:c r="E12" s="128"/>
      <x:c r="F12" s="128"/>
      <x:c r="G12" s="128"/>
      <x:c r="H12" s="128"/>
      <x:c r="I12" s="128"/>
      <x:c r="J12" s="128"/>
      <x:c r="K12" s="128"/>
      <x:c r="L12" s="128"/>
      <x:c r="M12" s="128"/>
      <x:c r="N12" s="125"/>
      <x:c r="O12" s="125"/>
      <x:c r="P12" s="125"/>
      <x:c r="Q12" s="125"/>
    </x:row>
    <x:row r="13">
      <x:c r="A13" s="128"/>
      <x:c r="B13" s="128"/>
      <x:c r="C13" s="128"/>
      <x:c r="D13" s="128"/>
      <x:c r="E13" s="128"/>
      <x:c r="F13" s="128"/>
      <x:c r="G13" s="128"/>
      <x:c r="H13" s="128"/>
      <x:c r="I13" s="128"/>
      <x:c r="J13" s="128"/>
      <x:c r="K13" s="128"/>
      <x:c r="L13" s="128"/>
      <x:c r="M13" s="128"/>
      <x:c r="N13" s="125"/>
      <x:c r="O13" s="125"/>
      <x:c r="P13" s="125"/>
      <x:c r="Q13" s="125"/>
    </x:row>
    <x:row r="14">
      <x:c r="A14" s="128"/>
      <x:c r="B14" s="128"/>
      <x:c r="C14" s="128"/>
      <x:c r="D14" s="128"/>
      <x:c r="E14" s="128"/>
      <x:c r="F14" s="128"/>
      <x:c r="G14" s="128"/>
      <x:c r="H14" s="128"/>
      <x:c r="I14" s="128"/>
      <x:c r="J14" s="128"/>
      <x:c r="K14" s="128"/>
      <x:c r="L14" s="128"/>
      <x:c r="M14" s="128"/>
      <x:c r="N14" s="125"/>
      <x:c r="O14" s="125"/>
      <x:c r="P14" s="125"/>
      <x:c r="Q14" s="125"/>
    </x:row>
    <x:row r="15">
      <x:c r="A15" s="128"/>
      <x:c r="B15" s="128"/>
      <x:c r="C15" s="128"/>
      <x:c r="D15" s="128"/>
      <x:c r="E15" s="128"/>
      <x:c r="F15" s="128"/>
      <x:c r="G15" s="128"/>
      <x:c r="H15" s="128"/>
      <x:c r="I15" s="128"/>
      <x:c r="J15" s="128"/>
      <x:c r="K15" s="128"/>
      <x:c r="L15" s="128"/>
      <x:c r="M15" s="128"/>
      <x:c r="N15" s="125"/>
      <x:c r="O15" s="125"/>
      <x:c r="P15" s="125"/>
      <x:c r="Q15" s="125"/>
    </x:row>
    <x:row r="16">
      <x:c r="A16" s="128"/>
      <x:c r="B16" s="128"/>
      <x:c r="C16" s="128"/>
      <x:c r="D16" s="128"/>
      <x:c r="E16" s="128"/>
      <x:c r="F16" s="128"/>
      <x:c r="G16" s="128"/>
      <x:c r="H16" s="128"/>
      <x:c r="I16" s="128"/>
      <x:c r="J16" s="128"/>
      <x:c r="K16" s="128"/>
      <x:c r="L16" s="128"/>
      <x:c r="M16" s="128"/>
      <x:c r="N16" s="125"/>
      <x:c r="O16" s="125"/>
      <x:c r="P16" s="125"/>
      <x:c r="Q16" s="125"/>
    </x:row>
    <x:row r="17">
      <x:c r="A17" s="128"/>
      <x:c r="B17" s="128"/>
      <x:c r="C17" s="128"/>
      <x:c r="D17" s="128"/>
      <x:c r="E17" s="128"/>
      <x:c r="F17" s="128"/>
      <x:c r="G17" s="128"/>
      <x:c r="H17" s="128"/>
      <x:c r="I17" s="128"/>
      <x:c r="J17" s="128"/>
      <x:c r="K17" s="128"/>
      <x:c r="L17" s="128"/>
      <x:c r="M17" s="128"/>
      <x:c r="N17" s="125"/>
      <x:c r="O17" s="125"/>
      <x:c r="P17" s="125"/>
      <x:c r="Q17" s="125"/>
    </x:row>
    <x:row r="18">
      <x:c r="A18" s="128"/>
      <x:c r="B18" s="128"/>
      <x:c r="C18" s="128"/>
      <x:c r="D18" s="128"/>
      <x:c r="E18" s="128"/>
      <x:c r="F18" s="128"/>
      <x:c r="G18" s="128"/>
      <x:c r="H18" s="128"/>
      <x:c r="I18" s="128"/>
      <x:c r="J18" s="128"/>
      <x:c r="K18" s="128"/>
      <x:c r="L18" s="128"/>
      <x:c r="M18" s="128"/>
      <x:c r="N18" s="125"/>
      <x:c r="O18" s="125"/>
      <x:c r="P18" s="125"/>
      <x:c r="Q18" s="125"/>
    </x:row>
    <x:row r="19">
      <x:c r="A19" s="128"/>
      <x:c r="B19" s="128"/>
      <x:c r="C19" s="128"/>
      <x:c r="D19" s="128"/>
      <x:c r="E19" s="128"/>
      <x:c r="F19" s="128"/>
      <x:c r="G19" s="128"/>
      <x:c r="H19" s="128"/>
      <x:c r="I19" s="128"/>
      <x:c r="J19" s="128"/>
      <x:c r="K19" s="128"/>
      <x:c r="L19" s="128"/>
      <x:c r="M19" s="128"/>
      <x:c r="N19" s="125"/>
      <x:c r="O19" s="125"/>
      <x:c r="P19" s="125"/>
      <x:c r="Q19" s="125"/>
    </x:row>
    <x:row r="20">
      <x:c r="A20" s="128"/>
      <x:c r="B20" s="128"/>
      <x:c r="C20" s="128"/>
      <x:c r="D20" s="128"/>
      <x:c r="E20" s="128"/>
      <x:c r="F20" s="128"/>
      <x:c r="G20" s="128"/>
      <x:c r="H20" s="128"/>
      <x:c r="I20" s="128"/>
      <x:c r="J20" s="128"/>
      <x:c r="K20" s="128"/>
      <x:c r="L20" s="128"/>
      <x:c r="M20" s="128"/>
      <x:c r="N20" s="125"/>
      <x:c r="O20" s="125"/>
      <x:c r="P20" s="125"/>
      <x:c r="Q20" s="125"/>
    </x:row>
    <x:row r="21">
      <x:c r="A21" s="128"/>
      <x:c r="B21" s="128"/>
      <x:c r="C21" s="128"/>
      <x:c r="D21" s="128"/>
      <x:c r="E21" s="128"/>
      <x:c r="F21" s="128"/>
      <x:c r="G21" s="128"/>
      <x:c r="H21" s="128"/>
      <x:c r="I21" s="128"/>
      <x:c r="J21" s="128"/>
      <x:c r="K21" s="128"/>
      <x:c r="L21" s="128"/>
      <x:c r="M21" s="128"/>
      <x:c r="N21" s="125"/>
      <x:c r="O21" s="125"/>
      <x:c r="P21" s="125"/>
      <x:c r="Q21" s="125"/>
    </x:row>
    <x:row r="22">
      <x:c r="A22" s="128"/>
      <x:c r="B22" s="128"/>
      <x:c r="C22" s="128"/>
      <x:c r="D22" s="128"/>
      <x:c r="E22" s="128"/>
      <x:c r="F22" s="128"/>
      <x:c r="G22" s="128"/>
      <x:c r="H22" s="128"/>
      <x:c r="I22" s="128"/>
      <x:c r="J22" s="128"/>
      <x:c r="K22" s="128"/>
      <x:c r="L22" s="128"/>
      <x:c r="M22" s="128"/>
      <x:c r="N22" s="125"/>
      <x:c r="O22" s="125"/>
      <x:c r="P22" s="125"/>
      <x:c r="Q22" s="125"/>
    </x:row>
    <x:row r="23">
      <x:c r="A23" s="128"/>
      <x:c r="B23" s="128"/>
      <x:c r="C23" s="128"/>
      <x:c r="D23" s="128"/>
      <x:c r="E23" s="128"/>
      <x:c r="F23" s="128"/>
      <x:c r="G23" s="128"/>
      <x:c r="H23" s="128"/>
      <x:c r="I23" s="128"/>
      <x:c r="J23" s="128"/>
      <x:c r="K23" s="128"/>
      <x:c r="L23" s="128"/>
      <x:c r="M23" s="128"/>
      <x:c r="N23" s="125"/>
      <x:c r="O23" s="125"/>
      <x:c r="P23" s="125"/>
      <x:c r="Q23" s="125"/>
    </x:row>
    <x:row r="24">
      <x:c r="A24" s="128"/>
      <x:c r="B24" s="128"/>
      <x:c r="C24" s="128"/>
      <x:c r="D24" s="128"/>
      <x:c r="E24" s="128"/>
      <x:c r="F24" s="128"/>
      <x:c r="G24" s="128"/>
      <x:c r="H24" s="128"/>
      <x:c r="I24" s="128"/>
      <x:c r="J24" s="128"/>
      <x:c r="K24" s="128"/>
      <x:c r="L24" s="128"/>
      <x:c r="M24" s="128"/>
      <x:c r="N24" s="125"/>
      <x:c r="O24" s="125"/>
      <x:c r="P24" s="125"/>
      <x:c r="Q24" s="125"/>
    </x:row>
    <x:row r="25">
      <x:c r="A25" s="128"/>
      <x:c r="B25" s="128"/>
      <x:c r="C25" s="128"/>
      <x:c r="D25" s="128"/>
      <x:c r="E25" s="128"/>
      <x:c r="F25" s="128"/>
      <x:c r="G25" s="128"/>
      <x:c r="H25" s="128"/>
      <x:c r="I25" s="128"/>
      <x:c r="J25" s="128"/>
      <x:c r="K25" s="128"/>
      <x:c r="L25" s="128"/>
      <x:c r="M25" s="128"/>
      <x:c r="N25" s="125"/>
      <x:c r="O25" s="125"/>
      <x:c r="P25" s="125"/>
      <x:c r="Q25" s="125"/>
    </x:row>
    <x:row r="26">
      <x:c r="A26" s="128"/>
      <x:c r="B26" s="128"/>
      <x:c r="C26" s="128"/>
      <x:c r="D26" s="128"/>
      <x:c r="E26" s="128"/>
      <x:c r="F26" s="128"/>
      <x:c r="G26" s="128"/>
      <x:c r="H26" s="128"/>
      <x:c r="I26" s="128"/>
      <x:c r="J26" s="128"/>
      <x:c r="K26" s="128"/>
      <x:c r="L26" s="128"/>
      <x:c r="M26" s="128"/>
      <x:c r="N26" s="125"/>
      <x:c r="O26" s="125"/>
      <x:c r="P26" s="125"/>
      <x:c r="Q26" s="125"/>
    </x:row>
    <x:row r="27">
      <x:c r="A27" s="128"/>
      <x:c r="B27" s="128"/>
      <x:c r="C27" s="128"/>
      <x:c r="D27" s="128"/>
      <x:c r="E27" s="128"/>
      <x:c r="F27" s="128"/>
      <x:c r="G27" s="128"/>
      <x:c r="H27" s="128"/>
      <x:c r="I27" s="128"/>
      <x:c r="J27" s="128"/>
      <x:c r="K27" s="128"/>
      <x:c r="L27" s="128"/>
      <x:c r="M27" s="128"/>
      <x:c r="N27" s="125"/>
      <x:c r="O27" s="125"/>
      <x:c r="P27" s="125"/>
      <x:c r="Q27" s="125"/>
    </x:row>
    <x:row r="28">
      <x:c r="A28" s="128"/>
      <x:c r="B28" s="128"/>
      <x:c r="C28" s="128"/>
      <x:c r="D28" s="128"/>
      <x:c r="E28" s="128"/>
      <x:c r="F28" s="128"/>
      <x:c r="G28" s="128"/>
      <x:c r="H28" s="128"/>
      <x:c r="I28" s="128"/>
      <x:c r="J28" s="128"/>
      <x:c r="K28" s="128"/>
      <x:c r="L28" s="128"/>
      <x:c r="M28" s="128"/>
      <x:c r="N28" s="125"/>
      <x:c r="O28" s="125"/>
      <x:c r="P28" s="125"/>
      <x:c r="Q28" s="125"/>
    </x:row>
    <x:row r="29">
      <x:c r="A29" s="128"/>
      <x:c r="B29" s="128"/>
      <x:c r="C29" s="128"/>
      <x:c r="D29" s="128"/>
      <x:c r="E29" s="128"/>
      <x:c r="F29" s="128"/>
      <x:c r="G29" s="128"/>
      <x:c r="H29" s="128"/>
      <x:c r="I29" s="128"/>
      <x:c r="J29" s="128"/>
      <x:c r="K29" s="128"/>
      <x:c r="L29" s="128"/>
      <x:c r="M29" s="128"/>
      <x:c r="N29" s="125"/>
      <x:c r="O29" s="125"/>
      <x:c r="P29" s="125"/>
      <x:c r="Q29" s="125"/>
    </x:row>
    <x:row r="30">
      <x:c r="A30" s="128"/>
      <x:c r="B30" s="128"/>
      <x:c r="C30" s="128"/>
      <x:c r="D30" s="128"/>
      <x:c r="E30" s="128"/>
      <x:c r="F30" s="128"/>
      <x:c r="G30" s="128"/>
      <x:c r="H30" s="128"/>
      <x:c r="I30" s="128"/>
      <x:c r="J30" s="128"/>
      <x:c r="K30" s="128"/>
      <x:c r="L30" s="128"/>
      <x:c r="M30" s="128"/>
      <x:c r="N30" s="125"/>
      <x:c r="O30" s="125"/>
      <x:c r="P30" s="125"/>
      <x:c r="Q30" s="125"/>
    </x:row>
    <x:row r="31">
      <x:c r="A31" s="128"/>
      <x:c r="B31" s="128"/>
      <x:c r="C31" s="128"/>
      <x:c r="D31" s="128"/>
      <x:c r="E31" s="128"/>
      <x:c r="F31" s="128"/>
      <x:c r="G31" s="128"/>
      <x:c r="H31" s="128"/>
      <x:c r="I31" s="128"/>
      <x:c r="J31" s="128"/>
      <x:c r="K31" s="128"/>
      <x:c r="L31" s="128"/>
      <x:c r="M31" s="128"/>
      <x:c r="N31" s="125"/>
      <x:c r="O31" s="125"/>
      <x:c r="P31" s="125"/>
      <x:c r="Q31" s="125"/>
    </x:row>
    <x:row r="32">
      <x:c r="A32" s="128"/>
      <x:c r="B32" s="128"/>
      <x:c r="C32" s="128"/>
      <x:c r="D32" s="128"/>
      <x:c r="E32" s="128"/>
      <x:c r="F32" s="128"/>
      <x:c r="G32" s="128"/>
      <x:c r="H32" s="128"/>
      <x:c r="I32" s="128"/>
      <x:c r="J32" s="128"/>
      <x:c r="K32" s="128"/>
      <x:c r="L32" s="128"/>
      <x:c r="M32" s="128"/>
      <x:c r="N32" s="125"/>
      <x:c r="O32" s="125"/>
      <x:c r="P32" s="125"/>
      <x:c r="Q32" s="125"/>
    </x:row>
    <x:row r="33">
      <x:c r="A33" s="128"/>
      <x:c r="B33" s="128"/>
      <x:c r="C33" s="128"/>
      <x:c r="D33" s="128"/>
      <x:c r="E33" s="128"/>
      <x:c r="F33" s="128"/>
      <x:c r="G33" s="128"/>
      <x:c r="H33" s="128"/>
      <x:c r="I33" s="128"/>
      <x:c r="J33" s="128"/>
      <x:c r="K33" s="128"/>
      <x:c r="L33" s="128"/>
      <x:c r="M33" s="128"/>
      <x:c r="N33" s="125"/>
      <x:c r="O33" s="125"/>
      <x:c r="P33" s="125"/>
      <x:c r="Q33" s="125"/>
    </x:row>
    <x:row r="34">
      <x:c r="A34" s="128"/>
      <x:c r="B34" s="128"/>
      <x:c r="C34" s="128"/>
      <x:c r="D34" s="128"/>
      <x:c r="E34" s="128"/>
      <x:c r="F34" s="128"/>
      <x:c r="G34" s="128"/>
      <x:c r="H34" s="128"/>
      <x:c r="I34" s="128"/>
      <x:c r="J34" s="128"/>
      <x:c r="K34" s="128"/>
      <x:c r="L34" s="128"/>
      <x:c r="M34" s="128"/>
      <x:c r="N34" s="125"/>
      <x:c r="O34" s="125"/>
      <x:c r="P34" s="125"/>
      <x:c r="Q34" s="125"/>
    </x:row>
    <x:row r="35">
      <x:c r="A35" s="128"/>
      <x:c r="B35" s="128"/>
      <x:c r="C35" s="128"/>
      <x:c r="D35" s="128"/>
      <x:c r="E35" s="128"/>
      <x:c r="F35" s="128"/>
      <x:c r="G35" s="128"/>
      <x:c r="H35" s="128"/>
      <x:c r="I35" s="128"/>
      <x:c r="J35" s="128"/>
      <x:c r="K35" s="128"/>
      <x:c r="L35" s="128"/>
      <x:c r="M35" s="128"/>
      <x:c r="N35" s="125"/>
      <x:c r="O35" s="125"/>
      <x:c r="P35" s="125"/>
      <x:c r="Q35" s="125"/>
    </x:row>
    <x:row r="36">
      <x:c r="A36" s="128"/>
      <x:c r="B36" s="128"/>
      <x:c r="C36" s="128"/>
      <x:c r="D36" s="128"/>
      <x:c r="E36" s="128"/>
      <x:c r="F36" s="128"/>
      <x:c r="G36" s="128"/>
      <x:c r="H36" s="128"/>
      <x:c r="I36" s="128"/>
      <x:c r="J36" s="128"/>
      <x:c r="K36" s="128"/>
      <x:c r="L36" s="128"/>
      <x:c r="M36" s="128"/>
      <x:c r="N36" s="125"/>
      <x:c r="O36" s="125"/>
      <x:c r="P36" s="125"/>
      <x:c r="Q36" s="125"/>
    </x:row>
    <x:row r="37">
      <x:c r="A37" s="128"/>
      <x:c r="B37" s="128"/>
      <x:c r="C37" s="128"/>
      <x:c r="D37" s="128"/>
      <x:c r="E37" s="128"/>
      <x:c r="F37" s="128"/>
      <x:c r="G37" s="128"/>
      <x:c r="H37" s="128"/>
      <x:c r="I37" s="128"/>
      <x:c r="J37" s="128"/>
      <x:c r="K37" s="128"/>
      <x:c r="L37" s="128"/>
      <x:c r="M37" s="128"/>
      <x:c r="N37" s="125"/>
      <x:c r="O37" s="125"/>
      <x:c r="P37" s="125"/>
      <x:c r="Q37" s="125"/>
    </x:row>
    <x:row r="38">
      <x:c r="A38" s="128"/>
      <x:c r="B38" s="128"/>
      <x:c r="C38" s="128"/>
      <x:c r="D38" s="128"/>
      <x:c r="E38" s="128"/>
      <x:c r="F38" s="128"/>
      <x:c r="G38" s="128"/>
      <x:c r="H38" s="128"/>
      <x:c r="I38" s="128"/>
      <x:c r="J38" s="128"/>
      <x:c r="K38" s="128"/>
      <x:c r="L38" s="128"/>
      <x:c r="M38" s="128"/>
      <x:c r="N38" s="125"/>
      <x:c r="O38" s="125"/>
      <x:c r="P38" s="125"/>
      <x:c r="Q38" s="125"/>
    </x:row>
    <x:row r="39">
      <x:c r="A39" s="128"/>
      <x:c r="B39" s="128"/>
      <x:c r="C39" s="128"/>
      <x:c r="D39" s="128"/>
      <x:c r="E39" s="128"/>
      <x:c r="F39" s="128"/>
      <x:c r="G39" s="128"/>
      <x:c r="H39" s="128"/>
      <x:c r="I39" s="128"/>
      <x:c r="J39" s="128"/>
      <x:c r="K39" s="128"/>
      <x:c r="L39" s="128"/>
      <x:c r="M39" s="128"/>
      <x:c r="N39" s="125"/>
      <x:c r="O39" s="125"/>
      <x:c r="P39" s="125"/>
      <x:c r="Q39" s="125"/>
    </x:row>
    <x:row r="40">
      <x:c r="A40" s="128"/>
      <x:c r="B40" s="128"/>
      <x:c r="C40" s="128"/>
      <x:c r="D40" s="128"/>
      <x:c r="E40" s="128"/>
      <x:c r="F40" s="128"/>
      <x:c r="G40" s="128"/>
      <x:c r="H40" s="128"/>
      <x:c r="I40" s="128"/>
      <x:c r="J40" s="128"/>
      <x:c r="K40" s="128"/>
      <x:c r="L40" s="128"/>
      <x:c r="M40" s="128"/>
      <x:c r="N40" s="125"/>
      <x:c r="O40" s="125"/>
      <x:c r="P40" s="125"/>
      <x:c r="Q40" s="125"/>
    </x:row>
    <x:row r="41">
      <x:c r="A41" s="128"/>
      <x:c r="B41" s="128"/>
      <x:c r="C41" s="128"/>
      <x:c r="D41" s="128"/>
      <x:c r="E41" s="128"/>
      <x:c r="F41" s="128"/>
      <x:c r="G41" s="128"/>
      <x:c r="H41" s="128"/>
      <x:c r="I41" s="128"/>
      <x:c r="J41" s="128"/>
      <x:c r="K41" s="128"/>
      <x:c r="L41" s="128"/>
      <x:c r="M41" s="128"/>
      <x:c r="N41" s="125"/>
      <x:c r="O41" s="125"/>
      <x:c r="P41" s="125"/>
      <x:c r="Q41" s="125"/>
    </x:row>
    <x:row r="42">
      <x:c r="A42" s="128"/>
      <x:c r="B42" s="128"/>
      <x:c r="C42" s="128"/>
      <x:c r="D42" s="128"/>
      <x:c r="E42" s="128"/>
      <x:c r="F42" s="128"/>
      <x:c r="G42" s="128"/>
      <x:c r="H42" s="128"/>
      <x:c r="I42" s="128"/>
      <x:c r="J42" s="128"/>
      <x:c r="K42" s="128"/>
      <x:c r="L42" s="128"/>
      <x:c r="M42" s="128"/>
      <x:c r="N42" s="125"/>
      <x:c r="O42" s="125"/>
      <x:c r="P42" s="125"/>
      <x:c r="Q42" s="125"/>
    </x:row>
    <x:row r="43">
      <x:c r="A43" s="128"/>
      <x:c r="B43" s="128"/>
      <x:c r="C43" s="128"/>
      <x:c r="D43" s="128"/>
      <x:c r="E43" s="128"/>
      <x:c r="F43" s="128"/>
      <x:c r="G43" s="128"/>
      <x:c r="H43" s="128"/>
      <x:c r="I43" s="128"/>
      <x:c r="J43" s="128"/>
      <x:c r="K43" s="128"/>
      <x:c r="L43" s="128"/>
      <x:c r="M43" s="128"/>
      <x:c r="N43" s="125"/>
      <x:c r="O43" s="125"/>
      <x:c r="P43" s="125"/>
      <x:c r="Q43" s="125"/>
    </x:row>
    <x:row r="44">
      <x:c r="A44" s="128"/>
      <x:c r="B44" s="128"/>
      <x:c r="C44" s="128"/>
      <x:c r="D44" s="128"/>
      <x:c r="E44" s="128"/>
      <x:c r="F44" s="128"/>
      <x:c r="G44" s="128"/>
      <x:c r="H44" s="128"/>
      <x:c r="I44" s="128"/>
      <x:c r="J44" s="128"/>
      <x:c r="K44" s="128"/>
      <x:c r="L44" s="128"/>
      <x:c r="M44" s="128"/>
      <x:c r="N44" s="125"/>
      <x:c r="O44" s="125"/>
      <x:c r="P44" s="125"/>
      <x:c r="Q44" s="125"/>
    </x:row>
    <x:row r="45">
      <x:c r="A45" s="128"/>
      <x:c r="B45" s="128"/>
      <x:c r="C45" s="128"/>
      <x:c r="D45" s="128"/>
      <x:c r="E45" s="128"/>
      <x:c r="F45" s="128"/>
      <x:c r="G45" s="128"/>
      <x:c r="H45" s="128"/>
      <x:c r="I45" s="128"/>
      <x:c r="J45" s="128"/>
      <x:c r="K45" s="128"/>
      <x:c r="L45" s="128"/>
      <x:c r="M45" s="128"/>
      <x:c r="N45" s="125"/>
      <x:c r="O45" s="125"/>
      <x:c r="P45" s="125"/>
      <x:c r="Q45" s="125"/>
    </x:row>
    <x:row r="46">
      <x:c r="A46" s="128"/>
      <x:c r="B46" s="128"/>
      <x:c r="C46" s="128"/>
      <x:c r="D46" s="128"/>
      <x:c r="E46" s="128"/>
      <x:c r="F46" s="128"/>
      <x:c r="G46" s="128"/>
      <x:c r="H46" s="128"/>
      <x:c r="I46" s="128"/>
      <x:c r="J46" s="128"/>
      <x:c r="K46" s="128"/>
      <x:c r="L46" s="128"/>
      <x:c r="M46" s="128"/>
      <x:c r="N46" s="125"/>
      <x:c r="O46" s="125"/>
      <x:c r="P46" s="125"/>
      <x:c r="Q46" s="125"/>
    </x:row>
    <x:row r="47">
      <x:c r="A47" s="128"/>
      <x:c r="B47" s="128"/>
      <x:c r="C47" s="128"/>
      <x:c r="D47" s="128"/>
      <x:c r="E47" s="128"/>
      <x:c r="F47" s="128"/>
      <x:c r="G47" s="128"/>
      <x:c r="H47" s="128"/>
      <x:c r="I47" s="128"/>
      <x:c r="J47" s="128"/>
      <x:c r="K47" s="128"/>
      <x:c r="L47" s="128"/>
      <x:c r="M47" s="128"/>
      <x:c r="N47" s="125"/>
      <x:c r="O47" s="125"/>
      <x:c r="P47" s="125"/>
      <x:c r="Q47" s="125"/>
    </x:row>
    <x:row r="48">
      <x:c r="A48" s="128"/>
      <x:c r="B48" s="128"/>
      <x:c r="C48" s="128"/>
      <x:c r="D48" s="128"/>
      <x:c r="E48" s="128"/>
      <x:c r="F48" s="128"/>
      <x:c r="G48" s="128"/>
      <x:c r="H48" s="128"/>
      <x:c r="I48" s="128"/>
      <x:c r="J48" s="128"/>
      <x:c r="K48" s="128"/>
      <x:c r="L48" s="128"/>
      <x:c r="M48" s="128"/>
      <x:c r="N48" s="125"/>
      <x:c r="O48" s="125"/>
      <x:c r="P48" s="125"/>
      <x:c r="Q48" s="125"/>
    </x:row>
    <x:row r="49">
      <x:c r="A49" s="128"/>
      <x:c r="B49" s="128"/>
      <x:c r="C49" s="128"/>
      <x:c r="D49" s="128"/>
      <x:c r="E49" s="128"/>
      <x:c r="F49" s="128"/>
      <x:c r="G49" s="128"/>
      <x:c r="H49" s="128"/>
      <x:c r="I49" s="128"/>
      <x:c r="J49" s="128"/>
      <x:c r="K49" s="128"/>
      <x:c r="L49" s="128"/>
      <x:c r="M49" s="128"/>
      <x:c r="N49" s="125"/>
      <x:c r="O49" s="125"/>
      <x:c r="P49" s="125"/>
      <x:c r="Q49" s="125"/>
    </x:row>
    <x:row r="50">
      <x:c r="A50" s="128"/>
      <x:c r="B50" s="128"/>
      <x:c r="C50" s="128"/>
      <x:c r="D50" s="128"/>
      <x:c r="E50" s="128"/>
      <x:c r="F50" s="128"/>
      <x:c r="G50" s="128"/>
      <x:c r="H50" s="128"/>
      <x:c r="I50" s="128"/>
      <x:c r="J50" s="128"/>
      <x:c r="K50" s="128"/>
      <x:c r="L50" s="128"/>
      <x:c r="M50" s="128"/>
      <x:c r="N50" s="125"/>
      <x:c r="O50" s="125"/>
      <x:c r="P50" s="125"/>
      <x:c r="Q50" s="125"/>
    </x:row>
    <x:row r="51">
      <x:c r="A51" s="128"/>
      <x:c r="B51" s="128"/>
      <x:c r="C51" s="128"/>
      <x:c r="D51" s="128"/>
      <x:c r="E51" s="128"/>
      <x:c r="F51" s="128"/>
      <x:c r="G51" s="128"/>
      <x:c r="H51" s="128"/>
      <x:c r="I51" s="128"/>
      <x:c r="J51" s="128"/>
      <x:c r="K51" s="128"/>
      <x:c r="L51" s="128"/>
      <x:c r="M51" s="128"/>
      <x:c r="N51" s="125"/>
      <x:c r="O51" s="125"/>
      <x:c r="P51" s="125"/>
      <x:c r="Q51" s="125"/>
    </x:row>
    <x:row r="52">
      <x:c r="A52" s="128"/>
      <x:c r="B52" s="128"/>
      <x:c r="C52" s="128"/>
      <x:c r="D52" s="128"/>
      <x:c r="E52" s="128"/>
      <x:c r="F52" s="128"/>
      <x:c r="G52" s="128"/>
      <x:c r="H52" s="128"/>
      <x:c r="I52" s="128"/>
      <x:c r="J52" s="128"/>
      <x:c r="K52" s="128"/>
      <x:c r="L52" s="128"/>
      <x:c r="M52" s="128"/>
      <x:c r="N52" s="125"/>
      <x:c r="O52" s="125"/>
      <x:c r="P52" s="125"/>
      <x:c r="Q52" s="125"/>
    </x:row>
    <x:row r="53">
      <x:c r="A53" s="128"/>
      <x:c r="B53" s="128"/>
      <x:c r="C53" s="128"/>
      <x:c r="D53" s="128"/>
      <x:c r="E53" s="128"/>
      <x:c r="F53" s="128"/>
      <x:c r="G53" s="128"/>
      <x:c r="H53" s="128"/>
      <x:c r="I53" s="128"/>
      <x:c r="J53" s="128"/>
      <x:c r="K53" s="128"/>
      <x:c r="L53" s="128"/>
      <x:c r="M53" s="128"/>
      <x:c r="N53" s="125"/>
      <x:c r="O53" s="125"/>
      <x:c r="P53" s="125"/>
      <x:c r="Q53" s="125"/>
    </x:row>
    <x:row r="54">
      <x:c r="A54" s="128"/>
      <x:c r="B54" s="128"/>
      <x:c r="C54" s="128"/>
      <x:c r="D54" s="128"/>
      <x:c r="E54" s="128"/>
      <x:c r="F54" s="128"/>
      <x:c r="G54" s="128"/>
      <x:c r="H54" s="128"/>
      <x:c r="I54" s="128"/>
      <x:c r="J54" s="128"/>
      <x:c r="K54" s="128"/>
      <x:c r="L54" s="128"/>
      <x:c r="M54" s="128"/>
      <x:c r="N54" s="125"/>
      <x:c r="O54" s="125"/>
      <x:c r="P54" s="125"/>
      <x:c r="Q54" s="125"/>
    </x:row>
    <x:row r="55">
      <x:c r="A55" s="128"/>
      <x:c r="B55" s="128"/>
      <x:c r="C55" s="128"/>
      <x:c r="D55" s="128"/>
      <x:c r="E55" s="128"/>
      <x:c r="F55" s="128"/>
      <x:c r="G55" s="128"/>
      <x:c r="H55" s="128"/>
      <x:c r="I55" s="128"/>
      <x:c r="J55" s="128"/>
      <x:c r="K55" s="128"/>
      <x:c r="L55" s="128"/>
      <x:c r="M55" s="128"/>
      <x:c r="N55" s="125"/>
      <x:c r="O55" s="125"/>
      <x:c r="P55" s="125"/>
      <x:c r="Q55" s="125"/>
    </x:row>
    <x:row r="56">
      <x:c r="A56" s="128"/>
      <x:c r="B56" s="128"/>
      <x:c r="C56" s="128"/>
      <x:c r="D56" s="128"/>
      <x:c r="E56" s="128"/>
      <x:c r="F56" s="128"/>
      <x:c r="G56" s="128"/>
      <x:c r="H56" s="128"/>
      <x:c r="I56" s="128"/>
      <x:c r="J56" s="128"/>
      <x:c r="K56" s="128"/>
      <x:c r="L56" s="128"/>
      <x:c r="M56" s="128"/>
      <x:c r="N56" s="125"/>
      <x:c r="O56" s="125"/>
      <x:c r="P56" s="125"/>
      <x:c r="Q56" s="125"/>
    </x:row>
    <x:row r="57">
      <x:c r="A57" s="128"/>
      <x:c r="B57" s="128"/>
      <x:c r="C57" s="128"/>
      <x:c r="D57" s="128"/>
      <x:c r="E57" s="128"/>
      <x:c r="F57" s="128"/>
      <x:c r="G57" s="128"/>
      <x:c r="H57" s="128"/>
      <x:c r="I57" s="128"/>
      <x:c r="J57" s="128"/>
      <x:c r="K57" s="128"/>
      <x:c r="L57" s="128"/>
      <x:c r="M57" s="128"/>
      <x:c r="N57" s="125"/>
      <x:c r="O57" s="125"/>
      <x:c r="P57" s="125"/>
      <x:c r="Q57" s="125"/>
    </x:row>
    <x:row r="58">
      <x:c r="A58" s="128"/>
      <x:c r="B58" s="128"/>
      <x:c r="C58" s="128"/>
      <x:c r="D58" s="128"/>
      <x:c r="E58" s="128"/>
      <x:c r="F58" s="128"/>
      <x:c r="G58" s="128"/>
      <x:c r="H58" s="128"/>
      <x:c r="I58" s="128"/>
      <x:c r="J58" s="128"/>
      <x:c r="K58" s="128"/>
      <x:c r="L58" s="128"/>
      <x:c r="M58" s="128"/>
      <x:c r="N58" s="125"/>
      <x:c r="O58" s="125"/>
      <x:c r="P58" s="125"/>
      <x:c r="Q58" s="125"/>
    </x:row>
    <x:row r="59">
      <x:c r="A59" s="128"/>
      <x:c r="B59" s="128"/>
      <x:c r="C59" s="128"/>
      <x:c r="D59" s="128"/>
      <x:c r="E59" s="128"/>
      <x:c r="F59" s="128"/>
      <x:c r="G59" s="128"/>
      <x:c r="H59" s="128"/>
      <x:c r="I59" s="128"/>
      <x:c r="J59" s="128"/>
      <x:c r="K59" s="128"/>
      <x:c r="L59" s="128"/>
      <x:c r="M59" s="128"/>
      <x:c r="N59" s="125"/>
      <x:c r="O59" s="125"/>
      <x:c r="P59" s="125"/>
      <x:c r="Q59" s="125"/>
    </x:row>
    <x:row r="60">
      <x:c r="A60" s="128"/>
      <x:c r="B60" s="128"/>
      <x:c r="C60" s="128"/>
      <x:c r="D60" s="128"/>
      <x:c r="E60" s="128"/>
      <x:c r="F60" s="128"/>
      <x:c r="G60" s="128"/>
      <x:c r="H60" s="128"/>
      <x:c r="I60" s="128"/>
      <x:c r="J60" s="128"/>
      <x:c r="K60" s="128"/>
      <x:c r="L60" s="128"/>
      <x:c r="M60" s="128"/>
      <x:c r="N60" s="125"/>
      <x:c r="O60" s="125"/>
      <x:c r="P60" s="125"/>
      <x:c r="Q60" s="125"/>
    </x:row>
    <x:row r="61">
      <x:c r="A61" s="128"/>
      <x:c r="B61" s="128"/>
      <x:c r="C61" s="128"/>
      <x:c r="D61" s="128"/>
      <x:c r="E61" s="128"/>
      <x:c r="F61" s="128"/>
      <x:c r="G61" s="128"/>
      <x:c r="H61" s="128"/>
      <x:c r="I61" s="128"/>
      <x:c r="J61" s="128"/>
      <x:c r="K61" s="128"/>
      <x:c r="L61" s="128"/>
      <x:c r="M61" s="128"/>
      <x:c r="N61" s="125"/>
      <x:c r="O61" s="125"/>
      <x:c r="P61" s="125"/>
      <x:c r="Q61" s="125"/>
    </x:row>
    <x:row r="62">
      <x:c r="A62" s="128"/>
      <x:c r="B62" s="128"/>
      <x:c r="C62" s="128"/>
      <x:c r="D62" s="128"/>
      <x:c r="E62" s="128"/>
      <x:c r="F62" s="128"/>
      <x:c r="G62" s="128"/>
      <x:c r="H62" s="128"/>
      <x:c r="I62" s="128"/>
      <x:c r="J62" s="128"/>
      <x:c r="K62" s="128"/>
      <x:c r="L62" s="128"/>
      <x:c r="M62" s="128"/>
      <x:c r="N62" s="125"/>
      <x:c r="O62" s="125"/>
      <x:c r="P62" s="125"/>
      <x:c r="Q62" s="125"/>
    </x:row>
    <x:row r="63">
      <x:c r="A63" s="128"/>
      <x:c r="B63" s="128"/>
      <x:c r="C63" s="128"/>
      <x:c r="D63" s="128"/>
      <x:c r="E63" s="128"/>
      <x:c r="F63" s="128"/>
      <x:c r="G63" s="128"/>
      <x:c r="H63" s="128"/>
      <x:c r="I63" s="128"/>
      <x:c r="J63" s="128"/>
      <x:c r="K63" s="128"/>
      <x:c r="L63" s="128"/>
      <x:c r="M63" s="128"/>
      <x:c r="N63" s="125"/>
      <x:c r="O63" s="125"/>
      <x:c r="P63" s="125"/>
      <x:c r="Q63" s="125"/>
    </x:row>
    <x:row r="64">
      <x:c r="A64" s="128"/>
      <x:c r="B64" s="128"/>
      <x:c r="C64" s="128"/>
      <x:c r="D64" s="128"/>
      <x:c r="E64" s="128"/>
      <x:c r="F64" s="128"/>
      <x:c r="G64" s="128"/>
      <x:c r="H64" s="128"/>
      <x:c r="I64" s="128"/>
      <x:c r="J64" s="128"/>
      <x:c r="K64" s="128"/>
      <x:c r="L64" s="128"/>
      <x:c r="M64" s="128"/>
      <x:c r="N64" s="125"/>
      <x:c r="O64" s="125"/>
      <x:c r="P64" s="125"/>
      <x:c r="Q64" s="125"/>
    </x:row>
    <x:row r="65">
      <x:c r="A65" s="128"/>
      <x:c r="B65" s="128"/>
      <x:c r="C65" s="128"/>
      <x:c r="D65" s="128"/>
      <x:c r="E65" s="128"/>
      <x:c r="F65" s="128"/>
      <x:c r="G65" s="128"/>
      <x:c r="H65" s="128"/>
      <x:c r="I65" s="128"/>
      <x:c r="J65" s="128"/>
      <x:c r="K65" s="128"/>
      <x:c r="L65" s="128"/>
      <x:c r="M65" s="128"/>
      <x:c r="N65" s="125"/>
      <x:c r="O65" s="125"/>
      <x:c r="P65" s="125"/>
      <x:c r="Q65" s="125"/>
    </x:row>
    <x:row r="66">
      <x:c r="A66" s="128"/>
      <x:c r="B66" s="128"/>
      <x:c r="C66" s="128"/>
      <x:c r="D66" s="128"/>
      <x:c r="E66" s="128"/>
      <x:c r="F66" s="128"/>
      <x:c r="G66" s="128"/>
      <x:c r="H66" s="128"/>
      <x:c r="I66" s="128"/>
      <x:c r="J66" s="128"/>
      <x:c r="K66" s="128"/>
      <x:c r="L66" s="128"/>
      <x:c r="M66" s="128"/>
      <x:c r="N66" s="125"/>
      <x:c r="O66" s="125"/>
      <x:c r="P66" s="125"/>
      <x:c r="Q66" s="125"/>
    </x:row>
    <x:row r="67">
      <x:c r="A67" s="128"/>
      <x:c r="B67" s="128"/>
      <x:c r="C67" s="128"/>
      <x:c r="D67" s="128"/>
      <x:c r="E67" s="128"/>
      <x:c r="F67" s="128"/>
      <x:c r="G67" s="128"/>
      <x:c r="H67" s="128"/>
      <x:c r="I67" s="128"/>
      <x:c r="J67" s="128"/>
      <x:c r="K67" s="128"/>
      <x:c r="L67" s="128"/>
      <x:c r="M67" s="128"/>
      <x:c r="N67" s="125"/>
      <x:c r="O67" s="125"/>
      <x:c r="P67" s="125"/>
      <x:c r="Q67" s="125"/>
    </x:row>
    <x:row r="68">
      <x:c r="A68" s="128"/>
      <x:c r="B68" s="128"/>
      <x:c r="C68" s="128"/>
      <x:c r="D68" s="128"/>
      <x:c r="E68" s="128"/>
      <x:c r="F68" s="128"/>
      <x:c r="G68" s="128"/>
      <x:c r="H68" s="128"/>
      <x:c r="I68" s="128"/>
      <x:c r="J68" s="128"/>
      <x:c r="K68" s="128"/>
      <x:c r="L68" s="128"/>
      <x:c r="M68" s="128"/>
      <x:c r="N68" s="125"/>
      <x:c r="O68" s="125"/>
      <x:c r="P68" s="125"/>
      <x:c r="Q68" s="125"/>
    </x:row>
    <x:row r="69">
      <x:c r="A69" s="128"/>
      <x:c r="B69" s="128"/>
      <x:c r="C69" s="128"/>
      <x:c r="D69" s="128"/>
      <x:c r="E69" s="128"/>
      <x:c r="F69" s="128"/>
      <x:c r="G69" s="128"/>
      <x:c r="H69" s="128"/>
      <x:c r="I69" s="128"/>
      <x:c r="J69" s="128"/>
      <x:c r="K69" s="128"/>
      <x:c r="L69" s="128"/>
      <x:c r="M69" s="128"/>
      <x:c r="N69" s="125"/>
      <x:c r="O69" s="125"/>
      <x:c r="P69" s="125"/>
      <x:c r="Q69" s="125"/>
    </x:row>
    <x:row r="70">
      <x:c r="A70" s="128"/>
      <x:c r="B70" s="128"/>
      <x:c r="C70" s="128"/>
      <x:c r="D70" s="128"/>
      <x:c r="E70" s="128"/>
      <x:c r="F70" s="128"/>
      <x:c r="G70" s="128"/>
      <x:c r="H70" s="128"/>
      <x:c r="I70" s="128"/>
      <x:c r="J70" s="128"/>
      <x:c r="K70" s="128"/>
      <x:c r="L70" s="128"/>
      <x:c r="M70" s="128"/>
      <x:c r="N70" s="125"/>
      <x:c r="O70" s="125"/>
      <x:c r="P70" s="125"/>
      <x:c r="Q70" s="125"/>
    </x:row>
    <x:row r="71">
      <x:c r="A71" s="128"/>
      <x:c r="B71" s="128"/>
      <x:c r="C71" s="128"/>
      <x:c r="D71" s="128"/>
      <x:c r="E71" s="128"/>
      <x:c r="F71" s="128"/>
      <x:c r="G71" s="128"/>
      <x:c r="H71" s="128"/>
      <x:c r="I71" s="128"/>
      <x:c r="J71" s="128"/>
      <x:c r="K71" s="128"/>
      <x:c r="L71" s="128"/>
      <x:c r="M71" s="128"/>
      <x:c r="N71" s="125"/>
      <x:c r="O71" s="125"/>
      <x:c r="P71" s="125"/>
      <x:c r="Q71" s="125"/>
    </x:row>
    <x:row r="72">
      <x:c r="A72" s="128"/>
      <x:c r="B72" s="128"/>
      <x:c r="C72" s="128"/>
      <x:c r="D72" s="128"/>
      <x:c r="E72" s="128"/>
      <x:c r="F72" s="128"/>
      <x:c r="G72" s="128"/>
      <x:c r="H72" s="128"/>
      <x:c r="I72" s="128"/>
      <x:c r="J72" s="128"/>
      <x:c r="K72" s="128"/>
      <x:c r="L72" s="128"/>
      <x:c r="M72" s="128"/>
      <x:c r="N72" s="125"/>
      <x:c r="O72" s="125"/>
      <x:c r="P72" s="125"/>
      <x:c r="Q72" s="125"/>
    </x:row>
    <x:row r="73">
      <x:c r="A73" s="128"/>
      <x:c r="B73" s="128"/>
      <x:c r="C73" s="128"/>
      <x:c r="D73" s="128"/>
      <x:c r="E73" s="128"/>
      <x:c r="F73" s="128"/>
      <x:c r="G73" s="128"/>
      <x:c r="H73" s="128"/>
      <x:c r="I73" s="128"/>
      <x:c r="J73" s="128"/>
      <x:c r="K73" s="128"/>
      <x:c r="L73" s="128"/>
      <x:c r="M73" s="128"/>
      <x:c r="N73" s="125"/>
      <x:c r="O73" s="125"/>
      <x:c r="P73" s="125"/>
      <x:c r="Q73" s="125"/>
    </x:row>
    <x:row r="74">
      <x:c r="A74" s="128"/>
      <x:c r="B74" s="128"/>
      <x:c r="C74" s="128"/>
      <x:c r="D74" s="128"/>
      <x:c r="E74" s="128"/>
      <x:c r="F74" s="128"/>
      <x:c r="G74" s="128"/>
      <x:c r="H74" s="128"/>
      <x:c r="I74" s="128"/>
      <x:c r="J74" s="128"/>
      <x:c r="K74" s="128"/>
      <x:c r="L74" s="128"/>
      <x:c r="M74" s="128"/>
      <x:c r="N74" s="125"/>
      <x:c r="O74" s="125"/>
      <x:c r="P74" s="125"/>
      <x:c r="Q74" s="125"/>
    </x:row>
    <x:row r="75">
      <x:c r="A75" s="128"/>
      <x:c r="B75" s="128"/>
      <x:c r="C75" s="128"/>
      <x:c r="D75" s="128"/>
      <x:c r="E75" s="128"/>
      <x:c r="F75" s="128"/>
      <x:c r="G75" s="128"/>
      <x:c r="H75" s="128"/>
      <x:c r="I75" s="128"/>
      <x:c r="J75" s="128"/>
      <x:c r="K75" s="128"/>
      <x:c r="L75" s="128"/>
      <x:c r="M75" s="128"/>
      <x:c r="N75" s="125"/>
      <x:c r="O75" s="125"/>
      <x:c r="P75" s="125"/>
      <x:c r="Q75" s="125"/>
    </x:row>
    <x:row r="76">
      <x:c r="A76" s="128"/>
      <x:c r="B76" s="128"/>
      <x:c r="C76" s="128"/>
      <x:c r="D76" s="128"/>
      <x:c r="E76" s="128"/>
      <x:c r="F76" s="128"/>
      <x:c r="G76" s="128"/>
      <x:c r="H76" s="128"/>
      <x:c r="I76" s="128"/>
      <x:c r="J76" s="128"/>
      <x:c r="K76" s="128"/>
      <x:c r="L76" s="128"/>
      <x:c r="M76" s="128"/>
      <x:c r="N76" s="125"/>
      <x:c r="O76" s="125"/>
      <x:c r="P76" s="125"/>
      <x:c r="Q76" s="125"/>
    </x:row>
    <x:row r="77">
      <x:c r="A77" s="128"/>
      <x:c r="B77" s="128"/>
      <x:c r="C77" s="128"/>
      <x:c r="D77" s="128"/>
      <x:c r="E77" s="128"/>
      <x:c r="F77" s="128"/>
      <x:c r="G77" s="128"/>
      <x:c r="H77" s="128"/>
      <x:c r="I77" s="128"/>
      <x:c r="J77" s="128"/>
      <x:c r="K77" s="128"/>
      <x:c r="L77" s="128"/>
      <x:c r="M77" s="128"/>
      <x:c r="N77" s="125"/>
      <x:c r="O77" s="125"/>
      <x:c r="P77" s="125"/>
      <x:c r="Q77" s="125"/>
    </x:row>
    <x:row r="78">
      <x:c r="A78" s="128"/>
      <x:c r="B78" s="128"/>
      <x:c r="C78" s="128"/>
      <x:c r="D78" s="128"/>
      <x:c r="E78" s="128"/>
      <x:c r="F78" s="128"/>
      <x:c r="G78" s="128"/>
      <x:c r="H78" s="128"/>
      <x:c r="I78" s="128"/>
      <x:c r="J78" s="128"/>
      <x:c r="K78" s="128"/>
      <x:c r="L78" s="128"/>
      <x:c r="M78" s="128"/>
      <x:c r="N78" s="125"/>
      <x:c r="O78" s="125"/>
      <x:c r="P78" s="125"/>
      <x:c r="Q78" s="125"/>
    </x:row>
    <x:row r="79">
      <x:c r="A79" s="128"/>
      <x:c r="B79" s="128"/>
      <x:c r="C79" s="128"/>
      <x:c r="D79" s="128"/>
      <x:c r="E79" s="128"/>
      <x:c r="F79" s="128"/>
      <x:c r="G79" s="128"/>
      <x:c r="H79" s="128"/>
      <x:c r="I79" s="128"/>
      <x:c r="J79" s="128"/>
      <x:c r="K79" s="128"/>
      <x:c r="L79" s="128"/>
      <x:c r="M79" s="128"/>
      <x:c r="N79" s="125"/>
      <x:c r="O79" s="125"/>
      <x:c r="P79" s="125"/>
      <x:c r="Q79" s="125"/>
    </x:row>
    <x:row r="80">
      <x:c r="A80" s="128"/>
      <x:c r="B80" s="128"/>
      <x:c r="C80" s="128"/>
      <x:c r="D80" s="128"/>
      <x:c r="E80" s="128"/>
      <x:c r="F80" s="128"/>
      <x:c r="G80" s="128"/>
      <x:c r="H80" s="128"/>
      <x:c r="I80" s="128"/>
      <x:c r="J80" s="128"/>
      <x:c r="K80" s="128"/>
      <x:c r="L80" s="128"/>
      <x:c r="M80" s="128"/>
      <x:c r="N80" s="125"/>
      <x:c r="O80" s="125"/>
      <x:c r="P80" s="125"/>
      <x:c r="Q80" s="125"/>
    </x:row>
    <x:row r="81">
      <x:c r="A81" s="128"/>
      <x:c r="B81" s="128"/>
      <x:c r="C81" s="128"/>
      <x:c r="D81" s="128"/>
      <x:c r="E81" s="128"/>
      <x:c r="F81" s="128"/>
      <x:c r="G81" s="128"/>
      <x:c r="H81" s="128"/>
      <x:c r="I81" s="128"/>
      <x:c r="J81" s="128"/>
      <x:c r="K81" s="128"/>
      <x:c r="L81" s="128"/>
      <x:c r="M81" s="128"/>
      <x:c r="N81" s="125"/>
      <x:c r="O81" s="125"/>
      <x:c r="P81" s="125"/>
      <x:c r="Q81" s="125"/>
    </x:row>
    <x:row r="82">
      <x:c r="A82" s="128"/>
      <x:c r="B82" s="128"/>
      <x:c r="C82" s="128"/>
      <x:c r="D82" s="128"/>
      <x:c r="E82" s="128"/>
      <x:c r="F82" s="128"/>
      <x:c r="G82" s="128"/>
      <x:c r="H82" s="128"/>
      <x:c r="I82" s="128"/>
      <x:c r="J82" s="128"/>
      <x:c r="K82" s="128"/>
      <x:c r="L82" s="128"/>
      <x:c r="M82" s="128"/>
      <x:c r="N82" s="125"/>
      <x:c r="O82" s="125"/>
      <x:c r="P82" s="125"/>
      <x:c r="Q82" s="125"/>
    </x:row>
    <x:row r="83">
      <x:c r="A83" s="128"/>
      <x:c r="B83" s="128"/>
      <x:c r="C83" s="128"/>
      <x:c r="D83" s="128"/>
      <x:c r="E83" s="128"/>
      <x:c r="F83" s="128"/>
      <x:c r="G83" s="128"/>
      <x:c r="H83" s="128"/>
      <x:c r="I83" s="128"/>
      <x:c r="J83" s="128"/>
      <x:c r="K83" s="128"/>
      <x:c r="L83" s="128"/>
      <x:c r="M83" s="128"/>
      <x:c r="N83" s="125"/>
      <x:c r="O83" s="125"/>
      <x:c r="P83" s="125"/>
      <x:c r="Q83" s="125"/>
    </x:row>
    <x:row r="84">
      <x:c r="A84" s="128"/>
      <x:c r="B84" s="128"/>
      <x:c r="C84" s="128"/>
      <x:c r="D84" s="128"/>
      <x:c r="E84" s="128"/>
      <x:c r="F84" s="128"/>
      <x:c r="G84" s="128"/>
      <x:c r="H84" s="128"/>
      <x:c r="I84" s="128"/>
      <x:c r="J84" s="128"/>
      <x:c r="K84" s="128"/>
      <x:c r="L84" s="128"/>
      <x:c r="M84" s="128"/>
      <x:c r="N84" s="125"/>
      <x:c r="O84" s="125"/>
      <x:c r="P84" s="125"/>
      <x:c r="Q84" s="125"/>
    </x:row>
    <x:row r="85">
      <x:c r="A85" s="128"/>
      <x:c r="B85" s="128"/>
      <x:c r="C85" s="128"/>
      <x:c r="D85" s="128"/>
      <x:c r="E85" s="128"/>
      <x:c r="F85" s="128"/>
      <x:c r="G85" s="128"/>
      <x:c r="H85" s="128"/>
      <x:c r="I85" s="128"/>
      <x:c r="J85" s="128"/>
      <x:c r="K85" s="128"/>
      <x:c r="L85" s="128"/>
      <x:c r="M85" s="128"/>
      <x:c r="N85" s="125"/>
      <x:c r="O85" s="125"/>
      <x:c r="P85" s="125"/>
      <x:c r="Q85" s="125"/>
    </x:row>
    <x:row r="86">
      <x:c r="A86" s="128"/>
      <x:c r="B86" s="128"/>
      <x:c r="C86" s="128"/>
      <x:c r="D86" s="128"/>
      <x:c r="E86" s="128"/>
      <x:c r="F86" s="128"/>
      <x:c r="G86" s="128"/>
      <x:c r="H86" s="128"/>
      <x:c r="I86" s="128"/>
      <x:c r="J86" s="128"/>
      <x:c r="K86" s="128"/>
      <x:c r="L86" s="128"/>
      <x:c r="M86" s="128"/>
      <x:c r="N86" s="125"/>
      <x:c r="O86" s="125"/>
      <x:c r="P86" s="125"/>
      <x:c r="Q86" s="125"/>
    </x:row>
    <x:row r="87">
      <x:c r="A87" s="128"/>
      <x:c r="B87" s="128"/>
      <x:c r="C87" s="128"/>
      <x:c r="D87" s="128"/>
      <x:c r="E87" s="128"/>
      <x:c r="F87" s="128"/>
      <x:c r="G87" s="128"/>
      <x:c r="H87" s="128"/>
      <x:c r="I87" s="128"/>
      <x:c r="J87" s="128"/>
      <x:c r="K87" s="128"/>
      <x:c r="L87" s="128"/>
      <x:c r="M87" s="128"/>
      <x:c r="N87" s="125"/>
      <x:c r="O87" s="125"/>
      <x:c r="P87" s="125"/>
      <x:c r="Q87" s="125"/>
    </x:row>
    <x:row r="88">
      <x:c r="A88" s="128"/>
      <x:c r="B88" s="128"/>
      <x:c r="C88" s="128"/>
      <x:c r="D88" s="128"/>
      <x:c r="E88" s="128"/>
      <x:c r="F88" s="128"/>
      <x:c r="G88" s="128"/>
      <x:c r="H88" s="128"/>
      <x:c r="I88" s="128"/>
      <x:c r="J88" s="128"/>
      <x:c r="K88" s="128"/>
      <x:c r="L88" s="128"/>
      <x:c r="M88" s="128"/>
      <x:c r="N88" s="125"/>
      <x:c r="O88" s="125"/>
      <x:c r="P88" s="125"/>
      <x:c r="Q88" s="125"/>
    </x:row>
    <x:row r="89">
      <x:c r="A89" s="128"/>
      <x:c r="B89" s="128"/>
      <x:c r="C89" s="128"/>
      <x:c r="D89" s="128"/>
      <x:c r="E89" s="128"/>
      <x:c r="F89" s="128"/>
      <x:c r="G89" s="128"/>
      <x:c r="H89" s="128"/>
      <x:c r="I89" s="128"/>
      <x:c r="J89" s="128"/>
      <x:c r="K89" s="128"/>
      <x:c r="L89" s="128"/>
      <x:c r="M89" s="128"/>
      <x:c r="N89" s="125"/>
      <x:c r="O89" s="125"/>
      <x:c r="P89" s="125"/>
      <x:c r="Q89" s="125"/>
    </x:row>
    <x:row r="90">
      <x:c r="A90" s="128"/>
      <x:c r="B90" s="128"/>
      <x:c r="C90" s="128"/>
      <x:c r="D90" s="128"/>
      <x:c r="E90" s="128"/>
      <x:c r="F90" s="128"/>
      <x:c r="G90" s="128"/>
      <x:c r="H90" s="128"/>
      <x:c r="I90" s="128"/>
      <x:c r="J90" s="128"/>
      <x:c r="K90" s="128"/>
      <x:c r="L90" s="128"/>
      <x:c r="M90" s="128"/>
      <x:c r="N90" s="125"/>
      <x:c r="O90" s="125"/>
      <x:c r="P90" s="125"/>
      <x:c r="Q90" s="125"/>
    </x:row>
    <x:row r="91">
      <x:c r="A91" s="128"/>
      <x:c r="B91" s="128"/>
      <x:c r="C91" s="128"/>
      <x:c r="D91" s="128"/>
      <x:c r="E91" s="128"/>
      <x:c r="F91" s="128"/>
      <x:c r="G91" s="128"/>
      <x:c r="H91" s="128"/>
      <x:c r="I91" s="128"/>
      <x:c r="J91" s="128"/>
      <x:c r="K91" s="128"/>
      <x:c r="L91" s="128"/>
      <x:c r="M91" s="128"/>
      <x:c r="N91" s="125"/>
      <x:c r="O91" s="125"/>
      <x:c r="P91" s="125"/>
      <x:c r="Q91" s="125"/>
    </x:row>
    <x:row r="92">
      <x:c r="A92" s="128"/>
      <x:c r="B92" s="128"/>
      <x:c r="C92" s="128"/>
      <x:c r="D92" s="128"/>
      <x:c r="E92" s="128"/>
      <x:c r="F92" s="128"/>
      <x:c r="G92" s="128"/>
      <x:c r="H92" s="128"/>
      <x:c r="I92" s="128"/>
      <x:c r="J92" s="128"/>
      <x:c r="K92" s="128"/>
      <x:c r="L92" s="128"/>
      <x:c r="M92" s="128"/>
      <x:c r="N92" s="125"/>
      <x:c r="O92" s="125"/>
      <x:c r="P92" s="125"/>
      <x:c r="Q92" s="125"/>
    </x:row>
    <x:row r="93">
      <x:c r="A93" s="128"/>
      <x:c r="B93" s="128"/>
      <x:c r="C93" s="128"/>
      <x:c r="D93" s="128"/>
      <x:c r="E93" s="128"/>
      <x:c r="F93" s="128"/>
      <x:c r="G93" s="128"/>
      <x:c r="H93" s="128"/>
      <x:c r="I93" s="128"/>
      <x:c r="J93" s="128"/>
      <x:c r="K93" s="128"/>
      <x:c r="L93" s="128"/>
      <x:c r="M93" s="128"/>
      <x:c r="N93" s="125"/>
      <x:c r="O93" s="125"/>
      <x:c r="P93" s="125"/>
      <x:c r="Q93" s="125"/>
    </x:row>
    <x:row r="94">
      <x:c r="A94" s="128"/>
      <x:c r="B94" s="128"/>
      <x:c r="C94" s="128"/>
      <x:c r="D94" s="128"/>
      <x:c r="E94" s="128"/>
      <x:c r="F94" s="128"/>
      <x:c r="G94" s="128"/>
      <x:c r="H94" s="128"/>
      <x:c r="I94" s="128"/>
      <x:c r="J94" s="128"/>
      <x:c r="K94" s="128"/>
      <x:c r="L94" s="128"/>
      <x:c r="M94" s="128"/>
      <x:c r="N94" s="125"/>
      <x:c r="O94" s="125"/>
      <x:c r="P94" s="125"/>
      <x:c r="Q94" s="125"/>
    </x:row>
    <x:row r="95">
      <x:c r="A95" s="128"/>
      <x:c r="B95" s="128"/>
      <x:c r="C95" s="128"/>
      <x:c r="D95" s="128"/>
      <x:c r="E95" s="128"/>
      <x:c r="F95" s="128"/>
      <x:c r="G95" s="128"/>
      <x:c r="H95" s="128"/>
      <x:c r="I95" s="128"/>
      <x:c r="J95" s="128"/>
      <x:c r="K95" s="128"/>
      <x:c r="L95" s="128"/>
      <x:c r="M95" s="128"/>
      <x:c r="N95" s="125"/>
      <x:c r="O95" s="125"/>
      <x:c r="P95" s="125"/>
      <x:c r="Q95" s="125"/>
    </x:row>
    <x:row r="96">
      <x:c r="A96" s="128"/>
      <x:c r="B96" s="128"/>
      <x:c r="C96" s="128"/>
      <x:c r="D96" s="128"/>
      <x:c r="E96" s="128"/>
      <x:c r="F96" s="128"/>
      <x:c r="G96" s="128"/>
      <x:c r="H96" s="128"/>
      <x:c r="I96" s="128"/>
      <x:c r="J96" s="128"/>
      <x:c r="K96" s="128"/>
      <x:c r="L96" s="128"/>
      <x:c r="M96" s="128"/>
      <x:c r="N96" s="125"/>
      <x:c r="O96" s="125"/>
      <x:c r="P96" s="125"/>
      <x:c r="Q96" s="125"/>
    </x:row>
    <x:row r="97">
      <x:c r="A97" s="128"/>
      <x:c r="B97" s="128"/>
      <x:c r="C97" s="128"/>
      <x:c r="D97" s="128"/>
      <x:c r="E97" s="128"/>
      <x:c r="F97" s="128"/>
      <x:c r="G97" s="128"/>
      <x:c r="H97" s="128"/>
      <x:c r="I97" s="128"/>
      <x:c r="J97" s="128"/>
      <x:c r="K97" s="128"/>
      <x:c r="L97" s="128"/>
      <x:c r="M97" s="128"/>
      <x:c r="N97" s="125"/>
      <x:c r="O97" s="125"/>
      <x:c r="P97" s="125"/>
      <x:c r="Q97" s="125"/>
    </x:row>
    <x:row r="98">
      <x:c r="A98" s="128"/>
      <x:c r="B98" s="128"/>
      <x:c r="C98" s="128"/>
      <x:c r="D98" s="128"/>
      <x:c r="E98" s="128"/>
      <x:c r="F98" s="128"/>
      <x:c r="G98" s="128"/>
      <x:c r="H98" s="128"/>
      <x:c r="I98" s="128"/>
      <x:c r="J98" s="128"/>
      <x:c r="K98" s="128"/>
      <x:c r="L98" s="128"/>
      <x:c r="M98" s="128"/>
      <x:c r="N98" s="125"/>
      <x:c r="O98" s="125"/>
      <x:c r="P98" s="125"/>
      <x:c r="Q98" s="125"/>
    </x:row>
    <x:row r="99">
      <x:c r="A99" s="128"/>
      <x:c r="B99" s="128"/>
      <x:c r="C99" s="128"/>
      <x:c r="D99" s="128"/>
      <x:c r="E99" s="128"/>
      <x:c r="F99" s="128"/>
      <x:c r="G99" s="128"/>
      <x:c r="H99" s="128"/>
      <x:c r="I99" s="128"/>
      <x:c r="J99" s="128"/>
      <x:c r="K99" s="128"/>
      <x:c r="L99" s="128"/>
      <x:c r="M99" s="128"/>
      <x:c r="N99" s="125"/>
      <x:c r="O99" s="125"/>
      <x:c r="P99" s="125"/>
      <x:c r="Q99" s="125"/>
    </x:row>
    <x:row r="100">
      <x:c r="A100" s="128"/>
      <x:c r="B100" s="128"/>
      <x:c r="C100" s="128"/>
      <x:c r="D100" s="128"/>
      <x:c r="E100" s="128"/>
      <x:c r="F100" s="128"/>
      <x:c r="G100" s="128"/>
      <x:c r="H100" s="128"/>
      <x:c r="I100" s="128"/>
      <x:c r="J100" s="128"/>
      <x:c r="K100" s="128"/>
      <x:c r="L100" s="128"/>
      <x:c r="M100" s="128"/>
      <x:c r="N100" s="125"/>
      <x:c r="O100" s="125"/>
      <x:c r="P100" s="125"/>
      <x:c r="Q100" s="125"/>
    </x:row>
    <x:row r="101">
      <x:c r="A101" s="128"/>
      <x:c r="B101" s="128"/>
      <x:c r="C101" s="128"/>
      <x:c r="D101" s="128"/>
      <x:c r="E101" s="128"/>
      <x:c r="F101" s="128"/>
      <x:c r="G101" s="128"/>
      <x:c r="H101" s="128"/>
      <x:c r="I101" s="128"/>
      <x:c r="J101" s="128"/>
      <x:c r="K101" s="128"/>
      <x:c r="L101" s="128"/>
      <x:c r="M101" s="128"/>
      <x:c r="N101" s="125"/>
      <x:c r="O101" s="125"/>
      <x:c r="P101" s="125"/>
      <x:c r="Q101" s="125"/>
    </x:row>
    <x:row r="102">
      <x:c r="A102" s="128"/>
      <x:c r="B102" s="128"/>
      <x:c r="C102" s="128"/>
      <x:c r="D102" s="128"/>
      <x:c r="E102" s="128"/>
      <x:c r="F102" s="128"/>
      <x:c r="G102" s="128"/>
      <x:c r="H102" s="128"/>
      <x:c r="I102" s="128"/>
      <x:c r="J102" s="128"/>
      <x:c r="K102" s="128"/>
      <x:c r="L102" s="128"/>
      <x:c r="M102" s="128"/>
      <x:c r="N102" s="125"/>
      <x:c r="O102" s="125"/>
      <x:c r="P102" s="125"/>
      <x:c r="Q102" s="125"/>
    </x:row>
    <x:row r="103">
      <x:c r="A103" s="128"/>
      <x:c r="B103" s="128"/>
      <x:c r="C103" s="128"/>
      <x:c r="D103" s="128"/>
      <x:c r="E103" s="128"/>
      <x:c r="F103" s="128"/>
      <x:c r="G103" s="128"/>
      <x:c r="H103" s="128"/>
      <x:c r="I103" s="128"/>
      <x:c r="J103" s="128"/>
      <x:c r="K103" s="128"/>
      <x:c r="L103" s="128"/>
      <x:c r="M103" s="128"/>
      <x:c r="N103" s="125"/>
      <x:c r="O103" s="125"/>
      <x:c r="P103" s="125"/>
      <x:c r="Q103" s="125"/>
    </x:row>
    <x:row r="104">
      <x:c r="A104" s="128"/>
      <x:c r="B104" s="128"/>
      <x:c r="C104" s="128"/>
      <x:c r="D104" s="128"/>
      <x:c r="E104" s="128"/>
      <x:c r="F104" s="128"/>
      <x:c r="G104" s="128"/>
      <x:c r="H104" s="128"/>
      <x:c r="I104" s="128"/>
      <x:c r="J104" s="128"/>
      <x:c r="K104" s="128"/>
      <x:c r="L104" s="128"/>
      <x:c r="M104" s="128"/>
      <x:c r="N104" s="125"/>
      <x:c r="O104" s="125"/>
      <x:c r="P104" s="125"/>
      <x:c r="Q104" s="125"/>
    </x:row>
    <x:row r="105">
      <x:c r="A105" s="128"/>
      <x:c r="B105" s="128"/>
      <x:c r="C105" s="128"/>
      <x:c r="D105" s="128"/>
      <x:c r="E105" s="128"/>
      <x:c r="F105" s="128"/>
      <x:c r="G105" s="128"/>
      <x:c r="H105" s="128"/>
      <x:c r="I105" s="128"/>
      <x:c r="J105" s="128"/>
      <x:c r="K105" s="128"/>
      <x:c r="L105" s="128"/>
      <x:c r="M105" s="128"/>
      <x:c r="N105" s="125"/>
      <x:c r="O105" s="125"/>
      <x:c r="P105" s="125"/>
      <x:c r="Q105" s="125"/>
    </x:row>
    <x:row r="106">
      <x:c r="A106" s="128"/>
      <x:c r="B106" s="128"/>
      <x:c r="C106" s="128"/>
      <x:c r="D106" s="128"/>
      <x:c r="E106" s="128"/>
      <x:c r="F106" s="128"/>
      <x:c r="G106" s="128"/>
      <x:c r="H106" s="128"/>
      <x:c r="I106" s="128"/>
      <x:c r="J106" s="128"/>
      <x:c r="K106" s="128"/>
      <x:c r="L106" s="128"/>
      <x:c r="M106" s="128"/>
      <x:c r="N106" s="125"/>
      <x:c r="O106" s="125"/>
      <x:c r="P106" s="125"/>
      <x:c r="Q106" s="125"/>
    </x:row>
    <x:row r="107">
      <x:c r="A107" s="128"/>
      <x:c r="B107" s="128"/>
      <x:c r="C107" s="128"/>
      <x:c r="D107" s="128"/>
      <x:c r="E107" s="128"/>
      <x:c r="F107" s="128"/>
      <x:c r="G107" s="128"/>
      <x:c r="H107" s="128"/>
      <x:c r="I107" s="128"/>
      <x:c r="J107" s="128"/>
      <x:c r="K107" s="128"/>
      <x:c r="L107" s="128"/>
      <x:c r="M107" s="128"/>
      <x:c r="N107" s="125"/>
      <x:c r="O107" s="125"/>
      <x:c r="P107" s="125"/>
      <x:c r="Q107" s="125"/>
    </x:row>
    <x:row r="108">
      <x:c r="A108" s="128"/>
      <x:c r="B108" s="128"/>
      <x:c r="C108" s="128"/>
      <x:c r="D108" s="128"/>
      <x:c r="E108" s="128"/>
      <x:c r="F108" s="128"/>
      <x:c r="G108" s="128"/>
      <x:c r="H108" s="128"/>
      <x:c r="I108" s="128"/>
      <x:c r="J108" s="128"/>
      <x:c r="K108" s="128"/>
      <x:c r="L108" s="128"/>
      <x:c r="M108" s="128"/>
      <x:c r="N108" s="125"/>
      <x:c r="O108" s="125"/>
      <x:c r="P108" s="125"/>
      <x:c r="Q108" s="125"/>
    </x:row>
    <x:row r="109">
      <x:c r="A109" s="128"/>
      <x:c r="B109" s="128"/>
      <x:c r="C109" s="128"/>
      <x:c r="D109" s="128"/>
      <x:c r="E109" s="128"/>
      <x:c r="F109" s="128"/>
      <x:c r="G109" s="128"/>
      <x:c r="H109" s="128"/>
      <x:c r="I109" s="128"/>
      <x:c r="J109" s="128"/>
      <x:c r="K109" s="128"/>
      <x:c r="L109" s="128"/>
      <x:c r="M109" s="128"/>
      <x:c r="N109" s="125"/>
      <x:c r="O109" s="125"/>
      <x:c r="P109" s="125"/>
      <x:c r="Q109" s="125"/>
    </x:row>
    <x:row r="110">
      <x:c r="A110" s="128"/>
      <x:c r="B110" s="128"/>
      <x:c r="C110" s="128"/>
      <x:c r="D110" s="128"/>
      <x:c r="E110" s="128"/>
      <x:c r="F110" s="128"/>
      <x:c r="G110" s="128"/>
      <x:c r="H110" s="128"/>
      <x:c r="I110" s="128"/>
      <x:c r="J110" s="128"/>
      <x:c r="K110" s="128"/>
      <x:c r="L110" s="128"/>
      <x:c r="M110" s="128"/>
      <x:c r="N110" s="125"/>
      <x:c r="O110" s="125"/>
      <x:c r="P110" s="125"/>
      <x:c r="Q110" s="125"/>
    </x:row>
    <x:row r="111">
      <x:c r="A111" s="128"/>
      <x:c r="B111" s="128"/>
      <x:c r="C111" s="128"/>
      <x:c r="D111" s="128"/>
      <x:c r="E111" s="128"/>
      <x:c r="F111" s="128"/>
      <x:c r="G111" s="128"/>
      <x:c r="H111" s="128"/>
      <x:c r="I111" s="128"/>
      <x:c r="J111" s="128"/>
      <x:c r="K111" s="128"/>
      <x:c r="L111" s="128"/>
      <x:c r="M111" s="128"/>
      <x:c r="N111" s="125"/>
      <x:c r="O111" s="125"/>
      <x:c r="P111" s="125"/>
      <x:c r="Q111" s="125"/>
    </x:row>
    <x:row r="112">
      <x:c r="A112" s="128"/>
      <x:c r="B112" s="128"/>
      <x:c r="C112" s="128"/>
      <x:c r="D112" s="128"/>
      <x:c r="E112" s="128"/>
      <x:c r="F112" s="128"/>
      <x:c r="G112" s="128"/>
      <x:c r="H112" s="128"/>
      <x:c r="I112" s="128"/>
      <x:c r="J112" s="128"/>
      <x:c r="K112" s="128"/>
      <x:c r="L112" s="128"/>
      <x:c r="M112" s="128"/>
      <x:c r="N112" s="125"/>
      <x:c r="O112" s="125"/>
      <x:c r="P112" s="125"/>
      <x:c r="Q112" s="125"/>
    </x:row>
    <x:row r="113">
      <x:c r="A113" s="128"/>
      <x:c r="B113" s="128"/>
      <x:c r="C113" s="128"/>
      <x:c r="D113" s="128"/>
      <x:c r="E113" s="128"/>
      <x:c r="F113" s="128"/>
      <x:c r="G113" s="128"/>
      <x:c r="H113" s="128"/>
      <x:c r="I113" s="128"/>
      <x:c r="J113" s="128"/>
      <x:c r="K113" s="128"/>
      <x:c r="L113" s="128"/>
      <x:c r="M113" s="128"/>
      <x:c r="N113" s="125"/>
      <x:c r="O113" s="125"/>
      <x:c r="P113" s="125"/>
      <x:c r="Q113" s="125"/>
    </x:row>
    <x:row r="114">
      <x:c r="A114" s="128"/>
      <x:c r="B114" s="128"/>
      <x:c r="C114" s="128"/>
      <x:c r="D114" s="128"/>
      <x:c r="E114" s="128"/>
      <x:c r="F114" s="128"/>
      <x:c r="G114" s="128"/>
      <x:c r="H114" s="128"/>
      <x:c r="I114" s="128"/>
      <x:c r="J114" s="128"/>
      <x:c r="K114" s="128"/>
      <x:c r="L114" s="128"/>
      <x:c r="M114" s="128"/>
      <x:c r="N114" s="125"/>
      <x:c r="O114" s="125"/>
      <x:c r="P114" s="125"/>
      <x:c r="Q114" s="125"/>
    </x:row>
    <x:row r="115">
      <x:c r="A115" s="128"/>
      <x:c r="B115" s="128"/>
      <x:c r="C115" s="128"/>
      <x:c r="D115" s="128"/>
      <x:c r="E115" s="128"/>
      <x:c r="F115" s="128"/>
      <x:c r="G115" s="128"/>
      <x:c r="H115" s="128"/>
      <x:c r="I115" s="128"/>
      <x:c r="J115" s="128"/>
      <x:c r="K115" s="128"/>
      <x:c r="L115" s="128"/>
      <x:c r="M115" s="128"/>
      <x:c r="N115" s="125"/>
      <x:c r="O115" s="125"/>
      <x:c r="P115" s="125"/>
      <x:c r="Q115" s="125"/>
    </x:row>
    <x:row r="116">
      <x:c r="A116" s="128"/>
      <x:c r="B116" s="128"/>
      <x:c r="C116" s="128"/>
      <x:c r="D116" s="128"/>
      <x:c r="E116" s="128"/>
      <x:c r="F116" s="128"/>
      <x:c r="G116" s="128"/>
      <x:c r="H116" s="128"/>
      <x:c r="I116" s="128"/>
      <x:c r="J116" s="128"/>
      <x:c r="K116" s="128"/>
      <x:c r="L116" s="128"/>
      <x:c r="M116" s="128"/>
      <x:c r="N116" s="125"/>
      <x:c r="O116" s="125"/>
      <x:c r="P116" s="125"/>
      <x:c r="Q116" s="125"/>
    </x:row>
    <x:row r="117">
      <x:c r="A117" s="128"/>
      <x:c r="B117" s="128"/>
      <x:c r="C117" s="128"/>
      <x:c r="D117" s="128"/>
      <x:c r="E117" s="128"/>
      <x:c r="F117" s="128"/>
      <x:c r="G117" s="128"/>
      <x:c r="H117" s="128"/>
      <x:c r="I117" s="128"/>
      <x:c r="J117" s="128"/>
      <x:c r="K117" s="128"/>
      <x:c r="L117" s="128"/>
      <x:c r="M117" s="128"/>
      <x:c r="N117" s="125"/>
      <x:c r="O117" s="125"/>
      <x:c r="P117" s="125"/>
      <x:c r="Q117" s="125"/>
    </x:row>
    <x:row r="118">
      <x:c r="A118" s="128"/>
      <x:c r="B118" s="128"/>
      <x:c r="C118" s="128"/>
      <x:c r="D118" s="128"/>
      <x:c r="E118" s="128"/>
      <x:c r="F118" s="128"/>
      <x:c r="G118" s="128"/>
      <x:c r="H118" s="128"/>
      <x:c r="I118" s="128"/>
      <x:c r="J118" s="128"/>
      <x:c r="K118" s="128"/>
      <x:c r="L118" s="128"/>
      <x:c r="M118" s="128"/>
      <x:c r="N118" s="125"/>
      <x:c r="O118" s="125"/>
      <x:c r="P118" s="125"/>
      <x:c r="Q118" s="125"/>
    </x:row>
    <x:row r="119">
      <x:c r="A119" s="128"/>
      <x:c r="B119" s="128"/>
      <x:c r="C119" s="128"/>
      <x:c r="D119" s="128"/>
      <x:c r="E119" s="128"/>
      <x:c r="F119" s="128"/>
      <x:c r="G119" s="128"/>
      <x:c r="H119" s="128"/>
      <x:c r="I119" s="128"/>
      <x:c r="J119" s="128"/>
      <x:c r="K119" s="128"/>
      <x:c r="L119" s="128"/>
      <x:c r="M119" s="128"/>
      <x:c r="N119" s="125"/>
      <x:c r="O119" s="125"/>
      <x:c r="P119" s="125"/>
      <x:c r="Q119" s="125"/>
    </x:row>
    <x:row r="120">
      <x:c r="A120" s="128"/>
      <x:c r="B120" s="128"/>
      <x:c r="C120" s="128"/>
      <x:c r="D120" s="128"/>
      <x:c r="E120" s="128"/>
      <x:c r="F120" s="128"/>
      <x:c r="G120" s="128"/>
      <x:c r="H120" s="128"/>
      <x:c r="I120" s="128"/>
      <x:c r="J120" s="128"/>
      <x:c r="K120" s="128"/>
      <x:c r="L120" s="128"/>
      <x:c r="M120" s="128"/>
      <x:c r="N120" s="125"/>
      <x:c r="O120" s="125"/>
      <x:c r="P120" s="125"/>
      <x:c r="Q120" s="125"/>
    </x:row>
    <x:row r="121">
      <x:c r="A121" s="128"/>
      <x:c r="B121" s="128"/>
      <x:c r="C121" s="128"/>
      <x:c r="D121" s="128"/>
      <x:c r="E121" s="128"/>
      <x:c r="F121" s="128"/>
      <x:c r="G121" s="128"/>
      <x:c r="H121" s="128"/>
      <x:c r="I121" s="128"/>
      <x:c r="J121" s="128"/>
      <x:c r="K121" s="128"/>
      <x:c r="L121" s="128"/>
      <x:c r="M121" s="128"/>
      <x:c r="N121" s="125"/>
      <x:c r="O121" s="125"/>
      <x:c r="P121" s="125"/>
      <x:c r="Q121" s="125"/>
    </x:row>
    <x:row r="122">
      <x:c r="A122" s="128"/>
      <x:c r="B122" s="128"/>
      <x:c r="C122" s="128"/>
      <x:c r="D122" s="128"/>
      <x:c r="E122" s="128"/>
      <x:c r="F122" s="128"/>
      <x:c r="G122" s="128"/>
      <x:c r="H122" s="128"/>
      <x:c r="I122" s="128"/>
      <x:c r="J122" s="128"/>
      <x:c r="K122" s="128"/>
      <x:c r="L122" s="128"/>
      <x:c r="M122" s="128"/>
      <x:c r="N122" s="125"/>
      <x:c r="O122" s="125"/>
      <x:c r="P122" s="125"/>
      <x:c r="Q122" s="125"/>
    </x:row>
    <x:row r="123">
      <x:c r="A123" s="128"/>
      <x:c r="B123" s="128"/>
      <x:c r="C123" s="128"/>
      <x:c r="D123" s="128"/>
      <x:c r="E123" s="128"/>
      <x:c r="F123" s="128"/>
      <x:c r="G123" s="128"/>
      <x:c r="H123" s="128"/>
      <x:c r="I123" s="128"/>
      <x:c r="J123" s="128"/>
      <x:c r="K123" s="128"/>
      <x:c r="L123" s="128"/>
      <x:c r="M123" s="128"/>
      <x:c r="N123" s="125"/>
      <x:c r="O123" s="125"/>
      <x:c r="P123" s="125"/>
      <x:c r="Q123" s="125"/>
    </x:row>
    <x:row r="124">
      <x:c r="A124" s="128"/>
      <x:c r="B124" s="128"/>
      <x:c r="C124" s="128"/>
      <x:c r="D124" s="128"/>
      <x:c r="E124" s="128"/>
      <x:c r="F124" s="128"/>
      <x:c r="G124" s="128"/>
      <x:c r="H124" s="128"/>
      <x:c r="I124" s="128"/>
      <x:c r="J124" s="128"/>
      <x:c r="K124" s="128"/>
      <x:c r="L124" s="128"/>
      <x:c r="M124" s="128"/>
      <x:c r="N124" s="125"/>
      <x:c r="O124" s="125"/>
      <x:c r="P124" s="125"/>
      <x:c r="Q124" s="125"/>
    </x:row>
    <x:row r="125">
      <x:c r="A125" s="128"/>
      <x:c r="B125" s="128"/>
      <x:c r="C125" s="128"/>
      <x:c r="D125" s="128"/>
      <x:c r="E125" s="128"/>
      <x:c r="F125" s="128"/>
      <x:c r="G125" s="128"/>
      <x:c r="H125" s="128"/>
      <x:c r="I125" s="128"/>
      <x:c r="J125" s="128"/>
      <x:c r="K125" s="128"/>
      <x:c r="L125" s="128"/>
      <x:c r="M125" s="128"/>
      <x:c r="N125" s="125"/>
      <x:c r="O125" s="125"/>
      <x:c r="P125" s="125"/>
      <x:c r="Q125" s="125"/>
    </x:row>
    <x:row r="126">
      <x:c r="A126" s="128"/>
      <x:c r="B126" s="128"/>
      <x:c r="C126" s="128"/>
      <x:c r="D126" s="128"/>
      <x:c r="E126" s="128"/>
      <x:c r="F126" s="128"/>
      <x:c r="G126" s="128"/>
      <x:c r="H126" s="128"/>
      <x:c r="I126" s="128"/>
      <x:c r="J126" s="128"/>
      <x:c r="K126" s="128"/>
      <x:c r="L126" s="128"/>
      <x:c r="M126" s="128"/>
      <x:c r="N126" s="125"/>
      <x:c r="O126" s="125"/>
      <x:c r="P126" s="125"/>
      <x:c r="Q126" s="125"/>
    </x:row>
    <x:row r="127">
      <x:c r="A127" s="128"/>
      <x:c r="B127" s="128"/>
      <x:c r="C127" s="128"/>
      <x:c r="D127" s="128"/>
      <x:c r="E127" s="128"/>
      <x:c r="F127" s="128"/>
      <x:c r="G127" s="128"/>
      <x:c r="H127" s="128"/>
      <x:c r="I127" s="128"/>
      <x:c r="J127" s="128"/>
      <x:c r="K127" s="128"/>
      <x:c r="L127" s="128"/>
      <x:c r="M127" s="128"/>
      <x:c r="N127" s="125"/>
      <x:c r="O127" s="125"/>
      <x:c r="P127" s="125"/>
      <x:c r="Q127" s="125"/>
    </x:row>
    <x:row r="128">
      <x:c r="A128" s="128"/>
      <x:c r="B128" s="128"/>
      <x:c r="C128" s="128"/>
      <x:c r="D128" s="128"/>
      <x:c r="E128" s="128"/>
      <x:c r="F128" s="128"/>
      <x:c r="G128" s="128"/>
      <x:c r="H128" s="128"/>
      <x:c r="I128" s="128"/>
      <x:c r="J128" s="128"/>
      <x:c r="K128" s="128"/>
      <x:c r="L128" s="128"/>
      <x:c r="M128" s="128"/>
      <x:c r="N128" s="125"/>
      <x:c r="O128" s="125"/>
      <x:c r="P128" s="125"/>
      <x:c r="Q128" s="125"/>
    </x:row>
    <x:row r="129">
      <x:c r="A129" s="128"/>
      <x:c r="B129" s="128"/>
      <x:c r="C129" s="128"/>
      <x:c r="D129" s="128"/>
      <x:c r="E129" s="128"/>
      <x:c r="F129" s="128"/>
      <x:c r="G129" s="128"/>
      <x:c r="H129" s="128"/>
      <x:c r="I129" s="128"/>
      <x:c r="J129" s="128"/>
      <x:c r="K129" s="128"/>
      <x:c r="L129" s="128"/>
      <x:c r="M129" s="128"/>
      <x:c r="N129" s="125"/>
      <x:c r="O129" s="125"/>
      <x:c r="P129" s="125"/>
      <x:c r="Q129" s="125"/>
    </x:row>
    <x:row r="130">
      <x:c r="A130" s="128"/>
      <x:c r="B130" s="128"/>
      <x:c r="C130" s="128"/>
      <x:c r="D130" s="128"/>
      <x:c r="E130" s="128"/>
      <x:c r="F130" s="128"/>
      <x:c r="G130" s="128"/>
      <x:c r="H130" s="128"/>
      <x:c r="I130" s="128"/>
      <x:c r="J130" s="128"/>
      <x:c r="K130" s="128"/>
      <x:c r="L130" s="128"/>
      <x:c r="M130" s="128"/>
      <x:c r="N130" s="125"/>
      <x:c r="O130" s="125"/>
      <x:c r="P130" s="125"/>
      <x:c r="Q130" s="125"/>
    </x:row>
    <x:row r="131">
      <x:c r="A131" s="128"/>
      <x:c r="B131" s="128"/>
      <x:c r="C131" s="128"/>
      <x:c r="D131" s="128"/>
      <x:c r="E131" s="128"/>
      <x:c r="F131" s="128"/>
      <x:c r="G131" s="128"/>
      <x:c r="H131" s="128"/>
      <x:c r="I131" s="128"/>
      <x:c r="J131" s="128"/>
      <x:c r="K131" s="128"/>
      <x:c r="L131" s="128"/>
      <x:c r="M131" s="128"/>
      <x:c r="N131" s="125"/>
      <x:c r="O131" s="125"/>
      <x:c r="P131" s="125"/>
      <x:c r="Q131" s="125"/>
    </x:row>
    <x:row r="132">
      <x:c r="A132" s="128"/>
      <x:c r="B132" s="128"/>
      <x:c r="C132" s="128"/>
      <x:c r="D132" s="128"/>
      <x:c r="E132" s="128"/>
      <x:c r="F132" s="128"/>
      <x:c r="G132" s="128"/>
      <x:c r="H132" s="128"/>
      <x:c r="I132" s="128"/>
      <x:c r="J132" s="128"/>
      <x:c r="K132" s="128"/>
      <x:c r="L132" s="128"/>
      <x:c r="M132" s="128"/>
      <x:c r="N132" s="125"/>
      <x:c r="O132" s="125"/>
      <x:c r="P132" s="125"/>
      <x:c r="Q132" s="125"/>
    </x:row>
    <x:row r="133">
      <x:c r="A133" s="128"/>
      <x:c r="B133" s="128"/>
      <x:c r="C133" s="128"/>
      <x:c r="D133" s="128"/>
      <x:c r="E133" s="128"/>
      <x:c r="F133" s="128"/>
      <x:c r="G133" s="128"/>
      <x:c r="H133" s="128"/>
      <x:c r="I133" s="128"/>
      <x:c r="J133" s="128"/>
      <x:c r="K133" s="128"/>
      <x:c r="L133" s="128"/>
      <x:c r="M133" s="128"/>
      <x:c r="N133" s="125"/>
      <x:c r="O133" s="125"/>
      <x:c r="P133" s="125"/>
      <x:c r="Q133" s="125"/>
    </x:row>
    <x:row r="134">
      <x:c r="A134" s="128"/>
      <x:c r="B134" s="128"/>
      <x:c r="C134" s="128"/>
      <x:c r="D134" s="128"/>
      <x:c r="E134" s="128"/>
      <x:c r="F134" s="128"/>
      <x:c r="G134" s="128"/>
      <x:c r="H134" s="128"/>
      <x:c r="I134" s="128"/>
      <x:c r="J134" s="128"/>
      <x:c r="K134" s="128"/>
      <x:c r="L134" s="128"/>
      <x:c r="M134" s="128"/>
      <x:c r="N134" s="125"/>
      <x:c r="O134" s="125"/>
      <x:c r="P134" s="125"/>
      <x:c r="Q134" s="125"/>
    </x:row>
    <x:row r="135">
      <x:c r="A135" s="128"/>
      <x:c r="B135" s="128"/>
      <x:c r="C135" s="128"/>
      <x:c r="D135" s="128"/>
      <x:c r="E135" s="128"/>
      <x:c r="F135" s="128"/>
      <x:c r="G135" s="128"/>
      <x:c r="H135" s="128"/>
      <x:c r="I135" s="128"/>
      <x:c r="J135" s="128"/>
      <x:c r="K135" s="128"/>
      <x:c r="L135" s="128"/>
      <x:c r="M135" s="128"/>
      <x:c r="N135" s="125"/>
      <x:c r="O135" s="125"/>
      <x:c r="P135" s="125"/>
      <x:c r="Q135" s="125"/>
    </x:row>
    <x:row r="136">
      <x:c r="A136" s="128"/>
      <x:c r="B136" s="128"/>
      <x:c r="C136" s="128"/>
      <x:c r="D136" s="128"/>
      <x:c r="E136" s="128"/>
      <x:c r="F136" s="128"/>
      <x:c r="G136" s="128"/>
      <x:c r="H136" s="128"/>
      <x:c r="I136" s="128"/>
      <x:c r="J136" s="128"/>
      <x:c r="K136" s="128"/>
      <x:c r="L136" s="128"/>
      <x:c r="M136" s="128"/>
      <x:c r="N136" s="125"/>
      <x:c r="O136" s="125"/>
      <x:c r="P136" s="125"/>
      <x:c r="Q136" s="125"/>
    </x:row>
    <x:row r="137">
      <x:c r="A137" s="128"/>
      <x:c r="B137" s="128"/>
      <x:c r="C137" s="128"/>
      <x:c r="D137" s="128"/>
      <x:c r="E137" s="128"/>
      <x:c r="F137" s="128"/>
      <x:c r="G137" s="128"/>
      <x:c r="H137" s="128"/>
      <x:c r="I137" s="128"/>
      <x:c r="J137" s="128"/>
      <x:c r="K137" s="128"/>
      <x:c r="L137" s="128"/>
      <x:c r="M137" s="128"/>
      <x:c r="N137" s="125"/>
      <x:c r="O137" s="125"/>
      <x:c r="P137" s="125"/>
      <x:c r="Q137" s="125"/>
    </x:row>
    <x:row r="138">
      <x:c r="A138" s="128"/>
      <x:c r="B138" s="128"/>
      <x:c r="C138" s="128"/>
      <x:c r="D138" s="128"/>
      <x:c r="E138" s="128"/>
      <x:c r="F138" s="128"/>
      <x:c r="G138" s="128"/>
      <x:c r="H138" s="128"/>
      <x:c r="I138" s="128"/>
      <x:c r="J138" s="128"/>
      <x:c r="K138" s="128"/>
      <x:c r="L138" s="128"/>
      <x:c r="M138" s="128"/>
      <x:c r="N138" s="125"/>
      <x:c r="O138" s="125"/>
      <x:c r="P138" s="125"/>
      <x:c r="Q138" s="125"/>
    </x:row>
    <x:row r="139">
      <x:c r="A139" s="128"/>
      <x:c r="B139" s="128"/>
      <x:c r="C139" s="128"/>
      <x:c r="D139" s="128"/>
      <x:c r="E139" s="128"/>
      <x:c r="F139" s="128"/>
      <x:c r="G139" s="128"/>
      <x:c r="H139" s="128"/>
      <x:c r="I139" s="128"/>
      <x:c r="J139" s="128"/>
      <x:c r="K139" s="128"/>
      <x:c r="L139" s="128"/>
      <x:c r="M139" s="128"/>
      <x:c r="N139" s="125"/>
      <x:c r="O139" s="125"/>
      <x:c r="P139" s="125"/>
      <x:c r="Q139" s="125"/>
    </x:row>
    <x:row r="140">
      <x:c r="A140" s="128"/>
      <x:c r="B140" s="128"/>
      <x:c r="C140" s="128"/>
      <x:c r="D140" s="128"/>
      <x:c r="E140" s="128"/>
      <x:c r="F140" s="128"/>
      <x:c r="G140" s="128"/>
      <x:c r="H140" s="128"/>
      <x:c r="I140" s="128"/>
      <x:c r="J140" s="128"/>
      <x:c r="K140" s="128"/>
      <x:c r="L140" s="128"/>
      <x:c r="M140" s="128"/>
      <x:c r="N140" s="125"/>
      <x:c r="O140" s="125"/>
      <x:c r="P140" s="125"/>
      <x:c r="Q140" s="125"/>
    </x:row>
    <x:row r="141">
      <x:c r="A141" s="128"/>
      <x:c r="B141" s="128"/>
      <x:c r="C141" s="128"/>
      <x:c r="D141" s="128"/>
      <x:c r="E141" s="128"/>
      <x:c r="F141" s="128"/>
      <x:c r="G141" s="128"/>
      <x:c r="H141" s="128"/>
      <x:c r="I141" s="128"/>
      <x:c r="J141" s="128"/>
      <x:c r="K141" s="128"/>
      <x:c r="L141" s="128"/>
      <x:c r="M141" s="128"/>
      <x:c r="N141" s="125"/>
      <x:c r="O141" s="125"/>
      <x:c r="P141" s="125"/>
      <x:c r="Q141" s="125"/>
    </x:row>
    <x:row r="142">
      <x:c r="A142" s="128"/>
      <x:c r="B142" s="128"/>
      <x:c r="C142" s="128"/>
      <x:c r="D142" s="128"/>
      <x:c r="E142" s="128"/>
      <x:c r="F142" s="128"/>
      <x:c r="G142" s="128"/>
      <x:c r="H142" s="128"/>
      <x:c r="I142" s="128"/>
      <x:c r="J142" s="128"/>
      <x:c r="K142" s="128"/>
      <x:c r="L142" s="128"/>
      <x:c r="M142" s="128"/>
      <x:c r="N142" s="125"/>
      <x:c r="O142" s="125"/>
      <x:c r="P142" s="125"/>
      <x:c r="Q142" s="125"/>
    </x:row>
    <x:row r="143">
      <x:c r="A143" s="128"/>
      <x:c r="B143" s="128"/>
      <x:c r="C143" s="128"/>
      <x:c r="D143" s="128"/>
      <x:c r="E143" s="128"/>
      <x:c r="F143" s="128"/>
      <x:c r="G143" s="128"/>
      <x:c r="H143" s="128"/>
      <x:c r="I143" s="128"/>
      <x:c r="J143" s="128"/>
      <x:c r="K143" s="128"/>
      <x:c r="L143" s="128"/>
      <x:c r="M143" s="128"/>
      <x:c r="N143" s="125"/>
      <x:c r="O143" s="125"/>
      <x:c r="P143" s="125"/>
      <x:c r="Q143" s="125"/>
    </x:row>
    <x:row r="144">
      <x:c r="A144" s="128"/>
      <x:c r="B144" s="128"/>
      <x:c r="C144" s="128"/>
      <x:c r="D144" s="128"/>
      <x:c r="E144" s="128"/>
      <x:c r="F144" s="128"/>
      <x:c r="G144" s="128"/>
      <x:c r="H144" s="128"/>
      <x:c r="I144" s="128"/>
      <x:c r="J144" s="128"/>
      <x:c r="K144" s="128"/>
      <x:c r="L144" s="128"/>
      <x:c r="M144" s="128"/>
      <x:c r="N144" s="125"/>
      <x:c r="O144" s="125"/>
      <x:c r="P144" s="125"/>
      <x:c r="Q144" s="125"/>
    </x:row>
    <x:row r="145">
      <x:c r="A145" s="128"/>
      <x:c r="B145" s="128"/>
      <x:c r="C145" s="128"/>
      <x:c r="D145" s="128"/>
      <x:c r="E145" s="128"/>
      <x:c r="F145" s="128"/>
      <x:c r="G145" s="128"/>
      <x:c r="H145" s="128"/>
      <x:c r="I145" s="128"/>
      <x:c r="J145" s="128"/>
      <x:c r="K145" s="128"/>
      <x:c r="L145" s="128"/>
      <x:c r="M145" s="128"/>
      <x:c r="N145" s="125"/>
      <x:c r="O145" s="125"/>
      <x:c r="P145" s="125"/>
      <x:c r="Q145" s="125"/>
    </x:row>
    <x:row r="146">
      <x:c r="A146" s="128"/>
      <x:c r="B146" s="128"/>
      <x:c r="C146" s="128"/>
      <x:c r="D146" s="128"/>
      <x:c r="E146" s="128"/>
      <x:c r="F146" s="128"/>
      <x:c r="G146" s="128"/>
      <x:c r="H146" s="128"/>
      <x:c r="I146" s="128"/>
      <x:c r="J146" s="128"/>
      <x:c r="K146" s="128"/>
      <x:c r="L146" s="128"/>
      <x:c r="M146" s="128"/>
      <x:c r="N146" s="125"/>
      <x:c r="O146" s="125"/>
      <x:c r="P146" s="125"/>
      <x:c r="Q146" s="125"/>
    </x:row>
    <x:row r="147">
      <x:c r="A147" s="128"/>
      <x:c r="B147" s="128"/>
      <x:c r="C147" s="128"/>
      <x:c r="D147" s="128"/>
      <x:c r="E147" s="128"/>
      <x:c r="F147" s="128"/>
      <x:c r="G147" s="128"/>
      <x:c r="H147" s="128"/>
      <x:c r="I147" s="128"/>
      <x:c r="J147" s="128"/>
      <x:c r="K147" s="128"/>
      <x:c r="L147" s="128"/>
      <x:c r="M147" s="128"/>
      <x:c r="N147" s="125"/>
      <x:c r="O147" s="125"/>
      <x:c r="P147" s="125"/>
      <x:c r="Q147" s="125"/>
    </x:row>
    <x:row r="148">
      <x:c r="A148" s="128"/>
      <x:c r="B148" s="128"/>
      <x:c r="C148" s="128"/>
      <x:c r="D148" s="128"/>
      <x:c r="E148" s="128"/>
      <x:c r="F148" s="128"/>
      <x:c r="G148" s="128"/>
      <x:c r="H148" s="128"/>
      <x:c r="I148" s="128"/>
      <x:c r="J148" s="128"/>
      <x:c r="K148" s="128"/>
      <x:c r="L148" s="128"/>
      <x:c r="M148" s="128"/>
      <x:c r="N148" s="125"/>
      <x:c r="O148" s="125"/>
      <x:c r="P148" s="125"/>
      <x:c r="Q148" s="125"/>
    </x:row>
    <x:row r="149">
      <x:c r="A149" s="128"/>
      <x:c r="B149" s="128"/>
      <x:c r="C149" s="128"/>
      <x:c r="D149" s="128"/>
      <x:c r="E149" s="128"/>
      <x:c r="F149" s="128"/>
      <x:c r="G149" s="128"/>
      <x:c r="H149" s="128"/>
      <x:c r="I149" s="128"/>
      <x:c r="J149" s="128"/>
      <x:c r="K149" s="128"/>
      <x:c r="L149" s="128"/>
      <x:c r="M149" s="128"/>
      <x:c r="N149" s="125"/>
      <x:c r="O149" s="125"/>
      <x:c r="P149" s="125"/>
      <x:c r="Q149" s="125"/>
    </x:row>
    <x:row r="150">
      <x:c r="A150" s="128"/>
      <x:c r="B150" s="128"/>
      <x:c r="C150" s="128"/>
      <x:c r="D150" s="128"/>
      <x:c r="E150" s="128"/>
      <x:c r="F150" s="128"/>
      <x:c r="G150" s="128"/>
      <x:c r="H150" s="128"/>
      <x:c r="I150" s="128"/>
      <x:c r="J150" s="128"/>
      <x:c r="K150" s="128"/>
      <x:c r="L150" s="128"/>
      <x:c r="M150" s="128"/>
      <x:c r="N150" s="125"/>
      <x:c r="O150" s="125"/>
      <x:c r="P150" s="125"/>
      <x:c r="Q150" s="125"/>
    </x:row>
    <x:row r="151">
      <x:c r="A151" s="128"/>
      <x:c r="B151" s="128"/>
      <x:c r="C151" s="128"/>
      <x:c r="D151" s="128"/>
      <x:c r="E151" s="128"/>
      <x:c r="F151" s="128"/>
      <x:c r="G151" s="128"/>
      <x:c r="H151" s="128"/>
      <x:c r="I151" s="128"/>
      <x:c r="J151" s="128"/>
      <x:c r="K151" s="128"/>
      <x:c r="L151" s="128"/>
      <x:c r="M151" s="128"/>
      <x:c r="N151" s="125"/>
      <x:c r="O151" s="125"/>
      <x:c r="P151" s="125"/>
      <x:c r="Q151" s="125"/>
    </x:row>
    <x:row r="152">
      <x:c r="A152" s="128"/>
      <x:c r="B152" s="128"/>
      <x:c r="C152" s="128"/>
      <x:c r="D152" s="128"/>
      <x:c r="E152" s="128"/>
      <x:c r="F152" s="128"/>
      <x:c r="G152" s="128"/>
      <x:c r="H152" s="128"/>
      <x:c r="I152" s="128"/>
      <x:c r="J152" s="128"/>
      <x:c r="K152" s="128"/>
      <x:c r="L152" s="128"/>
      <x:c r="M152" s="128"/>
      <x:c r="N152" s="125"/>
      <x:c r="O152" s="125"/>
      <x:c r="P152" s="125"/>
      <x:c r="Q152" s="125"/>
    </x:row>
    <x:row r="153">
      <x:c r="A153" s="128"/>
      <x:c r="B153" s="128"/>
      <x:c r="C153" s="128"/>
      <x:c r="D153" s="128"/>
      <x:c r="E153" s="128"/>
      <x:c r="F153" s="128"/>
      <x:c r="G153" s="128"/>
      <x:c r="H153" s="128"/>
      <x:c r="I153" s="128"/>
      <x:c r="J153" s="128"/>
      <x:c r="K153" s="128"/>
      <x:c r="L153" s="128"/>
      <x:c r="M153" s="128"/>
      <x:c r="N153" s="125"/>
      <x:c r="O153" s="125"/>
      <x:c r="P153" s="125"/>
      <x:c r="Q153" s="125"/>
    </x:row>
    <x:row r="154">
      <x:c r="A154" s="128"/>
      <x:c r="B154" s="128"/>
      <x:c r="C154" s="128"/>
      <x:c r="D154" s="128"/>
      <x:c r="E154" s="128"/>
      <x:c r="F154" s="128"/>
      <x:c r="G154" s="128"/>
      <x:c r="H154" s="128"/>
      <x:c r="I154" s="128"/>
      <x:c r="J154" s="128"/>
      <x:c r="K154" s="128"/>
      <x:c r="L154" s="128"/>
      <x:c r="M154" s="128"/>
      <x:c r="N154" s="125"/>
      <x:c r="O154" s="125"/>
      <x:c r="P154" s="125"/>
      <x:c r="Q154" s="125"/>
    </x:row>
    <x:row r="155">
      <x:c r="A155" s="128"/>
      <x:c r="B155" s="128"/>
      <x:c r="C155" s="128"/>
      <x:c r="D155" s="128"/>
      <x:c r="E155" s="128"/>
      <x:c r="F155" s="128"/>
      <x:c r="G155" s="128"/>
      <x:c r="H155" s="128"/>
      <x:c r="I155" s="128"/>
      <x:c r="J155" s="128"/>
      <x:c r="K155" s="128"/>
      <x:c r="L155" s="128"/>
      <x:c r="M155" s="128"/>
      <x:c r="N155" s="125"/>
      <x:c r="O155" s="125"/>
      <x:c r="P155" s="125"/>
      <x:c r="Q155" s="125"/>
    </x:row>
    <x:row r="156">
      <x:c r="A156" s="128"/>
      <x:c r="B156" s="128"/>
      <x:c r="C156" s="128"/>
      <x:c r="D156" s="128"/>
      <x:c r="E156" s="128"/>
      <x:c r="F156" s="128"/>
      <x:c r="G156" s="128"/>
      <x:c r="H156" s="128"/>
      <x:c r="I156" s="128"/>
      <x:c r="J156" s="128"/>
      <x:c r="K156" s="128"/>
      <x:c r="L156" s="128"/>
      <x:c r="M156" s="128"/>
      <x:c r="N156" s="125"/>
      <x:c r="O156" s="125"/>
      <x:c r="P156" s="125"/>
      <x:c r="Q156" s="125"/>
    </x:row>
    <x:row r="157">
      <x:c r="A157" s="128"/>
      <x:c r="B157" s="128"/>
      <x:c r="C157" s="128"/>
      <x:c r="D157" s="128"/>
      <x:c r="E157" s="128"/>
      <x:c r="F157" s="128"/>
      <x:c r="G157" s="128"/>
      <x:c r="H157" s="128"/>
      <x:c r="I157" s="128"/>
      <x:c r="J157" s="128"/>
      <x:c r="K157" s="128"/>
      <x:c r="L157" s="128"/>
      <x:c r="M157" s="128"/>
      <x:c r="N157" s="125"/>
      <x:c r="O157" s="125"/>
      <x:c r="P157" s="125"/>
      <x:c r="Q157" s="125"/>
    </x:row>
    <x:row r="158">
      <x:c r="A158" s="128"/>
      <x:c r="B158" s="128"/>
      <x:c r="C158" s="128"/>
      <x:c r="D158" s="128"/>
      <x:c r="E158" s="128"/>
      <x:c r="F158" s="128"/>
      <x:c r="G158" s="128"/>
      <x:c r="H158" s="128"/>
      <x:c r="I158" s="128"/>
      <x:c r="J158" s="128"/>
      <x:c r="K158" s="128"/>
      <x:c r="L158" s="128"/>
      <x:c r="M158" s="128"/>
      <x:c r="N158" s="125"/>
      <x:c r="O158" s="125"/>
      <x:c r="P158" s="125"/>
      <x:c r="Q158" s="125"/>
    </x:row>
    <x:row r="159">
      <x:c r="A159" s="128"/>
      <x:c r="B159" s="128"/>
      <x:c r="C159" s="128"/>
      <x:c r="D159" s="128"/>
      <x:c r="E159" s="128"/>
      <x:c r="F159" s="128"/>
      <x:c r="G159" s="128"/>
      <x:c r="H159" s="128"/>
      <x:c r="I159" s="128"/>
      <x:c r="J159" s="128"/>
      <x:c r="K159" s="128"/>
      <x:c r="L159" s="128"/>
      <x:c r="M159" s="128"/>
      <x:c r="N159" s="125"/>
      <x:c r="O159" s="125"/>
      <x:c r="P159" s="125"/>
      <x:c r="Q159" s="125"/>
    </x:row>
    <x:row r="160">
      <x:c r="A160" s="128"/>
      <x:c r="B160" s="128"/>
      <x:c r="C160" s="128"/>
      <x:c r="D160" s="128"/>
      <x:c r="E160" s="128"/>
      <x:c r="F160" s="128"/>
      <x:c r="G160" s="128"/>
      <x:c r="H160" s="128"/>
      <x:c r="I160" s="128"/>
      <x:c r="J160" s="128"/>
      <x:c r="K160" s="128"/>
      <x:c r="L160" s="128"/>
      <x:c r="M160" s="128"/>
      <x:c r="N160" s="125"/>
      <x:c r="O160" s="125"/>
      <x:c r="P160" s="125"/>
      <x:c r="Q160" s="125"/>
    </x:row>
    <x:row r="161">
      <x:c r="A161" s="128"/>
      <x:c r="B161" s="128"/>
      <x:c r="C161" s="128"/>
      <x:c r="D161" s="128"/>
      <x:c r="E161" s="128"/>
      <x:c r="F161" s="128"/>
      <x:c r="G161" s="128"/>
      <x:c r="H161" s="128"/>
      <x:c r="I161" s="128"/>
      <x:c r="J161" s="128"/>
      <x:c r="K161" s="128"/>
      <x:c r="L161" s="128"/>
      <x:c r="M161" s="128"/>
      <x:c r="N161" s="125"/>
      <x:c r="O161" s="125"/>
      <x:c r="P161" s="125"/>
      <x:c r="Q161" s="125"/>
    </x:row>
    <x:row r="162">
      <x:c r="A162" s="128"/>
      <x:c r="B162" s="128"/>
      <x:c r="C162" s="128"/>
      <x:c r="D162" s="128"/>
      <x:c r="E162" s="128"/>
      <x:c r="F162" s="128"/>
      <x:c r="G162" s="128"/>
      <x:c r="H162" s="128"/>
      <x:c r="I162" s="128"/>
      <x:c r="J162" s="128"/>
      <x:c r="K162" s="128"/>
      <x:c r="L162" s="128"/>
      <x:c r="M162" s="128"/>
      <x:c r="N162" s="125"/>
      <x:c r="O162" s="125"/>
      <x:c r="P162" s="125"/>
      <x:c r="Q162" s="125"/>
    </x:row>
    <x:row r="163">
      <x:c r="A163" s="128"/>
      <x:c r="B163" s="128"/>
      <x:c r="C163" s="128"/>
      <x:c r="D163" s="128"/>
      <x:c r="E163" s="128"/>
      <x:c r="F163" s="128"/>
      <x:c r="G163" s="128"/>
      <x:c r="H163" s="128"/>
      <x:c r="I163" s="128"/>
      <x:c r="J163" s="128"/>
      <x:c r="K163" s="128"/>
      <x:c r="L163" s="128"/>
      <x:c r="M163" s="128"/>
      <x:c r="N163" s="125"/>
      <x:c r="O163" s="125"/>
      <x:c r="P163" s="125"/>
      <x:c r="Q163" s="125"/>
    </x:row>
    <x:row r="164">
      <x:c r="A164" s="128"/>
      <x:c r="B164" s="128"/>
      <x:c r="C164" s="128"/>
      <x:c r="D164" s="128"/>
      <x:c r="E164" s="128"/>
      <x:c r="F164" s="128"/>
      <x:c r="G164" s="128"/>
      <x:c r="H164" s="128"/>
      <x:c r="I164" s="128"/>
      <x:c r="J164" s="128"/>
      <x:c r="K164" s="128"/>
      <x:c r="L164" s="128"/>
      <x:c r="M164" s="128"/>
      <x:c r="N164" s="125"/>
      <x:c r="O164" s="125"/>
      <x:c r="P164" s="125"/>
      <x:c r="Q164" s="125"/>
    </x:row>
    <x:row r="165">
      <x:c r="A165" s="128"/>
      <x:c r="B165" s="128"/>
      <x:c r="C165" s="128"/>
      <x:c r="D165" s="128"/>
      <x:c r="E165" s="128"/>
      <x:c r="F165" s="128"/>
      <x:c r="G165" s="128"/>
      <x:c r="H165" s="128"/>
      <x:c r="I165" s="128"/>
      <x:c r="J165" s="128"/>
      <x:c r="K165" s="128"/>
      <x:c r="L165" s="128"/>
      <x:c r="M165" s="128"/>
      <x:c r="N165" s="125"/>
      <x:c r="O165" s="125"/>
      <x:c r="P165" s="125"/>
      <x:c r="Q165" s="125"/>
    </x:row>
    <x:row r="166">
      <x:c r="A166" s="128"/>
      <x:c r="B166" s="128"/>
      <x:c r="C166" s="128"/>
      <x:c r="D166" s="128"/>
      <x:c r="E166" s="128"/>
      <x:c r="F166" s="128"/>
      <x:c r="G166" s="128"/>
      <x:c r="H166" s="128"/>
      <x:c r="I166" s="128"/>
      <x:c r="J166" s="128"/>
      <x:c r="K166" s="128"/>
      <x:c r="L166" s="128"/>
      <x:c r="M166" s="128"/>
      <x:c r="N166" s="125"/>
      <x:c r="O166" s="125"/>
      <x:c r="P166" s="125"/>
      <x:c r="Q166" s="125"/>
    </x:row>
    <x:row r="167">
      <x:c r="A167" s="128"/>
      <x:c r="B167" s="128"/>
      <x:c r="C167" s="128"/>
      <x:c r="D167" s="128"/>
      <x:c r="E167" s="128"/>
      <x:c r="F167" s="128"/>
      <x:c r="G167" s="128"/>
      <x:c r="H167" s="128"/>
      <x:c r="I167" s="128"/>
      <x:c r="J167" s="128"/>
      <x:c r="K167" s="128"/>
      <x:c r="L167" s="128"/>
      <x:c r="M167" s="128"/>
      <x:c r="N167" s="125"/>
      <x:c r="O167" s="125"/>
      <x:c r="P167" s="125"/>
      <x:c r="Q167" s="125"/>
    </x:row>
    <x:row r="168">
      <x:c r="A168" s="128"/>
      <x:c r="B168" s="128"/>
      <x:c r="C168" s="128"/>
      <x:c r="D168" s="128"/>
      <x:c r="E168" s="128"/>
      <x:c r="F168" s="128"/>
      <x:c r="G168" s="128"/>
      <x:c r="H168" s="128"/>
      <x:c r="I168" s="128"/>
      <x:c r="J168" s="128"/>
      <x:c r="K168" s="128"/>
      <x:c r="L168" s="128"/>
      <x:c r="M168" s="128"/>
      <x:c r="N168" s="125"/>
      <x:c r="O168" s="125"/>
      <x:c r="P168" s="125"/>
      <x:c r="Q168" s="125"/>
    </x:row>
    <x:row r="169">
      <x:c r="A169" s="128"/>
      <x:c r="B169" s="128"/>
      <x:c r="C169" s="128"/>
      <x:c r="D169" s="128"/>
      <x:c r="E169" s="128"/>
      <x:c r="F169" s="128"/>
      <x:c r="G169" s="128"/>
      <x:c r="H169" s="128"/>
      <x:c r="I169" s="128"/>
      <x:c r="J169" s="128"/>
      <x:c r="K169" s="128"/>
      <x:c r="L169" s="128"/>
      <x:c r="M169" s="128"/>
      <x:c r="N169" s="125"/>
      <x:c r="O169" s="125"/>
      <x:c r="P169" s="125"/>
      <x:c r="Q169" s="125"/>
    </x:row>
    <x:row r="170">
      <x:c r="A170" s="128"/>
      <x:c r="B170" s="128"/>
      <x:c r="C170" s="128"/>
      <x:c r="D170" s="128"/>
      <x:c r="E170" s="128"/>
      <x:c r="F170" s="128"/>
      <x:c r="G170" s="128"/>
      <x:c r="H170" s="128"/>
      <x:c r="I170" s="128"/>
      <x:c r="J170" s="128"/>
      <x:c r="K170" s="128"/>
      <x:c r="L170" s="128"/>
      <x:c r="M170" s="128"/>
      <x:c r="N170" s="125"/>
      <x:c r="O170" s="125"/>
      <x:c r="P170" s="125"/>
      <x:c r="Q170" s="125"/>
    </x:row>
    <x:row r="171">
      <x:c r="A171" s="128"/>
      <x:c r="B171" s="128"/>
      <x:c r="C171" s="128"/>
      <x:c r="D171" s="128"/>
      <x:c r="E171" s="128"/>
      <x:c r="F171" s="128"/>
      <x:c r="G171" s="128"/>
      <x:c r="H171" s="128"/>
      <x:c r="I171" s="128"/>
      <x:c r="J171" s="128"/>
      <x:c r="K171" s="128"/>
      <x:c r="L171" s="128"/>
      <x:c r="M171" s="128"/>
      <x:c r="N171" s="125"/>
      <x:c r="O171" s="125"/>
      <x:c r="P171" s="125"/>
      <x:c r="Q171" s="125"/>
    </x:row>
    <x:row r="172">
      <x:c r="A172" s="128"/>
      <x:c r="B172" s="128"/>
      <x:c r="C172" s="128"/>
      <x:c r="D172" s="128"/>
      <x:c r="E172" s="128"/>
      <x:c r="F172" s="128"/>
      <x:c r="G172" s="128"/>
      <x:c r="H172" s="128"/>
      <x:c r="I172" s="128"/>
      <x:c r="J172" s="128"/>
      <x:c r="K172" s="128"/>
      <x:c r="L172" s="128"/>
      <x:c r="M172" s="128"/>
      <x:c r="N172" s="125"/>
      <x:c r="O172" s="125"/>
      <x:c r="P172" s="125"/>
      <x:c r="Q172" s="125"/>
    </x:row>
    <x:row r="173">
      <x:c r="A173" s="128"/>
      <x:c r="B173" s="128"/>
      <x:c r="C173" s="128"/>
      <x:c r="D173" s="128"/>
      <x:c r="E173" s="128"/>
      <x:c r="F173" s="128"/>
      <x:c r="G173" s="128"/>
      <x:c r="H173" s="128"/>
      <x:c r="I173" s="128"/>
      <x:c r="J173" s="128"/>
      <x:c r="K173" s="128"/>
      <x:c r="L173" s="128"/>
      <x:c r="M173" s="128"/>
      <x:c r="N173" s="125"/>
      <x:c r="O173" s="125"/>
      <x:c r="P173" s="125"/>
      <x:c r="Q173" s="125"/>
    </x:row>
    <x:row r="174">
      <x:c r="A174" s="128"/>
      <x:c r="B174" s="128"/>
      <x:c r="C174" s="128"/>
      <x:c r="D174" s="128"/>
      <x:c r="E174" s="128"/>
      <x:c r="F174" s="128"/>
      <x:c r="G174" s="128"/>
      <x:c r="H174" s="128"/>
      <x:c r="I174" s="128"/>
      <x:c r="J174" s="128"/>
      <x:c r="K174" s="128"/>
      <x:c r="L174" s="128"/>
      <x:c r="M174" s="128"/>
      <x:c r="N174" s="125"/>
      <x:c r="O174" s="125"/>
      <x:c r="P174" s="125"/>
      <x:c r="Q174" s="125"/>
    </x:row>
    <x:row r="175">
      <x:c r="A175" s="128"/>
      <x:c r="B175" s="128"/>
      <x:c r="C175" s="128"/>
      <x:c r="D175" s="128"/>
      <x:c r="E175" s="128"/>
      <x:c r="F175" s="128"/>
      <x:c r="G175" s="128"/>
      <x:c r="H175" s="128"/>
      <x:c r="I175" s="128"/>
      <x:c r="J175" s="128"/>
      <x:c r="K175" s="128"/>
      <x:c r="L175" s="128"/>
      <x:c r="M175" s="128"/>
      <x:c r="N175" s="125"/>
      <x:c r="O175" s="125"/>
      <x:c r="P175" s="125"/>
      <x:c r="Q175" s="125"/>
    </x:row>
    <x:row r="176">
      <x:c r="A176" s="128"/>
      <x:c r="B176" s="128"/>
      <x:c r="C176" s="128"/>
      <x:c r="D176" s="128"/>
      <x:c r="E176" s="128"/>
      <x:c r="F176" s="128"/>
      <x:c r="G176" s="128"/>
      <x:c r="H176" s="128"/>
      <x:c r="I176" s="128"/>
      <x:c r="J176" s="128"/>
      <x:c r="K176" s="128"/>
      <x:c r="L176" s="128"/>
      <x:c r="M176" s="128"/>
      <x:c r="N176" s="125"/>
      <x:c r="O176" s="125"/>
      <x:c r="P176" s="125"/>
      <x:c r="Q176" s="125"/>
    </x:row>
    <x:row r="177">
      <x:c r="A177" s="128"/>
      <x:c r="B177" s="128"/>
      <x:c r="C177" s="128"/>
      <x:c r="D177" s="128"/>
      <x:c r="E177" s="128"/>
      <x:c r="F177" s="128"/>
      <x:c r="G177" s="128"/>
      <x:c r="H177" s="128"/>
      <x:c r="I177" s="128"/>
      <x:c r="J177" s="128"/>
      <x:c r="K177" s="128"/>
      <x:c r="L177" s="128"/>
      <x:c r="M177" s="128"/>
      <x:c r="N177" s="125"/>
      <x:c r="O177" s="125"/>
      <x:c r="P177" s="125"/>
      <x:c r="Q177" s="125"/>
    </x:row>
    <x:row r="178">
      <x:c r="A178" s="128"/>
      <x:c r="B178" s="128"/>
      <x:c r="C178" s="128"/>
      <x:c r="D178" s="128"/>
      <x:c r="E178" s="128"/>
      <x:c r="F178" s="128"/>
      <x:c r="G178" s="128"/>
      <x:c r="H178" s="128"/>
      <x:c r="I178" s="128"/>
      <x:c r="J178" s="128"/>
      <x:c r="K178" s="128"/>
      <x:c r="L178" s="128"/>
      <x:c r="M178" s="128"/>
      <x:c r="N178" s="125"/>
      <x:c r="O178" s="125"/>
      <x:c r="P178" s="125"/>
      <x:c r="Q178" s="125"/>
    </x:row>
    <x:row r="179">
      <x:c r="A179" s="128"/>
      <x:c r="B179" s="128"/>
      <x:c r="C179" s="128"/>
      <x:c r="D179" s="128"/>
      <x:c r="E179" s="128"/>
      <x:c r="F179" s="128"/>
      <x:c r="G179" s="128"/>
      <x:c r="H179" s="128"/>
      <x:c r="I179" s="128"/>
      <x:c r="J179" s="128"/>
      <x:c r="K179" s="128"/>
      <x:c r="L179" s="128"/>
      <x:c r="M179" s="128"/>
      <x:c r="N179" s="125"/>
      <x:c r="O179" s="125"/>
      <x:c r="P179" s="125"/>
      <x:c r="Q179" s="125"/>
    </x:row>
    <x:row r="180">
      <x:c r="A180" s="128"/>
      <x:c r="B180" s="128"/>
      <x:c r="C180" s="128"/>
      <x:c r="D180" s="128"/>
      <x:c r="E180" s="128"/>
      <x:c r="F180" s="128"/>
      <x:c r="G180" s="128"/>
      <x:c r="H180" s="128"/>
      <x:c r="I180" s="128"/>
      <x:c r="J180" s="128"/>
      <x:c r="K180" s="128"/>
      <x:c r="L180" s="128"/>
      <x:c r="M180" s="128"/>
      <x:c r="N180" s="125"/>
      <x:c r="O180" s="125"/>
      <x:c r="P180" s="125"/>
      <x:c r="Q180" s="125"/>
    </x:row>
    <x:row r="181">
      <x:c r="A181" s="128"/>
      <x:c r="B181" s="128"/>
      <x:c r="C181" s="128"/>
      <x:c r="D181" s="128"/>
      <x:c r="E181" s="128"/>
      <x:c r="F181" s="128"/>
      <x:c r="G181" s="128"/>
      <x:c r="H181" s="128"/>
      <x:c r="I181" s="128"/>
      <x:c r="J181" s="128"/>
      <x:c r="K181" s="128"/>
      <x:c r="L181" s="128"/>
      <x:c r="M181" s="128"/>
      <x:c r="N181" s="125"/>
      <x:c r="O181" s="125"/>
      <x:c r="P181" s="125"/>
      <x:c r="Q181" s="125"/>
    </x:row>
    <x:row r="182">
      <x:c r="A182" s="128"/>
      <x:c r="B182" s="128"/>
      <x:c r="C182" s="128"/>
      <x:c r="D182" s="128"/>
      <x:c r="E182" s="128"/>
      <x:c r="F182" s="128"/>
      <x:c r="G182" s="128"/>
      <x:c r="H182" s="128"/>
      <x:c r="I182" s="128"/>
      <x:c r="J182" s="128"/>
      <x:c r="K182" s="128"/>
      <x:c r="L182" s="128"/>
      <x:c r="M182" s="128"/>
      <x:c r="N182" s="125"/>
      <x:c r="O182" s="125"/>
      <x:c r="P182" s="125"/>
      <x:c r="Q182" s="125"/>
    </x:row>
    <x:row r="183">
      <x:c r="A183" s="128"/>
      <x:c r="B183" s="128"/>
      <x:c r="C183" s="128"/>
      <x:c r="D183" s="128"/>
      <x:c r="E183" s="128"/>
      <x:c r="F183" s="128"/>
      <x:c r="G183" s="128"/>
      <x:c r="H183" s="128"/>
      <x:c r="I183" s="128"/>
      <x:c r="J183" s="128"/>
      <x:c r="K183" s="128"/>
      <x:c r="L183" s="128"/>
      <x:c r="M183" s="128"/>
      <x:c r="N183" s="125"/>
      <x:c r="O183" s="125"/>
      <x:c r="P183" s="125"/>
      <x:c r="Q183" s="125"/>
    </x:row>
    <x:row r="184">
      <x:c r="A184" s="128"/>
      <x:c r="B184" s="128"/>
      <x:c r="C184" s="128"/>
      <x:c r="D184" s="128"/>
      <x:c r="E184" s="128"/>
      <x:c r="F184" s="128"/>
      <x:c r="G184" s="128"/>
      <x:c r="H184" s="128"/>
      <x:c r="I184" s="128"/>
      <x:c r="J184" s="128"/>
      <x:c r="K184" s="128"/>
      <x:c r="L184" s="128"/>
      <x:c r="M184" s="128"/>
      <x:c r="N184" s="125"/>
      <x:c r="O184" s="125"/>
      <x:c r="P184" s="125"/>
      <x:c r="Q184" s="125"/>
    </x:row>
    <x:row r="185">
      <x:c r="A185" s="128"/>
      <x:c r="B185" s="128"/>
      <x:c r="C185" s="128"/>
      <x:c r="D185" s="128"/>
      <x:c r="E185" s="128"/>
      <x:c r="F185" s="128"/>
      <x:c r="G185" s="128"/>
      <x:c r="H185" s="128"/>
      <x:c r="I185" s="128"/>
      <x:c r="J185" s="128"/>
      <x:c r="K185" s="128"/>
      <x:c r="L185" s="128"/>
      <x:c r="M185" s="128"/>
      <x:c r="N185" s="125"/>
      <x:c r="O185" s="125"/>
      <x:c r="P185" s="125"/>
      <x:c r="Q185" s="125"/>
    </x:row>
    <x:row r="186">
      <x:c r="A186" s="128"/>
      <x:c r="B186" s="128"/>
      <x:c r="C186" s="128"/>
      <x:c r="D186" s="128"/>
      <x:c r="E186" s="128"/>
      <x:c r="F186" s="128"/>
      <x:c r="G186" s="128"/>
      <x:c r="H186" s="128"/>
      <x:c r="I186" s="128"/>
      <x:c r="J186" s="128"/>
      <x:c r="K186" s="128"/>
      <x:c r="L186" s="128"/>
      <x:c r="M186" s="128"/>
      <x:c r="N186" s="125"/>
      <x:c r="O186" s="125"/>
      <x:c r="P186" s="125"/>
      <x:c r="Q186" s="125"/>
    </x:row>
    <x:row r="187">
      <x:c r="A187" s="128"/>
      <x:c r="B187" s="128"/>
      <x:c r="C187" s="128"/>
      <x:c r="D187" s="128"/>
      <x:c r="E187" s="128"/>
      <x:c r="F187" s="128"/>
      <x:c r="G187" s="128"/>
      <x:c r="H187" s="128"/>
      <x:c r="I187" s="128"/>
      <x:c r="J187" s="128"/>
      <x:c r="K187" s="128"/>
      <x:c r="L187" s="128"/>
      <x:c r="M187" s="128"/>
      <x:c r="N187" s="125"/>
      <x:c r="O187" s="125"/>
      <x:c r="P187" s="125"/>
      <x:c r="Q187" s="125"/>
    </x:row>
    <x:row r="188">
      <x:c r="A188" s="128"/>
      <x:c r="B188" s="128"/>
      <x:c r="C188" s="128"/>
      <x:c r="D188" s="128"/>
      <x:c r="E188" s="128"/>
      <x:c r="F188" s="128"/>
      <x:c r="G188" s="128"/>
      <x:c r="H188" s="128"/>
      <x:c r="I188" s="128"/>
      <x:c r="J188" s="128"/>
      <x:c r="K188" s="128"/>
      <x:c r="L188" s="128"/>
      <x:c r="M188" s="128"/>
      <x:c r="N188" s="125"/>
      <x:c r="O188" s="125"/>
      <x:c r="P188" s="125"/>
      <x:c r="Q188" s="125"/>
    </x:row>
    <x:row r="189">
      <x:c r="A189" s="128"/>
      <x:c r="B189" s="128"/>
      <x:c r="C189" s="128"/>
      <x:c r="D189" s="128"/>
      <x:c r="E189" s="128"/>
      <x:c r="F189" s="128"/>
      <x:c r="G189" s="128"/>
      <x:c r="H189" s="128"/>
      <x:c r="I189" s="128"/>
      <x:c r="J189" s="128"/>
      <x:c r="K189" s="128"/>
      <x:c r="L189" s="128"/>
      <x:c r="M189" s="128"/>
      <x:c r="N189" s="125"/>
      <x:c r="O189" s="125"/>
      <x:c r="P189" s="125"/>
      <x:c r="Q189" s="125"/>
    </x:row>
    <x:row r="190">
      <x:c r="A190" s="128"/>
      <x:c r="B190" s="128"/>
      <x:c r="C190" s="128"/>
      <x:c r="D190" s="128"/>
      <x:c r="E190" s="128"/>
      <x:c r="F190" s="128"/>
      <x:c r="G190" s="128"/>
      <x:c r="H190" s="128"/>
      <x:c r="I190" s="128"/>
      <x:c r="J190" s="128"/>
      <x:c r="K190" s="128"/>
      <x:c r="L190" s="128"/>
      <x:c r="M190" s="128"/>
      <x:c r="N190" s="125"/>
      <x:c r="O190" s="125"/>
      <x:c r="P190" s="125"/>
      <x:c r="Q190" s="125"/>
    </x:row>
    <x:row r="191">
      <x:c r="A191" s="128"/>
      <x:c r="B191" s="128"/>
      <x:c r="C191" s="128"/>
      <x:c r="D191" s="128"/>
      <x:c r="E191" s="128"/>
      <x:c r="F191" s="128"/>
      <x:c r="G191" s="128"/>
      <x:c r="H191" s="128"/>
      <x:c r="I191" s="128"/>
      <x:c r="J191" s="128"/>
      <x:c r="K191" s="128"/>
      <x:c r="L191" s="128"/>
      <x:c r="M191" s="128"/>
      <x:c r="N191" s="125"/>
      <x:c r="O191" s="125"/>
      <x:c r="P191" s="125"/>
      <x:c r="Q191" s="125"/>
    </x:row>
    <x:row r="192">
      <x:c r="A192" s="128"/>
      <x:c r="B192" s="128"/>
      <x:c r="C192" s="128"/>
      <x:c r="D192" s="128"/>
      <x:c r="E192" s="128"/>
      <x:c r="F192" s="128"/>
      <x:c r="G192" s="128"/>
      <x:c r="H192" s="128"/>
      <x:c r="I192" s="128"/>
      <x:c r="J192" s="128"/>
      <x:c r="K192" s="128"/>
      <x:c r="L192" s="128"/>
      <x:c r="M192" s="128"/>
      <x:c r="N192" s="125"/>
      <x:c r="O192" s="125"/>
      <x:c r="P192" s="125"/>
      <x:c r="Q192" s="125"/>
    </x:row>
    <x:row r="193">
      <x:c r="A193" s="128"/>
      <x:c r="B193" s="128"/>
      <x:c r="C193" s="128"/>
      <x:c r="D193" s="128"/>
      <x:c r="E193" s="128"/>
      <x:c r="F193" s="128"/>
      <x:c r="G193" s="128"/>
      <x:c r="H193" s="128"/>
      <x:c r="I193" s="128"/>
      <x:c r="J193" s="128"/>
      <x:c r="K193" s="128"/>
      <x:c r="L193" s="128"/>
      <x:c r="M193" s="128"/>
      <x:c r="N193" s="125"/>
      <x:c r="O193" s="125"/>
      <x:c r="P193" s="125"/>
      <x:c r="Q193" s="125"/>
    </x:row>
    <x:row r="194">
      <x:c r="A194" s="128"/>
      <x:c r="B194" s="128"/>
      <x:c r="C194" s="128"/>
      <x:c r="D194" s="128"/>
      <x:c r="E194" s="128"/>
      <x:c r="F194" s="128"/>
      <x:c r="G194" s="128"/>
      <x:c r="H194" s="128"/>
      <x:c r="I194" s="128"/>
      <x:c r="J194" s="128"/>
      <x:c r="K194" s="128"/>
      <x:c r="L194" s="128"/>
      <x:c r="M194" s="128"/>
      <x:c r="N194" s="125"/>
      <x:c r="O194" s="125"/>
      <x:c r="P194" s="125"/>
      <x:c r="Q194" s="125"/>
    </x:row>
    <x:row r="195">
      <x:c r="A195" s="128"/>
      <x:c r="B195" s="128"/>
      <x:c r="C195" s="128"/>
      <x:c r="D195" s="128"/>
      <x:c r="E195" s="128"/>
      <x:c r="F195" s="128"/>
      <x:c r="G195" s="128"/>
      <x:c r="H195" s="128"/>
      <x:c r="I195" s="128"/>
      <x:c r="J195" s="128"/>
      <x:c r="K195" s="128"/>
      <x:c r="L195" s="128"/>
      <x:c r="M195" s="128"/>
      <x:c r="N195" s="125"/>
      <x:c r="O195" s="125"/>
      <x:c r="P195" s="125"/>
      <x:c r="Q195" s="125"/>
    </x:row>
    <x:row r="196">
      <x:c r="A196" s="128"/>
      <x:c r="B196" s="128"/>
      <x:c r="C196" s="128"/>
      <x:c r="D196" s="128"/>
      <x:c r="E196" s="128"/>
      <x:c r="F196" s="128"/>
      <x:c r="G196" s="128"/>
      <x:c r="H196" s="128"/>
      <x:c r="I196" s="128"/>
      <x:c r="J196" s="128"/>
      <x:c r="K196" s="128"/>
      <x:c r="L196" s="128"/>
      <x:c r="M196" s="128"/>
      <x:c r="N196" s="125"/>
      <x:c r="O196" s="125"/>
      <x:c r="P196" s="125"/>
      <x:c r="Q196" s="125"/>
    </x:row>
    <x:row r="197">
      <x:c r="A197" s="128"/>
      <x:c r="B197" s="128"/>
      <x:c r="C197" s="128"/>
      <x:c r="D197" s="128"/>
      <x:c r="E197" s="128"/>
      <x:c r="F197" s="128"/>
      <x:c r="G197" s="128"/>
      <x:c r="H197" s="128"/>
      <x:c r="I197" s="128"/>
      <x:c r="J197" s="128"/>
      <x:c r="K197" s="128"/>
      <x:c r="L197" s="128"/>
      <x:c r="M197" s="128"/>
      <x:c r="N197" s="125"/>
      <x:c r="O197" s="125"/>
      <x:c r="P197" s="125"/>
      <x:c r="Q197" s="125"/>
    </x:row>
    <x:row r="198">
      <x:c r="A198" s="128"/>
      <x:c r="B198" s="128"/>
      <x:c r="C198" s="128"/>
      <x:c r="D198" s="128"/>
      <x:c r="E198" s="128"/>
      <x:c r="F198" s="128"/>
      <x:c r="G198" s="128"/>
      <x:c r="H198" s="128"/>
      <x:c r="I198" s="128"/>
      <x:c r="J198" s="128"/>
      <x:c r="K198" s="128"/>
      <x:c r="L198" s="128"/>
      <x:c r="M198" s="128"/>
      <x:c r="N198" s="125"/>
      <x:c r="O198" s="125"/>
      <x:c r="P198" s="125"/>
      <x:c r="Q198" s="125"/>
    </x:row>
    <x:row r="199">
      <x:c r="A199" s="128"/>
      <x:c r="B199" s="128"/>
      <x:c r="C199" s="128"/>
      <x:c r="D199" s="128"/>
      <x:c r="E199" s="128"/>
      <x:c r="F199" s="128"/>
      <x:c r="G199" s="128"/>
      <x:c r="H199" s="128"/>
      <x:c r="I199" s="128"/>
      <x:c r="J199" s="128"/>
      <x:c r="K199" s="128"/>
      <x:c r="L199" s="128"/>
      <x:c r="M199" s="128"/>
      <x:c r="N199" s="125"/>
      <x:c r="O199" s="125"/>
      <x:c r="P199" s="125"/>
      <x:c r="Q199" s="125"/>
    </x:row>
    <x:row r="200">
      <x:c r="A200" s="128"/>
      <x:c r="B200" s="128"/>
      <x:c r="C200" s="128"/>
      <x:c r="D200" s="128"/>
      <x:c r="E200" s="128"/>
      <x:c r="F200" s="128"/>
      <x:c r="G200" s="128"/>
      <x:c r="H200" s="128"/>
      <x:c r="I200" s="128"/>
      <x:c r="J200" s="128"/>
      <x:c r="K200" s="128"/>
      <x:c r="L200" s="128"/>
      <x:c r="M200" s="128"/>
      <x:c r="N200" s="125"/>
      <x:c r="O200" s="125"/>
      <x:c r="P200" s="125"/>
      <x:c r="Q200" s="125"/>
    </x:row>
    <x:row r="201">
      <x:c r="A201" s="128"/>
      <x:c r="B201" s="128"/>
      <x:c r="C201" s="128"/>
      <x:c r="D201" s="128"/>
      <x:c r="E201" s="128"/>
      <x:c r="F201" s="128"/>
      <x:c r="G201" s="128"/>
      <x:c r="H201" s="128"/>
      <x:c r="I201" s="128"/>
      <x:c r="J201" s="128"/>
      <x:c r="K201" s="128"/>
      <x:c r="L201" s="128"/>
      <x:c r="M201" s="128"/>
      <x:c r="N201" s="125"/>
      <x:c r="O201" s="125"/>
      <x:c r="P201" s="125"/>
      <x:c r="Q201" s="125"/>
    </x:row>
    <x:row r="202">
      <x:c r="A202" s="128"/>
      <x:c r="B202" s="128"/>
      <x:c r="C202" s="128"/>
      <x:c r="D202" s="128"/>
      <x:c r="E202" s="128"/>
      <x:c r="F202" s="128"/>
      <x:c r="G202" s="128"/>
      <x:c r="H202" s="128"/>
      <x:c r="I202" s="128"/>
      <x:c r="J202" s="128"/>
      <x:c r="K202" s="128"/>
      <x:c r="L202" s="128"/>
      <x:c r="M202" s="128"/>
      <x:c r="N202" s="125"/>
      <x:c r="O202" s="125"/>
      <x:c r="P202" s="125"/>
      <x:c r="Q202" s="125"/>
    </x:row>
    <x:row r="203">
      <x:c r="A203" s="128"/>
      <x:c r="B203" s="128"/>
      <x:c r="C203" s="128"/>
      <x:c r="D203" s="128"/>
      <x:c r="E203" s="128"/>
      <x:c r="F203" s="128"/>
      <x:c r="G203" s="128"/>
      <x:c r="H203" s="128"/>
      <x:c r="I203" s="128"/>
      <x:c r="J203" s="128"/>
      <x:c r="K203" s="128"/>
      <x:c r="L203" s="128"/>
      <x:c r="M203" s="128"/>
      <x:c r="N203" s="125"/>
      <x:c r="O203" s="125"/>
      <x:c r="P203" s="125"/>
      <x:c r="Q203" s="125"/>
    </x:row>
    <x:row r="204">
      <x:c r="A204" s="128"/>
      <x:c r="B204" s="128"/>
      <x:c r="C204" s="128"/>
      <x:c r="D204" s="128"/>
      <x:c r="E204" s="128"/>
      <x:c r="F204" s="128"/>
      <x:c r="G204" s="128"/>
      <x:c r="H204" s="128"/>
      <x:c r="I204" s="128"/>
      <x:c r="J204" s="128"/>
      <x:c r="K204" s="128"/>
      <x:c r="L204" s="128"/>
      <x:c r="M204" s="128"/>
      <x:c r="N204" s="125"/>
      <x:c r="O204" s="125"/>
      <x:c r="P204" s="125"/>
      <x:c r="Q204" s="125"/>
    </x:row>
    <x:row r="205">
      <x:c r="A205" s="128"/>
      <x:c r="B205" s="128"/>
      <x:c r="C205" s="128"/>
      <x:c r="D205" s="128"/>
      <x:c r="E205" s="128"/>
      <x:c r="F205" s="128"/>
      <x:c r="G205" s="128"/>
      <x:c r="H205" s="128"/>
      <x:c r="I205" s="128"/>
      <x:c r="J205" s="128"/>
      <x:c r="K205" s="128"/>
      <x:c r="L205" s="128"/>
      <x:c r="M205" s="128"/>
      <x:c r="N205" s="125"/>
      <x:c r="O205" s="125"/>
      <x:c r="P205" s="125"/>
      <x:c r="Q205" s="125"/>
    </x:row>
    <x:row r="206">
      <x:c r="A206" s="128"/>
      <x:c r="B206" s="128"/>
      <x:c r="C206" s="128"/>
      <x:c r="D206" s="128"/>
      <x:c r="E206" s="128"/>
      <x:c r="F206" s="128"/>
      <x:c r="G206" s="128"/>
      <x:c r="H206" s="128"/>
      <x:c r="I206" s="128"/>
      <x:c r="J206" s="128"/>
      <x:c r="K206" s="128"/>
      <x:c r="L206" s="128"/>
      <x:c r="M206" s="128"/>
      <x:c r="N206" s="125"/>
      <x:c r="O206" s="125"/>
      <x:c r="P206" s="125"/>
      <x:c r="Q206" s="125"/>
    </x:row>
    <x:row r="207">
      <x:c r="A207" s="128"/>
      <x:c r="B207" s="128"/>
      <x:c r="C207" s="128"/>
      <x:c r="D207" s="128"/>
      <x:c r="E207" s="128"/>
      <x:c r="F207" s="128"/>
      <x:c r="G207" s="128"/>
      <x:c r="H207" s="128"/>
      <x:c r="I207" s="128"/>
      <x:c r="J207" s="128"/>
      <x:c r="K207" s="128"/>
      <x:c r="L207" s="128"/>
      <x:c r="M207" s="128"/>
      <x:c r="N207" s="125"/>
      <x:c r="O207" s="125"/>
      <x:c r="P207" s="125"/>
      <x:c r="Q207" s="125"/>
    </x:row>
    <x:row r="208">
      <x:c r="A208" s="128"/>
      <x:c r="B208" s="128"/>
      <x:c r="C208" s="128"/>
      <x:c r="D208" s="128"/>
      <x:c r="E208" s="128"/>
      <x:c r="F208" s="128"/>
      <x:c r="G208" s="128"/>
      <x:c r="H208" s="128"/>
      <x:c r="I208" s="128"/>
      <x:c r="J208" s="128"/>
      <x:c r="K208" s="128"/>
      <x:c r="L208" s="128"/>
      <x:c r="M208" s="128"/>
      <x:c r="N208" s="125"/>
      <x:c r="O208" s="125"/>
      <x:c r="P208" s="125"/>
      <x:c r="Q208" s="125"/>
    </x:row>
    <x:row r="209">
      <x:c r="A209" s="128"/>
      <x:c r="B209" s="128"/>
      <x:c r="C209" s="128"/>
      <x:c r="D209" s="128"/>
      <x:c r="E209" s="128"/>
      <x:c r="F209" s="128"/>
      <x:c r="G209" s="128"/>
      <x:c r="H209" s="128"/>
      <x:c r="I209" s="128"/>
      <x:c r="J209" s="128"/>
      <x:c r="K209" s="128"/>
      <x:c r="L209" s="128"/>
      <x:c r="M209" s="128"/>
      <x:c r="N209" s="125"/>
      <x:c r="O209" s="125"/>
      <x:c r="P209" s="125"/>
      <x:c r="Q209" s="125"/>
    </x:row>
    <x:row r="210">
      <x:c r="A210" s="128"/>
      <x:c r="B210" s="128"/>
      <x:c r="C210" s="128"/>
      <x:c r="D210" s="128"/>
      <x:c r="E210" s="128"/>
      <x:c r="F210" s="128"/>
      <x:c r="G210" s="128"/>
      <x:c r="H210" s="128"/>
      <x:c r="I210" s="128"/>
      <x:c r="J210" s="128"/>
      <x:c r="K210" s="128"/>
      <x:c r="L210" s="128"/>
      <x:c r="M210" s="128"/>
      <x:c r="N210" s="125"/>
      <x:c r="O210" s="125"/>
      <x:c r="P210" s="125"/>
      <x:c r="Q210" s="125"/>
    </x:row>
    <x:row r="211">
      <x:c r="A211" s="128"/>
      <x:c r="B211" s="128"/>
      <x:c r="C211" s="128"/>
      <x:c r="D211" s="128"/>
      <x:c r="E211" s="128"/>
      <x:c r="F211" s="128"/>
      <x:c r="G211" s="128"/>
      <x:c r="H211" s="128"/>
      <x:c r="I211" s="128"/>
      <x:c r="J211" s="128"/>
      <x:c r="K211" s="128"/>
      <x:c r="L211" s="128"/>
      <x:c r="M211" s="128"/>
      <x:c r="N211" s="125"/>
      <x:c r="O211" s="125"/>
      <x:c r="P211" s="125"/>
      <x:c r="Q211" s="125"/>
    </x:row>
    <x:row r="212">
      <x:c r="A212" s="128"/>
      <x:c r="B212" s="128"/>
      <x:c r="C212" s="128"/>
      <x:c r="D212" s="128"/>
      <x:c r="E212" s="128"/>
      <x:c r="F212" s="128"/>
      <x:c r="G212" s="128"/>
      <x:c r="H212" s="128"/>
      <x:c r="I212" s="128"/>
      <x:c r="J212" s="128"/>
      <x:c r="K212" s="128"/>
      <x:c r="L212" s="128"/>
      <x:c r="M212" s="128"/>
      <x:c r="N212" s="125"/>
      <x:c r="O212" s="125"/>
      <x:c r="P212" s="125"/>
      <x:c r="Q212" s="125"/>
    </x:row>
    <x:row r="213">
      <x:c r="A213" s="128"/>
      <x:c r="B213" s="128"/>
      <x:c r="C213" s="128"/>
      <x:c r="D213" s="128"/>
      <x:c r="E213" s="128"/>
      <x:c r="F213" s="128"/>
      <x:c r="G213" s="128"/>
      <x:c r="H213" s="128"/>
      <x:c r="I213" s="128"/>
      <x:c r="J213" s="128"/>
      <x:c r="K213" s="128"/>
      <x:c r="L213" s="128"/>
      <x:c r="M213" s="128"/>
      <x:c r="N213" s="125"/>
      <x:c r="O213" s="125"/>
      <x:c r="P213" s="125"/>
      <x:c r="Q213" s="125"/>
    </x:row>
    <x:row r="214">
      <x:c r="A214" s="128"/>
      <x:c r="B214" s="128"/>
      <x:c r="C214" s="128"/>
      <x:c r="D214" s="128"/>
      <x:c r="E214" s="128"/>
      <x:c r="F214" s="128"/>
      <x:c r="G214" s="128"/>
      <x:c r="H214" s="128"/>
      <x:c r="I214" s="128"/>
      <x:c r="J214" s="128"/>
      <x:c r="K214" s="128"/>
      <x:c r="L214" s="128"/>
      <x:c r="M214" s="128"/>
      <x:c r="N214" s="125"/>
      <x:c r="O214" s="125"/>
      <x:c r="P214" s="125"/>
      <x:c r="Q214" s="125"/>
    </x:row>
    <x:row r="215">
      <x:c r="A215" s="128"/>
      <x:c r="B215" s="128"/>
      <x:c r="C215" s="128"/>
      <x:c r="D215" s="128"/>
      <x:c r="E215" s="128"/>
      <x:c r="F215" s="128"/>
      <x:c r="G215" s="128"/>
      <x:c r="H215" s="128"/>
      <x:c r="I215" s="128"/>
      <x:c r="J215" s="128"/>
      <x:c r="K215" s="128"/>
      <x:c r="L215" s="128"/>
      <x:c r="M215" s="128"/>
      <x:c r="N215" s="125"/>
      <x:c r="O215" s="125"/>
      <x:c r="P215" s="125"/>
      <x:c r="Q215" s="125"/>
    </x:row>
    <x:row r="216">
      <x:c r="A216" s="128"/>
      <x:c r="B216" s="128"/>
      <x:c r="C216" s="128"/>
      <x:c r="D216" s="128"/>
      <x:c r="E216" s="128"/>
      <x:c r="F216" s="128"/>
      <x:c r="G216" s="128"/>
      <x:c r="H216" s="128"/>
      <x:c r="I216" s="128"/>
      <x:c r="J216" s="128"/>
      <x:c r="K216" s="128"/>
      <x:c r="L216" s="128"/>
      <x:c r="M216" s="128"/>
      <x:c r="N216" s="125"/>
      <x:c r="O216" s="125"/>
      <x:c r="P216" s="125"/>
      <x:c r="Q216" s="125"/>
    </x:row>
    <x:row r="217">
      <x:c r="A217" s="128"/>
      <x:c r="B217" s="128"/>
      <x:c r="C217" s="128"/>
      <x:c r="D217" s="128"/>
      <x:c r="E217" s="128"/>
      <x:c r="F217" s="128"/>
      <x:c r="G217" s="128"/>
      <x:c r="H217" s="128"/>
      <x:c r="I217" s="128"/>
      <x:c r="J217" s="128"/>
      <x:c r="K217" s="128"/>
      <x:c r="L217" s="128"/>
      <x:c r="M217" s="128"/>
      <x:c r="N217" s="125"/>
      <x:c r="O217" s="125"/>
      <x:c r="P217" s="125"/>
      <x:c r="Q217" s="125"/>
    </x:row>
    <x:row r="218">
      <x:c r="A218" s="128"/>
      <x:c r="B218" s="128"/>
      <x:c r="C218" s="128"/>
      <x:c r="D218" s="128"/>
      <x:c r="E218" s="128"/>
      <x:c r="F218" s="128"/>
      <x:c r="G218" s="128"/>
      <x:c r="H218" s="128"/>
      <x:c r="I218" s="128"/>
      <x:c r="J218" s="128"/>
      <x:c r="K218" s="128"/>
      <x:c r="L218" s="128"/>
      <x:c r="M218" s="128"/>
      <x:c r="N218" s="125"/>
      <x:c r="O218" s="125"/>
      <x:c r="P218" s="125"/>
      <x:c r="Q218" s="125"/>
    </x:row>
    <x:row r="219">
      <x:c r="A219" s="128"/>
      <x:c r="B219" s="128"/>
      <x:c r="C219" s="128"/>
      <x:c r="D219" s="128"/>
      <x:c r="E219" s="128"/>
      <x:c r="F219" s="128"/>
      <x:c r="G219" s="128"/>
      <x:c r="H219" s="128"/>
      <x:c r="I219" s="128"/>
      <x:c r="J219" s="128"/>
      <x:c r="K219" s="128"/>
      <x:c r="L219" s="128"/>
      <x:c r="M219" s="128"/>
      <x:c r="N219" s="125"/>
      <x:c r="O219" s="125"/>
      <x:c r="P219" s="125"/>
      <x:c r="Q219" s="125"/>
    </x:row>
    <x:row r="220">
      <x:c r="A220" s="128"/>
      <x:c r="B220" s="128"/>
      <x:c r="C220" s="128"/>
      <x:c r="D220" s="128"/>
      <x:c r="E220" s="128"/>
      <x:c r="F220" s="128"/>
      <x:c r="G220" s="128"/>
      <x:c r="H220" s="128"/>
      <x:c r="I220" s="128"/>
      <x:c r="J220" s="128"/>
      <x:c r="K220" s="128"/>
      <x:c r="L220" s="128"/>
      <x:c r="M220" s="128"/>
      <x:c r="N220" s="125"/>
      <x:c r="O220" s="125"/>
      <x:c r="P220" s="125"/>
      <x:c r="Q220" s="125"/>
    </x:row>
    <x:row r="221">
      <x:c r="A221" s="128"/>
      <x:c r="B221" s="128"/>
      <x:c r="C221" s="128"/>
      <x:c r="D221" s="128"/>
      <x:c r="E221" s="128"/>
      <x:c r="F221" s="128"/>
      <x:c r="G221" s="128"/>
      <x:c r="H221" s="128"/>
      <x:c r="I221" s="128"/>
      <x:c r="J221" s="128"/>
      <x:c r="K221" s="128"/>
      <x:c r="L221" s="128"/>
      <x:c r="M221" s="128"/>
      <x:c r="N221" s="125"/>
      <x:c r="O221" s="125"/>
      <x:c r="P221" s="125"/>
      <x:c r="Q221" s="125"/>
    </x:row>
    <x:row r="222">
      <x:c r="A222" s="128"/>
      <x:c r="B222" s="128"/>
      <x:c r="C222" s="128"/>
      <x:c r="D222" s="128"/>
      <x:c r="E222" s="128"/>
      <x:c r="F222" s="128"/>
      <x:c r="G222" s="128"/>
      <x:c r="H222" s="128"/>
      <x:c r="I222" s="128"/>
      <x:c r="J222" s="128"/>
      <x:c r="K222" s="128"/>
      <x:c r="L222" s="128"/>
      <x:c r="M222" s="128"/>
      <x:c r="N222" s="125"/>
      <x:c r="O222" s="125"/>
      <x:c r="P222" s="125"/>
      <x:c r="Q222" s="125"/>
    </x:row>
    <x:row r="223">
      <x:c r="A223" s="128"/>
      <x:c r="B223" s="128"/>
      <x:c r="C223" s="128"/>
      <x:c r="D223" s="128"/>
      <x:c r="E223" s="128"/>
      <x:c r="F223" s="128"/>
      <x:c r="G223" s="128"/>
      <x:c r="H223" s="128"/>
      <x:c r="I223" s="128"/>
      <x:c r="J223" s="128"/>
      <x:c r="K223" s="128"/>
      <x:c r="L223" s="128"/>
      <x:c r="M223" s="128"/>
      <x:c r="N223" s="125"/>
      <x:c r="O223" s="125"/>
      <x:c r="P223" s="125"/>
      <x:c r="Q223" s="125"/>
    </x:row>
    <x:row r="224">
      <x:c r="A224" s="128"/>
      <x:c r="B224" s="128"/>
      <x:c r="C224" s="128"/>
      <x:c r="D224" s="128"/>
      <x:c r="E224" s="128"/>
      <x:c r="F224" s="128"/>
      <x:c r="G224" s="128"/>
      <x:c r="H224" s="128"/>
      <x:c r="I224" s="128"/>
      <x:c r="J224" s="128"/>
      <x:c r="K224" s="128"/>
      <x:c r="L224" s="128"/>
      <x:c r="M224" s="128"/>
      <x:c r="N224" s="125"/>
      <x:c r="O224" s="125"/>
      <x:c r="P224" s="125"/>
      <x:c r="Q224" s="125"/>
    </x:row>
    <x:row r="225">
      <x:c r="A225" s="128"/>
      <x:c r="B225" s="128"/>
      <x:c r="C225" s="128"/>
      <x:c r="D225" s="128"/>
      <x:c r="E225" s="128"/>
      <x:c r="F225" s="128"/>
      <x:c r="G225" s="128"/>
      <x:c r="H225" s="128"/>
      <x:c r="I225" s="128"/>
      <x:c r="J225" s="128"/>
      <x:c r="K225" s="128"/>
      <x:c r="L225" s="128"/>
      <x:c r="M225" s="128"/>
      <x:c r="N225" s="125"/>
      <x:c r="O225" s="125"/>
      <x:c r="P225" s="125"/>
      <x:c r="Q225" s="125"/>
    </x:row>
    <x:row r="226">
      <x:c r="A226" s="128"/>
      <x:c r="B226" s="128"/>
      <x:c r="C226" s="128"/>
      <x:c r="D226" s="128"/>
      <x:c r="E226" s="128"/>
      <x:c r="F226" s="128"/>
      <x:c r="G226" s="128"/>
      <x:c r="H226" s="128"/>
      <x:c r="I226" s="128"/>
      <x:c r="J226" s="128"/>
      <x:c r="K226" s="128"/>
      <x:c r="L226" s="128"/>
      <x:c r="M226" s="128"/>
      <x:c r="N226" s="125"/>
      <x:c r="O226" s="125"/>
      <x:c r="P226" s="125"/>
      <x:c r="Q226" s="125"/>
    </x:row>
    <x:row r="227">
      <x:c r="A227" s="128"/>
      <x:c r="B227" s="128"/>
      <x:c r="C227" s="128"/>
      <x:c r="D227" s="128"/>
      <x:c r="E227" s="128"/>
      <x:c r="F227" s="128"/>
      <x:c r="G227" s="128"/>
      <x:c r="H227" s="128"/>
      <x:c r="I227" s="128"/>
      <x:c r="J227" s="128"/>
      <x:c r="K227" s="128"/>
      <x:c r="L227" s="128"/>
      <x:c r="M227" s="128"/>
      <x:c r="N227" s="125"/>
      <x:c r="O227" s="125"/>
      <x:c r="P227" s="125"/>
      <x:c r="Q227" s="125"/>
    </x:row>
    <x:row r="228">
      <x:c r="A228" s="128"/>
      <x:c r="B228" s="128"/>
      <x:c r="C228" s="128"/>
      <x:c r="D228" s="128"/>
      <x:c r="E228" s="128"/>
      <x:c r="F228" s="128"/>
      <x:c r="G228" s="128"/>
      <x:c r="H228" s="128"/>
      <x:c r="I228" s="128"/>
      <x:c r="J228" s="128"/>
      <x:c r="K228" s="128"/>
      <x:c r="L228" s="128"/>
      <x:c r="M228" s="128"/>
      <x:c r="N228" s="125"/>
      <x:c r="O228" s="125"/>
      <x:c r="P228" s="125"/>
      <x:c r="Q228" s="125"/>
    </x:row>
    <x:row r="229">
      <x:c r="A229" s="128"/>
      <x:c r="B229" s="128"/>
      <x:c r="C229" s="128"/>
      <x:c r="D229" s="128"/>
      <x:c r="E229" s="128"/>
      <x:c r="F229" s="128"/>
      <x:c r="G229" s="128"/>
      <x:c r="H229" s="128"/>
      <x:c r="I229" s="128"/>
      <x:c r="J229" s="128"/>
      <x:c r="K229" s="128"/>
      <x:c r="L229" s="128"/>
      <x:c r="M229" s="128"/>
      <x:c r="N229" s="125"/>
      <x:c r="O229" s="125"/>
      <x:c r="P229" s="125"/>
      <x:c r="Q229" s="125"/>
    </x:row>
    <x:row r="230">
      <x:c r="A230" s="128"/>
      <x:c r="B230" s="128"/>
      <x:c r="C230" s="128"/>
      <x:c r="D230" s="128"/>
      <x:c r="E230" s="128"/>
      <x:c r="F230" s="128"/>
      <x:c r="G230" s="128"/>
      <x:c r="H230" s="128"/>
      <x:c r="I230" s="128"/>
      <x:c r="J230" s="128"/>
      <x:c r="K230" s="128"/>
      <x:c r="L230" s="128"/>
      <x:c r="M230" s="128"/>
      <x:c r="N230" s="125"/>
      <x:c r="O230" s="125"/>
      <x:c r="P230" s="125"/>
      <x:c r="Q230" s="125"/>
    </x:row>
    <x:row r="231">
      <x:c r="A231" s="128"/>
      <x:c r="B231" s="128"/>
      <x:c r="C231" s="128"/>
      <x:c r="D231" s="128"/>
      <x:c r="E231" s="128"/>
      <x:c r="F231" s="128"/>
      <x:c r="G231" s="128"/>
      <x:c r="H231" s="128"/>
      <x:c r="I231" s="128"/>
      <x:c r="J231" s="128"/>
      <x:c r="K231" s="128"/>
      <x:c r="L231" s="128"/>
      <x:c r="M231" s="128"/>
      <x:c r="N231" s="125"/>
      <x:c r="O231" s="125"/>
      <x:c r="P231" s="125"/>
      <x:c r="Q231" s="125"/>
    </x:row>
    <x:row r="232">
      <x:c r="A232" s="128"/>
      <x:c r="B232" s="128"/>
      <x:c r="C232" s="128"/>
      <x:c r="D232" s="128"/>
      <x:c r="E232" s="128"/>
      <x:c r="F232" s="128"/>
      <x:c r="G232" s="128"/>
      <x:c r="H232" s="128"/>
      <x:c r="I232" s="128"/>
      <x:c r="J232" s="128"/>
      <x:c r="K232" s="128"/>
      <x:c r="L232" s="128"/>
      <x:c r="M232" s="128"/>
      <x:c r="N232" s="125"/>
      <x:c r="O232" s="125"/>
      <x:c r="P232" s="125"/>
      <x:c r="Q232" s="125"/>
    </x:row>
    <x:row r="233">
      <x:c r="A233" s="128"/>
      <x:c r="B233" s="128"/>
      <x:c r="C233" s="128"/>
      <x:c r="D233" s="128"/>
      <x:c r="E233" s="128"/>
      <x:c r="F233" s="128"/>
      <x:c r="G233" s="128"/>
      <x:c r="H233" s="128"/>
      <x:c r="I233" s="128"/>
      <x:c r="J233" s="128"/>
      <x:c r="K233" s="128"/>
      <x:c r="L233" s="128"/>
      <x:c r="M233" s="128"/>
      <x:c r="N233" s="125"/>
      <x:c r="O233" s="125"/>
      <x:c r="P233" s="125"/>
      <x:c r="Q233" s="125"/>
    </x:row>
    <x:row r="234">
      <x:c r="A234" s="128"/>
      <x:c r="B234" s="128"/>
      <x:c r="C234" s="128"/>
      <x:c r="D234" s="128"/>
      <x:c r="E234" s="128"/>
      <x:c r="F234" s="128"/>
      <x:c r="G234" s="128"/>
      <x:c r="H234" s="128"/>
      <x:c r="I234" s="128"/>
      <x:c r="J234" s="128"/>
      <x:c r="K234" s="128"/>
      <x:c r="L234" s="128"/>
      <x:c r="M234" s="128"/>
      <x:c r="N234" s="125"/>
      <x:c r="O234" s="125"/>
      <x:c r="P234" s="125"/>
      <x:c r="Q234" s="125"/>
    </x:row>
    <x:row r="235">
      <x:c r="A235" s="128"/>
      <x:c r="B235" s="128"/>
      <x:c r="C235" s="128"/>
      <x:c r="D235" s="128"/>
      <x:c r="E235" s="128"/>
      <x:c r="F235" s="128"/>
      <x:c r="G235" s="128"/>
      <x:c r="H235" s="128"/>
      <x:c r="I235" s="128"/>
      <x:c r="J235" s="128"/>
      <x:c r="K235" s="128"/>
      <x:c r="L235" s="128"/>
      <x:c r="M235" s="128"/>
      <x:c r="N235" s="125"/>
      <x:c r="O235" s="125"/>
      <x:c r="P235" s="125"/>
      <x:c r="Q235" s="125"/>
    </x:row>
    <x:row r="236">
      <x:c r="A236" s="128"/>
      <x:c r="B236" s="128"/>
      <x:c r="C236" s="128"/>
      <x:c r="D236" s="128"/>
      <x:c r="E236" s="128"/>
      <x:c r="F236" s="128"/>
      <x:c r="G236" s="128"/>
      <x:c r="H236" s="128"/>
      <x:c r="I236" s="128"/>
      <x:c r="J236" s="128"/>
      <x:c r="K236" s="128"/>
      <x:c r="L236" s="128"/>
      <x:c r="M236" s="128"/>
      <x:c r="N236" s="125"/>
      <x:c r="O236" s="125"/>
      <x:c r="P236" s="125"/>
      <x:c r="Q236" s="125"/>
    </x:row>
    <x:row r="237">
      <x:c r="A237" s="128"/>
      <x:c r="B237" s="128"/>
      <x:c r="C237" s="128"/>
      <x:c r="D237" s="128"/>
      <x:c r="E237" s="128"/>
      <x:c r="F237" s="128"/>
      <x:c r="G237" s="128"/>
      <x:c r="H237" s="128"/>
      <x:c r="I237" s="128"/>
      <x:c r="J237" s="128"/>
      <x:c r="K237" s="128"/>
      <x:c r="L237" s="128"/>
      <x:c r="M237" s="128"/>
      <x:c r="N237" s="125"/>
      <x:c r="O237" s="125"/>
      <x:c r="P237" s="125"/>
      <x:c r="Q237" s="125"/>
    </x:row>
    <x:row r="238">
      <x:c r="A238" s="128"/>
      <x:c r="B238" s="128"/>
      <x:c r="C238" s="128"/>
      <x:c r="D238" s="128"/>
      <x:c r="E238" s="128"/>
      <x:c r="F238" s="128"/>
      <x:c r="G238" s="128"/>
      <x:c r="H238" s="128"/>
      <x:c r="I238" s="128"/>
      <x:c r="J238" s="128"/>
      <x:c r="K238" s="128"/>
      <x:c r="L238" s="128"/>
      <x:c r="M238" s="128"/>
      <x:c r="N238" s="125"/>
      <x:c r="O238" s="125"/>
      <x:c r="P238" s="125"/>
      <x:c r="Q238" s="125"/>
    </x:row>
    <x:row r="239">
      <x:c r="A239" s="128"/>
      <x:c r="B239" s="128"/>
      <x:c r="C239" s="128"/>
      <x:c r="D239" s="128"/>
      <x:c r="E239" s="128"/>
      <x:c r="F239" s="128"/>
      <x:c r="G239" s="128"/>
      <x:c r="H239" s="128"/>
      <x:c r="I239" s="128"/>
      <x:c r="J239" s="128"/>
      <x:c r="K239" s="128"/>
      <x:c r="L239" s="128"/>
      <x:c r="M239" s="128"/>
      <x:c r="N239" s="125"/>
      <x:c r="O239" s="125"/>
      <x:c r="P239" s="125"/>
      <x:c r="Q239" s="125"/>
    </x:row>
    <x:row r="240">
      <x:c r="A240" s="128"/>
      <x:c r="B240" s="128"/>
      <x:c r="C240" s="128"/>
      <x:c r="D240" s="128"/>
      <x:c r="E240" s="128"/>
      <x:c r="F240" s="128"/>
      <x:c r="G240" s="128"/>
      <x:c r="H240" s="128"/>
      <x:c r="I240" s="128"/>
      <x:c r="J240" s="128"/>
      <x:c r="K240" s="128"/>
      <x:c r="L240" s="128"/>
      <x:c r="M240" s="128"/>
      <x:c r="N240" s="125"/>
      <x:c r="O240" s="125"/>
      <x:c r="P240" s="125"/>
      <x:c r="Q240" s="125"/>
    </x:row>
    <x:row r="241">
      <x:c r="A241" s="128"/>
      <x:c r="B241" s="128"/>
      <x:c r="C241" s="128"/>
      <x:c r="D241" s="128"/>
      <x:c r="E241" s="128"/>
      <x:c r="F241" s="128"/>
      <x:c r="G241" s="128"/>
      <x:c r="H241" s="128"/>
      <x:c r="I241" s="128"/>
      <x:c r="J241" s="128"/>
      <x:c r="K241" s="128"/>
      <x:c r="L241" s="128"/>
      <x:c r="M241" s="128"/>
      <x:c r="N241" s="125"/>
      <x:c r="O241" s="125"/>
      <x:c r="P241" s="125"/>
      <x:c r="Q241" s="125"/>
    </x:row>
    <x:row r="242">
      <x:c r="A242" s="128"/>
      <x:c r="B242" s="128"/>
      <x:c r="C242" s="128"/>
      <x:c r="D242" s="128"/>
      <x:c r="E242" s="128"/>
      <x:c r="F242" s="128"/>
      <x:c r="G242" s="128"/>
      <x:c r="H242" s="128"/>
      <x:c r="I242" s="128"/>
      <x:c r="J242" s="128"/>
      <x:c r="K242" s="128"/>
      <x:c r="L242" s="128"/>
      <x:c r="M242" s="128"/>
      <x:c r="N242" s="125"/>
      <x:c r="O242" s="125"/>
      <x:c r="P242" s="125"/>
      <x:c r="Q242" s="125"/>
    </x:row>
    <x:row r="243">
      <x:c r="A243" s="128"/>
      <x:c r="B243" s="128"/>
      <x:c r="C243" s="128"/>
      <x:c r="D243" s="128"/>
      <x:c r="E243" s="128"/>
      <x:c r="F243" s="128"/>
      <x:c r="G243" s="128"/>
      <x:c r="H243" s="128"/>
      <x:c r="I243" s="128"/>
      <x:c r="J243" s="128"/>
      <x:c r="K243" s="128"/>
      <x:c r="L243" s="128"/>
      <x:c r="M243" s="128"/>
      <x:c r="N243" s="125"/>
      <x:c r="O243" s="125"/>
      <x:c r="P243" s="125"/>
      <x:c r="Q243" s="125"/>
    </x:row>
    <x:row r="244">
      <x:c r="A244" s="128"/>
      <x:c r="B244" s="128"/>
      <x:c r="C244" s="128"/>
      <x:c r="D244" s="128"/>
      <x:c r="E244" s="128"/>
      <x:c r="F244" s="128"/>
      <x:c r="G244" s="128"/>
      <x:c r="H244" s="128"/>
      <x:c r="I244" s="128"/>
      <x:c r="J244" s="128"/>
      <x:c r="K244" s="128"/>
      <x:c r="L244" s="128"/>
      <x:c r="M244" s="128"/>
      <x:c r="N244" s="125"/>
      <x:c r="O244" s="125"/>
      <x:c r="P244" s="125"/>
      <x:c r="Q244" s="125"/>
    </x:row>
    <x:row r="245">
      <x:c r="A245" s="128"/>
      <x:c r="B245" s="128"/>
      <x:c r="C245" s="128"/>
      <x:c r="D245" s="128"/>
      <x:c r="E245" s="128"/>
      <x:c r="F245" s="128"/>
      <x:c r="G245" s="128"/>
      <x:c r="H245" s="128"/>
      <x:c r="I245" s="128"/>
      <x:c r="J245" s="128"/>
      <x:c r="K245" s="128"/>
      <x:c r="L245" s="128"/>
      <x:c r="M245" s="128"/>
      <x:c r="N245" s="125"/>
      <x:c r="O245" s="125"/>
      <x:c r="P245" s="125"/>
      <x:c r="Q245" s="125"/>
    </x:row>
    <x:row r="246">
      <x:c r="A246" s="128"/>
      <x:c r="B246" s="128"/>
      <x:c r="C246" s="128"/>
      <x:c r="D246" s="128"/>
      <x:c r="E246" s="128"/>
      <x:c r="F246" s="128"/>
      <x:c r="G246" s="128"/>
      <x:c r="H246" s="128"/>
      <x:c r="I246" s="128"/>
      <x:c r="J246" s="128"/>
      <x:c r="K246" s="128"/>
      <x:c r="L246" s="128"/>
      <x:c r="M246" s="128"/>
      <x:c r="N246" s="125"/>
      <x:c r="O246" s="125"/>
      <x:c r="P246" s="125"/>
      <x:c r="Q246" s="125"/>
    </x:row>
    <x:row r="247">
      <x:c r="A247" s="128"/>
      <x:c r="B247" s="128"/>
      <x:c r="C247" s="128"/>
      <x:c r="D247" s="128"/>
      <x:c r="E247" s="128"/>
      <x:c r="F247" s="128"/>
      <x:c r="G247" s="128"/>
      <x:c r="H247" s="128"/>
      <x:c r="I247" s="128"/>
      <x:c r="J247" s="128"/>
      <x:c r="K247" s="128"/>
      <x:c r="L247" s="128"/>
      <x:c r="M247" s="128"/>
      <x:c r="N247" s="125"/>
      <x:c r="O247" s="125"/>
      <x:c r="P247" s="125"/>
      <x:c r="Q247" s="125"/>
    </x:row>
    <x:row r="248">
      <x:c r="A248" s="128"/>
      <x:c r="B248" s="128"/>
      <x:c r="C248" s="128"/>
      <x:c r="D248" s="128"/>
      <x:c r="E248" s="128"/>
      <x:c r="F248" s="128"/>
      <x:c r="G248" s="128"/>
      <x:c r="H248" s="128"/>
      <x:c r="I248" s="128"/>
      <x:c r="J248" s="128"/>
      <x:c r="K248" s="128"/>
      <x:c r="L248" s="128"/>
      <x:c r="M248" s="128"/>
      <x:c r="N248" s="125"/>
      <x:c r="O248" s="125"/>
      <x:c r="P248" s="125"/>
      <x:c r="Q248" s="125"/>
    </x:row>
    <x:row r="249">
      <x:c r="A249" s="128"/>
      <x:c r="B249" s="128"/>
      <x:c r="C249" s="128"/>
      <x:c r="D249" s="128"/>
      <x:c r="E249" s="128"/>
      <x:c r="F249" s="128"/>
      <x:c r="G249" s="128"/>
      <x:c r="H249" s="128"/>
      <x:c r="I249" s="128"/>
      <x:c r="J249" s="128"/>
      <x:c r="K249" s="128"/>
      <x:c r="L249" s="128"/>
      <x:c r="M249" s="128"/>
      <x:c r="N249" s="125"/>
      <x:c r="O249" s="125"/>
      <x:c r="P249" s="125"/>
      <x:c r="Q249" s="125"/>
    </x:row>
    <x:row r="250">
      <x:c r="A250" s="128"/>
      <x:c r="B250" s="128"/>
      <x:c r="C250" s="128"/>
      <x:c r="D250" s="128"/>
      <x:c r="E250" s="128"/>
      <x:c r="F250" s="128"/>
      <x:c r="G250" s="128"/>
      <x:c r="H250" s="128"/>
      <x:c r="I250" s="128"/>
      <x:c r="J250" s="128"/>
      <x:c r="K250" s="128"/>
      <x:c r="L250" s="128"/>
      <x:c r="M250" s="128"/>
      <x:c r="N250" s="125"/>
      <x:c r="O250" s="125"/>
      <x:c r="P250" s="125"/>
      <x:c r="Q250" s="125"/>
    </x:row>
    <x:row r="251">
      <x:c r="A251" s="23"/>
      <x:c r="B251" s="23"/>
      <x:c r="C251" s="23"/>
      <x:c r="D251" s="23"/>
      <x:c r="E251" s="23"/>
      <x:c r="F251" s="23"/>
      <x:c r="G251" s="23"/>
      <x:c r="H251" s="23"/>
      <x:c r="I251" s="23"/>
      <x:c r="J251" s="23"/>
      <x:c r="K251" s="23"/>
      <x:c r="L251" s="23"/>
      <x:c r="M251" s="23"/>
    </x:row>
    <x:row r="252">
      <x:c r="A252" s="23"/>
      <x:c r="B252" s="23"/>
      <x:c r="C252" s="23"/>
      <x:c r="D252" s="23"/>
      <x:c r="E252" s="23"/>
      <x:c r="F252" s="23"/>
      <x:c r="G252" s="23"/>
      <x:c r="H252" s="23"/>
      <x:c r="I252" s="23"/>
      <x:c r="J252" s="23"/>
      <x:c r="K252" s="23"/>
      <x:c r="L252" s="23"/>
      <x:c r="M252" s="23"/>
    </x:row>
    <x:row r="253">
      <x:c r="A253" s="23"/>
      <x:c r="B253" s="23"/>
      <x:c r="C253" s="23"/>
      <x:c r="D253" s="23"/>
      <x:c r="E253" s="23"/>
      <x:c r="F253" s="23"/>
      <x:c r="G253" s="23"/>
      <x:c r="H253" s="23"/>
      <x:c r="I253" s="23"/>
      <x:c r="J253" s="23"/>
      <x:c r="K253" s="23"/>
      <x:c r="L253" s="23"/>
      <x:c r="M253" s="23"/>
    </x:row>
    <x:row r="254">
      <x:c r="A254" s="23"/>
      <x:c r="B254" s="23"/>
      <x:c r="C254" s="23"/>
      <x:c r="D254" s="23"/>
      <x:c r="E254" s="23"/>
      <x:c r="F254" s="23"/>
      <x:c r="G254" s="23"/>
      <x:c r="H254" s="23"/>
      <x:c r="I254" s="23"/>
      <x:c r="J254" s="23"/>
      <x:c r="K254" s="23"/>
      <x:c r="L254" s="23"/>
      <x:c r="M254" s="23"/>
    </x:row>
    <x:row r="255">
      <x:c r="A255" s="23"/>
      <x:c r="B255" s="23"/>
      <x:c r="C255" s="23"/>
      <x:c r="D255" s="23"/>
      <x:c r="E255" s="23"/>
      <x:c r="F255" s="23"/>
      <x:c r="G255" s="23"/>
      <x:c r="H255" s="23"/>
      <x:c r="I255" s="23"/>
      <x:c r="J255" s="23"/>
      <x:c r="K255" s="23"/>
      <x:c r="L255" s="23"/>
      <x:c r="M255" s="23"/>
    </x:row>
    <x:row r="256">
      <x:c r="A256" s="23"/>
      <x:c r="B256" s="23"/>
      <x:c r="C256" s="23"/>
      <x:c r="D256" s="23"/>
      <x:c r="E256" s="23"/>
      <x:c r="F256" s="23"/>
      <x:c r="G256" s="23"/>
      <x:c r="H256" s="23"/>
      <x:c r="I256" s="23"/>
      <x:c r="J256" s="23"/>
      <x:c r="K256" s="23"/>
      <x:c r="L256" s="23"/>
      <x:c r="M256" s="23"/>
    </x:row>
    <x:row r="257">
      <x:c r="A257" s="23"/>
      <x:c r="B257" s="23"/>
      <x:c r="C257" s="23"/>
      <x:c r="D257" s="23"/>
      <x:c r="E257" s="23"/>
      <x:c r="F257" s="23"/>
      <x:c r="G257" s="23"/>
      <x:c r="H257" s="23"/>
      <x:c r="I257" s="23"/>
      <x:c r="J257" s="23"/>
      <x:c r="K257" s="23"/>
      <x:c r="L257" s="23"/>
      <x:c r="M257" s="23"/>
    </x:row>
    <x:row r="258">
      <x:c r="A258" s="23"/>
      <x:c r="B258" s="23"/>
      <x:c r="C258" s="23"/>
      <x:c r="D258" s="23"/>
      <x:c r="E258" s="23"/>
      <x:c r="F258" s="23"/>
      <x:c r="G258" s="23"/>
      <x:c r="H258" s="23"/>
      <x:c r="I258" s="23"/>
      <x:c r="J258" s="23"/>
      <x:c r="K258" s="23"/>
      <x:c r="L258" s="23"/>
      <x:c r="M258" s="23"/>
    </x:row>
    <x:row r="259">
      <x:c r="A259" s="23"/>
      <x:c r="B259" s="23"/>
      <x:c r="C259" s="23"/>
      <x:c r="D259" s="23"/>
      <x:c r="E259" s="23"/>
      <x:c r="F259" s="23"/>
      <x:c r="G259" s="23"/>
      <x:c r="H259" s="23"/>
      <x:c r="I259" s="23"/>
      <x:c r="J259" s="23"/>
      <x:c r="K259" s="23"/>
      <x:c r="L259" s="23"/>
      <x:c r="M259" s="23"/>
    </x:row>
    <x:row r="260">
      <x:c r="A260" s="23"/>
      <x:c r="B260" s="23"/>
      <x:c r="C260" s="23"/>
      <x:c r="D260" s="23"/>
      <x:c r="E260" s="23"/>
      <x:c r="F260" s="23"/>
      <x:c r="G260" s="23"/>
      <x:c r="H260" s="23"/>
      <x:c r="I260" s="23"/>
      <x:c r="J260" s="23"/>
      <x:c r="K260" s="23"/>
      <x:c r="L260" s="23"/>
      <x:c r="M260" s="23"/>
    </x:row>
    <x:row r="261">
      <x:c r="A261" s="23"/>
      <x:c r="B261" s="23"/>
      <x:c r="C261" s="23"/>
      <x:c r="D261" s="23"/>
      <x:c r="E261" s="23"/>
      <x:c r="F261" s="23"/>
      <x:c r="G261" s="23"/>
      <x:c r="H261" s="23"/>
      <x:c r="I261" s="23"/>
      <x:c r="J261" s="23"/>
      <x:c r="K261" s="23"/>
      <x:c r="L261" s="23"/>
      <x:c r="M261" s="23"/>
    </x:row>
    <x:row r="262">
      <x:c r="A262" s="23"/>
      <x:c r="B262" s="23"/>
      <x:c r="C262" s="23"/>
      <x:c r="D262" s="23"/>
      <x:c r="E262" s="23"/>
      <x:c r="F262" s="23"/>
      <x:c r="G262" s="23"/>
      <x:c r="H262" s="23"/>
      <x:c r="I262" s="23"/>
      <x:c r="J262" s="23"/>
      <x:c r="K262" s="23"/>
      <x:c r="L262" s="23"/>
      <x:c r="M262" s="23"/>
    </x:row>
    <x:row r="263">
      <x:c r="A263" s="23"/>
      <x:c r="B263" s="23"/>
      <x:c r="C263" s="23"/>
      <x:c r="D263" s="23"/>
      <x:c r="E263" s="23"/>
      <x:c r="F263" s="23"/>
      <x:c r="G263" s="23"/>
      <x:c r="H263" s="23"/>
      <x:c r="I263" s="23"/>
      <x:c r="J263" s="23"/>
      <x:c r="K263" s="23"/>
      <x:c r="L263" s="23"/>
      <x:c r="M263" s="23"/>
    </x:row>
    <x:row r="264">
      <x:c r="A264" s="23"/>
      <x:c r="B264" s="23"/>
      <x:c r="C264" s="23"/>
      <x:c r="D264" s="23"/>
      <x:c r="E264" s="23"/>
      <x:c r="F264" s="23"/>
      <x:c r="G264" s="23"/>
      <x:c r="H264" s="23"/>
      <x:c r="I264" s="23"/>
      <x:c r="J264" s="23"/>
      <x:c r="K264" s="23"/>
      <x:c r="L264" s="23"/>
      <x:c r="M264" s="23"/>
    </x:row>
    <x:row r="265">
      <x:c r="A265" s="23"/>
      <x:c r="B265" s="23"/>
      <x:c r="C265" s="23"/>
      <x:c r="D265" s="23"/>
      <x:c r="E265" s="23"/>
      <x:c r="F265" s="23"/>
      <x:c r="G265" s="23"/>
      <x:c r="H265" s="23"/>
      <x:c r="I265" s="23"/>
      <x:c r="J265" s="23"/>
      <x:c r="K265" s="23"/>
      <x:c r="L265" s="23"/>
      <x:c r="M265" s="23"/>
    </x:row>
    <x:row r="266">
      <x:c r="A266" s="23"/>
      <x:c r="B266" s="23"/>
      <x:c r="C266" s="23"/>
      <x:c r="D266" s="23"/>
      <x:c r="E266" s="23"/>
      <x:c r="F266" s="23"/>
      <x:c r="G266" s="23"/>
      <x:c r="H266" s="23"/>
      <x:c r="I266" s="23"/>
      <x:c r="J266" s="23"/>
      <x:c r="K266" s="23"/>
      <x:c r="L266" s="23"/>
      <x:c r="M266" s="23"/>
    </x:row>
    <x:row r="267">
      <x:c r="A267" s="23"/>
      <x:c r="B267" s="23"/>
      <x:c r="C267" s="23"/>
      <x:c r="D267" s="23"/>
      <x:c r="E267" s="23"/>
      <x:c r="F267" s="23"/>
      <x:c r="G267" s="23"/>
      <x:c r="H267" s="23"/>
      <x:c r="I267" s="23"/>
      <x:c r="J267" s="23"/>
      <x:c r="K267" s="23"/>
      <x:c r="L267" s="23"/>
      <x:c r="M267" s="23"/>
    </x:row>
    <x:row r="268">
      <x:c r="A268" s="23"/>
      <x:c r="B268" s="23"/>
      <x:c r="C268" s="23"/>
      <x:c r="D268" s="23"/>
      <x:c r="E268" s="23"/>
      <x:c r="F268" s="23"/>
      <x:c r="G268" s="23"/>
      <x:c r="H268" s="23"/>
      <x:c r="I268" s="23"/>
      <x:c r="J268" s="23"/>
      <x:c r="K268" s="23"/>
      <x:c r="L268" s="23"/>
      <x:c r="M268" s="23"/>
    </x:row>
    <x:row r="269">
      <x:c r="A269" s="23"/>
      <x:c r="B269" s="23"/>
      <x:c r="C269" s="23"/>
      <x:c r="D269" s="23"/>
      <x:c r="E269" s="23"/>
      <x:c r="F269" s="23"/>
      <x:c r="G269" s="23"/>
      <x:c r="H269" s="23"/>
      <x:c r="I269" s="23"/>
      <x:c r="J269" s="23"/>
      <x:c r="K269" s="23"/>
      <x:c r="L269" s="23"/>
      <x:c r="M269" s="23"/>
    </x:row>
    <x:row r="270">
      <x:c r="A270" s="23"/>
      <x:c r="B270" s="23"/>
      <x:c r="C270" s="23"/>
      <x:c r="D270" s="23"/>
      <x:c r="E270" s="23"/>
      <x:c r="F270" s="23"/>
      <x:c r="G270" s="23"/>
      <x:c r="H270" s="23"/>
      <x:c r="I270" s="23"/>
      <x:c r="J270" s="23"/>
      <x:c r="K270" s="23"/>
      <x:c r="L270" s="23"/>
      <x:c r="M270" s="23"/>
    </x:row>
    <x:row r="271">
      <x:c r="A271" s="23"/>
      <x:c r="B271" s="23"/>
      <x:c r="C271" s="23"/>
      <x:c r="D271" s="23"/>
      <x:c r="E271" s="23"/>
      <x:c r="F271" s="23"/>
      <x:c r="G271" s="23"/>
      <x:c r="H271" s="23"/>
      <x:c r="I271" s="23"/>
      <x:c r="J271" s="23"/>
      <x:c r="K271" s="23"/>
      <x:c r="L271" s="23"/>
      <x:c r="M271" s="23"/>
    </x:row>
    <x:row r="272">
      <x:c r="A272" s="23"/>
      <x:c r="B272" s="23"/>
      <x:c r="C272" s="23"/>
      <x:c r="D272" s="23"/>
      <x:c r="E272" s="23"/>
      <x:c r="F272" s="23"/>
      <x:c r="G272" s="23"/>
      <x:c r="H272" s="23"/>
      <x:c r="I272" s="23"/>
      <x:c r="J272" s="23"/>
      <x:c r="K272" s="23"/>
      <x:c r="L272" s="23"/>
      <x:c r="M272" s="23"/>
    </x:row>
    <x:row r="273">
      <x:c r="A273" s="23"/>
      <x:c r="B273" s="23"/>
      <x:c r="C273" s="23"/>
      <x:c r="D273" s="23"/>
      <x:c r="E273" s="23"/>
      <x:c r="F273" s="23"/>
      <x:c r="G273" s="23"/>
      <x:c r="H273" s="23"/>
      <x:c r="I273" s="23"/>
      <x:c r="J273" s="23"/>
      <x:c r="K273" s="23"/>
      <x:c r="L273" s="23"/>
      <x:c r="M273" s="23"/>
    </x:row>
    <x:row r="274">
      <x:c r="A274" s="23"/>
      <x:c r="B274" s="23"/>
      <x:c r="C274" s="23"/>
      <x:c r="D274" s="23"/>
      <x:c r="E274" s="23"/>
      <x:c r="F274" s="23"/>
      <x:c r="G274" s="23"/>
      <x:c r="H274" s="23"/>
      <x:c r="I274" s="23"/>
      <x:c r="J274" s="23"/>
      <x:c r="K274" s="23"/>
      <x:c r="L274" s="23"/>
      <x:c r="M274" s="23"/>
    </x:row>
    <x:row r="275">
      <x:c r="A275" s="23"/>
      <x:c r="B275" s="23"/>
      <x:c r="C275" s="23"/>
      <x:c r="D275" s="23"/>
      <x:c r="E275" s="23"/>
      <x:c r="F275" s="23"/>
      <x:c r="G275" s="23"/>
      <x:c r="H275" s="23"/>
      <x:c r="I275" s="23"/>
      <x:c r="J275" s="23"/>
      <x:c r="K275" s="23"/>
      <x:c r="L275" s="23"/>
      <x:c r="M275" s="23"/>
    </x:row>
    <x:row r="276">
      <x:c r="A276" s="23"/>
      <x:c r="B276" s="23"/>
      <x:c r="C276" s="23"/>
      <x:c r="D276" s="23"/>
      <x:c r="E276" s="23"/>
      <x:c r="F276" s="23"/>
      <x:c r="G276" s="23"/>
      <x:c r="H276" s="23"/>
      <x:c r="I276" s="23"/>
      <x:c r="J276" s="23"/>
      <x:c r="K276" s="23"/>
      <x:c r="L276" s="23"/>
      <x:c r="M276" s="23"/>
    </x:row>
    <x:row r="277">
      <x:c r="A277" s="23"/>
      <x:c r="B277" s="23"/>
      <x:c r="C277" s="23"/>
      <x:c r="D277" s="23"/>
      <x:c r="E277" s="23"/>
      <x:c r="F277" s="23"/>
      <x:c r="G277" s="23"/>
      <x:c r="H277" s="23"/>
      <x:c r="I277" s="23"/>
      <x:c r="J277" s="23"/>
      <x:c r="K277" s="23"/>
      <x:c r="L277" s="23"/>
      <x:c r="M277" s="23"/>
    </x:row>
    <x:row r="278">
      <x:c r="A278" s="23"/>
      <x:c r="B278" s="23"/>
      <x:c r="C278" s="23"/>
      <x:c r="D278" s="23"/>
      <x:c r="E278" s="23"/>
      <x:c r="F278" s="23"/>
      <x:c r="G278" s="23"/>
      <x:c r="H278" s="23"/>
      <x:c r="I278" s="23"/>
      <x:c r="J278" s="23"/>
      <x:c r="K278" s="23"/>
      <x:c r="L278" s="23"/>
      <x:c r="M278" s="23"/>
    </x:row>
    <x:row r="279">
      <x:c r="A279" s="23"/>
      <x:c r="B279" s="23"/>
      <x:c r="C279" s="23"/>
      <x:c r="D279" s="23"/>
      <x:c r="E279" s="23"/>
      <x:c r="F279" s="23"/>
      <x:c r="G279" s="23"/>
      <x:c r="H279" s="23"/>
      <x:c r="I279" s="23"/>
      <x:c r="J279" s="23"/>
      <x:c r="K279" s="23"/>
      <x:c r="L279" s="23"/>
      <x:c r="M279" s="23"/>
    </x:row>
    <x:row r="280">
      <x:c r="A280" s="23"/>
      <x:c r="B280" s="23"/>
      <x:c r="C280" s="23"/>
      <x:c r="D280" s="23"/>
      <x:c r="E280" s="23"/>
      <x:c r="F280" s="23"/>
      <x:c r="G280" s="23"/>
      <x:c r="H280" s="23"/>
      <x:c r="I280" s="23"/>
      <x:c r="J280" s="23"/>
      <x:c r="K280" s="23"/>
      <x:c r="L280" s="23"/>
      <x:c r="M280" s="23"/>
    </x:row>
    <x:row r="281">
      <x:c r="A281" s="23"/>
      <x:c r="B281" s="23"/>
      <x:c r="C281" s="23"/>
      <x:c r="D281" s="23"/>
      <x:c r="E281" s="23"/>
      <x:c r="F281" s="23"/>
      <x:c r="G281" s="23"/>
      <x:c r="H281" s="23"/>
      <x:c r="I281" s="23"/>
      <x:c r="J281" s="23"/>
      <x:c r="K281" s="23"/>
      <x:c r="L281" s="23"/>
      <x:c r="M281" s="23"/>
    </x:row>
    <x:row r="282">
      <x:c r="A282" s="23"/>
      <x:c r="B282" s="23"/>
      <x:c r="C282" s="23"/>
      <x:c r="D282" s="23"/>
      <x:c r="E282" s="23"/>
      <x:c r="F282" s="23"/>
      <x:c r="G282" s="23"/>
      <x:c r="H282" s="23"/>
      <x:c r="I282" s="23"/>
      <x:c r="J282" s="23"/>
      <x:c r="K282" s="23"/>
      <x:c r="L282" s="23"/>
      <x:c r="M282" s="23"/>
    </x:row>
    <x:row r="283">
      <x:c r="A283" s="23"/>
      <x:c r="B283" s="23"/>
      <x:c r="C283" s="23"/>
      <x:c r="D283" s="23"/>
      <x:c r="E283" s="23"/>
      <x:c r="F283" s="23"/>
      <x:c r="G283" s="23"/>
      <x:c r="H283" s="23"/>
      <x:c r="I283" s="23"/>
      <x:c r="J283" s="23"/>
      <x:c r="K283" s="23"/>
      <x:c r="L283" s="23"/>
      <x:c r="M283" s="23"/>
    </x:row>
    <x:row r="284">
      <x:c r="A284" s="23"/>
      <x:c r="B284" s="23"/>
      <x:c r="C284" s="23"/>
      <x:c r="D284" s="23"/>
      <x:c r="E284" s="23"/>
      <x:c r="F284" s="23"/>
      <x:c r="G284" s="23"/>
      <x:c r="H284" s="23"/>
      <x:c r="I284" s="23"/>
      <x:c r="J284" s="23"/>
      <x:c r="K284" s="23"/>
      <x:c r="L284" s="23"/>
      <x:c r="M284" s="23"/>
    </x:row>
    <x:row r="285">
      <x:c r="A285" s="23"/>
      <x:c r="B285" s="23"/>
      <x:c r="C285" s="23"/>
      <x:c r="D285" s="23"/>
      <x:c r="E285" s="23"/>
      <x:c r="F285" s="23"/>
      <x:c r="G285" s="23"/>
      <x:c r="H285" s="23"/>
      <x:c r="I285" s="23"/>
      <x:c r="J285" s="23"/>
      <x:c r="K285" s="23"/>
      <x:c r="L285" s="23"/>
      <x:c r="M285" s="23"/>
    </x:row>
    <x:row r="286">
      <x:c r="A286" s="23"/>
      <x:c r="B286" s="23"/>
      <x:c r="C286" s="23"/>
      <x:c r="D286" s="23"/>
      <x:c r="E286" s="23"/>
      <x:c r="F286" s="23"/>
      <x:c r="G286" s="23"/>
      <x:c r="H286" s="23"/>
      <x:c r="I286" s="23"/>
      <x:c r="J286" s="23"/>
      <x:c r="K286" s="23"/>
      <x:c r="L286" s="23"/>
      <x:c r="M286" s="23"/>
    </x:row>
    <x:row r="287">
      <x:c r="A287" s="23"/>
      <x:c r="B287" s="23"/>
      <x:c r="C287" s="23"/>
      <x:c r="D287" s="23"/>
      <x:c r="E287" s="23"/>
      <x:c r="F287" s="23"/>
      <x:c r="G287" s="23"/>
      <x:c r="H287" s="23"/>
      <x:c r="I287" s="23"/>
      <x:c r="J287" s="23"/>
      <x:c r="K287" s="23"/>
      <x:c r="L287" s="23"/>
      <x:c r="M287" s="23"/>
    </x:row>
    <x:row r="288">
      <x:c r="A288" s="23"/>
      <x:c r="B288" s="23"/>
      <x:c r="C288" s="23"/>
      <x:c r="D288" s="23"/>
      <x:c r="E288" s="23"/>
      <x:c r="F288" s="23"/>
      <x:c r="G288" s="23"/>
      <x:c r="H288" s="23"/>
      <x:c r="I288" s="23"/>
      <x:c r="J288" s="23"/>
      <x:c r="K288" s="23"/>
      <x:c r="L288" s="23"/>
      <x:c r="M288" s="23"/>
    </x:row>
    <x:row r="289">
      <x:c r="A289" s="23"/>
      <x:c r="B289" s="23"/>
      <x:c r="C289" s="23"/>
      <x:c r="D289" s="23"/>
      <x:c r="E289" s="23"/>
      <x:c r="F289" s="23"/>
      <x:c r="G289" s="23"/>
      <x:c r="H289" s="23"/>
      <x:c r="I289" s="23"/>
      <x:c r="J289" s="23"/>
      <x:c r="K289" s="23"/>
      <x:c r="L289" s="23"/>
      <x:c r="M289" s="23"/>
    </x:row>
    <x:row r="290">
      <x:c r="A290" s="23"/>
      <x:c r="B290" s="23"/>
      <x:c r="C290" s="23"/>
      <x:c r="D290" s="23"/>
      <x:c r="E290" s="23"/>
      <x:c r="F290" s="23"/>
      <x:c r="G290" s="23"/>
      <x:c r="H290" s="23"/>
      <x:c r="I290" s="23"/>
      <x:c r="J290" s="23"/>
      <x:c r="K290" s="23"/>
      <x:c r="L290" s="23"/>
      <x:c r="M290" s="23"/>
    </x:row>
    <x:row r="291">
      <x:c r="A291" s="23"/>
      <x:c r="B291" s="23"/>
      <x:c r="C291" s="23"/>
      <x:c r="D291" s="23"/>
      <x:c r="E291" s="23"/>
      <x:c r="F291" s="23"/>
      <x:c r="G291" s="23"/>
      <x:c r="H291" s="23"/>
      <x:c r="I291" s="23"/>
      <x:c r="J291" s="23"/>
      <x:c r="K291" s="23"/>
      <x:c r="L291" s="23"/>
      <x:c r="M291" s="23"/>
    </x:row>
    <x:row r="292">
      <x:c r="A292" s="23"/>
      <x:c r="B292" s="23"/>
      <x:c r="C292" s="23"/>
      <x:c r="D292" s="23"/>
      <x:c r="E292" s="23"/>
      <x:c r="F292" s="23"/>
      <x:c r="G292" s="23"/>
      <x:c r="H292" s="23"/>
      <x:c r="I292" s="23"/>
      <x:c r="J292" s="23"/>
      <x:c r="K292" s="23"/>
      <x:c r="L292" s="23"/>
      <x:c r="M292" s="23"/>
    </x:row>
    <x:row r="293">
      <x:c r="A293" s="23"/>
      <x:c r="B293" s="23"/>
      <x:c r="C293" s="23"/>
      <x:c r="D293" s="23"/>
      <x:c r="E293" s="23"/>
      <x:c r="F293" s="23"/>
      <x:c r="G293" s="23"/>
      <x:c r="H293" s="23"/>
      <x:c r="I293" s="23"/>
      <x:c r="J293" s="23"/>
      <x:c r="K293" s="23"/>
      <x:c r="L293" s="23"/>
      <x:c r="M293" s="23"/>
    </x:row>
    <x:row r="294">
      <x:c r="A294" s="23"/>
      <x:c r="B294" s="23"/>
      <x:c r="C294" s="23"/>
      <x:c r="D294" s="23"/>
      <x:c r="E294" s="23"/>
      <x:c r="F294" s="23"/>
      <x:c r="G294" s="23"/>
      <x:c r="H294" s="23"/>
      <x:c r="I294" s="23"/>
      <x:c r="J294" s="23"/>
      <x:c r="K294" s="23"/>
      <x:c r="L294" s="23"/>
      <x:c r="M294" s="23"/>
    </x:row>
    <x:row r="295">
      <x:c r="A295" s="23"/>
      <x:c r="B295" s="23"/>
      <x:c r="C295" s="23"/>
      <x:c r="D295" s="23"/>
      <x:c r="E295" s="23"/>
      <x:c r="F295" s="23"/>
      <x:c r="G295" s="23"/>
      <x:c r="H295" s="23"/>
      <x:c r="I295" s="23"/>
      <x:c r="J295" s="23"/>
      <x:c r="K295" s="23"/>
      <x:c r="L295" s="23"/>
      <x:c r="M295" s="23"/>
    </x:row>
    <x:row r="296">
      <x:c r="A296" s="23"/>
      <x:c r="B296" s="23"/>
      <x:c r="C296" s="23"/>
      <x:c r="D296" s="23"/>
      <x:c r="E296" s="23"/>
      <x:c r="F296" s="23"/>
      <x:c r="G296" s="23"/>
      <x:c r="H296" s="23"/>
      <x:c r="I296" s="23"/>
      <x:c r="J296" s="23"/>
      <x:c r="K296" s="23"/>
      <x:c r="L296" s="23"/>
      <x:c r="M296" s="23"/>
    </x:row>
    <x:row r="297">
      <x:c r="A297" s="23"/>
      <x:c r="B297" s="23"/>
      <x:c r="C297" s="23"/>
      <x:c r="D297" s="23"/>
      <x:c r="E297" s="23"/>
      <x:c r="F297" s="23"/>
      <x:c r="G297" s="23"/>
      <x:c r="H297" s="23"/>
      <x:c r="I297" s="23"/>
      <x:c r="J297" s="23"/>
      <x:c r="K297" s="23"/>
      <x:c r="L297" s="23"/>
      <x:c r="M297" s="23"/>
    </x:row>
    <x:row r="298">
      <x:c r="A298" s="23"/>
      <x:c r="B298" s="23"/>
      <x:c r="C298" s="23"/>
      <x:c r="D298" s="23"/>
      <x:c r="E298" s="23"/>
      <x:c r="F298" s="23"/>
      <x:c r="G298" s="23"/>
      <x:c r="H298" s="23"/>
      <x:c r="I298" s="23"/>
      <x:c r="J298" s="23"/>
      <x:c r="K298" s="23"/>
      <x:c r="L298" s="23"/>
      <x:c r="M298" s="23"/>
    </x:row>
    <x:row r="299">
      <x:c r="A299" s="23"/>
      <x:c r="B299" s="23"/>
      <x:c r="C299" s="23"/>
      <x:c r="D299" s="23"/>
      <x:c r="E299" s="23"/>
      <x:c r="F299" s="23"/>
      <x:c r="G299" s="23"/>
      <x:c r="H299" s="23"/>
      <x:c r="I299" s="23"/>
      <x:c r="J299" s="23"/>
      <x:c r="K299" s="23"/>
      <x:c r="L299" s="23"/>
      <x:c r="M299" s="23"/>
    </x:row>
    <x:row r="300">
      <x:c r="A300" s="23"/>
      <x:c r="B300" s="23"/>
      <x:c r="C300" s="23"/>
      <x:c r="D300" s="23"/>
      <x:c r="E300" s="23"/>
      <x:c r="F300" s="23"/>
      <x:c r="G300" s="23"/>
      <x:c r="H300" s="23"/>
      <x:c r="I300" s="23"/>
      <x:c r="J300" s="23"/>
      <x:c r="K300" s="23"/>
      <x:c r="L300" s="23"/>
      <x:c r="M300" s="23"/>
    </x:row>
    <x:row r="301">
      <x:c r="A301" s="23"/>
      <x:c r="B301" s="23"/>
      <x:c r="C301" s="23"/>
      <x:c r="D301" s="23"/>
      <x:c r="E301" s="23"/>
      <x:c r="F301" s="23"/>
      <x:c r="G301" s="23"/>
      <x:c r="H301" s="23"/>
      <x:c r="I301" s="23"/>
      <x:c r="J301" s="23"/>
      <x:c r="K301" s="23"/>
      <x:c r="L301" s="23"/>
      <x:c r="M301" s="23"/>
    </x:row>
    <x:row r="302">
      <x:c r="A302" s="23"/>
      <x:c r="B302" s="23"/>
      <x:c r="C302" s="23"/>
      <x:c r="D302" s="23"/>
      <x:c r="E302" s="23"/>
      <x:c r="F302" s="23"/>
      <x:c r="G302" s="23"/>
      <x:c r="H302" s="23"/>
      <x:c r="I302" s="23"/>
      <x:c r="J302" s="23"/>
      <x:c r="K302" s="23"/>
      <x:c r="L302" s="23"/>
      <x:c r="M302" s="23"/>
    </x:row>
    <x:row r="303">
      <x:c r="A303" s="23"/>
      <x:c r="B303" s="23"/>
      <x:c r="C303" s="23"/>
      <x:c r="D303" s="23"/>
      <x:c r="E303" s="23"/>
      <x:c r="F303" s="23"/>
      <x:c r="G303" s="23"/>
      <x:c r="H303" s="23"/>
      <x:c r="I303" s="23"/>
      <x:c r="J303" s="23"/>
      <x:c r="K303" s="23"/>
      <x:c r="L303" s="23"/>
      <x:c r="M303" s="23"/>
    </x:row>
    <x:row r="304">
      <x:c r="A304" s="23"/>
      <x:c r="B304" s="23"/>
      <x:c r="C304" s="23"/>
      <x:c r="D304" s="23"/>
      <x:c r="E304" s="23"/>
      <x:c r="F304" s="23"/>
      <x:c r="G304" s="23"/>
      <x:c r="H304" s="23"/>
      <x:c r="I304" s="23"/>
      <x:c r="J304" s="23"/>
      <x:c r="K304" s="23"/>
      <x:c r="L304" s="23"/>
      <x:c r="M304" s="23"/>
    </x:row>
    <x:row r="305">
      <x:c r="A305" s="23"/>
      <x:c r="B305" s="23"/>
      <x:c r="C305" s="23"/>
      <x:c r="D305" s="23"/>
      <x:c r="E305" s="23"/>
      <x:c r="F305" s="23"/>
      <x:c r="G305" s="23"/>
      <x:c r="H305" s="23"/>
      <x:c r="I305" s="23"/>
      <x:c r="J305" s="23"/>
      <x:c r="K305" s="23"/>
      <x:c r="L305" s="23"/>
      <x:c r="M305" s="23"/>
    </x:row>
    <x:row r="306">
      <x:c r="A306" s="23"/>
      <x:c r="B306" s="23"/>
      <x:c r="C306" s="23"/>
      <x:c r="D306" s="23"/>
      <x:c r="E306" s="23"/>
      <x:c r="F306" s="23"/>
      <x:c r="G306" s="23"/>
      <x:c r="H306" s="23"/>
      <x:c r="I306" s="23"/>
      <x:c r="J306" s="23"/>
      <x:c r="K306" s="23"/>
      <x:c r="L306" s="23"/>
      <x:c r="M306" s="23"/>
    </x:row>
  </x:sheetData>
  <x:mergeCells>
    <x:mergeCell ref="A1:M1"/>
    <x:mergeCell ref="A2:M2"/>
  </x:mergeCells>
  <x:pageMargins left="0.7" right="0.7" top="0.75" bottom="0.75" header="0.3" footer="0.3"/>
</x:worksheet>
</file>

<file path=xl/worksheets/sheet11.xml><?xml version="1.0" encoding="utf-8"?>
<x:worksheet xmlns:x="http://schemas.openxmlformats.org/spreadsheetml/2006/main">
  <x:sheetFormatPr defaultRowHeight="15"/>
  <x:cols>
    <x:col min="1" max="1" width="12" hidden="0" customWidth="1"/>
    <x:col min="2" max="2" width="12" hidden="0" customWidth="1"/>
    <x:col min="3" max="3" width="22" hidden="0" customWidth="1"/>
    <x:col min="4" max="4" width="11" hidden="0" customWidth="1"/>
    <x:col min="5" max="5" width="18" hidden="0" customWidth="1"/>
    <x:col min="6" max="6" width="18" hidden="0" customWidth="1"/>
    <x:col min="7" max="7" width="15" hidden="0" customWidth="1"/>
    <x:col min="8" max="8" width="15" hidden="0" customWidth="1"/>
    <x:col min="9" max="9" width="15" hidden="0" customWidth="1"/>
    <x:col min="10" max="10" width="15" hidden="0" customWidth="1"/>
    <x:col min="11" max="11" width="15" hidden="0" customWidth="1"/>
    <x:col min="12" max="12" width="15" hidden="0" customWidth="1"/>
    <x:col min="13" max="13" width="15" hidden="0" customWidth="1"/>
    <x:col min="14" max="14" width="15" hidden="0" customWidth="1"/>
    <x:col min="15" max="15" width="18" hidden="0" customWidth="1"/>
    <x:col min="16" max="16" width="18" hidden="0" customWidth="1"/>
    <x:col min="17" max="17" width="18" hidden="0" customWidth="1"/>
    <x:col min="18" max="18" width="38" hidden="0" customWidth="1"/>
  </x:cols>
  <x:sheetData>
    <x:row r="1" ht="24" customHeight="1">
      <x:c r="A1" s="207" t="str">
        <x:v>DATA_DEBT_MASTER — Debt / Mortgage / Financing Inputs</x:v>
      </x:c>
      <x:c r="B1" s="207"/>
      <x:c r="C1" s="207"/>
      <x:c r="D1" s="207"/>
      <x:c r="E1" s="207"/>
      <x:c r="F1" s="207"/>
      <x:c r="G1" s="207"/>
      <x:c r="H1" s="207"/>
      <x:c r="I1" s="207"/>
      <x:c r="J1" s="207"/>
      <x:c r="K1" s="207"/>
      <x:c r="L1" s="207"/>
      <x:c r="M1" s="207"/>
      <x:c r="N1" s="207"/>
      <x:c r="O1" s="207"/>
      <x:c r="P1" s="207"/>
      <x:c r="Q1" s="207"/>
      <x:c r="R1" s="208"/>
    </x:row>
    <x:row r="2" ht="34" customHeight="1">
      <x:c r="A2" s="126" t="str">
        <x:v>Blue cells are writable. Purple columns are formula checks. Use Tapestry / ENF for updated demo assumptions where it supersedes v12 generic assumptions. Blank template: populate blue/orange cells for a new organization; formulas remain live.</x:v>
      </x:c>
      <x:c r="B2" s="125"/>
      <x:c r="C2" s="125"/>
      <x:c r="D2" s="125"/>
      <x:c r="E2" s="125"/>
      <x:c r="F2" s="125"/>
      <x:c r="G2" s="125"/>
      <x:c r="H2" s="125"/>
      <x:c r="I2" s="125"/>
      <x:c r="J2" s="125"/>
      <x:c r="K2" s="125"/>
      <x:c r="L2" s="125"/>
      <x:c r="M2" s="125"/>
      <x:c r="N2" s="125"/>
      <x:c r="O2" s="125"/>
      <x:c r="P2" s="125"/>
      <x:c r="Q2" s="125"/>
    </x:row>
    <x:row r="3">
      <x:c r="A3" s="125"/>
      <x:c r="B3" s="125"/>
      <x:c r="C3" s="125"/>
      <x:c r="D3" s="125"/>
      <x:c r="E3" s="125"/>
      <x:c r="F3" s="125"/>
      <x:c r="G3" s="125"/>
      <x:c r="H3" s="125"/>
      <x:c r="I3" s="125"/>
      <x:c r="J3" s="125"/>
      <x:c r="K3" s="125"/>
      <x:c r="L3" s="125"/>
      <x:c r="M3" s="125"/>
      <x:c r="N3" s="125"/>
      <x:c r="O3" s="125"/>
      <x:c r="P3" s="125"/>
      <x:c r="Q3" s="125"/>
    </x:row>
    <x:row r="4">
      <x:c r="A4" s="125"/>
      <x:c r="B4" s="125"/>
      <x:c r="C4" s="125"/>
      <x:c r="D4" s="125"/>
      <x:c r="E4" s="125"/>
      <x:c r="F4" s="125"/>
      <x:c r="G4" s="125"/>
      <x:c r="H4" s="125"/>
      <x:c r="I4" s="125"/>
      <x:c r="J4" s="125"/>
      <x:c r="K4" s="125"/>
      <x:c r="L4" s="125"/>
      <x:c r="M4" s="125"/>
      <x:c r="N4" s="125"/>
      <x:c r="O4" s="125"/>
      <x:c r="P4" s="125"/>
      <x:c r="Q4" s="125"/>
    </x:row>
    <x:row r="5">
      <x:c r="A5" s="125"/>
      <x:c r="B5" s="125"/>
      <x:c r="C5" s="125"/>
      <x:c r="D5" s="125"/>
      <x:c r="E5" s="125"/>
      <x:c r="F5" s="125"/>
      <x:c r="G5" s="125"/>
      <x:c r="H5" s="125"/>
      <x:c r="I5" s="125"/>
      <x:c r="J5" s="125"/>
      <x:c r="K5" s="125"/>
      <x:c r="L5" s="125"/>
      <x:c r="M5" s="125"/>
      <x:c r="N5" s="125"/>
      <x:c r="O5" s="125"/>
      <x:c r="P5" s="125"/>
      <x:c r="Q5" s="125"/>
    </x:row>
    <x:row r="6" ht="30" customHeight="1">
      <x:c r="A6" s="211" t="str">
        <x:v>Debt_ID</x:v>
      </x:c>
      <x:c r="B6" s="211" t="str">
        <x:v>Property_ID</x:v>
      </x:c>
      <x:c r="C6" s="211" t="str">
        <x:v>Property_Name</x:v>
      </x:c>
      <x:c r="D6" s="211" t="str">
        <x:v>Included?</x:v>
      </x:c>
      <x:c r="E6" s="211" t="str">
        <x:v>Debt_Type</x:v>
      </x:c>
      <x:c r="F6" s="211" t="str">
        <x:v>Lender / Program</x:v>
      </x:c>
      <x:c r="G6" s="211" t="str">
        <x:v>Principal_Amount</x:v>
      </x:c>
      <x:c r="H6" s="211" t="str">
        <x:v>Interest_Rate</x:v>
      </x:c>
      <x:c r="I6" s="211" t="str">
        <x:v>Term_Years</x:v>
      </x:c>
      <x:c r="J6" s="211" t="str">
        <x:v>Amortization_Years</x:v>
      </x:c>
      <x:c r="K6" s="211" t="str">
        <x:v>Annual_Principal_Calc</x:v>
      </x:c>
      <x:c r="L6" s="211" t="str">
        <x:v>Annual_Interest_Calc</x:v>
      </x:c>
      <x:c r="M6" s="211" t="str">
        <x:v>Annual_Debt_Service</x:v>
      </x:c>
      <x:c r="N6" s="211" t="str">
        <x:v>Source_Annual_Debt_Service</x:v>
      </x:c>
      <x:c r="O6" s="211" t="str">
        <x:v>Source_File_ID</x:v>
      </x:c>
      <x:c r="P6" s="211" t="str">
        <x:v>Review_Status</x:v>
      </x:c>
      <x:c r="Q6" s="211" t="str">
        <x:v>Debt_Status</x:v>
      </x:c>
      <x:c r="R6" s="222" t="str">
        <x:v>Notes</x:v>
      </x:c>
    </x:row>
    <x:row r="7">
      <x:c r="A7" s="128"/>
      <x:c r="B7" s="128"/>
      <x:c r="C7" s="128"/>
      <x:c r="D7" s="215"/>
      <x:c r="E7" s="215"/>
      <x:c r="F7" s="215"/>
      <x:c r="G7" s="216"/>
      <x:c r="H7" s="221"/>
      <x:c r="I7" s="215"/>
      <x:c r="J7" s="215"/>
      <x:c r="K7" s="218" t="str">
        <x:f>IF(N7&lt;&gt;"","",IF(AND(G7&lt;&gt;"",H7&lt;&gt;"",J7&lt;&gt;""),ROUND(PPMT(H7,1,J7,-G7),0),""))</x:f>
      </x:c>
      <x:c r="L7" s="218" t="str">
        <x:f>IF(N7&lt;&gt;"","",IF(AND(G7&lt;&gt;"",H7&lt;&gt;""),ROUND(G7*H7,0),""))</x:f>
      </x:c>
      <x:c r="M7" s="218" t="str">
        <x:f>IF(N7&lt;&gt;"",N7,IF(AND(G7&lt;&gt;"",H7&lt;&gt;"",J7&lt;&gt;""),ROUND(PMT(H7,J7,-G7),0),""))</x:f>
      </x:c>
      <x:c r="N7" s="216"/>
      <x:c r="O7" s="215"/>
      <x:c r="P7" s="215"/>
      <x:c r="Q7" s="219" t="str">
        <x:f>IF(A7="","",IF(D7="No","Excluded",IF(AND(OR(F7="N/A",E7="No Debt / N/A"),G7=""),"No Debt / N/A",IF(M7&lt;&gt;"","Ready","Partial"))))</x:f>
      </x:c>
      <x:c r="R7" s="223"/>
    </x:row>
    <x:row r="8">
      <x:c r="A8" s="128"/>
      <x:c r="B8" s="128"/>
      <x:c r="C8" s="128"/>
      <x:c r="D8" s="215"/>
      <x:c r="E8" s="215"/>
      <x:c r="F8" s="215"/>
      <x:c r="G8" s="216"/>
      <x:c r="H8" s="221"/>
      <x:c r="I8" s="215"/>
      <x:c r="J8" s="215"/>
      <x:c r="K8" s="218" t="str">
        <x:f>IF(N8&lt;&gt;"","",IF(AND(G8&lt;&gt;"",H8&lt;&gt;"",J8&lt;&gt;""),ROUND(PPMT(H8,1,J8,-G8),0),""))</x:f>
      </x:c>
      <x:c r="L8" s="218" t="str">
        <x:f>IF(N8&lt;&gt;"","",IF(AND(G8&lt;&gt;"",H8&lt;&gt;""),ROUND(G8*H8,0),""))</x:f>
      </x:c>
      <x:c r="M8" s="218" t="str">
        <x:f>IF(N8&lt;&gt;"",N8,IF(AND(G8&lt;&gt;"",H8&lt;&gt;"",J8&lt;&gt;""),ROUND(PMT(H8,J8,-G8),0),""))</x:f>
      </x:c>
      <x:c r="N8" s="216"/>
      <x:c r="O8" s="215"/>
      <x:c r="P8" s="215"/>
      <x:c r="Q8" s="219" t="str">
        <x:f>IF(A8="","",IF(D8="No","Excluded",IF(AND(OR(F8="N/A",E8="No Debt / N/A"),G8=""),"No Debt / N/A",IF(M8&lt;&gt;"","Ready","Partial"))))</x:f>
      </x:c>
      <x:c r="R8" s="223"/>
    </x:row>
    <x:row r="9">
      <x:c r="A9" s="128"/>
      <x:c r="B9" s="128"/>
      <x:c r="C9" s="128"/>
      <x:c r="D9" s="215"/>
      <x:c r="E9" s="215"/>
      <x:c r="F9" s="215"/>
      <x:c r="G9" s="216"/>
      <x:c r="H9" s="221"/>
      <x:c r="I9" s="215"/>
      <x:c r="J9" s="215"/>
      <x:c r="K9" s="218" t="str">
        <x:f>IF(N9&lt;&gt;"","",IF(AND(G9&lt;&gt;"",H9&lt;&gt;"",J9&lt;&gt;""),ROUND(PPMT(H9,1,J9,-G9),0),""))</x:f>
      </x:c>
      <x:c r="L9" s="218" t="str">
        <x:f>IF(N9&lt;&gt;"","",IF(AND(G9&lt;&gt;"",H9&lt;&gt;""),ROUND(G9*H9,0),""))</x:f>
      </x:c>
      <x:c r="M9" s="218" t="str">
        <x:f>IF(N9&lt;&gt;"",N9,IF(AND(G9&lt;&gt;"",H9&lt;&gt;"",J9&lt;&gt;""),ROUND(PMT(H9,J9,-G9),0),""))</x:f>
      </x:c>
      <x:c r="N9" s="216"/>
      <x:c r="O9" s="215"/>
      <x:c r="P9" s="215"/>
      <x:c r="Q9" s="219" t="str">
        <x:f>IF(A9="","",IF(D9="No","Excluded",IF(AND(OR(F9="N/A",E9="No Debt / N/A"),G9=""),"No Debt / N/A",IF(M9&lt;&gt;"","Ready","Partial"))))</x:f>
      </x:c>
      <x:c r="R9" s="223"/>
    </x:row>
    <x:row r="10">
      <x:c r="A10" s="128"/>
      <x:c r="B10" s="128"/>
      <x:c r="C10" s="128"/>
      <x:c r="D10" s="215"/>
      <x:c r="E10" s="215"/>
      <x:c r="F10" s="215"/>
      <x:c r="G10" s="216"/>
      <x:c r="H10" s="221"/>
      <x:c r="I10" s="215"/>
      <x:c r="J10" s="215"/>
      <x:c r="K10" s="218" t="str">
        <x:f>IF(N10&lt;&gt;"","",IF(AND(G10&lt;&gt;"",H10&lt;&gt;"",J10&lt;&gt;""),ROUND(PPMT(H10,1,J10,-G10),0),""))</x:f>
      </x:c>
      <x:c r="L10" s="218" t="str">
        <x:f>IF(N10&lt;&gt;"","",IF(AND(G10&lt;&gt;"",H10&lt;&gt;""),ROUND(G10*H10,0),""))</x:f>
      </x:c>
      <x:c r="M10" s="218" t="str">
        <x:f>IF(N10&lt;&gt;"",N10,IF(AND(G10&lt;&gt;"",H10&lt;&gt;"",J10&lt;&gt;""),ROUND(PMT(H10,J10,-G10),0),""))</x:f>
      </x:c>
      <x:c r="N10" s="216"/>
      <x:c r="O10" s="215"/>
      <x:c r="P10" s="215"/>
      <x:c r="Q10" s="219" t="str">
        <x:f>IF(A10="","",IF(D10="No","Excluded",IF(AND(OR(F10="N/A",E10="No Debt / N/A"),G10=""),"No Debt / N/A",IF(M10&lt;&gt;"","Ready","Partial"))))</x:f>
      </x:c>
      <x:c r="R10" s="223"/>
    </x:row>
    <x:row r="11">
      <x:c r="A11" s="128"/>
      <x:c r="B11" s="128"/>
      <x:c r="C11" s="128"/>
      <x:c r="D11" s="215"/>
      <x:c r="E11" s="215"/>
      <x:c r="F11" s="215"/>
      <x:c r="G11" s="216"/>
      <x:c r="H11" s="221"/>
      <x:c r="I11" s="215"/>
      <x:c r="J11" s="215"/>
      <x:c r="K11" s="218" t="str">
        <x:f>IF(N11&lt;&gt;"","",IF(AND(G11&lt;&gt;"",H11&lt;&gt;"",J11&lt;&gt;""),ROUND(PPMT(H11,1,J11,-G11),0),""))</x:f>
      </x:c>
      <x:c r="L11" s="218" t="str">
        <x:f>IF(N11&lt;&gt;"","",IF(AND(G11&lt;&gt;"",H11&lt;&gt;""),ROUND(G11*H11,0),""))</x:f>
      </x:c>
      <x:c r="M11" s="218" t="str">
        <x:f>IF(N11&lt;&gt;"",N11,IF(AND(G11&lt;&gt;"",H11&lt;&gt;"",J11&lt;&gt;""),ROUND(PMT(H11,J11,-G11),0),""))</x:f>
      </x:c>
      <x:c r="N11" s="216"/>
      <x:c r="O11" s="215"/>
      <x:c r="P11" s="215"/>
      <x:c r="Q11" s="219" t="str">
        <x:f>IF(A11="","",IF(D11="No","Excluded",IF(AND(OR(F11="N/A",E11="No Debt / N/A"),G11=""),"No Debt / N/A",IF(M11&lt;&gt;"","Ready","Partial"))))</x:f>
      </x:c>
      <x:c r="R11" s="223"/>
    </x:row>
    <x:row r="12">
      <x:c r="A12" s="128"/>
      <x:c r="B12" s="128"/>
      <x:c r="C12" s="128"/>
      <x:c r="D12" s="215"/>
      <x:c r="E12" s="215"/>
      <x:c r="F12" s="215"/>
      <x:c r="G12" s="216"/>
      <x:c r="H12" s="221"/>
      <x:c r="I12" s="215"/>
      <x:c r="J12" s="215"/>
      <x:c r="K12" s="218" t="str">
        <x:f>IF(N12&lt;&gt;"","",IF(AND(G12&lt;&gt;"",H12&lt;&gt;"",J12&lt;&gt;""),ROUND(PPMT(H12,1,J12,-G12),0),""))</x:f>
      </x:c>
      <x:c r="L12" s="218" t="str">
        <x:f>IF(N12&lt;&gt;"","",IF(AND(G12&lt;&gt;"",H12&lt;&gt;""),ROUND(G12*H12,0),""))</x:f>
      </x:c>
      <x:c r="M12" s="218" t="str">
        <x:f>IF(N12&lt;&gt;"",N12,IF(AND(G12&lt;&gt;"",H12&lt;&gt;"",J12&lt;&gt;""),ROUND(PMT(H12,J12,-G12),0),""))</x:f>
      </x:c>
      <x:c r="N12" s="216"/>
      <x:c r="O12" s="215"/>
      <x:c r="P12" s="215"/>
      <x:c r="Q12" s="219" t="str">
        <x:f>IF(A12="","",IF(D12="No","Excluded",IF(AND(OR(F12="N/A",E12="No Debt / N/A"),G12=""),"No Debt / N/A",IF(M12&lt;&gt;"","Ready","Partial"))))</x:f>
      </x:c>
      <x:c r="R12" s="223"/>
    </x:row>
    <x:row r="13">
      <x:c r="A13" s="128"/>
      <x:c r="B13" s="128"/>
      <x:c r="C13" s="128"/>
      <x:c r="D13" s="215"/>
      <x:c r="E13" s="215"/>
      <x:c r="F13" s="215"/>
      <x:c r="G13" s="216"/>
      <x:c r="H13" s="221"/>
      <x:c r="I13" s="215"/>
      <x:c r="J13" s="215"/>
      <x:c r="K13" s="218" t="str">
        <x:f>IF(N13&lt;&gt;"","",IF(AND(G13&lt;&gt;"",H13&lt;&gt;"",J13&lt;&gt;""),ROUND(PPMT(H13,1,J13,-G13),0),""))</x:f>
      </x:c>
      <x:c r="L13" s="218" t="str">
        <x:f>IF(N13&lt;&gt;"","",IF(AND(G13&lt;&gt;"",H13&lt;&gt;""),ROUND(G13*H13,0),""))</x:f>
      </x:c>
      <x:c r="M13" s="218" t="str">
        <x:f>IF(N13&lt;&gt;"",N13,IF(AND(G13&lt;&gt;"",H13&lt;&gt;"",J13&lt;&gt;""),ROUND(PMT(H13,J13,-G13),0),""))</x:f>
      </x:c>
      <x:c r="N13" s="216"/>
      <x:c r="O13" s="215"/>
      <x:c r="P13" s="215"/>
      <x:c r="Q13" s="219" t="str">
        <x:f>IF(A13="","",IF(D13="No","Excluded",IF(AND(OR(F13="N/A",E13="No Debt / N/A"),G13=""),"No Debt / N/A",IF(M13&lt;&gt;"","Ready","Partial"))))</x:f>
      </x:c>
      <x:c r="R13" s="223"/>
    </x:row>
    <x:row r="14">
      <x:c r="A14" s="128"/>
      <x:c r="B14" s="128"/>
      <x:c r="C14" s="128"/>
      <x:c r="D14" s="215"/>
      <x:c r="E14" s="215"/>
      <x:c r="F14" s="215"/>
      <x:c r="G14" s="216"/>
      <x:c r="H14" s="221"/>
      <x:c r="I14" s="215"/>
      <x:c r="J14" s="215"/>
      <x:c r="K14" s="218" t="str">
        <x:f>IF(N14&lt;&gt;"","",IF(AND(G14&lt;&gt;"",H14&lt;&gt;"",J14&lt;&gt;""),ROUND(PPMT(H14,1,J14,-G14),0),""))</x:f>
      </x:c>
      <x:c r="L14" s="218" t="str">
        <x:f>IF(N14&lt;&gt;"","",IF(AND(G14&lt;&gt;"",H14&lt;&gt;""),ROUND(G14*H14,0),""))</x:f>
      </x:c>
      <x:c r="M14" s="218" t="str">
        <x:f>IF(N14&lt;&gt;"",N14,IF(AND(G14&lt;&gt;"",H14&lt;&gt;"",J14&lt;&gt;""),ROUND(PMT(H14,J14,-G14),0),""))</x:f>
      </x:c>
      <x:c r="N14" s="216"/>
      <x:c r="O14" s="215"/>
      <x:c r="P14" s="215"/>
      <x:c r="Q14" s="219" t="str">
        <x:f>IF(A14="","",IF(D14="No","Excluded",IF(AND(OR(F14="N/A",E14="No Debt / N/A"),G14=""),"No Debt / N/A",IF(M14&lt;&gt;"","Ready","Partial"))))</x:f>
      </x:c>
      <x:c r="R14" s="223"/>
    </x:row>
    <x:row r="15">
      <x:c r="A15" s="128"/>
      <x:c r="B15" s="128"/>
      <x:c r="C15" s="128"/>
      <x:c r="D15" s="215"/>
      <x:c r="E15" s="215"/>
      <x:c r="F15" s="215"/>
      <x:c r="G15" s="216"/>
      <x:c r="H15" s="221"/>
      <x:c r="I15" s="215"/>
      <x:c r="J15" s="215"/>
      <x:c r="K15" s="218" t="str">
        <x:f>IF(N15&lt;&gt;"","",IF(AND(G15&lt;&gt;"",H15&lt;&gt;"",J15&lt;&gt;""),ROUND(PPMT(H15,1,J15,-G15),0),""))</x:f>
      </x:c>
      <x:c r="L15" s="218" t="str">
        <x:f>IF(N15&lt;&gt;"","",IF(AND(G15&lt;&gt;"",H15&lt;&gt;""),ROUND(G15*H15,0),""))</x:f>
      </x:c>
      <x:c r="M15" s="218" t="str">
        <x:f>IF(N15&lt;&gt;"",N15,IF(AND(G15&lt;&gt;"",H15&lt;&gt;"",J15&lt;&gt;""),ROUND(PMT(H15,J15,-G15),0),""))</x:f>
      </x:c>
      <x:c r="N15" s="216"/>
      <x:c r="O15" s="215"/>
      <x:c r="P15" s="215"/>
      <x:c r="Q15" s="219" t="str">
        <x:f>IF(A15="","",IF(D15="No","Excluded",IF(AND(OR(F15="N/A",E15="No Debt / N/A"),G15=""),"No Debt / N/A",IF(M15&lt;&gt;"","Ready","Partial"))))</x:f>
      </x:c>
      <x:c r="R15" s="223"/>
    </x:row>
    <x:row r="16">
      <x:c r="A16" s="128"/>
      <x:c r="B16" s="128"/>
      <x:c r="C16" s="128"/>
      <x:c r="D16" s="215"/>
      <x:c r="E16" s="215"/>
      <x:c r="F16" s="215"/>
      <x:c r="G16" s="216"/>
      <x:c r="H16" s="221"/>
      <x:c r="I16" s="215"/>
      <x:c r="J16" s="215"/>
      <x:c r="K16" s="218" t="str">
        <x:f>IF(N16&lt;&gt;"","",IF(AND(G16&lt;&gt;"",H16&lt;&gt;"",J16&lt;&gt;""),ROUND(PPMT(H16,1,J16,-G16),0),""))</x:f>
      </x:c>
      <x:c r="L16" s="218" t="str">
        <x:f>IF(N16&lt;&gt;"","",IF(AND(G16&lt;&gt;"",H16&lt;&gt;""),ROUND(G16*H16,0),""))</x:f>
      </x:c>
      <x:c r="M16" s="218" t="str">
        <x:f>IF(N16&lt;&gt;"",N16,IF(AND(G16&lt;&gt;"",H16&lt;&gt;"",J16&lt;&gt;""),ROUND(PMT(H16,J16,-G16),0),""))</x:f>
      </x:c>
      <x:c r="N16" s="216"/>
      <x:c r="O16" s="215"/>
      <x:c r="P16" s="215"/>
      <x:c r="Q16" s="219" t="str">
        <x:f>IF(A16="","",IF(D16="No","Excluded",IF(AND(OR(F16="N/A",E16="No Debt / N/A"),G16=""),"No Debt / N/A",IF(M16&lt;&gt;"","Ready","Partial"))))</x:f>
      </x:c>
      <x:c r="R16" s="223"/>
    </x:row>
    <x:row r="17">
      <x:c r="A17" s="128"/>
      <x:c r="B17" s="128"/>
      <x:c r="C17" s="128"/>
      <x:c r="D17" s="215"/>
      <x:c r="E17" s="215"/>
      <x:c r="F17" s="215"/>
      <x:c r="G17" s="216"/>
      <x:c r="H17" s="221"/>
      <x:c r="I17" s="215"/>
      <x:c r="J17" s="215"/>
      <x:c r="K17" s="218" t="str">
        <x:f>IF(N17&lt;&gt;"","",IF(AND(G17&lt;&gt;"",H17&lt;&gt;"",J17&lt;&gt;""),ROUND(PPMT(H17,1,J17,-G17),0),""))</x:f>
      </x:c>
      <x:c r="L17" s="218" t="str">
        <x:f>IF(N17&lt;&gt;"","",IF(AND(G17&lt;&gt;"",H17&lt;&gt;""),ROUND(G17*H17,0),""))</x:f>
      </x:c>
      <x:c r="M17" s="218" t="str">
        <x:f>IF(N17&lt;&gt;"",N17,IF(AND(G17&lt;&gt;"",H17&lt;&gt;"",J17&lt;&gt;""),ROUND(PMT(H17,J17,-G17),0),""))</x:f>
      </x:c>
      <x:c r="N17" s="216"/>
      <x:c r="O17" s="215"/>
      <x:c r="P17" s="215"/>
      <x:c r="Q17" s="219" t="str">
        <x:f>IF(A17="","",IF(D17="No","Excluded",IF(AND(OR(F17="N/A",E17="No Debt / N/A"),G17=""),"No Debt / N/A",IF(M17&lt;&gt;"","Ready","Partial"))))</x:f>
      </x:c>
      <x:c r="R17" s="223"/>
    </x:row>
    <x:row r="18">
      <x:c r="A18" s="128"/>
      <x:c r="B18" s="128"/>
      <x:c r="C18" s="128"/>
      <x:c r="D18" s="215"/>
      <x:c r="E18" s="215"/>
      <x:c r="F18" s="215"/>
      <x:c r="G18" s="216"/>
      <x:c r="H18" s="221"/>
      <x:c r="I18" s="215"/>
      <x:c r="J18" s="215"/>
      <x:c r="K18" s="218" t="str">
        <x:f>IF(N18&lt;&gt;"","",IF(AND(G18&lt;&gt;"",H18&lt;&gt;"",J18&lt;&gt;""),ROUND(PPMT(H18,1,J18,-G18),0),""))</x:f>
      </x:c>
      <x:c r="L18" s="218" t="str">
        <x:f>IF(N18&lt;&gt;"","",IF(AND(G18&lt;&gt;"",H18&lt;&gt;""),ROUND(G18*H18,0),""))</x:f>
      </x:c>
      <x:c r="M18" s="218" t="str">
        <x:f>IF(N18&lt;&gt;"",N18,IF(AND(G18&lt;&gt;"",H18&lt;&gt;"",J18&lt;&gt;""),ROUND(PMT(H18,J18,-G18),0),""))</x:f>
      </x:c>
      <x:c r="N18" s="216"/>
      <x:c r="O18" s="215"/>
      <x:c r="P18" s="215"/>
      <x:c r="Q18" s="219" t="str">
        <x:f>IF(A18="","",IF(D18="No","Excluded",IF(AND(OR(F18="N/A",E18="No Debt / N/A"),G18=""),"No Debt / N/A",IF(M18&lt;&gt;"","Ready","Partial"))))</x:f>
      </x:c>
      <x:c r="R18" s="223"/>
    </x:row>
    <x:row r="19">
      <x:c r="A19" s="128"/>
      <x:c r="B19" s="128"/>
      <x:c r="C19" s="128"/>
      <x:c r="D19" s="215"/>
      <x:c r="E19" s="215"/>
      <x:c r="F19" s="215"/>
      <x:c r="G19" s="216"/>
      <x:c r="H19" s="221"/>
      <x:c r="I19" s="215"/>
      <x:c r="J19" s="215"/>
      <x:c r="K19" s="218" t="str">
        <x:f>IF(N19&lt;&gt;"","",IF(AND(G19&lt;&gt;"",H19&lt;&gt;"",J19&lt;&gt;""),ROUND(PPMT(H19,1,J19,-G19),0),""))</x:f>
      </x:c>
      <x:c r="L19" s="218" t="str">
        <x:f>IF(N19&lt;&gt;"","",IF(AND(G19&lt;&gt;"",H19&lt;&gt;""),ROUND(G19*H19,0),""))</x:f>
      </x:c>
      <x:c r="M19" s="218" t="str">
        <x:f>IF(N19&lt;&gt;"",N19,IF(AND(G19&lt;&gt;"",H19&lt;&gt;"",J19&lt;&gt;""),ROUND(PMT(H19,J19,-G19),0),""))</x:f>
      </x:c>
      <x:c r="N19" s="216"/>
      <x:c r="O19" s="215"/>
      <x:c r="P19" s="215"/>
      <x:c r="Q19" s="219" t="str">
        <x:f>IF(A19="","",IF(D19="No","Excluded",IF(AND(OR(F19="N/A",E19="No Debt / N/A"),G19=""),"No Debt / N/A",IF(M19&lt;&gt;"","Ready","Partial"))))</x:f>
      </x:c>
      <x:c r="R19" s="223"/>
    </x:row>
    <x:row r="20">
      <x:c r="A20" s="128"/>
      <x:c r="B20" s="128"/>
      <x:c r="C20" s="128"/>
      <x:c r="D20" s="215"/>
      <x:c r="E20" s="215"/>
      <x:c r="F20" s="215"/>
      <x:c r="G20" s="216"/>
      <x:c r="H20" s="221"/>
      <x:c r="I20" s="215"/>
      <x:c r="J20" s="215"/>
      <x:c r="K20" s="218" t="str">
        <x:f>IF(N20&lt;&gt;"","",IF(AND(G20&lt;&gt;"",H20&lt;&gt;"",J20&lt;&gt;""),ROUND(PPMT(H20,1,J20,-G20),0),""))</x:f>
      </x:c>
      <x:c r="L20" s="218" t="str">
        <x:f>IF(N20&lt;&gt;"","",IF(AND(G20&lt;&gt;"",H20&lt;&gt;""),ROUND(G20*H20,0),""))</x:f>
      </x:c>
      <x:c r="M20" s="218" t="str">
        <x:f>IF(N20&lt;&gt;"",N20,IF(AND(G20&lt;&gt;"",H20&lt;&gt;"",J20&lt;&gt;""),ROUND(PMT(H20,J20,-G20),0),""))</x:f>
      </x:c>
      <x:c r="N20" s="216"/>
      <x:c r="O20" s="215"/>
      <x:c r="P20" s="215"/>
      <x:c r="Q20" s="219" t="str">
        <x:f>IF(A20="","",IF(D20="No","Excluded",IF(AND(OR(F20="N/A",E20="No Debt / N/A"),G20=""),"No Debt / N/A",IF(M20&lt;&gt;"","Ready","Partial"))))</x:f>
      </x:c>
      <x:c r="R20" s="223"/>
    </x:row>
    <x:row r="21">
      <x:c r="A21" s="128"/>
      <x:c r="B21" s="128"/>
      <x:c r="C21" s="128"/>
      <x:c r="D21" s="215"/>
      <x:c r="E21" s="215"/>
      <x:c r="F21" s="215"/>
      <x:c r="G21" s="216"/>
      <x:c r="H21" s="221"/>
      <x:c r="I21" s="215"/>
      <x:c r="J21" s="215"/>
      <x:c r="K21" s="218" t="str">
        <x:f>IF(N21&lt;&gt;"","",IF(AND(G21&lt;&gt;"",H21&lt;&gt;"",J21&lt;&gt;""),ROUND(PPMT(H21,1,J21,-G21),0),""))</x:f>
      </x:c>
      <x:c r="L21" s="218" t="str">
        <x:f>IF(N21&lt;&gt;"","",IF(AND(G21&lt;&gt;"",H21&lt;&gt;""),ROUND(G21*H21,0),""))</x:f>
      </x:c>
      <x:c r="M21" s="218" t="str">
        <x:f>IF(N21&lt;&gt;"",N21,IF(AND(G21&lt;&gt;"",H21&lt;&gt;"",J21&lt;&gt;""),ROUND(PMT(H21,J21,-G21),0),""))</x:f>
      </x:c>
      <x:c r="N21" s="216"/>
      <x:c r="O21" s="215"/>
      <x:c r="P21" s="215"/>
      <x:c r="Q21" s="219" t="str">
        <x:f>IF(A21="","",IF(D21="No","Excluded",IF(AND(OR(F21="N/A",E21="No Debt / N/A"),G21=""),"No Debt / N/A",IF(M21&lt;&gt;"","Ready","Partial"))))</x:f>
      </x:c>
      <x:c r="R21" s="223"/>
    </x:row>
    <x:row r="22">
      <x:c r="A22" s="128"/>
      <x:c r="B22" s="128"/>
      <x:c r="C22" s="128"/>
      <x:c r="D22" s="215"/>
      <x:c r="E22" s="215"/>
      <x:c r="F22" s="215"/>
      <x:c r="G22" s="216"/>
      <x:c r="H22" s="221"/>
      <x:c r="I22" s="215"/>
      <x:c r="J22" s="215"/>
      <x:c r="K22" s="218" t="str">
        <x:f>IF(N22&lt;&gt;"","",IF(AND(G22&lt;&gt;"",H22&lt;&gt;"",J22&lt;&gt;""),ROUND(PPMT(H22,1,J22,-G22),0),""))</x:f>
      </x:c>
      <x:c r="L22" s="218" t="str">
        <x:f>IF(N22&lt;&gt;"","",IF(AND(G22&lt;&gt;"",H22&lt;&gt;""),ROUND(G22*H22,0),""))</x:f>
      </x:c>
      <x:c r="M22" s="218" t="str">
        <x:f>IF(N22&lt;&gt;"",N22,IF(AND(G22&lt;&gt;"",H22&lt;&gt;"",J22&lt;&gt;""),ROUND(PMT(H22,J22,-G22),0),""))</x:f>
      </x:c>
      <x:c r="N22" s="216"/>
      <x:c r="O22" s="215"/>
      <x:c r="P22" s="215"/>
      <x:c r="Q22" s="219" t="str">
        <x:f>IF(A22="","",IF(D22="No","Excluded",IF(AND(OR(F22="N/A",E22="No Debt / N/A"),G22=""),"No Debt / N/A",IF(M22&lt;&gt;"","Ready","Partial"))))</x:f>
      </x:c>
      <x:c r="R22" s="223"/>
    </x:row>
    <x:row r="23">
      <x:c r="A23" s="128"/>
      <x:c r="B23" s="128"/>
      <x:c r="C23" s="128"/>
      <x:c r="D23" s="215"/>
      <x:c r="E23" s="215"/>
      <x:c r="F23" s="215"/>
      <x:c r="G23" s="216"/>
      <x:c r="H23" s="221"/>
      <x:c r="I23" s="215"/>
      <x:c r="J23" s="215"/>
      <x:c r="K23" s="218" t="str">
        <x:f>IF(N23&lt;&gt;"","",IF(AND(G23&lt;&gt;"",H23&lt;&gt;"",J23&lt;&gt;""),ROUND(PPMT(H23,1,J23,-G23),0),""))</x:f>
      </x:c>
      <x:c r="L23" s="218" t="str">
        <x:f>IF(N23&lt;&gt;"","",IF(AND(G23&lt;&gt;"",H23&lt;&gt;""),ROUND(G23*H23,0),""))</x:f>
      </x:c>
      <x:c r="M23" s="218" t="str">
        <x:f>IF(N23&lt;&gt;"",N23,IF(AND(G23&lt;&gt;"",H23&lt;&gt;"",J23&lt;&gt;""),ROUND(PMT(H23,J23,-G23),0),""))</x:f>
      </x:c>
      <x:c r="N23" s="216"/>
      <x:c r="O23" s="215"/>
      <x:c r="P23" s="215"/>
      <x:c r="Q23" s="219" t="str">
        <x:f>IF(A23="","",IF(D23="No","Excluded",IF(AND(OR(F23="N/A",E23="No Debt / N/A"),G23=""),"No Debt / N/A",IF(M23&lt;&gt;"","Ready","Partial"))))</x:f>
      </x:c>
      <x:c r="R23" s="223"/>
    </x:row>
    <x:row r="24">
      <x:c r="A24" s="134"/>
      <x:c r="B24" s="134"/>
      <x:c r="C24" s="134"/>
      <x:c r="D24" s="215"/>
      <x:c r="E24" s="215"/>
      <x:c r="F24" s="215"/>
      <x:c r="G24" s="216"/>
      <x:c r="H24" s="221"/>
      <x:c r="I24" s="215"/>
      <x:c r="J24" s="215"/>
      <x:c r="K24" s="218" t="str">
        <x:f>IF(N24&lt;&gt;"","",IF(AND(G24&lt;&gt;"",H24&lt;&gt;"",J24&lt;&gt;""),ROUND(PPMT(H24,1,J24,-G24),0),""))</x:f>
      </x:c>
      <x:c r="L24" s="218" t="str">
        <x:f>IF(N24&lt;&gt;"","",IF(AND(G24&lt;&gt;"",H24&lt;&gt;""),ROUND(G24*H24,0),""))</x:f>
      </x:c>
      <x:c r="M24" s="218" t="str">
        <x:f>IF(N24&lt;&gt;"",N24,IF(AND(G24&lt;&gt;"",H24&lt;&gt;"",J24&lt;&gt;""),ROUND(PMT(H24,J24,-G24),0),""))</x:f>
      </x:c>
      <x:c r="N24" s="216"/>
      <x:c r="O24" s="215"/>
      <x:c r="P24" s="215"/>
      <x:c r="Q24" s="219" t="str">
        <x:f>IF(A24="","",IF(D24="No","Excluded",IF(AND(OR(F24="N/A",E24="No Debt / N/A"),G24=""),"No Debt / N/A",IF(M24&lt;&gt;"","Ready","Partial"))))</x:f>
      </x:c>
      <x:c r="R24" s="223"/>
    </x:row>
    <x:row r="25">
      <x:c r="A25" s="134"/>
      <x:c r="B25" s="134"/>
      <x:c r="C25" s="134"/>
      <x:c r="D25" s="215"/>
      <x:c r="E25" s="215"/>
      <x:c r="F25" s="215"/>
      <x:c r="G25" s="216"/>
      <x:c r="H25" s="221"/>
      <x:c r="I25" s="215"/>
      <x:c r="J25" s="215"/>
      <x:c r="K25" s="218" t="str">
        <x:f>IF(N25&lt;&gt;"","",IF(AND(G25&lt;&gt;"",H25&lt;&gt;"",J25&lt;&gt;""),ROUND(PPMT(H25,1,J25,-G25),0),""))</x:f>
      </x:c>
      <x:c r="L25" s="218" t="str">
        <x:f>IF(N25&lt;&gt;"","",IF(AND(G25&lt;&gt;"",H25&lt;&gt;""),ROUND(G25*H25,0),""))</x:f>
      </x:c>
      <x:c r="M25" s="218" t="str">
        <x:f>IF(N25&lt;&gt;"",N25,IF(AND(G25&lt;&gt;"",H25&lt;&gt;"",J25&lt;&gt;""),ROUND(PMT(H25,J25,-G25),0),""))</x:f>
      </x:c>
      <x:c r="N25" s="216"/>
      <x:c r="O25" s="215"/>
      <x:c r="P25" s="215"/>
      <x:c r="Q25" s="219" t="str">
        <x:f>IF(A25="","",IF(D25="No","Excluded",IF(AND(OR(F25="N/A",E25="No Debt / N/A"),G25=""),"No Debt / N/A",IF(M25&lt;&gt;"","Ready","Partial"))))</x:f>
      </x:c>
      <x:c r="R25" s="223"/>
    </x:row>
    <x:row r="26">
      <x:c r="A26" s="134"/>
      <x:c r="B26" s="134"/>
      <x:c r="C26" s="134"/>
      <x:c r="D26" s="215"/>
      <x:c r="E26" s="215"/>
      <x:c r="F26" s="215"/>
      <x:c r="G26" s="216"/>
      <x:c r="H26" s="221"/>
      <x:c r="I26" s="215"/>
      <x:c r="J26" s="215"/>
      <x:c r="K26" s="218" t="str">
        <x:f>IF(N26&lt;&gt;"","",IF(AND(G26&lt;&gt;"",H26&lt;&gt;"",J26&lt;&gt;""),ROUND(PPMT(H26,1,J26,-G26),0),""))</x:f>
      </x:c>
      <x:c r="L26" s="218" t="str">
        <x:f>IF(N26&lt;&gt;"","",IF(AND(G26&lt;&gt;"",H26&lt;&gt;""),ROUND(G26*H26,0),""))</x:f>
      </x:c>
      <x:c r="M26" s="218" t="str">
        <x:f>IF(N26&lt;&gt;"",N26,IF(AND(G26&lt;&gt;"",H26&lt;&gt;"",J26&lt;&gt;""),ROUND(PMT(H26,J26,-G26),0),""))</x:f>
      </x:c>
      <x:c r="N26" s="216"/>
      <x:c r="O26" s="215"/>
      <x:c r="P26" s="215"/>
      <x:c r="Q26" s="219" t="str">
        <x:f>IF(A26="","",IF(D26="No","Excluded",IF(AND(OR(F26="N/A",E26="No Debt / N/A"),G26=""),"No Debt / N/A",IF(M26&lt;&gt;"","Ready","Partial"))))</x:f>
      </x:c>
      <x:c r="R26" s="223"/>
    </x:row>
    <x:row r="27">
      <x:c r="A27" s="134"/>
      <x:c r="B27" s="134"/>
      <x:c r="C27" s="134"/>
      <x:c r="D27" s="215"/>
      <x:c r="E27" s="215"/>
      <x:c r="F27" s="215"/>
      <x:c r="G27" s="216"/>
      <x:c r="H27" s="221"/>
      <x:c r="I27" s="215"/>
      <x:c r="J27" s="215"/>
      <x:c r="K27" s="218" t="str">
        <x:f>IF(N27&lt;&gt;"","",IF(AND(G27&lt;&gt;"",H27&lt;&gt;"",J27&lt;&gt;""),ROUND(PPMT(H27,1,J27,-G27),0),""))</x:f>
      </x:c>
      <x:c r="L27" s="218" t="str">
        <x:f>IF(N27&lt;&gt;"","",IF(AND(G27&lt;&gt;"",H27&lt;&gt;""),ROUND(G27*H27,0),""))</x:f>
      </x:c>
      <x:c r="M27" s="218" t="str">
        <x:f>IF(N27&lt;&gt;"",N27,IF(AND(G27&lt;&gt;"",H27&lt;&gt;"",J27&lt;&gt;""),ROUND(PMT(H27,J27,-G27),0),""))</x:f>
      </x:c>
      <x:c r="N27" s="216"/>
      <x:c r="O27" s="215"/>
      <x:c r="P27" s="215"/>
      <x:c r="Q27" s="219" t="str">
        <x:f>IF(A27="","",IF(D27="No","Excluded",IF(AND(OR(F27="N/A",E27="No Debt / N/A"),G27=""),"No Debt / N/A",IF(M27&lt;&gt;"","Ready","Partial"))))</x:f>
      </x:c>
      <x:c r="R27" s="223"/>
    </x:row>
    <x:row r="28">
      <x:c r="A28" s="134"/>
      <x:c r="B28" s="134"/>
      <x:c r="C28" s="134"/>
      <x:c r="D28" s="215"/>
      <x:c r="E28" s="215"/>
      <x:c r="F28" s="215"/>
      <x:c r="G28" s="216"/>
      <x:c r="H28" s="221"/>
      <x:c r="I28" s="215"/>
      <x:c r="J28" s="215"/>
      <x:c r="K28" s="218" t="str">
        <x:f>IF(N28&lt;&gt;"","",IF(AND(G28&lt;&gt;"",H28&lt;&gt;"",J28&lt;&gt;""),ROUND(PPMT(H28,1,J28,-G28),0),""))</x:f>
      </x:c>
      <x:c r="L28" s="218" t="str">
        <x:f>IF(N28&lt;&gt;"","",IF(AND(G28&lt;&gt;"",H28&lt;&gt;""),ROUND(G28*H28,0),""))</x:f>
      </x:c>
      <x:c r="M28" s="218" t="str">
        <x:f>IF(N28&lt;&gt;"",N28,IF(AND(G28&lt;&gt;"",H28&lt;&gt;"",J28&lt;&gt;""),ROUND(PMT(H28,J28,-G28),0),""))</x:f>
      </x:c>
      <x:c r="N28" s="216"/>
      <x:c r="O28" s="215"/>
      <x:c r="P28" s="215"/>
      <x:c r="Q28" s="219" t="str">
        <x:f>IF(A28="","",IF(D28="No","Excluded",IF(AND(OR(F28="N/A",E28="No Debt / N/A"),G28=""),"No Debt / N/A",IF(M28&lt;&gt;"","Ready","Partial"))))</x:f>
      </x:c>
      <x:c r="R28" s="223"/>
    </x:row>
    <x:row r="29">
      <x:c r="A29" s="134"/>
      <x:c r="B29" s="134"/>
      <x:c r="C29" s="134"/>
      <x:c r="D29" s="215"/>
      <x:c r="E29" s="215"/>
      <x:c r="F29" s="215"/>
      <x:c r="G29" s="216"/>
      <x:c r="H29" s="221"/>
      <x:c r="I29" s="215"/>
      <x:c r="J29" s="215"/>
      <x:c r="K29" s="218" t="str">
        <x:f>IF(N29&lt;&gt;"","",IF(AND(G29&lt;&gt;"",H29&lt;&gt;"",J29&lt;&gt;""),ROUND(PPMT(H29,1,J29,-G29),0),""))</x:f>
      </x:c>
      <x:c r="L29" s="218" t="str">
        <x:f>IF(N29&lt;&gt;"","",IF(AND(G29&lt;&gt;"",H29&lt;&gt;""),ROUND(G29*H29,0),""))</x:f>
      </x:c>
      <x:c r="M29" s="218" t="str">
        <x:f>IF(N29&lt;&gt;"",N29,IF(AND(G29&lt;&gt;"",H29&lt;&gt;"",J29&lt;&gt;""),ROUND(PMT(H29,J29,-G29),0),""))</x:f>
      </x:c>
      <x:c r="N29" s="216"/>
      <x:c r="O29" s="215"/>
      <x:c r="P29" s="215"/>
      <x:c r="Q29" s="219" t="str">
        <x:f>IF(A29="","",IF(D29="No","Excluded",IF(AND(OR(F29="N/A",E29="No Debt / N/A"),G29=""),"No Debt / N/A",IF(M29&lt;&gt;"","Ready","Partial"))))</x:f>
      </x:c>
      <x:c r="R29" s="223"/>
    </x:row>
    <x:row r="30">
      <x:c r="A30" s="134"/>
      <x:c r="B30" s="134"/>
      <x:c r="C30" s="134"/>
      <x:c r="D30" s="215"/>
      <x:c r="E30" s="215"/>
      <x:c r="F30" s="215"/>
      <x:c r="G30" s="216"/>
      <x:c r="H30" s="221"/>
      <x:c r="I30" s="215"/>
      <x:c r="J30" s="215"/>
      <x:c r="K30" s="218" t="str">
        <x:f>IF(N30&lt;&gt;"","",IF(AND(G30&lt;&gt;"",H30&lt;&gt;"",J30&lt;&gt;""),ROUND(PPMT(H30,1,J30,-G30),0),""))</x:f>
      </x:c>
      <x:c r="L30" s="218" t="str">
        <x:f>IF(N30&lt;&gt;"","",IF(AND(G30&lt;&gt;"",H30&lt;&gt;""),ROUND(G30*H30,0),""))</x:f>
      </x:c>
      <x:c r="M30" s="218" t="str">
        <x:f>IF(N30&lt;&gt;"",N30,IF(AND(G30&lt;&gt;"",H30&lt;&gt;"",J30&lt;&gt;""),ROUND(PMT(H30,J30,-G30),0),""))</x:f>
      </x:c>
      <x:c r="N30" s="216"/>
      <x:c r="O30" s="215"/>
      <x:c r="P30" s="215"/>
      <x:c r="Q30" s="219" t="str">
        <x:f>IF(A30="","",IF(D30="No","Excluded",IF(AND(OR(F30="N/A",E30="No Debt / N/A"),G30=""),"No Debt / N/A",IF(M30&lt;&gt;"","Ready","Partial"))))</x:f>
      </x:c>
      <x:c r="R30" s="223"/>
    </x:row>
    <x:row r="31">
      <x:c r="A31" s="134"/>
      <x:c r="B31" s="134"/>
      <x:c r="C31" s="134"/>
      <x:c r="D31" s="215"/>
      <x:c r="E31" s="215"/>
      <x:c r="F31" s="215"/>
      <x:c r="G31" s="216"/>
      <x:c r="H31" s="221"/>
      <x:c r="I31" s="215"/>
      <x:c r="J31" s="215"/>
      <x:c r="K31" s="218" t="str">
        <x:f>IF(N31&lt;&gt;"","",IF(AND(G31&lt;&gt;"",H31&lt;&gt;"",J31&lt;&gt;""),ROUND(PPMT(H31,1,J31,-G31),0),""))</x:f>
      </x:c>
      <x:c r="L31" s="218" t="str">
        <x:f>IF(N31&lt;&gt;"","",IF(AND(G31&lt;&gt;"",H31&lt;&gt;""),ROUND(G31*H31,0),""))</x:f>
      </x:c>
      <x:c r="M31" s="218" t="str">
        <x:f>IF(N31&lt;&gt;"",N31,IF(AND(G31&lt;&gt;"",H31&lt;&gt;"",J31&lt;&gt;""),ROUND(PMT(H31,J31,-G31),0),""))</x:f>
      </x:c>
      <x:c r="N31" s="216"/>
      <x:c r="O31" s="215"/>
      <x:c r="P31" s="215"/>
      <x:c r="Q31" s="219" t="str">
        <x:f>IF(A31="","",IF(D31="No","Excluded",IF(AND(OR(F31="N/A",E31="No Debt / N/A"),G31=""),"No Debt / N/A",IF(M31&lt;&gt;"","Ready","Partial"))))</x:f>
      </x:c>
      <x:c r="R31" s="223"/>
    </x:row>
    <x:row r="32">
      <x:c r="A32" s="134"/>
      <x:c r="B32" s="134"/>
      <x:c r="C32" s="134"/>
      <x:c r="D32" s="215"/>
      <x:c r="E32" s="215"/>
      <x:c r="F32" s="215"/>
      <x:c r="G32" s="216"/>
      <x:c r="H32" s="221"/>
      <x:c r="I32" s="215"/>
      <x:c r="J32" s="215"/>
      <x:c r="K32" s="218" t="str">
        <x:f>IF(N32&lt;&gt;"","",IF(AND(G32&lt;&gt;"",H32&lt;&gt;"",J32&lt;&gt;""),ROUND(PPMT(H32,1,J32,-G32),0),""))</x:f>
      </x:c>
      <x:c r="L32" s="218" t="str">
        <x:f>IF(N32&lt;&gt;"","",IF(AND(G32&lt;&gt;"",H32&lt;&gt;""),ROUND(G32*H32,0),""))</x:f>
      </x:c>
      <x:c r="M32" s="218" t="str">
        <x:f>IF(N32&lt;&gt;"",N32,IF(AND(G32&lt;&gt;"",H32&lt;&gt;"",J32&lt;&gt;""),ROUND(PMT(H32,J32,-G32),0),""))</x:f>
      </x:c>
      <x:c r="N32" s="216"/>
      <x:c r="O32" s="215"/>
      <x:c r="P32" s="215"/>
      <x:c r="Q32" s="219" t="str">
        <x:f>IF(A32="","",IF(D32="No","Excluded",IF(AND(OR(F32="N/A",E32="No Debt / N/A"),G32=""),"No Debt / N/A",IF(M32&lt;&gt;"","Ready","Partial"))))</x:f>
      </x:c>
      <x:c r="R32" s="223"/>
    </x:row>
    <x:row r="33">
      <x:c r="A33" s="134"/>
      <x:c r="B33" s="134"/>
      <x:c r="C33" s="134"/>
      <x:c r="D33" s="215"/>
      <x:c r="E33" s="215"/>
      <x:c r="F33" s="215"/>
      <x:c r="G33" s="216"/>
      <x:c r="H33" s="221"/>
      <x:c r="I33" s="215"/>
      <x:c r="J33" s="215"/>
      <x:c r="K33" s="218" t="str">
        <x:f>IF(N33&lt;&gt;"","",IF(AND(G33&lt;&gt;"",H33&lt;&gt;"",J33&lt;&gt;""),ROUND(PPMT(H33,1,J33,-G33),0),""))</x:f>
      </x:c>
      <x:c r="L33" s="218" t="str">
        <x:f>IF(N33&lt;&gt;"","",IF(AND(G33&lt;&gt;"",H33&lt;&gt;""),ROUND(G33*H33,0),""))</x:f>
      </x:c>
      <x:c r="M33" s="218" t="str">
        <x:f>IF(N33&lt;&gt;"",N33,IF(AND(G33&lt;&gt;"",H33&lt;&gt;"",J33&lt;&gt;""),ROUND(PMT(H33,J33,-G33),0),""))</x:f>
      </x:c>
      <x:c r="N33" s="216"/>
      <x:c r="O33" s="215"/>
      <x:c r="P33" s="215"/>
      <x:c r="Q33" s="219" t="str">
        <x:f>IF(A33="","",IF(D33="No","Excluded",IF(AND(OR(F33="N/A",E33="No Debt / N/A"),G33=""),"No Debt / N/A",IF(M33&lt;&gt;"","Ready","Partial"))))</x:f>
      </x:c>
      <x:c r="R33" s="223"/>
    </x:row>
    <x:row r="34">
      <x:c r="A34" s="134"/>
      <x:c r="B34" s="134"/>
      <x:c r="C34" s="134"/>
      <x:c r="D34" s="215"/>
      <x:c r="E34" s="215"/>
      <x:c r="F34" s="215"/>
      <x:c r="G34" s="216"/>
      <x:c r="H34" s="221"/>
      <x:c r="I34" s="215"/>
      <x:c r="J34" s="215"/>
      <x:c r="K34" s="218" t="str">
        <x:f>IF(N34&lt;&gt;"","",IF(AND(G34&lt;&gt;"",H34&lt;&gt;"",J34&lt;&gt;""),ROUND(PPMT(H34,1,J34,-G34),0),""))</x:f>
      </x:c>
      <x:c r="L34" s="218" t="str">
        <x:f>IF(N34&lt;&gt;"","",IF(AND(G34&lt;&gt;"",H34&lt;&gt;""),ROUND(G34*H34,0),""))</x:f>
      </x:c>
      <x:c r="M34" s="218" t="str">
        <x:f>IF(N34&lt;&gt;"",N34,IF(AND(G34&lt;&gt;"",H34&lt;&gt;"",J34&lt;&gt;""),ROUND(PMT(H34,J34,-G34),0),""))</x:f>
      </x:c>
      <x:c r="N34" s="216"/>
      <x:c r="O34" s="215"/>
      <x:c r="P34" s="215"/>
      <x:c r="Q34" s="219" t="str">
        <x:f>IF(A34="","",IF(D34="No","Excluded",IF(AND(OR(F34="N/A",E34="No Debt / N/A"),G34=""),"No Debt / N/A",IF(M34&lt;&gt;"","Ready","Partial"))))</x:f>
      </x:c>
      <x:c r="R34" s="223"/>
    </x:row>
    <x:row r="35">
      <x:c r="A35" s="134"/>
      <x:c r="B35" s="134"/>
      <x:c r="C35" s="134"/>
      <x:c r="D35" s="215"/>
      <x:c r="E35" s="215"/>
      <x:c r="F35" s="215"/>
      <x:c r="G35" s="216"/>
      <x:c r="H35" s="221"/>
      <x:c r="I35" s="215"/>
      <x:c r="J35" s="215"/>
      <x:c r="K35" s="218" t="str">
        <x:f>IF(N35&lt;&gt;"","",IF(AND(G35&lt;&gt;"",H35&lt;&gt;"",J35&lt;&gt;""),ROUND(PPMT(H35,1,J35,-G35),0),""))</x:f>
      </x:c>
      <x:c r="L35" s="218" t="str">
        <x:f>IF(N35&lt;&gt;"","",IF(AND(G35&lt;&gt;"",H35&lt;&gt;""),ROUND(G35*H35,0),""))</x:f>
      </x:c>
      <x:c r="M35" s="218" t="str">
        <x:f>IF(N35&lt;&gt;"",N35,IF(AND(G35&lt;&gt;"",H35&lt;&gt;"",J35&lt;&gt;""),ROUND(PMT(H35,J35,-G35),0),""))</x:f>
      </x:c>
      <x:c r="N35" s="216"/>
      <x:c r="O35" s="215"/>
      <x:c r="P35" s="215"/>
      <x:c r="Q35" s="219" t="str">
        <x:f>IF(A35="","",IF(D35="No","Excluded",IF(AND(OR(F35="N/A",E35="No Debt / N/A"),G35=""),"No Debt / N/A",IF(M35&lt;&gt;"","Ready","Partial"))))</x:f>
      </x:c>
      <x:c r="R35" s="223"/>
    </x:row>
    <x:row r="36">
      <x:c r="A36" s="134"/>
      <x:c r="B36" s="134"/>
      <x:c r="C36" s="134"/>
      <x:c r="D36" s="215"/>
      <x:c r="E36" s="215"/>
      <x:c r="F36" s="215"/>
      <x:c r="G36" s="216"/>
      <x:c r="H36" s="221"/>
      <x:c r="I36" s="215"/>
      <x:c r="J36" s="215"/>
      <x:c r="K36" s="218" t="str">
        <x:f>IF(N36&lt;&gt;"","",IF(AND(G36&lt;&gt;"",H36&lt;&gt;"",J36&lt;&gt;""),ROUND(PPMT(H36,1,J36,-G36),0),""))</x:f>
      </x:c>
      <x:c r="L36" s="218" t="str">
        <x:f>IF(N36&lt;&gt;"","",IF(AND(G36&lt;&gt;"",H36&lt;&gt;""),ROUND(G36*H36,0),""))</x:f>
      </x:c>
      <x:c r="M36" s="218" t="str">
        <x:f>IF(N36&lt;&gt;"",N36,IF(AND(G36&lt;&gt;"",H36&lt;&gt;"",J36&lt;&gt;""),ROUND(PMT(H36,J36,-G36),0),""))</x:f>
      </x:c>
      <x:c r="N36" s="216"/>
      <x:c r="O36" s="215"/>
      <x:c r="P36" s="215"/>
      <x:c r="Q36" s="219" t="str">
        <x:f>IF(A36="","",IF(D36="No","Excluded",IF(AND(OR(F36="N/A",E36="No Debt / N/A"),G36=""),"No Debt / N/A",IF(M36&lt;&gt;"","Ready","Partial"))))</x:f>
      </x:c>
      <x:c r="R36" s="223"/>
    </x:row>
    <x:row r="37">
      <x:c r="A37" s="134"/>
      <x:c r="B37" s="134"/>
      <x:c r="C37" s="134"/>
      <x:c r="D37" s="215"/>
      <x:c r="E37" s="215"/>
      <x:c r="F37" s="215"/>
      <x:c r="G37" s="216"/>
      <x:c r="H37" s="221"/>
      <x:c r="I37" s="215"/>
      <x:c r="J37" s="215"/>
      <x:c r="K37" s="218" t="str">
        <x:f>IF(N37&lt;&gt;"","",IF(AND(G37&lt;&gt;"",H37&lt;&gt;"",J37&lt;&gt;""),ROUND(PPMT(H37,1,J37,-G37),0),""))</x:f>
      </x:c>
      <x:c r="L37" s="218" t="str">
        <x:f>IF(N37&lt;&gt;"","",IF(AND(G37&lt;&gt;"",H37&lt;&gt;""),ROUND(G37*H37,0),""))</x:f>
      </x:c>
      <x:c r="M37" s="218" t="str">
        <x:f>IF(N37&lt;&gt;"",N37,IF(AND(G37&lt;&gt;"",H37&lt;&gt;"",J37&lt;&gt;""),ROUND(PMT(H37,J37,-G37),0),""))</x:f>
      </x:c>
      <x:c r="N37" s="216"/>
      <x:c r="O37" s="215"/>
      <x:c r="P37" s="215"/>
      <x:c r="Q37" s="219" t="str">
        <x:f>IF(A37="","",IF(D37="No","Excluded",IF(AND(OR(F37="N/A",E37="No Debt / N/A"),G37=""),"No Debt / N/A",IF(M37&lt;&gt;"","Ready","Partial"))))</x:f>
      </x:c>
      <x:c r="R37" s="223"/>
    </x:row>
    <x:row r="38">
      <x:c r="A38" s="134"/>
      <x:c r="B38" s="134"/>
      <x:c r="C38" s="134"/>
      <x:c r="D38" s="215"/>
      <x:c r="E38" s="215"/>
      <x:c r="F38" s="215"/>
      <x:c r="G38" s="216"/>
      <x:c r="H38" s="221"/>
      <x:c r="I38" s="215"/>
      <x:c r="J38" s="215"/>
      <x:c r="K38" s="218" t="str">
        <x:f>IF(N38&lt;&gt;"","",IF(AND(G38&lt;&gt;"",H38&lt;&gt;"",J38&lt;&gt;""),ROUND(PPMT(H38,1,J38,-G38),0),""))</x:f>
      </x:c>
      <x:c r="L38" s="218" t="str">
        <x:f>IF(N38&lt;&gt;"","",IF(AND(G38&lt;&gt;"",H38&lt;&gt;""),ROUND(G38*H38,0),""))</x:f>
      </x:c>
      <x:c r="M38" s="218" t="str">
        <x:f>IF(N38&lt;&gt;"",N38,IF(AND(G38&lt;&gt;"",H38&lt;&gt;"",J38&lt;&gt;""),ROUND(PMT(H38,J38,-G38),0),""))</x:f>
      </x:c>
      <x:c r="N38" s="216"/>
      <x:c r="O38" s="215"/>
      <x:c r="P38" s="215"/>
      <x:c r="Q38" s="219" t="str">
        <x:f>IF(A38="","",IF(D38="No","Excluded",IF(AND(OR(F38="N/A",E38="No Debt / N/A"),G38=""),"No Debt / N/A",IF(M38&lt;&gt;"","Ready","Partial"))))</x:f>
      </x:c>
      <x:c r="R38" s="223"/>
    </x:row>
    <x:row r="39">
      <x:c r="A39" s="134"/>
      <x:c r="B39" s="134"/>
      <x:c r="C39" s="134"/>
      <x:c r="D39" s="215"/>
      <x:c r="E39" s="215"/>
      <x:c r="F39" s="215"/>
      <x:c r="G39" s="216"/>
      <x:c r="H39" s="221"/>
      <x:c r="I39" s="215"/>
      <x:c r="J39" s="215"/>
      <x:c r="K39" s="218" t="str">
        <x:f>IF(N39&lt;&gt;"","",IF(AND(G39&lt;&gt;"",H39&lt;&gt;"",J39&lt;&gt;""),ROUND(PPMT(H39,1,J39,-G39),0),""))</x:f>
      </x:c>
      <x:c r="L39" s="218" t="str">
        <x:f>IF(N39&lt;&gt;"","",IF(AND(G39&lt;&gt;"",H39&lt;&gt;""),ROUND(G39*H39,0),""))</x:f>
      </x:c>
      <x:c r="M39" s="218" t="str">
        <x:f>IF(N39&lt;&gt;"",N39,IF(AND(G39&lt;&gt;"",H39&lt;&gt;"",J39&lt;&gt;""),ROUND(PMT(H39,J39,-G39),0),""))</x:f>
      </x:c>
      <x:c r="N39" s="216"/>
      <x:c r="O39" s="215"/>
      <x:c r="P39" s="215"/>
      <x:c r="Q39" s="219" t="str">
        <x:f>IF(A39="","",IF(D39="No","Excluded",IF(AND(OR(F39="N/A",E39="No Debt / N/A"),G39=""),"No Debt / N/A",IF(M39&lt;&gt;"","Ready","Partial"))))</x:f>
      </x:c>
      <x:c r="R39" s="223"/>
    </x:row>
    <x:row r="40">
      <x:c r="A40" s="134"/>
      <x:c r="B40" s="134"/>
      <x:c r="C40" s="134"/>
      <x:c r="D40" s="215"/>
      <x:c r="E40" s="215"/>
      <x:c r="F40" s="215"/>
      <x:c r="G40" s="216"/>
      <x:c r="H40" s="221"/>
      <x:c r="I40" s="215"/>
      <x:c r="J40" s="215"/>
      <x:c r="K40" s="218" t="str">
        <x:f>IF(N40&lt;&gt;"","",IF(AND(G40&lt;&gt;"",H40&lt;&gt;"",J40&lt;&gt;""),ROUND(PPMT(H40,1,J40,-G40),0),""))</x:f>
      </x:c>
      <x:c r="L40" s="218" t="str">
        <x:f>IF(N40&lt;&gt;"","",IF(AND(G40&lt;&gt;"",H40&lt;&gt;""),ROUND(G40*H40,0),""))</x:f>
      </x:c>
      <x:c r="M40" s="218" t="str">
        <x:f>IF(N40&lt;&gt;"",N40,IF(AND(G40&lt;&gt;"",H40&lt;&gt;"",J40&lt;&gt;""),ROUND(PMT(H40,J40,-G40),0),""))</x:f>
      </x:c>
      <x:c r="N40" s="216"/>
      <x:c r="O40" s="215"/>
      <x:c r="P40" s="215"/>
      <x:c r="Q40" s="219" t="str">
        <x:f>IF(A40="","",IF(D40="No","Excluded",IF(AND(OR(F40="N/A",E40="No Debt / N/A"),G40=""),"No Debt / N/A",IF(M40&lt;&gt;"","Ready","Partial"))))</x:f>
      </x:c>
      <x:c r="R40" s="223"/>
    </x:row>
    <x:row r="41">
      <x:c r="A41" s="134"/>
      <x:c r="B41" s="134"/>
      <x:c r="C41" s="134"/>
      <x:c r="D41" s="215"/>
      <x:c r="E41" s="215"/>
      <x:c r="F41" s="215"/>
      <x:c r="G41" s="216"/>
      <x:c r="H41" s="221"/>
      <x:c r="I41" s="215"/>
      <x:c r="J41" s="215"/>
      <x:c r="K41" s="218" t="str">
        <x:f>IF(N41&lt;&gt;"","",IF(AND(G41&lt;&gt;"",H41&lt;&gt;"",J41&lt;&gt;""),ROUND(PPMT(H41,1,J41,-G41),0),""))</x:f>
      </x:c>
      <x:c r="L41" s="218" t="str">
        <x:f>IF(N41&lt;&gt;"","",IF(AND(G41&lt;&gt;"",H41&lt;&gt;""),ROUND(G41*H41,0),""))</x:f>
      </x:c>
      <x:c r="M41" s="218" t="str">
        <x:f>IF(N41&lt;&gt;"",N41,IF(AND(G41&lt;&gt;"",H41&lt;&gt;"",J41&lt;&gt;""),ROUND(PMT(H41,J41,-G41),0),""))</x:f>
      </x:c>
      <x:c r="N41" s="216"/>
      <x:c r="O41" s="215"/>
      <x:c r="P41" s="215"/>
      <x:c r="Q41" s="219" t="str">
        <x:f>IF(A41="","",IF(D41="No","Excluded",IF(AND(OR(F41="N/A",E41="No Debt / N/A"),G41=""),"No Debt / N/A",IF(M41&lt;&gt;"","Ready","Partial"))))</x:f>
      </x:c>
      <x:c r="R41" s="223"/>
    </x:row>
    <x:row r="42">
      <x:c r="A42" s="134"/>
      <x:c r="B42" s="134"/>
      <x:c r="C42" s="134"/>
      <x:c r="D42" s="215"/>
      <x:c r="E42" s="215"/>
      <x:c r="F42" s="215"/>
      <x:c r="G42" s="216"/>
      <x:c r="H42" s="221"/>
      <x:c r="I42" s="215"/>
      <x:c r="J42" s="215"/>
      <x:c r="K42" s="218" t="str">
        <x:f>IF(N42&lt;&gt;"","",IF(AND(G42&lt;&gt;"",H42&lt;&gt;"",J42&lt;&gt;""),ROUND(PPMT(H42,1,J42,-G42),0),""))</x:f>
      </x:c>
      <x:c r="L42" s="218" t="str">
        <x:f>IF(N42&lt;&gt;"","",IF(AND(G42&lt;&gt;"",H42&lt;&gt;""),ROUND(G42*H42,0),""))</x:f>
      </x:c>
      <x:c r="M42" s="218" t="str">
        <x:f>IF(N42&lt;&gt;"",N42,IF(AND(G42&lt;&gt;"",H42&lt;&gt;"",J42&lt;&gt;""),ROUND(PMT(H42,J42,-G42),0),""))</x:f>
      </x:c>
      <x:c r="N42" s="216"/>
      <x:c r="O42" s="215"/>
      <x:c r="P42" s="215"/>
      <x:c r="Q42" s="219" t="str">
        <x:f>IF(A42="","",IF(D42="No","Excluded",IF(AND(OR(F42="N/A",E42="No Debt / N/A"),G42=""),"No Debt / N/A",IF(M42&lt;&gt;"","Ready","Partial"))))</x:f>
      </x:c>
      <x:c r="R42" s="223"/>
    </x:row>
    <x:row r="43">
      <x:c r="A43" s="134"/>
      <x:c r="B43" s="134"/>
      <x:c r="C43" s="134"/>
      <x:c r="D43" s="215"/>
      <x:c r="E43" s="215"/>
      <x:c r="F43" s="215"/>
      <x:c r="G43" s="216"/>
      <x:c r="H43" s="221"/>
      <x:c r="I43" s="215"/>
      <x:c r="J43" s="215"/>
      <x:c r="K43" s="218" t="str">
        <x:f>IF(N43&lt;&gt;"","",IF(AND(G43&lt;&gt;"",H43&lt;&gt;"",J43&lt;&gt;""),ROUND(PPMT(H43,1,J43,-G43),0),""))</x:f>
      </x:c>
      <x:c r="L43" s="218" t="str">
        <x:f>IF(N43&lt;&gt;"","",IF(AND(G43&lt;&gt;"",H43&lt;&gt;""),ROUND(G43*H43,0),""))</x:f>
      </x:c>
      <x:c r="M43" s="218" t="str">
        <x:f>IF(N43&lt;&gt;"",N43,IF(AND(G43&lt;&gt;"",H43&lt;&gt;"",J43&lt;&gt;""),ROUND(PMT(H43,J43,-G43),0),""))</x:f>
      </x:c>
      <x:c r="N43" s="216"/>
      <x:c r="O43" s="215"/>
      <x:c r="P43" s="215"/>
      <x:c r="Q43" s="219" t="str">
        <x:f>IF(A43="","",IF(D43="No","Excluded",IF(AND(OR(F43="N/A",E43="No Debt / N/A"),G43=""),"No Debt / N/A",IF(M43&lt;&gt;"","Ready","Partial"))))</x:f>
      </x:c>
      <x:c r="R43" s="223"/>
    </x:row>
    <x:row r="44">
      <x:c r="A44" s="134"/>
      <x:c r="B44" s="134"/>
      <x:c r="C44" s="134"/>
      <x:c r="D44" s="215"/>
      <x:c r="E44" s="215"/>
      <x:c r="F44" s="215"/>
      <x:c r="G44" s="216"/>
      <x:c r="H44" s="221"/>
      <x:c r="I44" s="215"/>
      <x:c r="J44" s="215"/>
      <x:c r="K44" s="218" t="str">
        <x:f>IF(N44&lt;&gt;"","",IF(AND(G44&lt;&gt;"",H44&lt;&gt;"",J44&lt;&gt;""),ROUND(PPMT(H44,1,J44,-G44),0),""))</x:f>
      </x:c>
      <x:c r="L44" s="218" t="str">
        <x:f>IF(N44&lt;&gt;"","",IF(AND(G44&lt;&gt;"",H44&lt;&gt;""),ROUND(G44*H44,0),""))</x:f>
      </x:c>
      <x:c r="M44" s="218" t="str">
        <x:f>IF(N44&lt;&gt;"",N44,IF(AND(G44&lt;&gt;"",H44&lt;&gt;"",J44&lt;&gt;""),ROUND(PMT(H44,J44,-G44),0),""))</x:f>
      </x:c>
      <x:c r="N44" s="216"/>
      <x:c r="O44" s="215"/>
      <x:c r="P44" s="215"/>
      <x:c r="Q44" s="219" t="str">
        <x:f>IF(A44="","",IF(D44="No","Excluded",IF(AND(OR(F44="N/A",E44="No Debt / N/A"),G44=""),"No Debt / N/A",IF(M44&lt;&gt;"","Ready","Partial"))))</x:f>
      </x:c>
      <x:c r="R44" s="223"/>
    </x:row>
    <x:row r="45">
      <x:c r="A45" s="134"/>
      <x:c r="B45" s="134"/>
      <x:c r="C45" s="134"/>
      <x:c r="D45" s="215"/>
      <x:c r="E45" s="215"/>
      <x:c r="F45" s="215"/>
      <x:c r="G45" s="216"/>
      <x:c r="H45" s="221"/>
      <x:c r="I45" s="215"/>
      <x:c r="J45" s="215"/>
      <x:c r="K45" s="218" t="str">
        <x:f>IF(N45&lt;&gt;"","",IF(AND(G45&lt;&gt;"",H45&lt;&gt;"",J45&lt;&gt;""),ROUND(PPMT(H45,1,J45,-G45),0),""))</x:f>
      </x:c>
      <x:c r="L45" s="218" t="str">
        <x:f>IF(N45&lt;&gt;"","",IF(AND(G45&lt;&gt;"",H45&lt;&gt;""),ROUND(G45*H45,0),""))</x:f>
      </x:c>
      <x:c r="M45" s="218" t="str">
        <x:f>IF(N45&lt;&gt;"",N45,IF(AND(G45&lt;&gt;"",H45&lt;&gt;"",J45&lt;&gt;""),ROUND(PMT(H45,J45,-G45),0),""))</x:f>
      </x:c>
      <x:c r="N45" s="216"/>
      <x:c r="O45" s="215"/>
      <x:c r="P45" s="215"/>
      <x:c r="Q45" s="219" t="str">
        <x:f>IF(A45="","",IF(D45="No","Excluded",IF(AND(OR(F45="N/A",E45="No Debt / N/A"),G45=""),"No Debt / N/A",IF(M45&lt;&gt;"","Ready","Partial"))))</x:f>
      </x:c>
      <x:c r="R45" s="223"/>
    </x:row>
    <x:row r="46">
      <x:c r="A46" s="134"/>
      <x:c r="B46" s="134"/>
      <x:c r="C46" s="134"/>
      <x:c r="D46" s="215"/>
      <x:c r="E46" s="215"/>
      <x:c r="F46" s="215"/>
      <x:c r="G46" s="216"/>
      <x:c r="H46" s="221"/>
      <x:c r="I46" s="215"/>
      <x:c r="J46" s="215"/>
      <x:c r="K46" s="218" t="str">
        <x:f>IF(N46&lt;&gt;"","",IF(AND(G46&lt;&gt;"",H46&lt;&gt;"",J46&lt;&gt;""),ROUND(PPMT(H46,1,J46,-G46),0),""))</x:f>
      </x:c>
      <x:c r="L46" s="218" t="str">
        <x:f>IF(N46&lt;&gt;"","",IF(AND(G46&lt;&gt;"",H46&lt;&gt;""),ROUND(G46*H46,0),""))</x:f>
      </x:c>
      <x:c r="M46" s="218" t="str">
        <x:f>IF(N46&lt;&gt;"",N46,IF(AND(G46&lt;&gt;"",H46&lt;&gt;"",J46&lt;&gt;""),ROUND(PMT(H46,J46,-G46),0),""))</x:f>
      </x:c>
      <x:c r="N46" s="216"/>
      <x:c r="O46" s="215"/>
      <x:c r="P46" s="215"/>
      <x:c r="Q46" s="219" t="str">
        <x:f>IF(A46="","",IF(D46="No","Excluded",IF(AND(OR(F46="N/A",E46="No Debt / N/A"),G46=""),"No Debt / N/A",IF(M46&lt;&gt;"","Ready","Partial"))))</x:f>
      </x:c>
      <x:c r="R46" s="223"/>
    </x:row>
    <x:row r="47">
      <x:c r="A47" s="134"/>
      <x:c r="B47" s="134"/>
      <x:c r="C47" s="134"/>
      <x:c r="D47" s="215"/>
      <x:c r="E47" s="215"/>
      <x:c r="F47" s="215"/>
      <x:c r="G47" s="216"/>
      <x:c r="H47" s="221"/>
      <x:c r="I47" s="215"/>
      <x:c r="J47" s="215"/>
      <x:c r="K47" s="218" t="str">
        <x:f>IF(N47&lt;&gt;"","",IF(AND(G47&lt;&gt;"",H47&lt;&gt;"",J47&lt;&gt;""),ROUND(PPMT(H47,1,J47,-G47),0),""))</x:f>
      </x:c>
      <x:c r="L47" s="218" t="str">
        <x:f>IF(N47&lt;&gt;"","",IF(AND(G47&lt;&gt;"",H47&lt;&gt;""),ROUND(G47*H47,0),""))</x:f>
      </x:c>
      <x:c r="M47" s="218" t="str">
        <x:f>IF(N47&lt;&gt;"",N47,IF(AND(G47&lt;&gt;"",H47&lt;&gt;"",J47&lt;&gt;""),ROUND(PMT(H47,J47,-G47),0),""))</x:f>
      </x:c>
      <x:c r="N47" s="216"/>
      <x:c r="O47" s="215"/>
      <x:c r="P47" s="215"/>
      <x:c r="Q47" s="219" t="str">
        <x:f>IF(A47="","",IF(D47="No","Excluded",IF(AND(OR(F47="N/A",E47="No Debt / N/A"),G47=""),"No Debt / N/A",IF(M47&lt;&gt;"","Ready","Partial"))))</x:f>
      </x:c>
      <x:c r="R47" s="223"/>
    </x:row>
    <x:row r="48">
      <x:c r="A48" s="134"/>
      <x:c r="B48" s="134"/>
      <x:c r="C48" s="134"/>
      <x:c r="D48" s="215"/>
      <x:c r="E48" s="215"/>
      <x:c r="F48" s="215"/>
      <x:c r="G48" s="216"/>
      <x:c r="H48" s="221"/>
      <x:c r="I48" s="215"/>
      <x:c r="J48" s="215"/>
      <x:c r="K48" s="218" t="str">
        <x:f>IF(N48&lt;&gt;"","",IF(AND(G48&lt;&gt;"",H48&lt;&gt;"",J48&lt;&gt;""),ROUND(PPMT(H48,1,J48,-G48),0),""))</x:f>
      </x:c>
      <x:c r="L48" s="218" t="str">
        <x:f>IF(N48&lt;&gt;"","",IF(AND(G48&lt;&gt;"",H48&lt;&gt;""),ROUND(G48*H48,0),""))</x:f>
      </x:c>
      <x:c r="M48" s="218" t="str">
        <x:f>IF(N48&lt;&gt;"",N48,IF(AND(G48&lt;&gt;"",H48&lt;&gt;"",J48&lt;&gt;""),ROUND(PMT(H48,J48,-G48),0),""))</x:f>
      </x:c>
      <x:c r="N48" s="216"/>
      <x:c r="O48" s="215"/>
      <x:c r="P48" s="215"/>
      <x:c r="Q48" s="219" t="str">
        <x:f>IF(A48="","",IF(D48="No","Excluded",IF(AND(OR(F48="N/A",E48="No Debt / N/A"),G48=""),"No Debt / N/A",IF(M48&lt;&gt;"","Ready","Partial"))))</x:f>
      </x:c>
      <x:c r="R48" s="223"/>
    </x:row>
    <x:row r="49">
      <x:c r="A49" s="134"/>
      <x:c r="B49" s="134"/>
      <x:c r="C49" s="134"/>
      <x:c r="D49" s="215"/>
      <x:c r="E49" s="215"/>
      <x:c r="F49" s="215"/>
      <x:c r="G49" s="216"/>
      <x:c r="H49" s="221"/>
      <x:c r="I49" s="215"/>
      <x:c r="J49" s="215"/>
      <x:c r="K49" s="218" t="str">
        <x:f>IF(N49&lt;&gt;"","",IF(AND(G49&lt;&gt;"",H49&lt;&gt;"",J49&lt;&gt;""),ROUND(PPMT(H49,1,J49,-G49),0),""))</x:f>
      </x:c>
      <x:c r="L49" s="218" t="str">
        <x:f>IF(N49&lt;&gt;"","",IF(AND(G49&lt;&gt;"",H49&lt;&gt;""),ROUND(G49*H49,0),""))</x:f>
      </x:c>
      <x:c r="M49" s="218" t="str">
        <x:f>IF(N49&lt;&gt;"",N49,IF(AND(G49&lt;&gt;"",H49&lt;&gt;"",J49&lt;&gt;""),ROUND(PMT(H49,J49,-G49),0),""))</x:f>
      </x:c>
      <x:c r="N49" s="216"/>
      <x:c r="O49" s="215"/>
      <x:c r="P49" s="215"/>
      <x:c r="Q49" s="219" t="str">
        <x:f>IF(A49="","",IF(D49="No","Excluded",IF(AND(OR(F49="N/A",E49="No Debt / N/A"),G49=""),"No Debt / N/A",IF(M49&lt;&gt;"","Ready","Partial"))))</x:f>
      </x:c>
      <x:c r="R49" s="223"/>
    </x:row>
    <x:row r="50">
      <x:c r="A50" s="134"/>
      <x:c r="B50" s="134"/>
      <x:c r="C50" s="134"/>
      <x:c r="D50" s="215"/>
      <x:c r="E50" s="215"/>
      <x:c r="F50" s="215"/>
      <x:c r="G50" s="216"/>
      <x:c r="H50" s="221"/>
      <x:c r="I50" s="215"/>
      <x:c r="J50" s="215"/>
      <x:c r="K50" s="218" t="str">
        <x:f>IF(N50&lt;&gt;"","",IF(AND(G50&lt;&gt;"",H50&lt;&gt;"",J50&lt;&gt;""),ROUND(PPMT(H50,1,J50,-G50),0),""))</x:f>
      </x:c>
      <x:c r="L50" s="218" t="str">
        <x:f>IF(N50&lt;&gt;"","",IF(AND(G50&lt;&gt;"",H50&lt;&gt;""),ROUND(G50*H50,0),""))</x:f>
      </x:c>
      <x:c r="M50" s="218" t="str">
        <x:f>IF(N50&lt;&gt;"",N50,IF(AND(G50&lt;&gt;"",H50&lt;&gt;"",J50&lt;&gt;""),ROUND(PMT(H50,J50,-G50),0),""))</x:f>
      </x:c>
      <x:c r="N50" s="216"/>
      <x:c r="O50" s="215"/>
      <x:c r="P50" s="215"/>
      <x:c r="Q50" s="219" t="str">
        <x:f>IF(A50="","",IF(D50="No","Excluded",IF(AND(OR(F50="N/A",E50="No Debt / N/A"),G50=""),"No Debt / N/A",IF(M50&lt;&gt;"","Ready","Partial"))))</x:f>
      </x:c>
      <x:c r="R50" s="223"/>
    </x:row>
    <x:row r="51">
      <x:c r="A51" s="134"/>
      <x:c r="B51" s="134"/>
      <x:c r="C51" s="134"/>
      <x:c r="D51" s="215"/>
      <x:c r="E51" s="215"/>
      <x:c r="F51" s="215"/>
      <x:c r="G51" s="216"/>
      <x:c r="H51" s="221"/>
      <x:c r="I51" s="215"/>
      <x:c r="J51" s="215"/>
      <x:c r="K51" s="218" t="str">
        <x:f>IF(N51&lt;&gt;"","",IF(AND(G51&lt;&gt;"",H51&lt;&gt;"",J51&lt;&gt;""),ROUND(PPMT(H51,1,J51,-G51),0),""))</x:f>
      </x:c>
      <x:c r="L51" s="218" t="str">
        <x:f>IF(N51&lt;&gt;"","",IF(AND(G51&lt;&gt;"",H51&lt;&gt;""),ROUND(G51*H51,0),""))</x:f>
      </x:c>
      <x:c r="M51" s="218" t="str">
        <x:f>IF(N51&lt;&gt;"",N51,IF(AND(G51&lt;&gt;"",H51&lt;&gt;"",J51&lt;&gt;""),ROUND(PMT(H51,J51,-G51),0),""))</x:f>
      </x:c>
      <x:c r="N51" s="216"/>
      <x:c r="O51" s="215"/>
      <x:c r="P51" s="215"/>
      <x:c r="Q51" s="219" t="str">
        <x:f>IF(A51="","",IF(D51="No","Excluded",IF(AND(OR(F51="N/A",E51="No Debt / N/A"),G51=""),"No Debt / N/A",IF(M51&lt;&gt;"","Ready","Partial"))))</x:f>
      </x:c>
      <x:c r="R51" s="223"/>
    </x:row>
    <x:row r="52">
      <x:c r="A52" s="134"/>
      <x:c r="B52" s="134"/>
      <x:c r="C52" s="134"/>
      <x:c r="D52" s="215"/>
      <x:c r="E52" s="215"/>
      <x:c r="F52" s="215"/>
      <x:c r="G52" s="216"/>
      <x:c r="H52" s="221"/>
      <x:c r="I52" s="215"/>
      <x:c r="J52" s="215"/>
      <x:c r="K52" s="218" t="str">
        <x:f>IF(N52&lt;&gt;"","",IF(AND(G52&lt;&gt;"",H52&lt;&gt;"",J52&lt;&gt;""),ROUND(PPMT(H52,1,J52,-G52),0),""))</x:f>
      </x:c>
      <x:c r="L52" s="218" t="str">
        <x:f>IF(N52&lt;&gt;"","",IF(AND(G52&lt;&gt;"",H52&lt;&gt;""),ROUND(G52*H52,0),""))</x:f>
      </x:c>
      <x:c r="M52" s="218" t="str">
        <x:f>IF(N52&lt;&gt;"",N52,IF(AND(G52&lt;&gt;"",H52&lt;&gt;"",J52&lt;&gt;""),ROUND(PMT(H52,J52,-G52),0),""))</x:f>
      </x:c>
      <x:c r="N52" s="216"/>
      <x:c r="O52" s="215"/>
      <x:c r="P52" s="215"/>
      <x:c r="Q52" s="219" t="str">
        <x:f>IF(A52="","",IF(D52="No","Excluded",IF(AND(OR(F52="N/A",E52="No Debt / N/A"),G52=""),"No Debt / N/A",IF(M52&lt;&gt;"","Ready","Partial"))))</x:f>
      </x:c>
      <x:c r="R52" s="223"/>
    </x:row>
    <x:row r="53">
      <x:c r="A53" s="134"/>
      <x:c r="B53" s="134"/>
      <x:c r="C53" s="134"/>
      <x:c r="D53" s="215"/>
      <x:c r="E53" s="215"/>
      <x:c r="F53" s="215"/>
      <x:c r="G53" s="216"/>
      <x:c r="H53" s="221"/>
      <x:c r="I53" s="215"/>
      <x:c r="J53" s="215"/>
      <x:c r="K53" s="218" t="str">
        <x:f>IF(N53&lt;&gt;"","",IF(AND(G53&lt;&gt;"",H53&lt;&gt;"",J53&lt;&gt;""),ROUND(PPMT(H53,1,J53,-G53),0),""))</x:f>
      </x:c>
      <x:c r="L53" s="218" t="str">
        <x:f>IF(N53&lt;&gt;"","",IF(AND(G53&lt;&gt;"",H53&lt;&gt;""),ROUND(G53*H53,0),""))</x:f>
      </x:c>
      <x:c r="M53" s="218" t="str">
        <x:f>IF(N53&lt;&gt;"",N53,IF(AND(G53&lt;&gt;"",H53&lt;&gt;"",J53&lt;&gt;""),ROUND(PMT(H53,J53,-G53),0),""))</x:f>
      </x:c>
      <x:c r="N53" s="216"/>
      <x:c r="O53" s="215"/>
      <x:c r="P53" s="215"/>
      <x:c r="Q53" s="219" t="str">
        <x:f>IF(A53="","",IF(D53="No","Excluded",IF(AND(OR(F53="N/A",E53="No Debt / N/A"),G53=""),"No Debt / N/A",IF(M53&lt;&gt;"","Ready","Partial"))))</x:f>
      </x:c>
      <x:c r="R53" s="223"/>
    </x:row>
    <x:row r="54">
      <x:c r="A54" s="134"/>
      <x:c r="B54" s="134"/>
      <x:c r="C54" s="134"/>
      <x:c r="D54" s="215"/>
      <x:c r="E54" s="215"/>
      <x:c r="F54" s="215"/>
      <x:c r="G54" s="216"/>
      <x:c r="H54" s="221"/>
      <x:c r="I54" s="215"/>
      <x:c r="J54" s="215"/>
      <x:c r="K54" s="218" t="str">
        <x:f>IF(N54&lt;&gt;"","",IF(AND(G54&lt;&gt;"",H54&lt;&gt;"",J54&lt;&gt;""),ROUND(PPMT(H54,1,J54,-G54),0),""))</x:f>
      </x:c>
      <x:c r="L54" s="218" t="str">
        <x:f>IF(N54&lt;&gt;"","",IF(AND(G54&lt;&gt;"",H54&lt;&gt;""),ROUND(G54*H54,0),""))</x:f>
      </x:c>
      <x:c r="M54" s="218" t="str">
        <x:f>IF(N54&lt;&gt;"",N54,IF(AND(G54&lt;&gt;"",H54&lt;&gt;"",J54&lt;&gt;""),ROUND(PMT(H54,J54,-G54),0),""))</x:f>
      </x:c>
      <x:c r="N54" s="216"/>
      <x:c r="O54" s="215"/>
      <x:c r="P54" s="215"/>
      <x:c r="Q54" s="219" t="str">
        <x:f>IF(A54="","",IF(D54="No","Excluded",IF(AND(OR(F54="N/A",E54="No Debt / N/A"),G54=""),"No Debt / N/A",IF(M54&lt;&gt;"","Ready","Partial"))))</x:f>
      </x:c>
      <x:c r="R54" s="223"/>
    </x:row>
    <x:row r="55">
      <x:c r="A55" s="134"/>
      <x:c r="B55" s="134"/>
      <x:c r="C55" s="134"/>
      <x:c r="D55" s="215"/>
      <x:c r="E55" s="215"/>
      <x:c r="F55" s="215"/>
      <x:c r="G55" s="216"/>
      <x:c r="H55" s="221"/>
      <x:c r="I55" s="215"/>
      <x:c r="J55" s="215"/>
      <x:c r="K55" s="218" t="str">
        <x:f>IF(N55&lt;&gt;"","",IF(AND(G55&lt;&gt;"",H55&lt;&gt;"",J55&lt;&gt;""),ROUND(PPMT(H55,1,J55,-G55),0),""))</x:f>
      </x:c>
      <x:c r="L55" s="218" t="str">
        <x:f>IF(N55&lt;&gt;"","",IF(AND(G55&lt;&gt;"",H55&lt;&gt;""),ROUND(G55*H55,0),""))</x:f>
      </x:c>
      <x:c r="M55" s="218" t="str">
        <x:f>IF(N55&lt;&gt;"",N55,IF(AND(G55&lt;&gt;"",H55&lt;&gt;"",J55&lt;&gt;""),ROUND(PMT(H55,J55,-G55),0),""))</x:f>
      </x:c>
      <x:c r="N55" s="216"/>
      <x:c r="O55" s="215"/>
      <x:c r="P55" s="215"/>
      <x:c r="Q55" s="219" t="str">
        <x:f>IF(A55="","",IF(D55="No","Excluded",IF(AND(OR(F55="N/A",E55="No Debt / N/A"),G55=""),"No Debt / N/A",IF(M55&lt;&gt;"","Ready","Partial"))))</x:f>
      </x:c>
      <x:c r="R55" s="223"/>
    </x:row>
    <x:row r="56">
      <x:c r="A56" s="134"/>
      <x:c r="B56" s="134"/>
      <x:c r="C56" s="134"/>
      <x:c r="D56" s="215"/>
      <x:c r="E56" s="215"/>
      <x:c r="F56" s="215"/>
      <x:c r="G56" s="216"/>
      <x:c r="H56" s="221"/>
      <x:c r="I56" s="215"/>
      <x:c r="J56" s="215"/>
      <x:c r="K56" s="218" t="str">
        <x:f>IF(N56&lt;&gt;"","",IF(AND(G56&lt;&gt;"",H56&lt;&gt;"",J56&lt;&gt;""),ROUND(PPMT(H56,1,J56,-G56),0),""))</x:f>
      </x:c>
      <x:c r="L56" s="218" t="str">
        <x:f>IF(N56&lt;&gt;"","",IF(AND(G56&lt;&gt;"",H56&lt;&gt;""),ROUND(G56*H56,0),""))</x:f>
      </x:c>
      <x:c r="M56" s="218" t="str">
        <x:f>IF(N56&lt;&gt;"",N56,IF(AND(G56&lt;&gt;"",H56&lt;&gt;"",J56&lt;&gt;""),ROUND(PMT(H56,J56,-G56),0),""))</x:f>
      </x:c>
      <x:c r="N56" s="216"/>
      <x:c r="O56" s="215"/>
      <x:c r="P56" s="215"/>
      <x:c r="Q56" s="219" t="str">
        <x:f>IF(A56="","",IF(D56="No","Excluded",IF(AND(OR(F56="N/A",E56="No Debt / N/A"),G56=""),"No Debt / N/A",IF(M56&lt;&gt;"","Ready","Partial"))))</x:f>
      </x:c>
      <x:c r="R56" s="223"/>
    </x:row>
    <x:row r="57">
      <x:c r="A57" s="134"/>
      <x:c r="B57" s="134"/>
      <x:c r="C57" s="134"/>
      <x:c r="D57" s="215"/>
      <x:c r="E57" s="215"/>
      <x:c r="F57" s="215"/>
      <x:c r="G57" s="216"/>
      <x:c r="H57" s="221"/>
      <x:c r="I57" s="215"/>
      <x:c r="J57" s="215"/>
      <x:c r="K57" s="218" t="str">
        <x:f>IF(N57&lt;&gt;"","",IF(AND(G57&lt;&gt;"",H57&lt;&gt;"",J57&lt;&gt;""),ROUND(PPMT(H57,1,J57,-G57),0),""))</x:f>
      </x:c>
      <x:c r="L57" s="218" t="str">
        <x:f>IF(N57&lt;&gt;"","",IF(AND(G57&lt;&gt;"",H57&lt;&gt;""),ROUND(G57*H57,0),""))</x:f>
      </x:c>
      <x:c r="M57" s="218" t="str">
        <x:f>IF(N57&lt;&gt;"",N57,IF(AND(G57&lt;&gt;"",H57&lt;&gt;"",J57&lt;&gt;""),ROUND(PMT(H57,J57,-G57),0),""))</x:f>
      </x:c>
      <x:c r="N57" s="216"/>
      <x:c r="O57" s="215"/>
      <x:c r="P57" s="215"/>
      <x:c r="Q57" s="219" t="str">
        <x:f>IF(A57="","",IF(D57="No","Excluded",IF(AND(OR(F57="N/A",E57="No Debt / N/A"),G57=""),"No Debt / N/A",IF(M57&lt;&gt;"","Ready","Partial"))))</x:f>
      </x:c>
      <x:c r="R57" s="223"/>
    </x:row>
    <x:row r="58">
      <x:c r="A58" s="134"/>
      <x:c r="B58" s="134"/>
      <x:c r="C58" s="134"/>
      <x:c r="D58" s="215"/>
      <x:c r="E58" s="215"/>
      <x:c r="F58" s="215"/>
      <x:c r="G58" s="216"/>
      <x:c r="H58" s="221"/>
      <x:c r="I58" s="215"/>
      <x:c r="J58" s="215"/>
      <x:c r="K58" s="218" t="str">
        <x:f>IF(N58&lt;&gt;"","",IF(AND(G58&lt;&gt;"",H58&lt;&gt;"",J58&lt;&gt;""),ROUND(PPMT(H58,1,J58,-G58),0),""))</x:f>
      </x:c>
      <x:c r="L58" s="218" t="str">
        <x:f>IF(N58&lt;&gt;"","",IF(AND(G58&lt;&gt;"",H58&lt;&gt;""),ROUND(G58*H58,0),""))</x:f>
      </x:c>
      <x:c r="M58" s="218" t="str">
        <x:f>IF(N58&lt;&gt;"",N58,IF(AND(G58&lt;&gt;"",H58&lt;&gt;"",J58&lt;&gt;""),ROUND(PMT(H58,J58,-G58),0),""))</x:f>
      </x:c>
      <x:c r="N58" s="216"/>
      <x:c r="O58" s="215"/>
      <x:c r="P58" s="215"/>
      <x:c r="Q58" s="219" t="str">
        <x:f>IF(A58="","",IF(D58="No","Excluded",IF(AND(OR(F58="N/A",E58="No Debt / N/A"),G58=""),"No Debt / N/A",IF(M58&lt;&gt;"","Ready","Partial"))))</x:f>
      </x:c>
      <x:c r="R58" s="223"/>
    </x:row>
    <x:row r="59">
      <x:c r="A59" s="134"/>
      <x:c r="B59" s="134"/>
      <x:c r="C59" s="134"/>
      <x:c r="D59" s="215"/>
      <x:c r="E59" s="215"/>
      <x:c r="F59" s="215"/>
      <x:c r="G59" s="216"/>
      <x:c r="H59" s="221"/>
      <x:c r="I59" s="215"/>
      <x:c r="J59" s="215"/>
      <x:c r="K59" s="218" t="str">
        <x:f>IF(N59&lt;&gt;"","",IF(AND(G59&lt;&gt;"",H59&lt;&gt;"",J59&lt;&gt;""),ROUND(PPMT(H59,1,J59,-G59),0),""))</x:f>
      </x:c>
      <x:c r="L59" s="218" t="str">
        <x:f>IF(N59&lt;&gt;"","",IF(AND(G59&lt;&gt;"",H59&lt;&gt;""),ROUND(G59*H59,0),""))</x:f>
      </x:c>
      <x:c r="M59" s="218" t="str">
        <x:f>IF(N59&lt;&gt;"",N59,IF(AND(G59&lt;&gt;"",H59&lt;&gt;"",J59&lt;&gt;""),ROUND(PMT(H59,J59,-G59),0),""))</x:f>
      </x:c>
      <x:c r="N59" s="216"/>
      <x:c r="O59" s="215"/>
      <x:c r="P59" s="215"/>
      <x:c r="Q59" s="219" t="str">
        <x:f>IF(A59="","",IF(D59="No","Excluded",IF(AND(OR(F59="N/A",E59="No Debt / N/A"),G59=""),"No Debt / N/A",IF(M59&lt;&gt;"","Ready","Partial"))))</x:f>
      </x:c>
      <x:c r="R59" s="223"/>
    </x:row>
    <x:row r="60">
      <x:c r="A60" s="134"/>
      <x:c r="B60" s="134"/>
      <x:c r="C60" s="134"/>
      <x:c r="D60" s="215"/>
      <x:c r="E60" s="215"/>
      <x:c r="F60" s="215"/>
      <x:c r="G60" s="216"/>
      <x:c r="H60" s="221"/>
      <x:c r="I60" s="215"/>
      <x:c r="J60" s="215"/>
      <x:c r="K60" s="218" t="str">
        <x:f>IF(N60&lt;&gt;"","",IF(AND(G60&lt;&gt;"",H60&lt;&gt;"",J60&lt;&gt;""),ROUND(PPMT(H60,1,J60,-G60),0),""))</x:f>
      </x:c>
      <x:c r="L60" s="218" t="str">
        <x:f>IF(N60&lt;&gt;"","",IF(AND(G60&lt;&gt;"",H60&lt;&gt;""),ROUND(G60*H60,0),""))</x:f>
      </x:c>
      <x:c r="M60" s="218" t="str">
        <x:f>IF(N60&lt;&gt;"",N60,IF(AND(G60&lt;&gt;"",H60&lt;&gt;"",J60&lt;&gt;""),ROUND(PMT(H60,J60,-G60),0),""))</x:f>
      </x:c>
      <x:c r="N60" s="216"/>
      <x:c r="O60" s="215"/>
      <x:c r="P60" s="215"/>
      <x:c r="Q60" s="219" t="str">
        <x:f>IF(A60="","",IF(D60="No","Excluded",IF(AND(OR(F60="N/A",E60="No Debt / N/A"),G60=""),"No Debt / N/A",IF(M60&lt;&gt;"","Ready","Partial"))))</x:f>
      </x:c>
      <x:c r="R60" s="223"/>
    </x:row>
    <x:row r="61">
      <x:c r="A61" s="134"/>
      <x:c r="B61" s="134"/>
      <x:c r="C61" s="134"/>
      <x:c r="D61" s="215"/>
      <x:c r="E61" s="215"/>
      <x:c r="F61" s="215"/>
      <x:c r="G61" s="216"/>
      <x:c r="H61" s="221"/>
      <x:c r="I61" s="215"/>
      <x:c r="J61" s="215"/>
      <x:c r="K61" s="218" t="str">
        <x:f>IF(N61&lt;&gt;"","",IF(AND(G61&lt;&gt;"",H61&lt;&gt;"",J61&lt;&gt;""),ROUND(PPMT(H61,1,J61,-G61),0),""))</x:f>
      </x:c>
      <x:c r="L61" s="218" t="str">
        <x:f>IF(N61&lt;&gt;"","",IF(AND(G61&lt;&gt;"",H61&lt;&gt;""),ROUND(G61*H61,0),""))</x:f>
      </x:c>
      <x:c r="M61" s="218" t="str">
        <x:f>IF(N61&lt;&gt;"",N61,IF(AND(G61&lt;&gt;"",H61&lt;&gt;"",J61&lt;&gt;""),ROUND(PMT(H61,J61,-G61),0),""))</x:f>
      </x:c>
      <x:c r="N61" s="216"/>
      <x:c r="O61" s="215"/>
      <x:c r="P61" s="215"/>
      <x:c r="Q61" s="219" t="str">
        <x:f>IF(A61="","",IF(D61="No","Excluded",IF(AND(OR(F61="N/A",E61="No Debt / N/A"),G61=""),"No Debt / N/A",IF(M61&lt;&gt;"","Ready","Partial"))))</x:f>
      </x:c>
      <x:c r="R61" s="223"/>
    </x:row>
    <x:row r="62">
      <x:c r="A62" s="134"/>
      <x:c r="B62" s="134"/>
      <x:c r="C62" s="134"/>
      <x:c r="D62" s="215"/>
      <x:c r="E62" s="215"/>
      <x:c r="F62" s="215"/>
      <x:c r="G62" s="216"/>
      <x:c r="H62" s="221"/>
      <x:c r="I62" s="215"/>
      <x:c r="J62" s="215"/>
      <x:c r="K62" s="218" t="str">
        <x:f>IF(N62&lt;&gt;"","",IF(AND(G62&lt;&gt;"",H62&lt;&gt;"",J62&lt;&gt;""),ROUND(PPMT(H62,1,J62,-G62),0),""))</x:f>
      </x:c>
      <x:c r="L62" s="218" t="str">
        <x:f>IF(N62&lt;&gt;"","",IF(AND(G62&lt;&gt;"",H62&lt;&gt;""),ROUND(G62*H62,0),""))</x:f>
      </x:c>
      <x:c r="M62" s="218" t="str">
        <x:f>IF(N62&lt;&gt;"",N62,IF(AND(G62&lt;&gt;"",H62&lt;&gt;"",J62&lt;&gt;""),ROUND(PMT(H62,J62,-G62),0),""))</x:f>
      </x:c>
      <x:c r="N62" s="216"/>
      <x:c r="O62" s="215"/>
      <x:c r="P62" s="215"/>
      <x:c r="Q62" s="219" t="str">
        <x:f>IF(A62="","",IF(D62="No","Excluded",IF(AND(OR(F62="N/A",E62="No Debt / N/A"),G62=""),"No Debt / N/A",IF(M62&lt;&gt;"","Ready","Partial"))))</x:f>
      </x:c>
      <x:c r="R62" s="223"/>
    </x:row>
    <x:row r="63">
      <x:c r="A63" s="134"/>
      <x:c r="B63" s="134"/>
      <x:c r="C63" s="134"/>
      <x:c r="D63" s="215"/>
      <x:c r="E63" s="215"/>
      <x:c r="F63" s="215"/>
      <x:c r="G63" s="216"/>
      <x:c r="H63" s="221"/>
      <x:c r="I63" s="215"/>
      <x:c r="J63" s="215"/>
      <x:c r="K63" s="218" t="str">
        <x:f>IF(N63&lt;&gt;"","",IF(AND(G63&lt;&gt;"",H63&lt;&gt;"",J63&lt;&gt;""),ROUND(PPMT(H63,1,J63,-G63),0),""))</x:f>
      </x:c>
      <x:c r="L63" s="218" t="str">
        <x:f>IF(N63&lt;&gt;"","",IF(AND(G63&lt;&gt;"",H63&lt;&gt;""),ROUND(G63*H63,0),""))</x:f>
      </x:c>
      <x:c r="M63" s="218" t="str">
        <x:f>IF(N63&lt;&gt;"",N63,IF(AND(G63&lt;&gt;"",H63&lt;&gt;"",J63&lt;&gt;""),ROUND(PMT(H63,J63,-G63),0),""))</x:f>
      </x:c>
      <x:c r="N63" s="216"/>
      <x:c r="O63" s="215"/>
      <x:c r="P63" s="215"/>
      <x:c r="Q63" s="219" t="str">
        <x:f>IF(A63="","",IF(D63="No","Excluded",IF(AND(OR(F63="N/A",E63="No Debt / N/A"),G63=""),"No Debt / N/A",IF(M63&lt;&gt;"","Ready","Partial"))))</x:f>
      </x:c>
      <x:c r="R63" s="223"/>
    </x:row>
    <x:row r="64">
      <x:c r="A64" s="134"/>
      <x:c r="B64" s="134"/>
      <x:c r="C64" s="134"/>
      <x:c r="D64" s="215"/>
      <x:c r="E64" s="215"/>
      <x:c r="F64" s="215"/>
      <x:c r="G64" s="216"/>
      <x:c r="H64" s="221"/>
      <x:c r="I64" s="215"/>
      <x:c r="J64" s="215"/>
      <x:c r="K64" s="218" t="str">
        <x:f>IF(N64&lt;&gt;"","",IF(AND(G64&lt;&gt;"",H64&lt;&gt;"",J64&lt;&gt;""),ROUND(PPMT(H64,1,J64,-G64),0),""))</x:f>
      </x:c>
      <x:c r="L64" s="218" t="str">
        <x:f>IF(N64&lt;&gt;"","",IF(AND(G64&lt;&gt;"",H64&lt;&gt;""),ROUND(G64*H64,0),""))</x:f>
      </x:c>
      <x:c r="M64" s="218" t="str">
        <x:f>IF(N64&lt;&gt;"",N64,IF(AND(G64&lt;&gt;"",H64&lt;&gt;"",J64&lt;&gt;""),ROUND(PMT(H64,J64,-G64),0),""))</x:f>
      </x:c>
      <x:c r="N64" s="216"/>
      <x:c r="O64" s="215"/>
      <x:c r="P64" s="215"/>
      <x:c r="Q64" s="219" t="str">
        <x:f>IF(A64="","",IF(D64="No","Excluded",IF(AND(OR(F64="N/A",E64="No Debt / N/A"),G64=""),"No Debt / N/A",IF(M64&lt;&gt;"","Ready","Partial"))))</x:f>
      </x:c>
      <x:c r="R64" s="223"/>
    </x:row>
    <x:row r="65">
      <x:c r="A65" s="134"/>
      <x:c r="B65" s="134"/>
      <x:c r="C65" s="134"/>
      <x:c r="D65" s="215"/>
      <x:c r="E65" s="215"/>
      <x:c r="F65" s="215"/>
      <x:c r="G65" s="216"/>
      <x:c r="H65" s="221"/>
      <x:c r="I65" s="215"/>
      <x:c r="J65" s="215"/>
      <x:c r="K65" s="218" t="str">
        <x:f>IF(N65&lt;&gt;"","",IF(AND(G65&lt;&gt;"",H65&lt;&gt;"",J65&lt;&gt;""),ROUND(PPMT(H65,1,J65,-G65),0),""))</x:f>
      </x:c>
      <x:c r="L65" s="218" t="str">
        <x:f>IF(N65&lt;&gt;"","",IF(AND(G65&lt;&gt;"",H65&lt;&gt;""),ROUND(G65*H65,0),""))</x:f>
      </x:c>
      <x:c r="M65" s="218" t="str">
        <x:f>IF(N65&lt;&gt;"",N65,IF(AND(G65&lt;&gt;"",H65&lt;&gt;"",J65&lt;&gt;""),ROUND(PMT(H65,J65,-G65),0),""))</x:f>
      </x:c>
      <x:c r="N65" s="216"/>
      <x:c r="O65" s="215"/>
      <x:c r="P65" s="215"/>
      <x:c r="Q65" s="219" t="str">
        <x:f>IF(A65="","",IF(D65="No","Excluded",IF(AND(OR(F65="N/A",E65="No Debt / N/A"),G65=""),"No Debt / N/A",IF(M65&lt;&gt;"","Ready","Partial"))))</x:f>
      </x:c>
      <x:c r="R65" s="223"/>
    </x:row>
    <x:row r="66">
      <x:c r="A66" s="134"/>
      <x:c r="B66" s="134"/>
      <x:c r="C66" s="134"/>
      <x:c r="D66" s="215"/>
      <x:c r="E66" s="215"/>
      <x:c r="F66" s="215"/>
      <x:c r="G66" s="216"/>
      <x:c r="H66" s="221"/>
      <x:c r="I66" s="215"/>
      <x:c r="J66" s="215"/>
      <x:c r="K66" s="218" t="str">
        <x:f>IF(N66&lt;&gt;"","",IF(AND(G66&lt;&gt;"",H66&lt;&gt;"",J66&lt;&gt;""),ROUND(PPMT(H66,1,J66,-G66),0),""))</x:f>
      </x:c>
      <x:c r="L66" s="218" t="str">
        <x:f>IF(N66&lt;&gt;"","",IF(AND(G66&lt;&gt;"",H66&lt;&gt;""),ROUND(G66*H66,0),""))</x:f>
      </x:c>
      <x:c r="M66" s="218" t="str">
        <x:f>IF(N66&lt;&gt;"",N66,IF(AND(G66&lt;&gt;"",H66&lt;&gt;"",J66&lt;&gt;""),ROUND(PMT(H66,J66,-G66),0),""))</x:f>
      </x:c>
      <x:c r="N66" s="216"/>
      <x:c r="O66" s="215"/>
      <x:c r="P66" s="215"/>
      <x:c r="Q66" s="219" t="str">
        <x:f>IF(A66="","",IF(D66="No","Excluded",IF(AND(OR(F66="N/A",E66="No Debt / N/A"),G66=""),"No Debt / N/A",IF(M66&lt;&gt;"","Ready","Partial"))))</x:f>
      </x:c>
      <x:c r="R66" s="223"/>
    </x:row>
    <x:row r="67">
      <x:c r="A67" s="134"/>
      <x:c r="B67" s="134"/>
      <x:c r="C67" s="134"/>
      <x:c r="D67" s="215"/>
      <x:c r="E67" s="215"/>
      <x:c r="F67" s="215"/>
      <x:c r="G67" s="216"/>
      <x:c r="H67" s="221"/>
      <x:c r="I67" s="215"/>
      <x:c r="J67" s="215"/>
      <x:c r="K67" s="218" t="str">
        <x:f>IF(N67&lt;&gt;"","",IF(AND(G67&lt;&gt;"",H67&lt;&gt;"",J67&lt;&gt;""),ROUND(PPMT(H67,1,J67,-G67),0),""))</x:f>
      </x:c>
      <x:c r="L67" s="218" t="str">
        <x:f>IF(N67&lt;&gt;"","",IF(AND(G67&lt;&gt;"",H67&lt;&gt;""),ROUND(G67*H67,0),""))</x:f>
      </x:c>
      <x:c r="M67" s="218" t="str">
        <x:f>IF(N67&lt;&gt;"",N67,IF(AND(G67&lt;&gt;"",H67&lt;&gt;"",J67&lt;&gt;""),ROUND(PMT(H67,J67,-G67),0),""))</x:f>
      </x:c>
      <x:c r="N67" s="216"/>
      <x:c r="O67" s="215"/>
      <x:c r="P67" s="215"/>
      <x:c r="Q67" s="219" t="str">
        <x:f>IF(A67="","",IF(D67="No","Excluded",IF(AND(OR(F67="N/A",E67="No Debt / N/A"),G67=""),"No Debt / N/A",IF(M67&lt;&gt;"","Ready","Partial"))))</x:f>
      </x:c>
      <x:c r="R67" s="223"/>
    </x:row>
    <x:row r="68">
      <x:c r="A68" s="134"/>
      <x:c r="B68" s="134"/>
      <x:c r="C68" s="134"/>
      <x:c r="D68" s="215"/>
      <x:c r="E68" s="215"/>
      <x:c r="F68" s="215"/>
      <x:c r="G68" s="216"/>
      <x:c r="H68" s="221"/>
      <x:c r="I68" s="215"/>
      <x:c r="J68" s="215"/>
      <x:c r="K68" s="218" t="str">
        <x:f>IF(N68&lt;&gt;"","",IF(AND(G68&lt;&gt;"",H68&lt;&gt;"",J68&lt;&gt;""),ROUND(PPMT(H68,1,J68,-G68),0),""))</x:f>
      </x:c>
      <x:c r="L68" s="218" t="str">
        <x:f>IF(N68&lt;&gt;"","",IF(AND(G68&lt;&gt;"",H68&lt;&gt;""),ROUND(G68*H68,0),""))</x:f>
      </x:c>
      <x:c r="M68" s="218" t="str">
        <x:f>IF(N68&lt;&gt;"",N68,IF(AND(G68&lt;&gt;"",H68&lt;&gt;"",J68&lt;&gt;""),ROUND(PMT(H68,J68,-G68),0),""))</x:f>
      </x:c>
      <x:c r="N68" s="216"/>
      <x:c r="O68" s="215"/>
      <x:c r="P68" s="215"/>
      <x:c r="Q68" s="219" t="str">
        <x:f>IF(A68="","",IF(D68="No","Excluded",IF(AND(OR(F68="N/A",E68="No Debt / N/A"),G68=""),"No Debt / N/A",IF(M68&lt;&gt;"","Ready","Partial"))))</x:f>
      </x:c>
      <x:c r="R68" s="223"/>
    </x:row>
    <x:row r="69">
      <x:c r="A69" s="134"/>
      <x:c r="B69" s="134"/>
      <x:c r="C69" s="134"/>
      <x:c r="D69" s="215"/>
      <x:c r="E69" s="215"/>
      <x:c r="F69" s="215"/>
      <x:c r="G69" s="216"/>
      <x:c r="H69" s="221"/>
      <x:c r="I69" s="215"/>
      <x:c r="J69" s="215"/>
      <x:c r="K69" s="218" t="str">
        <x:f>IF(N69&lt;&gt;"","",IF(AND(G69&lt;&gt;"",H69&lt;&gt;"",J69&lt;&gt;""),ROUND(PPMT(H69,1,J69,-G69),0),""))</x:f>
      </x:c>
      <x:c r="L69" s="218" t="str">
        <x:f>IF(N69&lt;&gt;"","",IF(AND(G69&lt;&gt;"",H69&lt;&gt;""),ROUND(G69*H69,0),""))</x:f>
      </x:c>
      <x:c r="M69" s="218" t="str">
        <x:f>IF(N69&lt;&gt;"",N69,IF(AND(G69&lt;&gt;"",H69&lt;&gt;"",J69&lt;&gt;""),ROUND(PMT(H69,J69,-G69),0),""))</x:f>
      </x:c>
      <x:c r="N69" s="216"/>
      <x:c r="O69" s="215"/>
      <x:c r="P69" s="215"/>
      <x:c r="Q69" s="219" t="str">
        <x:f>IF(A69="","",IF(D69="No","Excluded",IF(AND(OR(F69="N/A",E69="No Debt / N/A"),G69=""),"No Debt / N/A",IF(M69&lt;&gt;"","Ready","Partial"))))</x:f>
      </x:c>
      <x:c r="R69" s="223"/>
    </x:row>
    <x:row r="70">
      <x:c r="A70" s="134"/>
      <x:c r="B70" s="134"/>
      <x:c r="C70" s="134"/>
      <x:c r="D70" s="215"/>
      <x:c r="E70" s="215"/>
      <x:c r="F70" s="215"/>
      <x:c r="G70" s="216"/>
      <x:c r="H70" s="221"/>
      <x:c r="I70" s="215"/>
      <x:c r="J70" s="215"/>
      <x:c r="K70" s="218" t="str">
        <x:f>IF(N70&lt;&gt;"","",IF(AND(G70&lt;&gt;"",H70&lt;&gt;"",J70&lt;&gt;""),ROUND(PPMT(H70,1,J70,-G70),0),""))</x:f>
      </x:c>
      <x:c r="L70" s="218" t="str">
        <x:f>IF(N70&lt;&gt;"","",IF(AND(G70&lt;&gt;"",H70&lt;&gt;""),ROUND(G70*H70,0),""))</x:f>
      </x:c>
      <x:c r="M70" s="218" t="str">
        <x:f>IF(N70&lt;&gt;"",N70,IF(AND(G70&lt;&gt;"",H70&lt;&gt;"",J70&lt;&gt;""),ROUND(PMT(H70,J70,-G70),0),""))</x:f>
      </x:c>
      <x:c r="N70" s="216"/>
      <x:c r="O70" s="215"/>
      <x:c r="P70" s="215"/>
      <x:c r="Q70" s="219" t="str">
        <x:f>IF(A70="","",IF(D70="No","Excluded",IF(AND(OR(F70="N/A",E70="No Debt / N/A"),G70=""),"No Debt / N/A",IF(M70&lt;&gt;"","Ready","Partial"))))</x:f>
      </x:c>
      <x:c r="R70" s="223"/>
    </x:row>
    <x:row r="71">
      <x:c r="A71" s="134"/>
      <x:c r="B71" s="134"/>
      <x:c r="C71" s="134"/>
      <x:c r="D71" s="215"/>
      <x:c r="E71" s="215"/>
      <x:c r="F71" s="215"/>
      <x:c r="G71" s="216"/>
      <x:c r="H71" s="221"/>
      <x:c r="I71" s="215"/>
      <x:c r="J71" s="215"/>
      <x:c r="K71" s="218" t="str">
        <x:f>IF(N71&lt;&gt;"","",IF(AND(G71&lt;&gt;"",H71&lt;&gt;"",J71&lt;&gt;""),ROUND(PPMT(H71,1,J71,-G71),0),""))</x:f>
      </x:c>
      <x:c r="L71" s="218" t="str">
        <x:f>IF(N71&lt;&gt;"","",IF(AND(G71&lt;&gt;"",H71&lt;&gt;""),ROUND(G71*H71,0),""))</x:f>
      </x:c>
      <x:c r="M71" s="218" t="str">
        <x:f>IF(N71&lt;&gt;"",N71,IF(AND(G71&lt;&gt;"",H71&lt;&gt;"",J71&lt;&gt;""),ROUND(PMT(H71,J71,-G71),0),""))</x:f>
      </x:c>
      <x:c r="N71" s="216"/>
      <x:c r="O71" s="215"/>
      <x:c r="P71" s="215"/>
      <x:c r="Q71" s="219" t="str">
        <x:f>IF(A71="","",IF(D71="No","Excluded",IF(AND(OR(F71="N/A",E71="No Debt / N/A"),G71=""),"No Debt / N/A",IF(M71&lt;&gt;"","Ready","Partial"))))</x:f>
      </x:c>
      <x:c r="R71" s="223"/>
    </x:row>
    <x:row r="72">
      <x:c r="A72" s="134"/>
      <x:c r="B72" s="134"/>
      <x:c r="C72" s="134"/>
      <x:c r="D72" s="215"/>
      <x:c r="E72" s="215"/>
      <x:c r="F72" s="215"/>
      <x:c r="G72" s="216"/>
      <x:c r="H72" s="221"/>
      <x:c r="I72" s="215"/>
      <x:c r="J72" s="215"/>
      <x:c r="K72" s="218" t="str">
        <x:f>IF(N72&lt;&gt;"","",IF(AND(G72&lt;&gt;"",H72&lt;&gt;"",J72&lt;&gt;""),ROUND(PPMT(H72,1,J72,-G72),0),""))</x:f>
      </x:c>
      <x:c r="L72" s="218" t="str">
        <x:f>IF(N72&lt;&gt;"","",IF(AND(G72&lt;&gt;"",H72&lt;&gt;""),ROUND(G72*H72,0),""))</x:f>
      </x:c>
      <x:c r="M72" s="218" t="str">
        <x:f>IF(N72&lt;&gt;"",N72,IF(AND(G72&lt;&gt;"",H72&lt;&gt;"",J72&lt;&gt;""),ROUND(PMT(H72,J72,-G72),0),""))</x:f>
      </x:c>
      <x:c r="N72" s="216"/>
      <x:c r="O72" s="215"/>
      <x:c r="P72" s="215"/>
      <x:c r="Q72" s="219" t="str">
        <x:f>IF(A72="","",IF(D72="No","Excluded",IF(AND(OR(F72="N/A",E72="No Debt / N/A"),G72=""),"No Debt / N/A",IF(M72&lt;&gt;"","Ready","Partial"))))</x:f>
      </x:c>
      <x:c r="R72" s="223"/>
    </x:row>
    <x:row r="73">
      <x:c r="A73" s="134"/>
      <x:c r="B73" s="134"/>
      <x:c r="C73" s="134"/>
      <x:c r="D73" s="215"/>
      <x:c r="E73" s="215"/>
      <x:c r="F73" s="215"/>
      <x:c r="G73" s="216"/>
      <x:c r="H73" s="221"/>
      <x:c r="I73" s="215"/>
      <x:c r="J73" s="215"/>
      <x:c r="K73" s="218" t="str">
        <x:f>IF(N73&lt;&gt;"","",IF(AND(G73&lt;&gt;"",H73&lt;&gt;"",J73&lt;&gt;""),ROUND(PPMT(H73,1,J73,-G73),0),""))</x:f>
      </x:c>
      <x:c r="L73" s="218" t="str">
        <x:f>IF(N73&lt;&gt;"","",IF(AND(G73&lt;&gt;"",H73&lt;&gt;""),ROUND(G73*H73,0),""))</x:f>
      </x:c>
      <x:c r="M73" s="218" t="str">
        <x:f>IF(N73&lt;&gt;"",N73,IF(AND(G73&lt;&gt;"",H73&lt;&gt;"",J73&lt;&gt;""),ROUND(PMT(H73,J73,-G73),0),""))</x:f>
      </x:c>
      <x:c r="N73" s="216"/>
      <x:c r="O73" s="215"/>
      <x:c r="P73" s="215"/>
      <x:c r="Q73" s="219" t="str">
        <x:f>IF(A73="","",IF(D73="No","Excluded",IF(AND(OR(F73="N/A",E73="No Debt / N/A"),G73=""),"No Debt / N/A",IF(M73&lt;&gt;"","Ready","Partial"))))</x:f>
      </x:c>
      <x:c r="R73" s="223"/>
    </x:row>
    <x:row r="74">
      <x:c r="A74" s="134"/>
      <x:c r="B74" s="134"/>
      <x:c r="C74" s="134"/>
      <x:c r="D74" s="215"/>
      <x:c r="E74" s="215"/>
      <x:c r="F74" s="215"/>
      <x:c r="G74" s="216"/>
      <x:c r="H74" s="221"/>
      <x:c r="I74" s="215"/>
      <x:c r="J74" s="215"/>
      <x:c r="K74" s="218" t="str">
        <x:f>IF(N74&lt;&gt;"","",IF(AND(G74&lt;&gt;"",H74&lt;&gt;"",J74&lt;&gt;""),ROUND(PPMT(H74,1,J74,-G74),0),""))</x:f>
      </x:c>
      <x:c r="L74" s="218" t="str">
        <x:f>IF(N74&lt;&gt;"","",IF(AND(G74&lt;&gt;"",H74&lt;&gt;""),ROUND(G74*H74,0),""))</x:f>
      </x:c>
      <x:c r="M74" s="218" t="str">
        <x:f>IF(N74&lt;&gt;"",N74,IF(AND(G74&lt;&gt;"",H74&lt;&gt;"",J74&lt;&gt;""),ROUND(PMT(H74,J74,-G74),0),""))</x:f>
      </x:c>
      <x:c r="N74" s="216"/>
      <x:c r="O74" s="215"/>
      <x:c r="P74" s="215"/>
      <x:c r="Q74" s="219" t="str">
        <x:f>IF(A74="","",IF(D74="No","Excluded",IF(AND(OR(F74="N/A",E74="No Debt / N/A"),G74=""),"No Debt / N/A",IF(M74&lt;&gt;"","Ready","Partial"))))</x:f>
      </x:c>
      <x:c r="R74" s="223"/>
    </x:row>
    <x:row r="75">
      <x:c r="A75" s="134"/>
      <x:c r="B75" s="134"/>
      <x:c r="C75" s="134"/>
      <x:c r="D75" s="215"/>
      <x:c r="E75" s="215"/>
      <x:c r="F75" s="215"/>
      <x:c r="G75" s="216"/>
      <x:c r="H75" s="221"/>
      <x:c r="I75" s="215"/>
      <x:c r="J75" s="215"/>
      <x:c r="K75" s="218" t="str">
        <x:f>IF(N75&lt;&gt;"","",IF(AND(G75&lt;&gt;"",H75&lt;&gt;"",J75&lt;&gt;""),ROUND(PPMT(H75,1,J75,-G75),0),""))</x:f>
      </x:c>
      <x:c r="L75" s="218" t="str">
        <x:f>IF(N75&lt;&gt;"","",IF(AND(G75&lt;&gt;"",H75&lt;&gt;""),ROUND(G75*H75,0),""))</x:f>
      </x:c>
      <x:c r="M75" s="218" t="str">
        <x:f>IF(N75&lt;&gt;"",N75,IF(AND(G75&lt;&gt;"",H75&lt;&gt;"",J75&lt;&gt;""),ROUND(PMT(H75,J75,-G75),0),""))</x:f>
      </x:c>
      <x:c r="N75" s="216"/>
      <x:c r="O75" s="215"/>
      <x:c r="P75" s="215"/>
      <x:c r="Q75" s="219" t="str">
        <x:f>IF(A75="","",IF(D75="No","Excluded",IF(AND(OR(F75="N/A",E75="No Debt / N/A"),G75=""),"No Debt / N/A",IF(M75&lt;&gt;"","Ready","Partial"))))</x:f>
      </x:c>
      <x:c r="R75" s="223"/>
    </x:row>
    <x:row r="76">
      <x:c r="A76" s="134"/>
      <x:c r="B76" s="134"/>
      <x:c r="C76" s="134"/>
      <x:c r="D76" s="215"/>
      <x:c r="E76" s="215"/>
      <x:c r="F76" s="215"/>
      <x:c r="G76" s="216"/>
      <x:c r="H76" s="221"/>
      <x:c r="I76" s="215"/>
      <x:c r="J76" s="215"/>
      <x:c r="K76" s="218" t="str">
        <x:f>IF(N76&lt;&gt;"","",IF(AND(G76&lt;&gt;"",H76&lt;&gt;"",J76&lt;&gt;""),ROUND(PPMT(H76,1,J76,-G76),0),""))</x:f>
      </x:c>
      <x:c r="L76" s="218" t="str">
        <x:f>IF(N76&lt;&gt;"","",IF(AND(G76&lt;&gt;"",H76&lt;&gt;""),ROUND(G76*H76,0),""))</x:f>
      </x:c>
      <x:c r="M76" s="218" t="str">
        <x:f>IF(N76&lt;&gt;"",N76,IF(AND(G76&lt;&gt;"",H76&lt;&gt;"",J76&lt;&gt;""),ROUND(PMT(H76,J76,-G76),0),""))</x:f>
      </x:c>
      <x:c r="N76" s="216"/>
      <x:c r="O76" s="215"/>
      <x:c r="P76" s="215"/>
      <x:c r="Q76" s="219" t="str">
        <x:f>IF(A76="","",IF(D76="No","Excluded",IF(AND(OR(F76="N/A",E76="No Debt / N/A"),G76=""),"No Debt / N/A",IF(M76&lt;&gt;"","Ready","Partial"))))</x:f>
      </x:c>
      <x:c r="R76" s="223"/>
    </x:row>
    <x:row r="77">
      <x:c r="A77" s="134"/>
      <x:c r="B77" s="134"/>
      <x:c r="C77" s="134"/>
      <x:c r="D77" s="215"/>
      <x:c r="E77" s="215"/>
      <x:c r="F77" s="215"/>
      <x:c r="G77" s="216"/>
      <x:c r="H77" s="221"/>
      <x:c r="I77" s="215"/>
      <x:c r="J77" s="215"/>
      <x:c r="K77" s="218" t="str">
        <x:f>IF(N77&lt;&gt;"","",IF(AND(G77&lt;&gt;"",H77&lt;&gt;"",J77&lt;&gt;""),ROUND(PPMT(H77,1,J77,-G77),0),""))</x:f>
      </x:c>
      <x:c r="L77" s="218" t="str">
        <x:f>IF(N77&lt;&gt;"","",IF(AND(G77&lt;&gt;"",H77&lt;&gt;""),ROUND(G77*H77,0),""))</x:f>
      </x:c>
      <x:c r="M77" s="218" t="str">
        <x:f>IF(N77&lt;&gt;"",N77,IF(AND(G77&lt;&gt;"",H77&lt;&gt;"",J77&lt;&gt;""),ROUND(PMT(H77,J77,-G77),0),""))</x:f>
      </x:c>
      <x:c r="N77" s="216"/>
      <x:c r="O77" s="215"/>
      <x:c r="P77" s="215"/>
      <x:c r="Q77" s="219" t="str">
        <x:f>IF(A77="","",IF(D77="No","Excluded",IF(AND(OR(F77="N/A",E77="No Debt / N/A"),G77=""),"No Debt / N/A",IF(M77&lt;&gt;"","Ready","Partial"))))</x:f>
      </x:c>
      <x:c r="R77" s="223"/>
    </x:row>
    <x:row r="78">
      <x:c r="A78" s="134"/>
      <x:c r="B78" s="134"/>
      <x:c r="C78" s="134"/>
      <x:c r="D78" s="215"/>
      <x:c r="E78" s="215"/>
      <x:c r="F78" s="215"/>
      <x:c r="G78" s="216"/>
      <x:c r="H78" s="221"/>
      <x:c r="I78" s="215"/>
      <x:c r="J78" s="215"/>
      <x:c r="K78" s="218" t="str">
        <x:f>IF(N78&lt;&gt;"","",IF(AND(G78&lt;&gt;"",H78&lt;&gt;"",J78&lt;&gt;""),ROUND(PPMT(H78,1,J78,-G78),0),""))</x:f>
      </x:c>
      <x:c r="L78" s="218" t="str">
        <x:f>IF(N78&lt;&gt;"","",IF(AND(G78&lt;&gt;"",H78&lt;&gt;""),ROUND(G78*H78,0),""))</x:f>
      </x:c>
      <x:c r="M78" s="218" t="str">
        <x:f>IF(N78&lt;&gt;"",N78,IF(AND(G78&lt;&gt;"",H78&lt;&gt;"",J78&lt;&gt;""),ROUND(PMT(H78,J78,-G78),0),""))</x:f>
      </x:c>
      <x:c r="N78" s="216"/>
      <x:c r="O78" s="215"/>
      <x:c r="P78" s="215"/>
      <x:c r="Q78" s="219" t="str">
        <x:f>IF(A78="","",IF(D78="No","Excluded",IF(AND(OR(F78="N/A",E78="No Debt / N/A"),G78=""),"No Debt / N/A",IF(M78&lt;&gt;"","Ready","Partial"))))</x:f>
      </x:c>
      <x:c r="R78" s="223"/>
    </x:row>
    <x:row r="79">
      <x:c r="A79" s="134"/>
      <x:c r="B79" s="134"/>
      <x:c r="C79" s="134"/>
      <x:c r="D79" s="215"/>
      <x:c r="E79" s="215"/>
      <x:c r="F79" s="215"/>
      <x:c r="G79" s="216"/>
      <x:c r="H79" s="221"/>
      <x:c r="I79" s="215"/>
      <x:c r="J79" s="215"/>
      <x:c r="K79" s="218" t="str">
        <x:f>IF(N79&lt;&gt;"","",IF(AND(G79&lt;&gt;"",H79&lt;&gt;"",J79&lt;&gt;""),ROUND(PPMT(H79,1,J79,-G79),0),""))</x:f>
      </x:c>
      <x:c r="L79" s="218" t="str">
        <x:f>IF(N79&lt;&gt;"","",IF(AND(G79&lt;&gt;"",H79&lt;&gt;""),ROUND(G79*H79,0),""))</x:f>
      </x:c>
      <x:c r="M79" s="218" t="str">
        <x:f>IF(N79&lt;&gt;"",N79,IF(AND(G79&lt;&gt;"",H79&lt;&gt;"",J79&lt;&gt;""),ROUND(PMT(H79,J79,-G79),0),""))</x:f>
      </x:c>
      <x:c r="N79" s="216"/>
      <x:c r="O79" s="215"/>
      <x:c r="P79" s="215"/>
      <x:c r="Q79" s="219" t="str">
        <x:f>IF(A79="","",IF(D79="No","Excluded",IF(AND(OR(F79="N/A",E79="No Debt / N/A"),G79=""),"No Debt / N/A",IF(M79&lt;&gt;"","Ready","Partial"))))</x:f>
      </x:c>
      <x:c r="R79" s="223"/>
    </x:row>
    <x:row r="80">
      <x:c r="A80" s="134"/>
      <x:c r="B80" s="134"/>
      <x:c r="C80" s="134"/>
      <x:c r="D80" s="215"/>
      <x:c r="E80" s="215"/>
      <x:c r="F80" s="215"/>
      <x:c r="G80" s="216"/>
      <x:c r="H80" s="221"/>
      <x:c r="I80" s="215"/>
      <x:c r="J80" s="215"/>
      <x:c r="K80" s="218" t="str">
        <x:f>IF(N80&lt;&gt;"","",IF(AND(G80&lt;&gt;"",H80&lt;&gt;"",J80&lt;&gt;""),ROUND(PPMT(H80,1,J80,-G80),0),""))</x:f>
      </x:c>
      <x:c r="L80" s="218" t="str">
        <x:f>IF(N80&lt;&gt;"","",IF(AND(G80&lt;&gt;"",H80&lt;&gt;""),ROUND(G80*H80,0),""))</x:f>
      </x:c>
      <x:c r="M80" s="218" t="str">
        <x:f>IF(N80&lt;&gt;"",N80,IF(AND(G80&lt;&gt;"",H80&lt;&gt;"",J80&lt;&gt;""),ROUND(PMT(H80,J80,-G80),0),""))</x:f>
      </x:c>
      <x:c r="N80" s="216"/>
      <x:c r="O80" s="215"/>
      <x:c r="P80" s="215"/>
      <x:c r="Q80" s="219" t="str">
        <x:f>IF(A80="","",IF(D80="No","Excluded",IF(AND(OR(F80="N/A",E80="No Debt / N/A"),G80=""),"No Debt / N/A",IF(M80&lt;&gt;"","Ready","Partial"))))</x:f>
      </x:c>
      <x:c r="R80" s="223"/>
    </x:row>
    <x:row r="81">
      <x:c r="A81" s="134"/>
      <x:c r="B81" s="134"/>
      <x:c r="C81" s="134"/>
      <x:c r="D81" s="215"/>
      <x:c r="E81" s="215"/>
      <x:c r="F81" s="215"/>
      <x:c r="G81" s="216"/>
      <x:c r="H81" s="221"/>
      <x:c r="I81" s="215"/>
      <x:c r="J81" s="215"/>
      <x:c r="K81" s="218" t="str">
        <x:f>IF(N81&lt;&gt;"","",IF(AND(G81&lt;&gt;"",H81&lt;&gt;"",J81&lt;&gt;""),ROUND(PPMT(H81,1,J81,-G81),0),""))</x:f>
      </x:c>
      <x:c r="L81" s="218" t="str">
        <x:f>IF(N81&lt;&gt;"","",IF(AND(G81&lt;&gt;"",H81&lt;&gt;""),ROUND(G81*H81,0),""))</x:f>
      </x:c>
      <x:c r="M81" s="218" t="str">
        <x:f>IF(N81&lt;&gt;"",N81,IF(AND(G81&lt;&gt;"",H81&lt;&gt;"",J81&lt;&gt;""),ROUND(PMT(H81,J81,-G81),0),""))</x:f>
      </x:c>
      <x:c r="N81" s="216"/>
      <x:c r="O81" s="215"/>
      <x:c r="P81" s="215"/>
      <x:c r="Q81" s="219" t="str">
        <x:f>IF(A81="","",IF(D81="No","Excluded",IF(AND(OR(F81="N/A",E81="No Debt / N/A"),G81=""),"No Debt / N/A",IF(M81&lt;&gt;"","Ready","Partial"))))</x:f>
      </x:c>
      <x:c r="R81" s="223"/>
    </x:row>
    <x:row r="82">
      <x:c r="A82" s="134"/>
      <x:c r="B82" s="134"/>
      <x:c r="C82" s="134"/>
      <x:c r="D82" s="215"/>
      <x:c r="E82" s="215"/>
      <x:c r="F82" s="215"/>
      <x:c r="G82" s="216"/>
      <x:c r="H82" s="221"/>
      <x:c r="I82" s="215"/>
      <x:c r="J82" s="215"/>
      <x:c r="K82" s="218" t="str">
        <x:f>IF(N82&lt;&gt;"","",IF(AND(G82&lt;&gt;"",H82&lt;&gt;"",J82&lt;&gt;""),ROUND(PPMT(H82,1,J82,-G82),0),""))</x:f>
      </x:c>
      <x:c r="L82" s="218" t="str">
        <x:f>IF(N82&lt;&gt;"","",IF(AND(G82&lt;&gt;"",H82&lt;&gt;""),ROUND(G82*H82,0),""))</x:f>
      </x:c>
      <x:c r="M82" s="218" t="str">
        <x:f>IF(N82&lt;&gt;"",N82,IF(AND(G82&lt;&gt;"",H82&lt;&gt;"",J82&lt;&gt;""),ROUND(PMT(H82,J82,-G82),0),""))</x:f>
      </x:c>
      <x:c r="N82" s="216"/>
      <x:c r="O82" s="215"/>
      <x:c r="P82" s="215"/>
      <x:c r="Q82" s="219" t="str">
        <x:f>IF(A82="","",IF(D82="No","Excluded",IF(AND(OR(F82="N/A",E82="No Debt / N/A"),G82=""),"No Debt / N/A",IF(M82&lt;&gt;"","Ready","Partial"))))</x:f>
      </x:c>
      <x:c r="R82" s="223"/>
    </x:row>
    <x:row r="83">
      <x:c r="A83" s="134"/>
      <x:c r="B83" s="134"/>
      <x:c r="C83" s="134"/>
      <x:c r="D83" s="215"/>
      <x:c r="E83" s="215"/>
      <x:c r="F83" s="215"/>
      <x:c r="G83" s="216"/>
      <x:c r="H83" s="221"/>
      <x:c r="I83" s="215"/>
      <x:c r="J83" s="215"/>
      <x:c r="K83" s="218" t="str">
        <x:f>IF(N83&lt;&gt;"","",IF(AND(G83&lt;&gt;"",H83&lt;&gt;"",J83&lt;&gt;""),ROUND(PPMT(H83,1,J83,-G83),0),""))</x:f>
      </x:c>
      <x:c r="L83" s="218" t="str">
        <x:f>IF(N83&lt;&gt;"","",IF(AND(G83&lt;&gt;"",H83&lt;&gt;""),ROUND(G83*H83,0),""))</x:f>
      </x:c>
      <x:c r="M83" s="218" t="str">
        <x:f>IF(N83&lt;&gt;"",N83,IF(AND(G83&lt;&gt;"",H83&lt;&gt;"",J83&lt;&gt;""),ROUND(PMT(H83,J83,-G83),0),""))</x:f>
      </x:c>
      <x:c r="N83" s="216"/>
      <x:c r="O83" s="215"/>
      <x:c r="P83" s="215"/>
      <x:c r="Q83" s="219" t="str">
        <x:f>IF(A83="","",IF(D83="No","Excluded",IF(AND(OR(F83="N/A",E83="No Debt / N/A"),G83=""),"No Debt / N/A",IF(M83&lt;&gt;"","Ready","Partial"))))</x:f>
      </x:c>
      <x:c r="R83" s="223"/>
    </x:row>
    <x:row r="84">
      <x:c r="A84" s="134"/>
      <x:c r="B84" s="134"/>
      <x:c r="C84" s="134"/>
      <x:c r="D84" s="215"/>
      <x:c r="E84" s="215"/>
      <x:c r="F84" s="215"/>
      <x:c r="G84" s="216"/>
      <x:c r="H84" s="221"/>
      <x:c r="I84" s="215"/>
      <x:c r="J84" s="215"/>
      <x:c r="K84" s="218" t="str">
        <x:f>IF(N84&lt;&gt;"","",IF(AND(G84&lt;&gt;"",H84&lt;&gt;"",J84&lt;&gt;""),ROUND(PPMT(H84,1,J84,-G84),0),""))</x:f>
      </x:c>
      <x:c r="L84" s="218" t="str">
        <x:f>IF(N84&lt;&gt;"","",IF(AND(G84&lt;&gt;"",H84&lt;&gt;""),ROUND(G84*H84,0),""))</x:f>
      </x:c>
      <x:c r="M84" s="218" t="str">
        <x:f>IF(N84&lt;&gt;"",N84,IF(AND(G84&lt;&gt;"",H84&lt;&gt;"",J84&lt;&gt;""),ROUND(PMT(H84,J84,-G84),0),""))</x:f>
      </x:c>
      <x:c r="N84" s="216"/>
      <x:c r="O84" s="215"/>
      <x:c r="P84" s="215"/>
      <x:c r="Q84" s="219" t="str">
        <x:f>IF(A84="","",IF(D84="No","Excluded",IF(AND(OR(F84="N/A",E84="No Debt / N/A"),G84=""),"No Debt / N/A",IF(M84&lt;&gt;"","Ready","Partial"))))</x:f>
      </x:c>
      <x:c r="R84" s="223"/>
    </x:row>
    <x:row r="85">
      <x:c r="A85" s="134"/>
      <x:c r="B85" s="134"/>
      <x:c r="C85" s="134"/>
      <x:c r="D85" s="215"/>
      <x:c r="E85" s="215"/>
      <x:c r="F85" s="215"/>
      <x:c r="G85" s="216"/>
      <x:c r="H85" s="221"/>
      <x:c r="I85" s="215"/>
      <x:c r="J85" s="215"/>
      <x:c r="K85" s="218" t="str">
        <x:f>IF(N85&lt;&gt;"","",IF(AND(G85&lt;&gt;"",H85&lt;&gt;"",J85&lt;&gt;""),ROUND(PPMT(H85,1,J85,-G85),0),""))</x:f>
      </x:c>
      <x:c r="L85" s="218" t="str">
        <x:f>IF(N85&lt;&gt;"","",IF(AND(G85&lt;&gt;"",H85&lt;&gt;""),ROUND(G85*H85,0),""))</x:f>
      </x:c>
      <x:c r="M85" s="218" t="str">
        <x:f>IF(N85&lt;&gt;"",N85,IF(AND(G85&lt;&gt;"",H85&lt;&gt;"",J85&lt;&gt;""),ROUND(PMT(H85,J85,-G85),0),""))</x:f>
      </x:c>
      <x:c r="N85" s="216"/>
      <x:c r="O85" s="215"/>
      <x:c r="P85" s="215"/>
      <x:c r="Q85" s="219" t="str">
        <x:f>IF(A85="","",IF(D85="No","Excluded",IF(AND(OR(F85="N/A",E85="No Debt / N/A"),G85=""),"No Debt / N/A",IF(M85&lt;&gt;"","Ready","Partial"))))</x:f>
      </x:c>
      <x:c r="R85" s="223"/>
    </x:row>
    <x:row r="86">
      <x:c r="A86" s="134"/>
      <x:c r="B86" s="134"/>
      <x:c r="C86" s="134"/>
      <x:c r="D86" s="215"/>
      <x:c r="E86" s="215"/>
      <x:c r="F86" s="215"/>
      <x:c r="G86" s="216"/>
      <x:c r="H86" s="221"/>
      <x:c r="I86" s="215"/>
      <x:c r="J86" s="215"/>
      <x:c r="K86" s="218" t="str">
        <x:f>IF(N86&lt;&gt;"","",IF(AND(G86&lt;&gt;"",H86&lt;&gt;"",J86&lt;&gt;""),ROUND(PPMT(H86,1,J86,-G86),0),""))</x:f>
      </x:c>
      <x:c r="L86" s="218" t="str">
        <x:f>IF(N86&lt;&gt;"","",IF(AND(G86&lt;&gt;"",H86&lt;&gt;""),ROUND(G86*H86,0),""))</x:f>
      </x:c>
      <x:c r="M86" s="218" t="str">
        <x:f>IF(N86&lt;&gt;"",N86,IF(AND(G86&lt;&gt;"",H86&lt;&gt;"",J86&lt;&gt;""),ROUND(PMT(H86,J86,-G86),0),""))</x:f>
      </x:c>
      <x:c r="N86" s="216"/>
      <x:c r="O86" s="215"/>
      <x:c r="P86" s="215"/>
      <x:c r="Q86" s="219" t="str">
        <x:f>IF(A86="","",IF(D86="No","Excluded",IF(AND(OR(F86="N/A",E86="No Debt / N/A"),G86=""),"No Debt / N/A",IF(M86&lt;&gt;"","Ready","Partial"))))</x:f>
      </x:c>
      <x:c r="R86" s="223"/>
    </x:row>
    <x:row r="87">
      <x:c r="A87" s="134"/>
      <x:c r="B87" s="134"/>
      <x:c r="C87" s="134"/>
      <x:c r="D87" s="215"/>
      <x:c r="E87" s="215"/>
      <x:c r="F87" s="215"/>
      <x:c r="G87" s="216"/>
      <x:c r="H87" s="221"/>
      <x:c r="I87" s="215"/>
      <x:c r="J87" s="215"/>
      <x:c r="K87" s="218" t="str">
        <x:f>IF(N87&lt;&gt;"","",IF(AND(G87&lt;&gt;"",H87&lt;&gt;"",J87&lt;&gt;""),ROUND(PPMT(H87,1,J87,-G87),0),""))</x:f>
      </x:c>
      <x:c r="L87" s="218" t="str">
        <x:f>IF(N87&lt;&gt;"","",IF(AND(G87&lt;&gt;"",H87&lt;&gt;""),ROUND(G87*H87,0),""))</x:f>
      </x:c>
      <x:c r="M87" s="218" t="str">
        <x:f>IF(N87&lt;&gt;"",N87,IF(AND(G87&lt;&gt;"",H87&lt;&gt;"",J87&lt;&gt;""),ROUND(PMT(H87,J87,-G87),0),""))</x:f>
      </x:c>
      <x:c r="N87" s="216"/>
      <x:c r="O87" s="215"/>
      <x:c r="P87" s="215"/>
      <x:c r="Q87" s="219" t="str">
        <x:f>IF(A87="","",IF(D87="No","Excluded",IF(AND(OR(F87="N/A",E87="No Debt / N/A"),G87=""),"No Debt / N/A",IF(M87&lt;&gt;"","Ready","Partial"))))</x:f>
      </x:c>
      <x:c r="R87" s="223"/>
    </x:row>
    <x:row r="88">
      <x:c r="A88" s="134"/>
      <x:c r="B88" s="134"/>
      <x:c r="C88" s="134"/>
      <x:c r="D88" s="215"/>
      <x:c r="E88" s="215"/>
      <x:c r="F88" s="215"/>
      <x:c r="G88" s="216"/>
      <x:c r="H88" s="221"/>
      <x:c r="I88" s="215"/>
      <x:c r="J88" s="215"/>
      <x:c r="K88" s="218" t="str">
        <x:f>IF(N88&lt;&gt;"","",IF(AND(G88&lt;&gt;"",H88&lt;&gt;"",J88&lt;&gt;""),ROUND(PPMT(H88,1,J88,-G88),0),""))</x:f>
      </x:c>
      <x:c r="L88" s="218" t="str">
        <x:f>IF(N88&lt;&gt;"","",IF(AND(G88&lt;&gt;"",H88&lt;&gt;""),ROUND(G88*H88,0),""))</x:f>
      </x:c>
      <x:c r="M88" s="218" t="str">
        <x:f>IF(N88&lt;&gt;"",N88,IF(AND(G88&lt;&gt;"",H88&lt;&gt;"",J88&lt;&gt;""),ROUND(PMT(H88,J88,-G88),0),""))</x:f>
      </x:c>
      <x:c r="N88" s="216"/>
      <x:c r="O88" s="215"/>
      <x:c r="P88" s="215"/>
      <x:c r="Q88" s="219" t="str">
        <x:f>IF(A88="","",IF(D88="No","Excluded",IF(AND(OR(F88="N/A",E88="No Debt / N/A"),G88=""),"No Debt / N/A",IF(M88&lt;&gt;"","Ready","Partial"))))</x:f>
      </x:c>
      <x:c r="R88" s="223"/>
    </x:row>
    <x:row r="89">
      <x:c r="A89" s="134"/>
      <x:c r="B89" s="134"/>
      <x:c r="C89" s="134"/>
      <x:c r="D89" s="215"/>
      <x:c r="E89" s="215"/>
      <x:c r="F89" s="215"/>
      <x:c r="G89" s="216"/>
      <x:c r="H89" s="221"/>
      <x:c r="I89" s="215"/>
      <x:c r="J89" s="215"/>
      <x:c r="K89" s="218" t="str">
        <x:f>IF(N89&lt;&gt;"","",IF(AND(G89&lt;&gt;"",H89&lt;&gt;"",J89&lt;&gt;""),ROUND(PPMT(H89,1,J89,-G89),0),""))</x:f>
      </x:c>
      <x:c r="L89" s="218" t="str">
        <x:f>IF(N89&lt;&gt;"","",IF(AND(G89&lt;&gt;"",H89&lt;&gt;""),ROUND(G89*H89,0),""))</x:f>
      </x:c>
      <x:c r="M89" s="218" t="str">
        <x:f>IF(N89&lt;&gt;"",N89,IF(AND(G89&lt;&gt;"",H89&lt;&gt;"",J89&lt;&gt;""),ROUND(PMT(H89,J89,-G89),0),""))</x:f>
      </x:c>
      <x:c r="N89" s="216"/>
      <x:c r="O89" s="215"/>
      <x:c r="P89" s="215"/>
      <x:c r="Q89" s="219" t="str">
        <x:f>IF(A89="","",IF(D89="No","Excluded",IF(AND(OR(F89="N/A",E89="No Debt / N/A"),G89=""),"No Debt / N/A",IF(M89&lt;&gt;"","Ready","Partial"))))</x:f>
      </x:c>
      <x:c r="R89" s="223"/>
    </x:row>
    <x:row r="90">
      <x:c r="A90" s="134"/>
      <x:c r="B90" s="134"/>
      <x:c r="C90" s="134"/>
      <x:c r="D90" s="215"/>
      <x:c r="E90" s="215"/>
      <x:c r="F90" s="215"/>
      <x:c r="G90" s="216"/>
      <x:c r="H90" s="221"/>
      <x:c r="I90" s="215"/>
      <x:c r="J90" s="215"/>
      <x:c r="K90" s="218" t="str">
        <x:f>IF(N90&lt;&gt;"","",IF(AND(G90&lt;&gt;"",H90&lt;&gt;"",J90&lt;&gt;""),ROUND(PPMT(H90,1,J90,-G90),0),""))</x:f>
      </x:c>
      <x:c r="L90" s="218" t="str">
        <x:f>IF(N90&lt;&gt;"","",IF(AND(G90&lt;&gt;"",H90&lt;&gt;""),ROUND(G90*H90,0),""))</x:f>
      </x:c>
      <x:c r="M90" s="218" t="str">
        <x:f>IF(N90&lt;&gt;"",N90,IF(AND(G90&lt;&gt;"",H90&lt;&gt;"",J90&lt;&gt;""),ROUND(PMT(H90,J90,-G90),0),""))</x:f>
      </x:c>
      <x:c r="N90" s="216"/>
      <x:c r="O90" s="215"/>
      <x:c r="P90" s="215"/>
      <x:c r="Q90" s="219" t="str">
        <x:f>IF(A90="","",IF(D90="No","Excluded",IF(AND(OR(F90="N/A",E90="No Debt / N/A"),G90=""),"No Debt / N/A",IF(M90&lt;&gt;"","Ready","Partial"))))</x:f>
      </x:c>
      <x:c r="R90" s="223"/>
    </x:row>
    <x:row r="91">
      <x:c r="A91" s="134"/>
      <x:c r="B91" s="134"/>
      <x:c r="C91" s="134"/>
      <x:c r="D91" s="215"/>
      <x:c r="E91" s="215"/>
      <x:c r="F91" s="215"/>
      <x:c r="G91" s="216"/>
      <x:c r="H91" s="221"/>
      <x:c r="I91" s="215"/>
      <x:c r="J91" s="215"/>
      <x:c r="K91" s="218" t="str">
        <x:f>IF(N91&lt;&gt;"","",IF(AND(G91&lt;&gt;"",H91&lt;&gt;"",J91&lt;&gt;""),ROUND(PPMT(H91,1,J91,-G91),0),""))</x:f>
      </x:c>
      <x:c r="L91" s="218" t="str">
        <x:f>IF(N91&lt;&gt;"","",IF(AND(G91&lt;&gt;"",H91&lt;&gt;""),ROUND(G91*H91,0),""))</x:f>
      </x:c>
      <x:c r="M91" s="218" t="str">
        <x:f>IF(N91&lt;&gt;"",N91,IF(AND(G91&lt;&gt;"",H91&lt;&gt;"",J91&lt;&gt;""),ROUND(PMT(H91,J91,-G91),0),""))</x:f>
      </x:c>
      <x:c r="N91" s="216"/>
      <x:c r="O91" s="215"/>
      <x:c r="P91" s="215"/>
      <x:c r="Q91" s="219" t="str">
        <x:f>IF(A91="","",IF(D91="No","Excluded",IF(AND(OR(F91="N/A",E91="No Debt / N/A"),G91=""),"No Debt / N/A",IF(M91&lt;&gt;"","Ready","Partial"))))</x:f>
      </x:c>
      <x:c r="R91" s="223"/>
    </x:row>
    <x:row r="92">
      <x:c r="A92" s="134"/>
      <x:c r="B92" s="134"/>
      <x:c r="C92" s="134"/>
      <x:c r="D92" s="215"/>
      <x:c r="E92" s="215"/>
      <x:c r="F92" s="215"/>
      <x:c r="G92" s="216"/>
      <x:c r="H92" s="221"/>
      <x:c r="I92" s="215"/>
      <x:c r="J92" s="215"/>
      <x:c r="K92" s="218" t="str">
        <x:f>IF(N92&lt;&gt;"","",IF(AND(G92&lt;&gt;"",H92&lt;&gt;"",J92&lt;&gt;""),ROUND(PPMT(H92,1,J92,-G92),0),""))</x:f>
      </x:c>
      <x:c r="L92" s="218" t="str">
        <x:f>IF(N92&lt;&gt;"","",IF(AND(G92&lt;&gt;"",H92&lt;&gt;""),ROUND(G92*H92,0),""))</x:f>
      </x:c>
      <x:c r="M92" s="218" t="str">
        <x:f>IF(N92&lt;&gt;"",N92,IF(AND(G92&lt;&gt;"",H92&lt;&gt;"",J92&lt;&gt;""),ROUND(PMT(H92,J92,-G92),0),""))</x:f>
      </x:c>
      <x:c r="N92" s="216"/>
      <x:c r="O92" s="215"/>
      <x:c r="P92" s="215"/>
      <x:c r="Q92" s="219" t="str">
        <x:f>IF(A92="","",IF(D92="No","Excluded",IF(AND(OR(F92="N/A",E92="No Debt / N/A"),G92=""),"No Debt / N/A",IF(M92&lt;&gt;"","Ready","Partial"))))</x:f>
      </x:c>
      <x:c r="R92" s="223"/>
    </x:row>
    <x:row r="93">
      <x:c r="A93" s="134"/>
      <x:c r="B93" s="134"/>
      <x:c r="C93" s="134"/>
      <x:c r="D93" s="215"/>
      <x:c r="E93" s="215"/>
      <x:c r="F93" s="215"/>
      <x:c r="G93" s="216"/>
      <x:c r="H93" s="221"/>
      <x:c r="I93" s="215"/>
      <x:c r="J93" s="215"/>
      <x:c r="K93" s="218" t="str">
        <x:f>IF(N93&lt;&gt;"","",IF(AND(G93&lt;&gt;"",H93&lt;&gt;"",J93&lt;&gt;""),ROUND(PPMT(H93,1,J93,-G93),0),""))</x:f>
      </x:c>
      <x:c r="L93" s="218" t="str">
        <x:f>IF(N93&lt;&gt;"","",IF(AND(G93&lt;&gt;"",H93&lt;&gt;""),ROUND(G93*H93,0),""))</x:f>
      </x:c>
      <x:c r="M93" s="218" t="str">
        <x:f>IF(N93&lt;&gt;"",N93,IF(AND(G93&lt;&gt;"",H93&lt;&gt;"",J93&lt;&gt;""),ROUND(PMT(H93,J93,-G93),0),""))</x:f>
      </x:c>
      <x:c r="N93" s="216"/>
      <x:c r="O93" s="215"/>
      <x:c r="P93" s="215"/>
      <x:c r="Q93" s="219" t="str">
        <x:f>IF(A93="","",IF(D93="No","Excluded",IF(AND(OR(F93="N/A",E93="No Debt / N/A"),G93=""),"No Debt / N/A",IF(M93&lt;&gt;"","Ready","Partial"))))</x:f>
      </x:c>
      <x:c r="R93" s="223"/>
    </x:row>
    <x:row r="94">
      <x:c r="A94" s="134"/>
      <x:c r="B94" s="134"/>
      <x:c r="C94" s="134"/>
      <x:c r="D94" s="215"/>
      <x:c r="E94" s="215"/>
      <x:c r="F94" s="215"/>
      <x:c r="G94" s="216"/>
      <x:c r="H94" s="221"/>
      <x:c r="I94" s="215"/>
      <x:c r="J94" s="215"/>
      <x:c r="K94" s="218" t="str">
        <x:f>IF(N94&lt;&gt;"","",IF(AND(G94&lt;&gt;"",H94&lt;&gt;"",J94&lt;&gt;""),ROUND(PPMT(H94,1,J94,-G94),0),""))</x:f>
      </x:c>
      <x:c r="L94" s="218" t="str">
        <x:f>IF(N94&lt;&gt;"","",IF(AND(G94&lt;&gt;"",H94&lt;&gt;""),ROUND(G94*H94,0),""))</x:f>
      </x:c>
      <x:c r="M94" s="218" t="str">
        <x:f>IF(N94&lt;&gt;"",N94,IF(AND(G94&lt;&gt;"",H94&lt;&gt;"",J94&lt;&gt;""),ROUND(PMT(H94,J94,-G94),0),""))</x:f>
      </x:c>
      <x:c r="N94" s="216"/>
      <x:c r="O94" s="215"/>
      <x:c r="P94" s="215"/>
      <x:c r="Q94" s="219" t="str">
        <x:f>IF(A94="","",IF(D94="No","Excluded",IF(AND(OR(F94="N/A",E94="No Debt / N/A"),G94=""),"No Debt / N/A",IF(M94&lt;&gt;"","Ready","Partial"))))</x:f>
      </x:c>
      <x:c r="R94" s="223"/>
    </x:row>
    <x:row r="95">
      <x:c r="A95" s="134"/>
      <x:c r="B95" s="134"/>
      <x:c r="C95" s="134"/>
      <x:c r="D95" s="215"/>
      <x:c r="E95" s="215"/>
      <x:c r="F95" s="215"/>
      <x:c r="G95" s="216"/>
      <x:c r="H95" s="221"/>
      <x:c r="I95" s="215"/>
      <x:c r="J95" s="215"/>
      <x:c r="K95" s="218" t="str">
        <x:f>IF(N95&lt;&gt;"","",IF(AND(G95&lt;&gt;"",H95&lt;&gt;"",J95&lt;&gt;""),ROUND(PPMT(H95,1,J95,-G95),0),""))</x:f>
      </x:c>
      <x:c r="L95" s="218" t="str">
        <x:f>IF(N95&lt;&gt;"","",IF(AND(G95&lt;&gt;"",H95&lt;&gt;""),ROUND(G95*H95,0),""))</x:f>
      </x:c>
      <x:c r="M95" s="218" t="str">
        <x:f>IF(N95&lt;&gt;"",N95,IF(AND(G95&lt;&gt;"",H95&lt;&gt;"",J95&lt;&gt;""),ROUND(PMT(H95,J95,-G95),0),""))</x:f>
      </x:c>
      <x:c r="N95" s="216"/>
      <x:c r="O95" s="215"/>
      <x:c r="P95" s="215"/>
      <x:c r="Q95" s="219" t="str">
        <x:f>IF(A95="","",IF(D95="No","Excluded",IF(AND(OR(F95="N/A",E95="No Debt / N/A"),G95=""),"No Debt / N/A",IF(M95&lt;&gt;"","Ready","Partial"))))</x:f>
      </x:c>
      <x:c r="R95" s="223"/>
    </x:row>
    <x:row r="96">
      <x:c r="A96" s="134"/>
      <x:c r="B96" s="134"/>
      <x:c r="C96" s="134"/>
      <x:c r="D96" s="215"/>
      <x:c r="E96" s="215"/>
      <x:c r="F96" s="215"/>
      <x:c r="G96" s="216"/>
      <x:c r="H96" s="221"/>
      <x:c r="I96" s="215"/>
      <x:c r="J96" s="215"/>
      <x:c r="K96" s="218" t="str">
        <x:f>IF(N96&lt;&gt;"","",IF(AND(G96&lt;&gt;"",H96&lt;&gt;"",J96&lt;&gt;""),ROUND(PPMT(H96,1,J96,-G96),0),""))</x:f>
      </x:c>
      <x:c r="L96" s="218" t="str">
        <x:f>IF(N96&lt;&gt;"","",IF(AND(G96&lt;&gt;"",H96&lt;&gt;""),ROUND(G96*H96,0),""))</x:f>
      </x:c>
      <x:c r="M96" s="218" t="str">
        <x:f>IF(N96&lt;&gt;"",N96,IF(AND(G96&lt;&gt;"",H96&lt;&gt;"",J96&lt;&gt;""),ROUND(PMT(H96,J96,-G96),0),""))</x:f>
      </x:c>
      <x:c r="N96" s="216"/>
      <x:c r="O96" s="215"/>
      <x:c r="P96" s="215"/>
      <x:c r="Q96" s="219" t="str">
        <x:f>IF(A96="","",IF(D96="No","Excluded",IF(AND(OR(F96="N/A",E96="No Debt / N/A"),G96=""),"No Debt / N/A",IF(M96&lt;&gt;"","Ready","Partial"))))</x:f>
      </x:c>
      <x:c r="R96" s="223"/>
    </x:row>
    <x:row r="97">
      <x:c r="A97" s="134"/>
      <x:c r="B97" s="134"/>
      <x:c r="C97" s="134"/>
      <x:c r="D97" s="215"/>
      <x:c r="E97" s="215"/>
      <x:c r="F97" s="215"/>
      <x:c r="G97" s="216"/>
      <x:c r="H97" s="221"/>
      <x:c r="I97" s="215"/>
      <x:c r="J97" s="215"/>
      <x:c r="K97" s="218" t="str">
        <x:f>IF(N97&lt;&gt;"","",IF(AND(G97&lt;&gt;"",H97&lt;&gt;"",J97&lt;&gt;""),ROUND(PPMT(H97,1,J97,-G97),0),""))</x:f>
      </x:c>
      <x:c r="L97" s="218" t="str">
        <x:f>IF(N97&lt;&gt;"","",IF(AND(G97&lt;&gt;"",H97&lt;&gt;""),ROUND(G97*H97,0),""))</x:f>
      </x:c>
      <x:c r="M97" s="218" t="str">
        <x:f>IF(N97&lt;&gt;"",N97,IF(AND(G97&lt;&gt;"",H97&lt;&gt;"",J97&lt;&gt;""),ROUND(PMT(H97,J97,-G97),0),""))</x:f>
      </x:c>
      <x:c r="N97" s="216"/>
      <x:c r="O97" s="215"/>
      <x:c r="P97" s="215"/>
      <x:c r="Q97" s="219" t="str">
        <x:f>IF(A97="","",IF(D97="No","Excluded",IF(AND(OR(F97="N/A",E97="No Debt / N/A"),G97=""),"No Debt / N/A",IF(M97&lt;&gt;"","Ready","Partial"))))</x:f>
      </x:c>
      <x:c r="R97" s="223"/>
    </x:row>
    <x:row r="98">
      <x:c r="A98" s="134"/>
      <x:c r="B98" s="134"/>
      <x:c r="C98" s="134"/>
      <x:c r="D98" s="215"/>
      <x:c r="E98" s="215"/>
      <x:c r="F98" s="215"/>
      <x:c r="G98" s="216"/>
      <x:c r="H98" s="221"/>
      <x:c r="I98" s="215"/>
      <x:c r="J98" s="215"/>
      <x:c r="K98" s="218" t="str">
        <x:f>IF(N98&lt;&gt;"","",IF(AND(G98&lt;&gt;"",H98&lt;&gt;"",J98&lt;&gt;""),ROUND(PPMT(H98,1,J98,-G98),0),""))</x:f>
      </x:c>
      <x:c r="L98" s="218" t="str">
        <x:f>IF(N98&lt;&gt;"","",IF(AND(G98&lt;&gt;"",H98&lt;&gt;""),ROUND(G98*H98,0),""))</x:f>
      </x:c>
      <x:c r="M98" s="218" t="str">
        <x:f>IF(N98&lt;&gt;"",N98,IF(AND(G98&lt;&gt;"",H98&lt;&gt;"",J98&lt;&gt;""),ROUND(PMT(H98,J98,-G98),0),""))</x:f>
      </x:c>
      <x:c r="N98" s="216"/>
      <x:c r="O98" s="215"/>
      <x:c r="P98" s="215"/>
      <x:c r="Q98" s="219" t="str">
        <x:f>IF(A98="","",IF(D98="No","Excluded",IF(AND(OR(F98="N/A",E98="No Debt / N/A"),G98=""),"No Debt / N/A",IF(M98&lt;&gt;"","Ready","Partial"))))</x:f>
      </x:c>
      <x:c r="R98" s="223"/>
    </x:row>
    <x:row r="99">
      <x:c r="A99" s="134"/>
      <x:c r="B99" s="134"/>
      <x:c r="C99" s="134"/>
      <x:c r="D99" s="215"/>
      <x:c r="E99" s="215"/>
      <x:c r="F99" s="215"/>
      <x:c r="G99" s="216"/>
      <x:c r="H99" s="221"/>
      <x:c r="I99" s="215"/>
      <x:c r="J99" s="215"/>
      <x:c r="K99" s="218" t="str">
        <x:f>IF(N99&lt;&gt;"","",IF(AND(G99&lt;&gt;"",H99&lt;&gt;"",J99&lt;&gt;""),ROUND(PPMT(H99,1,J99,-G99),0),""))</x:f>
      </x:c>
      <x:c r="L99" s="218" t="str">
        <x:f>IF(N99&lt;&gt;"","",IF(AND(G99&lt;&gt;"",H99&lt;&gt;""),ROUND(G99*H99,0),""))</x:f>
      </x:c>
      <x:c r="M99" s="218" t="str">
        <x:f>IF(N99&lt;&gt;"",N99,IF(AND(G99&lt;&gt;"",H99&lt;&gt;"",J99&lt;&gt;""),ROUND(PMT(H99,J99,-G99),0),""))</x:f>
      </x:c>
      <x:c r="N99" s="216"/>
      <x:c r="O99" s="215"/>
      <x:c r="P99" s="215"/>
      <x:c r="Q99" s="219" t="str">
        <x:f>IF(A99="","",IF(D99="No","Excluded",IF(AND(OR(F99="N/A",E99="No Debt / N/A"),G99=""),"No Debt / N/A",IF(M99&lt;&gt;"","Ready","Partial"))))</x:f>
      </x:c>
      <x:c r="R99" s="223"/>
    </x:row>
    <x:row r="100">
      <x:c r="A100" s="134"/>
      <x:c r="B100" s="134"/>
      <x:c r="C100" s="134"/>
      <x:c r="D100" s="215"/>
      <x:c r="E100" s="215"/>
      <x:c r="F100" s="215"/>
      <x:c r="G100" s="216"/>
      <x:c r="H100" s="221"/>
      <x:c r="I100" s="215"/>
      <x:c r="J100" s="215"/>
      <x:c r="K100" s="218" t="str">
        <x:f>IF(N100&lt;&gt;"","",IF(AND(G100&lt;&gt;"",H100&lt;&gt;"",J100&lt;&gt;""),ROUND(PPMT(H100,1,J100,-G100),0),""))</x:f>
      </x:c>
      <x:c r="L100" s="218" t="str">
        <x:f>IF(N100&lt;&gt;"","",IF(AND(G100&lt;&gt;"",H100&lt;&gt;""),ROUND(G100*H100,0),""))</x:f>
      </x:c>
      <x:c r="M100" s="218" t="str">
        <x:f>IF(N100&lt;&gt;"",N100,IF(AND(G100&lt;&gt;"",H100&lt;&gt;"",J100&lt;&gt;""),ROUND(PMT(H100,J100,-G100),0),""))</x:f>
      </x:c>
      <x:c r="N100" s="216"/>
      <x:c r="O100" s="215"/>
      <x:c r="P100" s="215"/>
      <x:c r="Q100" s="219" t="str">
        <x:f>IF(A100="","",IF(D100="No","Excluded",IF(AND(OR(F100="N/A",E100="No Debt / N/A"),G100=""),"No Debt / N/A",IF(M100&lt;&gt;"","Ready","Partial"))))</x:f>
      </x:c>
      <x:c r="R100" s="223"/>
    </x:row>
    <x:row r="101">
      <x:c r="A101" s="134"/>
      <x:c r="B101" s="134"/>
      <x:c r="C101" s="134"/>
      <x:c r="D101" s="215"/>
      <x:c r="E101" s="215"/>
      <x:c r="F101" s="215"/>
      <x:c r="G101" s="216"/>
      <x:c r="H101" s="221"/>
      <x:c r="I101" s="215"/>
      <x:c r="J101" s="215"/>
      <x:c r="K101" s="218" t="str">
        <x:f>IF(N101&lt;&gt;"","",IF(AND(G101&lt;&gt;"",H101&lt;&gt;"",J101&lt;&gt;""),ROUND(PPMT(H101,1,J101,-G101),0),""))</x:f>
      </x:c>
      <x:c r="L101" s="218" t="str">
        <x:f>IF(N101&lt;&gt;"","",IF(AND(G101&lt;&gt;"",H101&lt;&gt;""),ROUND(G101*H101,0),""))</x:f>
      </x:c>
      <x:c r="M101" s="218" t="str">
        <x:f>IF(N101&lt;&gt;"",N101,IF(AND(G101&lt;&gt;"",H101&lt;&gt;"",J101&lt;&gt;""),ROUND(PMT(H101,J101,-G101),0),""))</x:f>
      </x:c>
      <x:c r="N101" s="216"/>
      <x:c r="O101" s="215"/>
      <x:c r="P101" s="215"/>
      <x:c r="Q101" s="219" t="str">
        <x:f>IF(A101="","",IF(D101="No","Excluded",IF(AND(OR(F101="N/A",E101="No Debt / N/A"),G101=""),"No Debt / N/A",IF(M101&lt;&gt;"","Ready","Partial"))))</x:f>
      </x:c>
      <x:c r="R101" s="223"/>
    </x:row>
    <x:row r="102">
      <x:c r="A102" s="134"/>
      <x:c r="B102" s="134"/>
      <x:c r="C102" s="134"/>
      <x:c r="D102" s="215"/>
      <x:c r="E102" s="215"/>
      <x:c r="F102" s="215"/>
      <x:c r="G102" s="216"/>
      <x:c r="H102" s="221"/>
      <x:c r="I102" s="215"/>
      <x:c r="J102" s="215"/>
      <x:c r="K102" s="218" t="str">
        <x:f>IF(N102&lt;&gt;"","",IF(AND(G102&lt;&gt;"",H102&lt;&gt;"",J102&lt;&gt;""),ROUND(PPMT(H102,1,J102,-G102),0),""))</x:f>
      </x:c>
      <x:c r="L102" s="218" t="str">
        <x:f>IF(N102&lt;&gt;"","",IF(AND(G102&lt;&gt;"",H102&lt;&gt;""),ROUND(G102*H102,0),""))</x:f>
      </x:c>
      <x:c r="M102" s="218" t="str">
        <x:f>IF(N102&lt;&gt;"",N102,IF(AND(G102&lt;&gt;"",H102&lt;&gt;"",J102&lt;&gt;""),ROUND(PMT(H102,J102,-G102),0),""))</x:f>
      </x:c>
      <x:c r="N102" s="216"/>
      <x:c r="O102" s="215"/>
      <x:c r="P102" s="215"/>
      <x:c r="Q102" s="219" t="str">
        <x:f>IF(A102="","",IF(D102="No","Excluded",IF(AND(OR(F102="N/A",E102="No Debt / N/A"),G102=""),"No Debt / N/A",IF(M102&lt;&gt;"","Ready","Partial"))))</x:f>
      </x:c>
      <x:c r="R102" s="223"/>
    </x:row>
    <x:row r="103">
      <x:c r="A103" s="134"/>
      <x:c r="B103" s="134"/>
      <x:c r="C103" s="134"/>
      <x:c r="D103" s="215"/>
      <x:c r="E103" s="215"/>
      <x:c r="F103" s="215"/>
      <x:c r="G103" s="216"/>
      <x:c r="H103" s="221"/>
      <x:c r="I103" s="215"/>
      <x:c r="J103" s="215"/>
      <x:c r="K103" s="218" t="str">
        <x:f>IF(N103&lt;&gt;"","",IF(AND(G103&lt;&gt;"",H103&lt;&gt;"",J103&lt;&gt;""),ROUND(PPMT(H103,1,J103,-G103),0),""))</x:f>
      </x:c>
      <x:c r="L103" s="218" t="str">
        <x:f>IF(N103&lt;&gt;"","",IF(AND(G103&lt;&gt;"",H103&lt;&gt;""),ROUND(G103*H103,0),""))</x:f>
      </x:c>
      <x:c r="M103" s="218" t="str">
        <x:f>IF(N103&lt;&gt;"",N103,IF(AND(G103&lt;&gt;"",H103&lt;&gt;"",J103&lt;&gt;""),ROUND(PMT(H103,J103,-G103),0),""))</x:f>
      </x:c>
      <x:c r="N103" s="216"/>
      <x:c r="O103" s="215"/>
      <x:c r="P103" s="215"/>
      <x:c r="Q103" s="219" t="str">
        <x:f>IF(A103="","",IF(D103="No","Excluded",IF(AND(OR(F103="N/A",E103="No Debt / N/A"),G103=""),"No Debt / N/A",IF(M103&lt;&gt;"","Ready","Partial"))))</x:f>
      </x:c>
      <x:c r="R103" s="223"/>
    </x:row>
    <x:row r="104">
      <x:c r="A104" s="134"/>
      <x:c r="B104" s="134"/>
      <x:c r="C104" s="134"/>
      <x:c r="D104" s="215"/>
      <x:c r="E104" s="215"/>
      <x:c r="F104" s="215"/>
      <x:c r="G104" s="216"/>
      <x:c r="H104" s="221"/>
      <x:c r="I104" s="215"/>
      <x:c r="J104" s="215"/>
      <x:c r="K104" s="218" t="str">
        <x:f>IF(N104&lt;&gt;"","",IF(AND(G104&lt;&gt;"",H104&lt;&gt;"",J104&lt;&gt;""),ROUND(PPMT(H104,1,J104,-G104),0),""))</x:f>
      </x:c>
      <x:c r="L104" s="218" t="str">
        <x:f>IF(N104&lt;&gt;"","",IF(AND(G104&lt;&gt;"",H104&lt;&gt;""),ROUND(G104*H104,0),""))</x:f>
      </x:c>
      <x:c r="M104" s="218" t="str">
        <x:f>IF(N104&lt;&gt;"",N104,IF(AND(G104&lt;&gt;"",H104&lt;&gt;"",J104&lt;&gt;""),ROUND(PMT(H104,J104,-G104),0),""))</x:f>
      </x:c>
      <x:c r="N104" s="216"/>
      <x:c r="O104" s="215"/>
      <x:c r="P104" s="215"/>
      <x:c r="Q104" s="219" t="str">
        <x:f>IF(A104="","",IF(D104="No","Excluded",IF(AND(OR(F104="N/A",E104="No Debt / N/A"),G104=""),"No Debt / N/A",IF(M104&lt;&gt;"","Ready","Partial"))))</x:f>
      </x:c>
      <x:c r="R104" s="223"/>
    </x:row>
    <x:row r="105">
      <x:c r="A105" s="134"/>
      <x:c r="B105" s="134"/>
      <x:c r="C105" s="134"/>
      <x:c r="D105" s="215"/>
      <x:c r="E105" s="215"/>
      <x:c r="F105" s="215"/>
      <x:c r="G105" s="216"/>
      <x:c r="H105" s="221"/>
      <x:c r="I105" s="215"/>
      <x:c r="J105" s="215"/>
      <x:c r="K105" s="218" t="str">
        <x:f>IF(N105&lt;&gt;"","",IF(AND(G105&lt;&gt;"",H105&lt;&gt;"",J105&lt;&gt;""),ROUND(PPMT(H105,1,J105,-G105),0),""))</x:f>
      </x:c>
      <x:c r="L105" s="218" t="str">
        <x:f>IF(N105&lt;&gt;"","",IF(AND(G105&lt;&gt;"",H105&lt;&gt;""),ROUND(G105*H105,0),""))</x:f>
      </x:c>
      <x:c r="M105" s="218" t="str">
        <x:f>IF(N105&lt;&gt;"",N105,IF(AND(G105&lt;&gt;"",H105&lt;&gt;"",J105&lt;&gt;""),ROUND(PMT(H105,J105,-G105),0),""))</x:f>
      </x:c>
      <x:c r="N105" s="216"/>
      <x:c r="O105" s="215"/>
      <x:c r="P105" s="215"/>
      <x:c r="Q105" s="219" t="str">
        <x:f>IF(A105="","",IF(D105="No","Excluded",IF(AND(OR(F105="N/A",E105="No Debt / N/A"),G105=""),"No Debt / N/A",IF(M105&lt;&gt;"","Ready","Partial"))))</x:f>
      </x:c>
      <x:c r="R105" s="223"/>
    </x:row>
    <x:row r="106">
      <x:c r="A106" s="134"/>
      <x:c r="B106" s="134"/>
      <x:c r="C106" s="134"/>
      <x:c r="D106" s="215"/>
      <x:c r="E106" s="215"/>
      <x:c r="F106" s="215"/>
      <x:c r="G106" s="216"/>
      <x:c r="H106" s="221"/>
      <x:c r="I106" s="215"/>
      <x:c r="J106" s="215"/>
      <x:c r="K106" s="218" t="str">
        <x:f>IF(N106&lt;&gt;"","",IF(AND(G106&lt;&gt;"",H106&lt;&gt;"",J106&lt;&gt;""),ROUND(PPMT(H106,1,J106,-G106),0),""))</x:f>
      </x:c>
      <x:c r="L106" s="218" t="str">
        <x:f>IF(N106&lt;&gt;"","",IF(AND(G106&lt;&gt;"",H106&lt;&gt;""),ROUND(G106*H106,0),""))</x:f>
      </x:c>
      <x:c r="M106" s="218" t="str">
        <x:f>IF(N106&lt;&gt;"",N106,IF(AND(G106&lt;&gt;"",H106&lt;&gt;"",J106&lt;&gt;""),ROUND(PMT(H106,J106,-G106),0),""))</x:f>
      </x:c>
      <x:c r="N106" s="216"/>
      <x:c r="O106" s="215"/>
      <x:c r="P106" s="215"/>
      <x:c r="Q106" s="219" t="str">
        <x:f>IF(A106="","",IF(D106="No","Excluded",IF(AND(OR(F106="N/A",E106="No Debt / N/A"),G106=""),"No Debt / N/A",IF(M106&lt;&gt;"","Ready","Partial"))))</x:f>
      </x:c>
      <x:c r="R106" s="223"/>
    </x:row>
    <x:row r="107">
      <x:c r="A107" s="134"/>
      <x:c r="B107" s="134"/>
      <x:c r="C107" s="134"/>
      <x:c r="D107" s="215"/>
      <x:c r="E107" s="215"/>
      <x:c r="F107" s="215"/>
      <x:c r="G107" s="216"/>
      <x:c r="H107" s="221"/>
      <x:c r="I107" s="215"/>
      <x:c r="J107" s="215"/>
      <x:c r="K107" s="218" t="str">
        <x:f>IF(N107&lt;&gt;"","",IF(AND(G107&lt;&gt;"",H107&lt;&gt;"",J107&lt;&gt;""),ROUND(PPMT(H107,1,J107,-G107),0),""))</x:f>
      </x:c>
      <x:c r="L107" s="218" t="str">
        <x:f>IF(N107&lt;&gt;"","",IF(AND(G107&lt;&gt;"",H107&lt;&gt;""),ROUND(G107*H107,0),""))</x:f>
      </x:c>
      <x:c r="M107" s="218" t="str">
        <x:f>IF(N107&lt;&gt;"",N107,IF(AND(G107&lt;&gt;"",H107&lt;&gt;"",J107&lt;&gt;""),ROUND(PMT(H107,J107,-G107),0),""))</x:f>
      </x:c>
      <x:c r="N107" s="216"/>
      <x:c r="O107" s="215"/>
      <x:c r="P107" s="215"/>
      <x:c r="Q107" s="219" t="str">
        <x:f>IF(A107="","",IF(D107="No","Excluded",IF(AND(OR(F107="N/A",E107="No Debt / N/A"),G107=""),"No Debt / N/A",IF(M107&lt;&gt;"","Ready","Partial"))))</x:f>
      </x:c>
      <x:c r="R107" s="223"/>
    </x:row>
    <x:row r="108">
      <x:c r="A108" s="134"/>
      <x:c r="B108" s="134"/>
      <x:c r="C108" s="134"/>
      <x:c r="D108" s="215"/>
      <x:c r="E108" s="215"/>
      <x:c r="F108" s="215"/>
      <x:c r="G108" s="216"/>
      <x:c r="H108" s="221"/>
      <x:c r="I108" s="215"/>
      <x:c r="J108" s="215"/>
      <x:c r="K108" s="218" t="str">
        <x:f>IF(N108&lt;&gt;"","",IF(AND(G108&lt;&gt;"",H108&lt;&gt;"",J108&lt;&gt;""),ROUND(PPMT(H108,1,J108,-G108),0),""))</x:f>
      </x:c>
      <x:c r="L108" s="218" t="str">
        <x:f>IF(N108&lt;&gt;"","",IF(AND(G108&lt;&gt;"",H108&lt;&gt;""),ROUND(G108*H108,0),""))</x:f>
      </x:c>
      <x:c r="M108" s="218" t="str">
        <x:f>IF(N108&lt;&gt;"",N108,IF(AND(G108&lt;&gt;"",H108&lt;&gt;"",J108&lt;&gt;""),ROUND(PMT(H108,J108,-G108),0),""))</x:f>
      </x:c>
      <x:c r="N108" s="216"/>
      <x:c r="O108" s="215"/>
      <x:c r="P108" s="215"/>
      <x:c r="Q108" s="219" t="str">
        <x:f>IF(A108="","",IF(D108="No","Excluded",IF(AND(OR(F108="N/A",E108="No Debt / N/A"),G108=""),"No Debt / N/A",IF(M108&lt;&gt;"","Ready","Partial"))))</x:f>
      </x:c>
      <x:c r="R108" s="223"/>
    </x:row>
    <x:row r="109">
      <x:c r="A109" s="134"/>
      <x:c r="B109" s="134"/>
      <x:c r="C109" s="134"/>
      <x:c r="D109" s="215"/>
      <x:c r="E109" s="215"/>
      <x:c r="F109" s="215"/>
      <x:c r="G109" s="216"/>
      <x:c r="H109" s="221"/>
      <x:c r="I109" s="215"/>
      <x:c r="J109" s="215"/>
      <x:c r="K109" s="218" t="str">
        <x:f>IF(N109&lt;&gt;"","",IF(AND(G109&lt;&gt;"",H109&lt;&gt;"",J109&lt;&gt;""),ROUND(PPMT(H109,1,J109,-G109),0),""))</x:f>
      </x:c>
      <x:c r="L109" s="218" t="str">
        <x:f>IF(N109&lt;&gt;"","",IF(AND(G109&lt;&gt;"",H109&lt;&gt;""),ROUND(G109*H109,0),""))</x:f>
      </x:c>
      <x:c r="M109" s="218" t="str">
        <x:f>IF(N109&lt;&gt;"",N109,IF(AND(G109&lt;&gt;"",H109&lt;&gt;"",J109&lt;&gt;""),ROUND(PMT(H109,J109,-G109),0),""))</x:f>
      </x:c>
      <x:c r="N109" s="216"/>
      <x:c r="O109" s="215"/>
      <x:c r="P109" s="215"/>
      <x:c r="Q109" s="219" t="str">
        <x:f>IF(A109="","",IF(D109="No","Excluded",IF(AND(OR(F109="N/A",E109="No Debt / N/A"),G109=""),"No Debt / N/A",IF(M109&lt;&gt;"","Ready","Partial"))))</x:f>
      </x:c>
      <x:c r="R109" s="223"/>
    </x:row>
    <x:row r="110">
      <x:c r="A110" s="134"/>
      <x:c r="B110" s="134"/>
      <x:c r="C110" s="134"/>
      <x:c r="D110" s="215"/>
      <x:c r="E110" s="215"/>
      <x:c r="F110" s="215"/>
      <x:c r="G110" s="216"/>
      <x:c r="H110" s="221"/>
      <x:c r="I110" s="215"/>
      <x:c r="J110" s="215"/>
      <x:c r="K110" s="218" t="str">
        <x:f>IF(N110&lt;&gt;"","",IF(AND(G110&lt;&gt;"",H110&lt;&gt;"",J110&lt;&gt;""),ROUND(PPMT(H110,1,J110,-G110),0),""))</x:f>
      </x:c>
      <x:c r="L110" s="218" t="str">
        <x:f>IF(N110&lt;&gt;"","",IF(AND(G110&lt;&gt;"",H110&lt;&gt;""),ROUND(G110*H110,0),""))</x:f>
      </x:c>
      <x:c r="M110" s="218" t="str">
        <x:f>IF(N110&lt;&gt;"",N110,IF(AND(G110&lt;&gt;"",H110&lt;&gt;"",J110&lt;&gt;""),ROUND(PMT(H110,J110,-G110),0),""))</x:f>
      </x:c>
      <x:c r="N110" s="216"/>
      <x:c r="O110" s="215"/>
      <x:c r="P110" s="215"/>
      <x:c r="Q110" s="219" t="str">
        <x:f>IF(A110="","",IF(D110="No","Excluded",IF(AND(OR(F110="N/A",E110="No Debt / N/A"),G110=""),"No Debt / N/A",IF(M110&lt;&gt;"","Ready","Partial"))))</x:f>
      </x:c>
      <x:c r="R110" s="223"/>
    </x:row>
    <x:row r="111">
      <x:c r="A111" s="134"/>
      <x:c r="B111" s="134"/>
      <x:c r="C111" s="134"/>
      <x:c r="D111" s="215"/>
      <x:c r="E111" s="215"/>
      <x:c r="F111" s="215"/>
      <x:c r="G111" s="216"/>
      <x:c r="H111" s="221"/>
      <x:c r="I111" s="215"/>
      <x:c r="J111" s="215"/>
      <x:c r="K111" s="218" t="str">
        <x:f>IF(N111&lt;&gt;"","",IF(AND(G111&lt;&gt;"",H111&lt;&gt;"",J111&lt;&gt;""),ROUND(PPMT(H111,1,J111,-G111),0),""))</x:f>
      </x:c>
      <x:c r="L111" s="218" t="str">
        <x:f>IF(N111&lt;&gt;"","",IF(AND(G111&lt;&gt;"",H111&lt;&gt;""),ROUND(G111*H111,0),""))</x:f>
      </x:c>
      <x:c r="M111" s="218" t="str">
        <x:f>IF(N111&lt;&gt;"",N111,IF(AND(G111&lt;&gt;"",H111&lt;&gt;"",J111&lt;&gt;""),ROUND(PMT(H111,J111,-G111),0),""))</x:f>
      </x:c>
      <x:c r="N111" s="216"/>
      <x:c r="O111" s="215"/>
      <x:c r="P111" s="215"/>
      <x:c r="Q111" s="219" t="str">
        <x:f>IF(A111="","",IF(D111="No","Excluded",IF(AND(OR(F111="N/A",E111="No Debt / N/A"),G111=""),"No Debt / N/A",IF(M111&lt;&gt;"","Ready","Partial"))))</x:f>
      </x:c>
      <x:c r="R111" s="223"/>
    </x:row>
    <x:row r="112">
      <x:c r="A112" s="134"/>
      <x:c r="B112" s="134"/>
      <x:c r="C112" s="134"/>
      <x:c r="D112" s="215"/>
      <x:c r="E112" s="215"/>
      <x:c r="F112" s="215"/>
      <x:c r="G112" s="216"/>
      <x:c r="H112" s="221"/>
      <x:c r="I112" s="215"/>
      <x:c r="J112" s="215"/>
      <x:c r="K112" s="218" t="str">
        <x:f>IF(N112&lt;&gt;"","",IF(AND(G112&lt;&gt;"",H112&lt;&gt;"",J112&lt;&gt;""),ROUND(PPMT(H112,1,J112,-G112),0),""))</x:f>
      </x:c>
      <x:c r="L112" s="218" t="str">
        <x:f>IF(N112&lt;&gt;"","",IF(AND(G112&lt;&gt;"",H112&lt;&gt;""),ROUND(G112*H112,0),""))</x:f>
      </x:c>
      <x:c r="M112" s="218" t="str">
        <x:f>IF(N112&lt;&gt;"",N112,IF(AND(G112&lt;&gt;"",H112&lt;&gt;"",J112&lt;&gt;""),ROUND(PMT(H112,J112,-G112),0),""))</x:f>
      </x:c>
      <x:c r="N112" s="216"/>
      <x:c r="O112" s="215"/>
      <x:c r="P112" s="215"/>
      <x:c r="Q112" s="219" t="str">
        <x:f>IF(A112="","",IF(D112="No","Excluded",IF(AND(OR(F112="N/A",E112="No Debt / N/A"),G112=""),"No Debt / N/A",IF(M112&lt;&gt;"","Ready","Partial"))))</x:f>
      </x:c>
      <x:c r="R112" s="223"/>
    </x:row>
    <x:row r="113">
      <x:c r="A113" s="134"/>
      <x:c r="B113" s="134"/>
      <x:c r="C113" s="134"/>
      <x:c r="D113" s="215"/>
      <x:c r="E113" s="215"/>
      <x:c r="F113" s="215"/>
      <x:c r="G113" s="216"/>
      <x:c r="H113" s="221"/>
      <x:c r="I113" s="215"/>
      <x:c r="J113" s="215"/>
      <x:c r="K113" s="218" t="str">
        <x:f>IF(N113&lt;&gt;"","",IF(AND(G113&lt;&gt;"",H113&lt;&gt;"",J113&lt;&gt;""),ROUND(PPMT(H113,1,J113,-G113),0),""))</x:f>
      </x:c>
      <x:c r="L113" s="218" t="str">
        <x:f>IF(N113&lt;&gt;"","",IF(AND(G113&lt;&gt;"",H113&lt;&gt;""),ROUND(G113*H113,0),""))</x:f>
      </x:c>
      <x:c r="M113" s="218" t="str">
        <x:f>IF(N113&lt;&gt;"",N113,IF(AND(G113&lt;&gt;"",H113&lt;&gt;"",J113&lt;&gt;""),ROUND(PMT(H113,J113,-G113),0),""))</x:f>
      </x:c>
      <x:c r="N113" s="216"/>
      <x:c r="O113" s="215"/>
      <x:c r="P113" s="215"/>
      <x:c r="Q113" s="219" t="str">
        <x:f>IF(A113="","",IF(D113="No","Excluded",IF(AND(OR(F113="N/A",E113="No Debt / N/A"),G113=""),"No Debt / N/A",IF(M113&lt;&gt;"","Ready","Partial"))))</x:f>
      </x:c>
      <x:c r="R113" s="223"/>
    </x:row>
    <x:row r="114">
      <x:c r="A114" s="134"/>
      <x:c r="B114" s="134"/>
      <x:c r="C114" s="134"/>
      <x:c r="D114" s="215"/>
      <x:c r="E114" s="215"/>
      <x:c r="F114" s="215"/>
      <x:c r="G114" s="216"/>
      <x:c r="H114" s="221"/>
      <x:c r="I114" s="215"/>
      <x:c r="J114" s="215"/>
      <x:c r="K114" s="218" t="str">
        <x:f>IF(N114&lt;&gt;"","",IF(AND(G114&lt;&gt;"",H114&lt;&gt;"",J114&lt;&gt;""),ROUND(PPMT(H114,1,J114,-G114),0),""))</x:f>
      </x:c>
      <x:c r="L114" s="218" t="str">
        <x:f>IF(N114&lt;&gt;"","",IF(AND(G114&lt;&gt;"",H114&lt;&gt;""),ROUND(G114*H114,0),""))</x:f>
      </x:c>
      <x:c r="M114" s="218" t="str">
        <x:f>IF(N114&lt;&gt;"",N114,IF(AND(G114&lt;&gt;"",H114&lt;&gt;"",J114&lt;&gt;""),ROUND(PMT(H114,J114,-G114),0),""))</x:f>
      </x:c>
      <x:c r="N114" s="216"/>
      <x:c r="O114" s="215"/>
      <x:c r="P114" s="215"/>
      <x:c r="Q114" s="219" t="str">
        <x:f>IF(A114="","",IF(D114="No","Excluded",IF(AND(OR(F114="N/A",E114="No Debt / N/A"),G114=""),"No Debt / N/A",IF(M114&lt;&gt;"","Ready","Partial"))))</x:f>
      </x:c>
      <x:c r="R114" s="223"/>
    </x:row>
    <x:row r="115">
      <x:c r="A115" s="134"/>
      <x:c r="B115" s="134"/>
      <x:c r="C115" s="134"/>
      <x:c r="D115" s="215"/>
      <x:c r="E115" s="215"/>
      <x:c r="F115" s="215"/>
      <x:c r="G115" s="216"/>
      <x:c r="H115" s="221"/>
      <x:c r="I115" s="215"/>
      <x:c r="J115" s="215"/>
      <x:c r="K115" s="218" t="str">
        <x:f>IF(N115&lt;&gt;"","",IF(AND(G115&lt;&gt;"",H115&lt;&gt;"",J115&lt;&gt;""),ROUND(PPMT(H115,1,J115,-G115),0),""))</x:f>
      </x:c>
      <x:c r="L115" s="218" t="str">
        <x:f>IF(N115&lt;&gt;"","",IF(AND(G115&lt;&gt;"",H115&lt;&gt;""),ROUND(G115*H115,0),""))</x:f>
      </x:c>
      <x:c r="M115" s="218" t="str">
        <x:f>IF(N115&lt;&gt;"",N115,IF(AND(G115&lt;&gt;"",H115&lt;&gt;"",J115&lt;&gt;""),ROUND(PMT(H115,J115,-G115),0),""))</x:f>
      </x:c>
      <x:c r="N115" s="216"/>
      <x:c r="O115" s="215"/>
      <x:c r="P115" s="215"/>
      <x:c r="Q115" s="219" t="str">
        <x:f>IF(A115="","",IF(D115="No","Excluded",IF(AND(OR(F115="N/A",E115="No Debt / N/A"),G115=""),"No Debt / N/A",IF(M115&lt;&gt;"","Ready","Partial"))))</x:f>
      </x:c>
      <x:c r="R115" s="223"/>
    </x:row>
    <x:row r="116">
      <x:c r="A116" s="134"/>
      <x:c r="B116" s="134"/>
      <x:c r="C116" s="134"/>
      <x:c r="D116" s="215"/>
      <x:c r="E116" s="215"/>
      <x:c r="F116" s="215"/>
      <x:c r="G116" s="216"/>
      <x:c r="H116" s="221"/>
      <x:c r="I116" s="215"/>
      <x:c r="J116" s="215"/>
      <x:c r="K116" s="218" t="str">
        <x:f>IF(N116&lt;&gt;"","",IF(AND(G116&lt;&gt;"",H116&lt;&gt;"",J116&lt;&gt;""),ROUND(PPMT(H116,1,J116,-G116),0),""))</x:f>
      </x:c>
      <x:c r="L116" s="218" t="str">
        <x:f>IF(N116&lt;&gt;"","",IF(AND(G116&lt;&gt;"",H116&lt;&gt;""),ROUND(G116*H116,0),""))</x:f>
      </x:c>
      <x:c r="M116" s="218" t="str">
        <x:f>IF(N116&lt;&gt;"",N116,IF(AND(G116&lt;&gt;"",H116&lt;&gt;"",J116&lt;&gt;""),ROUND(PMT(H116,J116,-G116),0),""))</x:f>
      </x:c>
      <x:c r="N116" s="216"/>
      <x:c r="O116" s="215"/>
      <x:c r="P116" s="215"/>
      <x:c r="Q116" s="219" t="str">
        <x:f>IF(A116="","",IF(D116="No","Excluded",IF(AND(OR(F116="N/A",E116="No Debt / N/A"),G116=""),"No Debt / N/A",IF(M116&lt;&gt;"","Ready","Partial"))))</x:f>
      </x:c>
      <x:c r="R116" s="223"/>
    </x:row>
    <x:row r="117">
      <x:c r="A117" s="134"/>
      <x:c r="B117" s="134"/>
      <x:c r="C117" s="134"/>
      <x:c r="D117" s="215"/>
      <x:c r="E117" s="215"/>
      <x:c r="F117" s="215"/>
      <x:c r="G117" s="216"/>
      <x:c r="H117" s="221"/>
      <x:c r="I117" s="215"/>
      <x:c r="J117" s="215"/>
      <x:c r="K117" s="218" t="str">
        <x:f>IF(N117&lt;&gt;"","",IF(AND(G117&lt;&gt;"",H117&lt;&gt;"",J117&lt;&gt;""),ROUND(PPMT(H117,1,J117,-G117),0),""))</x:f>
      </x:c>
      <x:c r="L117" s="218" t="str">
        <x:f>IF(N117&lt;&gt;"","",IF(AND(G117&lt;&gt;"",H117&lt;&gt;""),ROUND(G117*H117,0),""))</x:f>
      </x:c>
      <x:c r="M117" s="218" t="str">
        <x:f>IF(N117&lt;&gt;"",N117,IF(AND(G117&lt;&gt;"",H117&lt;&gt;"",J117&lt;&gt;""),ROUND(PMT(H117,J117,-G117),0),""))</x:f>
      </x:c>
      <x:c r="N117" s="216"/>
      <x:c r="O117" s="215"/>
      <x:c r="P117" s="215"/>
      <x:c r="Q117" s="219" t="str">
        <x:f>IF(A117="","",IF(D117="No","Excluded",IF(AND(OR(F117="N/A",E117="No Debt / N/A"),G117=""),"No Debt / N/A",IF(M117&lt;&gt;"","Ready","Partial"))))</x:f>
      </x:c>
      <x:c r="R117" s="223"/>
    </x:row>
    <x:row r="118">
      <x:c r="A118" s="134"/>
      <x:c r="B118" s="134"/>
      <x:c r="C118" s="134"/>
      <x:c r="D118" s="215"/>
      <x:c r="E118" s="215"/>
      <x:c r="F118" s="215"/>
      <x:c r="G118" s="216"/>
      <x:c r="H118" s="221"/>
      <x:c r="I118" s="215"/>
      <x:c r="J118" s="215"/>
      <x:c r="K118" s="218" t="str">
        <x:f>IF(N118&lt;&gt;"","",IF(AND(G118&lt;&gt;"",H118&lt;&gt;"",J118&lt;&gt;""),ROUND(PPMT(H118,1,J118,-G118),0),""))</x:f>
      </x:c>
      <x:c r="L118" s="218" t="str">
        <x:f>IF(N118&lt;&gt;"","",IF(AND(G118&lt;&gt;"",H118&lt;&gt;""),ROUND(G118*H118,0),""))</x:f>
      </x:c>
      <x:c r="M118" s="218" t="str">
        <x:f>IF(N118&lt;&gt;"",N118,IF(AND(G118&lt;&gt;"",H118&lt;&gt;"",J118&lt;&gt;""),ROUND(PMT(H118,J118,-G118),0),""))</x:f>
      </x:c>
      <x:c r="N118" s="216"/>
      <x:c r="O118" s="215"/>
      <x:c r="P118" s="215"/>
      <x:c r="Q118" s="219" t="str">
        <x:f>IF(A118="","",IF(D118="No","Excluded",IF(AND(OR(F118="N/A",E118="No Debt / N/A"),G118=""),"No Debt / N/A",IF(M118&lt;&gt;"","Ready","Partial"))))</x:f>
      </x:c>
      <x:c r="R118" s="223"/>
    </x:row>
    <x:row r="119">
      <x:c r="A119" s="134"/>
      <x:c r="B119" s="134"/>
      <x:c r="C119" s="134"/>
      <x:c r="D119" s="215"/>
      <x:c r="E119" s="215"/>
      <x:c r="F119" s="215"/>
      <x:c r="G119" s="216"/>
      <x:c r="H119" s="221"/>
      <x:c r="I119" s="215"/>
      <x:c r="J119" s="215"/>
      <x:c r="K119" s="218" t="str">
        <x:f>IF(N119&lt;&gt;"","",IF(AND(G119&lt;&gt;"",H119&lt;&gt;"",J119&lt;&gt;""),ROUND(PPMT(H119,1,J119,-G119),0),""))</x:f>
      </x:c>
      <x:c r="L119" s="218" t="str">
        <x:f>IF(N119&lt;&gt;"","",IF(AND(G119&lt;&gt;"",H119&lt;&gt;""),ROUND(G119*H119,0),""))</x:f>
      </x:c>
      <x:c r="M119" s="218" t="str">
        <x:f>IF(N119&lt;&gt;"",N119,IF(AND(G119&lt;&gt;"",H119&lt;&gt;"",J119&lt;&gt;""),ROUND(PMT(H119,J119,-G119),0),""))</x:f>
      </x:c>
      <x:c r="N119" s="216"/>
      <x:c r="O119" s="215"/>
      <x:c r="P119" s="215"/>
      <x:c r="Q119" s="219" t="str">
        <x:f>IF(A119="","",IF(D119="No","Excluded",IF(AND(OR(F119="N/A",E119="No Debt / N/A"),G119=""),"No Debt / N/A",IF(M119&lt;&gt;"","Ready","Partial"))))</x:f>
      </x:c>
      <x:c r="R119" s="223"/>
    </x:row>
    <x:row r="120">
      <x:c r="A120" s="134"/>
      <x:c r="B120" s="134"/>
      <x:c r="C120" s="134"/>
      <x:c r="D120" s="215"/>
      <x:c r="E120" s="215"/>
      <x:c r="F120" s="215"/>
      <x:c r="G120" s="216"/>
      <x:c r="H120" s="221"/>
      <x:c r="I120" s="215"/>
      <x:c r="J120" s="215"/>
      <x:c r="K120" s="218" t="str">
        <x:f>IF(N120&lt;&gt;"","",IF(AND(G120&lt;&gt;"",H120&lt;&gt;"",J120&lt;&gt;""),ROUND(PPMT(H120,1,J120,-G120),0),""))</x:f>
      </x:c>
      <x:c r="L120" s="218" t="str">
        <x:f>IF(N120&lt;&gt;"","",IF(AND(G120&lt;&gt;"",H120&lt;&gt;""),ROUND(G120*H120,0),""))</x:f>
      </x:c>
      <x:c r="M120" s="218" t="str">
        <x:f>IF(N120&lt;&gt;"",N120,IF(AND(G120&lt;&gt;"",H120&lt;&gt;"",J120&lt;&gt;""),ROUND(PMT(H120,J120,-G120),0),""))</x:f>
      </x:c>
      <x:c r="N120" s="216"/>
      <x:c r="O120" s="215"/>
      <x:c r="P120" s="215"/>
      <x:c r="Q120" s="219" t="str">
        <x:f>IF(A120="","",IF(D120="No","Excluded",IF(AND(OR(F120="N/A",E120="No Debt / N/A"),G120=""),"No Debt / N/A",IF(M120&lt;&gt;"","Ready","Partial"))))</x:f>
      </x:c>
      <x:c r="R120" s="223"/>
    </x:row>
    <x:row r="121">
      <x:c r="A121" s="134"/>
      <x:c r="B121" s="134"/>
      <x:c r="C121" s="134"/>
      <x:c r="D121" s="215"/>
      <x:c r="E121" s="215"/>
      <x:c r="F121" s="215"/>
      <x:c r="G121" s="216"/>
      <x:c r="H121" s="221"/>
      <x:c r="I121" s="215"/>
      <x:c r="J121" s="215"/>
      <x:c r="K121" s="218" t="str">
        <x:f>IF(N121&lt;&gt;"","",IF(AND(G121&lt;&gt;"",H121&lt;&gt;"",J121&lt;&gt;""),ROUND(PPMT(H121,1,J121,-G121),0),""))</x:f>
      </x:c>
      <x:c r="L121" s="218" t="str">
        <x:f>IF(N121&lt;&gt;"","",IF(AND(G121&lt;&gt;"",H121&lt;&gt;""),ROUND(G121*H121,0),""))</x:f>
      </x:c>
      <x:c r="M121" s="218" t="str">
        <x:f>IF(N121&lt;&gt;"",N121,IF(AND(G121&lt;&gt;"",H121&lt;&gt;"",J121&lt;&gt;""),ROUND(PMT(H121,J121,-G121),0),""))</x:f>
      </x:c>
      <x:c r="N121" s="216"/>
      <x:c r="O121" s="215"/>
      <x:c r="P121" s="215"/>
      <x:c r="Q121" s="219" t="str">
        <x:f>IF(A121="","",IF(D121="No","Excluded",IF(AND(OR(F121="N/A",E121="No Debt / N/A"),G121=""),"No Debt / N/A",IF(M121&lt;&gt;"","Ready","Partial"))))</x:f>
      </x:c>
      <x:c r="R121" s="223"/>
    </x:row>
    <x:row r="122">
      <x:c r="A122" s="134"/>
      <x:c r="B122" s="134"/>
      <x:c r="C122" s="134"/>
      <x:c r="D122" s="215"/>
      <x:c r="E122" s="215"/>
      <x:c r="F122" s="215"/>
      <x:c r="G122" s="216"/>
      <x:c r="H122" s="221"/>
      <x:c r="I122" s="215"/>
      <x:c r="J122" s="215"/>
      <x:c r="K122" s="218" t="str">
        <x:f>IF(N122&lt;&gt;"","",IF(AND(G122&lt;&gt;"",H122&lt;&gt;"",J122&lt;&gt;""),ROUND(PPMT(H122,1,J122,-G122),0),""))</x:f>
      </x:c>
      <x:c r="L122" s="218" t="str">
        <x:f>IF(N122&lt;&gt;"","",IF(AND(G122&lt;&gt;"",H122&lt;&gt;""),ROUND(G122*H122,0),""))</x:f>
      </x:c>
      <x:c r="M122" s="218" t="str">
        <x:f>IF(N122&lt;&gt;"",N122,IF(AND(G122&lt;&gt;"",H122&lt;&gt;"",J122&lt;&gt;""),ROUND(PMT(H122,J122,-G122),0),""))</x:f>
      </x:c>
      <x:c r="N122" s="216"/>
      <x:c r="O122" s="215"/>
      <x:c r="P122" s="215"/>
      <x:c r="Q122" s="219" t="str">
        <x:f>IF(A122="","",IF(D122="No","Excluded",IF(AND(OR(F122="N/A",E122="No Debt / N/A"),G122=""),"No Debt / N/A",IF(M122&lt;&gt;"","Ready","Partial"))))</x:f>
      </x:c>
      <x:c r="R122" s="223"/>
    </x:row>
    <x:row r="123">
      <x:c r="A123" s="134"/>
      <x:c r="B123" s="134"/>
      <x:c r="C123" s="134"/>
      <x:c r="D123" s="215"/>
      <x:c r="E123" s="215"/>
      <x:c r="F123" s="215"/>
      <x:c r="G123" s="216"/>
      <x:c r="H123" s="221"/>
      <x:c r="I123" s="215"/>
      <x:c r="J123" s="215"/>
      <x:c r="K123" s="218" t="str">
        <x:f>IF(N123&lt;&gt;"","",IF(AND(G123&lt;&gt;"",H123&lt;&gt;"",J123&lt;&gt;""),ROUND(PPMT(H123,1,J123,-G123),0),""))</x:f>
      </x:c>
      <x:c r="L123" s="218" t="str">
        <x:f>IF(N123&lt;&gt;"","",IF(AND(G123&lt;&gt;"",H123&lt;&gt;""),ROUND(G123*H123,0),""))</x:f>
      </x:c>
      <x:c r="M123" s="218" t="str">
        <x:f>IF(N123&lt;&gt;"",N123,IF(AND(G123&lt;&gt;"",H123&lt;&gt;"",J123&lt;&gt;""),ROUND(PMT(H123,J123,-G123),0),""))</x:f>
      </x:c>
      <x:c r="N123" s="216"/>
      <x:c r="O123" s="215"/>
      <x:c r="P123" s="215"/>
      <x:c r="Q123" s="219" t="str">
        <x:f>IF(A123="","",IF(D123="No","Excluded",IF(AND(OR(F123="N/A",E123="No Debt / N/A"),G123=""),"No Debt / N/A",IF(M123&lt;&gt;"","Ready","Partial"))))</x:f>
      </x:c>
      <x:c r="R123" s="223"/>
    </x:row>
    <x:row r="124">
      <x:c r="A124" s="134"/>
      <x:c r="B124" s="134"/>
      <x:c r="C124" s="134"/>
      <x:c r="D124" s="215"/>
      <x:c r="E124" s="215"/>
      <x:c r="F124" s="215"/>
      <x:c r="G124" s="216"/>
      <x:c r="H124" s="221"/>
      <x:c r="I124" s="215"/>
      <x:c r="J124" s="215"/>
      <x:c r="K124" s="218" t="str">
        <x:f>IF(N124&lt;&gt;"","",IF(AND(G124&lt;&gt;"",H124&lt;&gt;"",J124&lt;&gt;""),ROUND(PPMT(H124,1,J124,-G124),0),""))</x:f>
      </x:c>
      <x:c r="L124" s="218" t="str">
        <x:f>IF(N124&lt;&gt;"","",IF(AND(G124&lt;&gt;"",H124&lt;&gt;""),ROUND(G124*H124,0),""))</x:f>
      </x:c>
      <x:c r="M124" s="218" t="str">
        <x:f>IF(N124&lt;&gt;"",N124,IF(AND(G124&lt;&gt;"",H124&lt;&gt;"",J124&lt;&gt;""),ROUND(PMT(H124,J124,-G124),0),""))</x:f>
      </x:c>
      <x:c r="N124" s="216"/>
      <x:c r="O124" s="215"/>
      <x:c r="P124" s="215"/>
      <x:c r="Q124" s="219" t="str">
        <x:f>IF(A124="","",IF(D124="No","Excluded",IF(AND(OR(F124="N/A",E124="No Debt / N/A"),G124=""),"No Debt / N/A",IF(M124&lt;&gt;"","Ready","Partial"))))</x:f>
      </x:c>
      <x:c r="R124" s="223"/>
    </x:row>
    <x:row r="125">
      <x:c r="A125" s="134"/>
      <x:c r="B125" s="134"/>
      <x:c r="C125" s="134"/>
      <x:c r="D125" s="215"/>
      <x:c r="E125" s="215"/>
      <x:c r="F125" s="215"/>
      <x:c r="G125" s="216"/>
      <x:c r="H125" s="221"/>
      <x:c r="I125" s="215"/>
      <x:c r="J125" s="215"/>
      <x:c r="K125" s="218" t="str">
        <x:f>IF(N125&lt;&gt;"","",IF(AND(G125&lt;&gt;"",H125&lt;&gt;"",J125&lt;&gt;""),ROUND(PPMT(H125,1,J125,-G125),0),""))</x:f>
      </x:c>
      <x:c r="L125" s="218" t="str">
        <x:f>IF(N125&lt;&gt;"","",IF(AND(G125&lt;&gt;"",H125&lt;&gt;""),ROUND(G125*H125,0),""))</x:f>
      </x:c>
      <x:c r="M125" s="218" t="str">
        <x:f>IF(N125&lt;&gt;"",N125,IF(AND(G125&lt;&gt;"",H125&lt;&gt;"",J125&lt;&gt;""),ROUND(PMT(H125,J125,-G125),0),""))</x:f>
      </x:c>
      <x:c r="N125" s="216"/>
      <x:c r="O125" s="215"/>
      <x:c r="P125" s="215"/>
      <x:c r="Q125" s="219" t="str">
        <x:f>IF(A125="","",IF(D125="No","Excluded",IF(AND(OR(F125="N/A",E125="No Debt / N/A"),G125=""),"No Debt / N/A",IF(M125&lt;&gt;"","Ready","Partial"))))</x:f>
      </x:c>
      <x:c r="R125" s="223"/>
    </x:row>
    <x:row r="126">
      <x:c r="A126" s="134"/>
      <x:c r="B126" s="134"/>
      <x:c r="C126" s="134"/>
      <x:c r="D126" s="215"/>
      <x:c r="E126" s="215"/>
      <x:c r="F126" s="215"/>
      <x:c r="G126" s="216"/>
      <x:c r="H126" s="221"/>
      <x:c r="I126" s="215"/>
      <x:c r="J126" s="215"/>
      <x:c r="K126" s="218" t="str">
        <x:f>IF(N126&lt;&gt;"","",IF(AND(G126&lt;&gt;"",H126&lt;&gt;"",J126&lt;&gt;""),ROUND(PPMT(H126,1,J126,-G126),0),""))</x:f>
      </x:c>
      <x:c r="L126" s="218" t="str">
        <x:f>IF(N126&lt;&gt;"","",IF(AND(G126&lt;&gt;"",H126&lt;&gt;""),ROUND(G126*H126,0),""))</x:f>
      </x:c>
      <x:c r="M126" s="218" t="str">
        <x:f>IF(N126&lt;&gt;"",N126,IF(AND(G126&lt;&gt;"",H126&lt;&gt;"",J126&lt;&gt;""),ROUND(PMT(H126,J126,-G126),0),""))</x:f>
      </x:c>
      <x:c r="N126" s="216"/>
      <x:c r="O126" s="215"/>
      <x:c r="P126" s="215"/>
      <x:c r="Q126" s="219" t="str">
        <x:f>IF(A126="","",IF(D126="No","Excluded",IF(AND(OR(F126="N/A",E126="No Debt / N/A"),G126=""),"No Debt / N/A",IF(M126&lt;&gt;"","Ready","Partial"))))</x:f>
      </x:c>
      <x:c r="R126" s="223"/>
    </x:row>
    <x:row r="127">
      <x:c r="A127" s="134"/>
      <x:c r="B127" s="134"/>
      <x:c r="C127" s="134"/>
      <x:c r="D127" s="215"/>
      <x:c r="E127" s="215"/>
      <x:c r="F127" s="215"/>
      <x:c r="G127" s="216"/>
      <x:c r="H127" s="221"/>
      <x:c r="I127" s="215"/>
      <x:c r="J127" s="215"/>
      <x:c r="K127" s="218" t="str">
        <x:f>IF(N127&lt;&gt;"","",IF(AND(G127&lt;&gt;"",H127&lt;&gt;"",J127&lt;&gt;""),ROUND(PPMT(H127,1,J127,-G127),0),""))</x:f>
      </x:c>
      <x:c r="L127" s="218" t="str">
        <x:f>IF(N127&lt;&gt;"","",IF(AND(G127&lt;&gt;"",H127&lt;&gt;""),ROUND(G127*H127,0),""))</x:f>
      </x:c>
      <x:c r="M127" s="218" t="str">
        <x:f>IF(N127&lt;&gt;"",N127,IF(AND(G127&lt;&gt;"",H127&lt;&gt;"",J127&lt;&gt;""),ROUND(PMT(H127,J127,-G127),0),""))</x:f>
      </x:c>
      <x:c r="N127" s="216"/>
      <x:c r="O127" s="215"/>
      <x:c r="P127" s="215"/>
      <x:c r="Q127" s="219" t="str">
        <x:f>IF(A127="","",IF(D127="No","Excluded",IF(AND(OR(F127="N/A",E127="No Debt / N/A"),G127=""),"No Debt / N/A",IF(M127&lt;&gt;"","Ready","Partial"))))</x:f>
      </x:c>
      <x:c r="R127" s="223"/>
    </x:row>
    <x:row r="128">
      <x:c r="A128" s="134"/>
      <x:c r="B128" s="134"/>
      <x:c r="C128" s="134"/>
      <x:c r="D128" s="215"/>
      <x:c r="E128" s="215"/>
      <x:c r="F128" s="215"/>
      <x:c r="G128" s="216"/>
      <x:c r="H128" s="221"/>
      <x:c r="I128" s="215"/>
      <x:c r="J128" s="215"/>
      <x:c r="K128" s="218" t="str">
        <x:f>IF(N128&lt;&gt;"","",IF(AND(G128&lt;&gt;"",H128&lt;&gt;"",J128&lt;&gt;""),ROUND(PPMT(H128,1,J128,-G128),0),""))</x:f>
      </x:c>
      <x:c r="L128" s="218" t="str">
        <x:f>IF(N128&lt;&gt;"","",IF(AND(G128&lt;&gt;"",H128&lt;&gt;""),ROUND(G128*H128,0),""))</x:f>
      </x:c>
      <x:c r="M128" s="218" t="str">
        <x:f>IF(N128&lt;&gt;"",N128,IF(AND(G128&lt;&gt;"",H128&lt;&gt;"",J128&lt;&gt;""),ROUND(PMT(H128,J128,-G128),0),""))</x:f>
      </x:c>
      <x:c r="N128" s="216"/>
      <x:c r="O128" s="215"/>
      <x:c r="P128" s="215"/>
      <x:c r="Q128" s="219" t="str">
        <x:f>IF(A128="","",IF(D128="No","Excluded",IF(AND(OR(F128="N/A",E128="No Debt / N/A"),G128=""),"No Debt / N/A",IF(M128&lt;&gt;"","Ready","Partial"))))</x:f>
      </x:c>
      <x:c r="R128" s="223"/>
    </x:row>
    <x:row r="129">
      <x:c r="A129" s="134"/>
      <x:c r="B129" s="134"/>
      <x:c r="C129" s="134"/>
      <x:c r="D129" s="215"/>
      <x:c r="E129" s="215"/>
      <x:c r="F129" s="215"/>
      <x:c r="G129" s="216"/>
      <x:c r="H129" s="221"/>
      <x:c r="I129" s="215"/>
      <x:c r="J129" s="215"/>
      <x:c r="K129" s="218" t="str">
        <x:f>IF(N129&lt;&gt;"","",IF(AND(G129&lt;&gt;"",H129&lt;&gt;"",J129&lt;&gt;""),ROUND(PPMT(H129,1,J129,-G129),0),""))</x:f>
      </x:c>
      <x:c r="L129" s="218" t="str">
        <x:f>IF(N129&lt;&gt;"","",IF(AND(G129&lt;&gt;"",H129&lt;&gt;""),ROUND(G129*H129,0),""))</x:f>
      </x:c>
      <x:c r="M129" s="218" t="str">
        <x:f>IF(N129&lt;&gt;"",N129,IF(AND(G129&lt;&gt;"",H129&lt;&gt;"",J129&lt;&gt;""),ROUND(PMT(H129,J129,-G129),0),""))</x:f>
      </x:c>
      <x:c r="N129" s="216"/>
      <x:c r="O129" s="215"/>
      <x:c r="P129" s="215"/>
      <x:c r="Q129" s="219" t="str">
        <x:f>IF(A129="","",IF(D129="No","Excluded",IF(AND(OR(F129="N/A",E129="No Debt / N/A"),G129=""),"No Debt / N/A",IF(M129&lt;&gt;"","Ready","Partial"))))</x:f>
      </x:c>
      <x:c r="R129" s="223"/>
    </x:row>
    <x:row r="130">
      <x:c r="A130" s="134"/>
      <x:c r="B130" s="134"/>
      <x:c r="C130" s="134"/>
      <x:c r="D130" s="215"/>
      <x:c r="E130" s="215"/>
      <x:c r="F130" s="215"/>
      <x:c r="G130" s="216"/>
      <x:c r="H130" s="221"/>
      <x:c r="I130" s="215"/>
      <x:c r="J130" s="215"/>
      <x:c r="K130" s="218" t="str">
        <x:f>IF(N130&lt;&gt;"","",IF(AND(G130&lt;&gt;"",H130&lt;&gt;"",J130&lt;&gt;""),ROUND(PPMT(H130,1,J130,-G130),0),""))</x:f>
      </x:c>
      <x:c r="L130" s="218" t="str">
        <x:f>IF(N130&lt;&gt;"","",IF(AND(G130&lt;&gt;"",H130&lt;&gt;""),ROUND(G130*H130,0),""))</x:f>
      </x:c>
      <x:c r="M130" s="218" t="str">
        <x:f>IF(N130&lt;&gt;"",N130,IF(AND(G130&lt;&gt;"",H130&lt;&gt;"",J130&lt;&gt;""),ROUND(PMT(H130,J130,-G130),0),""))</x:f>
      </x:c>
      <x:c r="N130" s="216"/>
      <x:c r="O130" s="215"/>
      <x:c r="P130" s="215"/>
      <x:c r="Q130" s="219" t="str">
        <x:f>IF(A130="","",IF(D130="No","Excluded",IF(AND(OR(F130="N/A",E130="No Debt / N/A"),G130=""),"No Debt / N/A",IF(M130&lt;&gt;"","Ready","Partial"))))</x:f>
      </x:c>
      <x:c r="R130" s="223"/>
    </x:row>
    <x:row r="131">
      <x:c r="A131" s="134"/>
      <x:c r="B131" s="134"/>
      <x:c r="C131" s="134"/>
      <x:c r="D131" s="215"/>
      <x:c r="E131" s="215"/>
      <x:c r="F131" s="215"/>
      <x:c r="G131" s="216"/>
      <x:c r="H131" s="221"/>
      <x:c r="I131" s="215"/>
      <x:c r="J131" s="215"/>
      <x:c r="K131" s="218" t="str">
        <x:f>IF(N131&lt;&gt;"","",IF(AND(G131&lt;&gt;"",H131&lt;&gt;"",J131&lt;&gt;""),ROUND(PPMT(H131,1,J131,-G131),0),""))</x:f>
      </x:c>
      <x:c r="L131" s="218" t="str">
        <x:f>IF(N131&lt;&gt;"","",IF(AND(G131&lt;&gt;"",H131&lt;&gt;""),ROUND(G131*H131,0),""))</x:f>
      </x:c>
      <x:c r="M131" s="218" t="str">
        <x:f>IF(N131&lt;&gt;"",N131,IF(AND(G131&lt;&gt;"",H131&lt;&gt;"",J131&lt;&gt;""),ROUND(PMT(H131,J131,-G131),0),""))</x:f>
      </x:c>
      <x:c r="N131" s="216"/>
      <x:c r="O131" s="215"/>
      <x:c r="P131" s="215"/>
      <x:c r="Q131" s="219" t="str">
        <x:f>IF(A131="","",IF(D131="No","Excluded",IF(AND(OR(F131="N/A",E131="No Debt / N/A"),G131=""),"No Debt / N/A",IF(M131&lt;&gt;"","Ready","Partial"))))</x:f>
      </x:c>
      <x:c r="R131" s="223"/>
    </x:row>
    <x:row r="132">
      <x:c r="A132" s="134"/>
      <x:c r="B132" s="134"/>
      <x:c r="C132" s="134"/>
      <x:c r="D132" s="215"/>
      <x:c r="E132" s="215"/>
      <x:c r="F132" s="215"/>
      <x:c r="G132" s="216"/>
      <x:c r="H132" s="221"/>
      <x:c r="I132" s="215"/>
      <x:c r="J132" s="215"/>
      <x:c r="K132" s="218" t="str">
        <x:f>IF(N132&lt;&gt;"","",IF(AND(G132&lt;&gt;"",H132&lt;&gt;"",J132&lt;&gt;""),ROUND(PPMT(H132,1,J132,-G132),0),""))</x:f>
      </x:c>
      <x:c r="L132" s="218" t="str">
        <x:f>IF(N132&lt;&gt;"","",IF(AND(G132&lt;&gt;"",H132&lt;&gt;""),ROUND(G132*H132,0),""))</x:f>
      </x:c>
      <x:c r="M132" s="218" t="str">
        <x:f>IF(N132&lt;&gt;"",N132,IF(AND(G132&lt;&gt;"",H132&lt;&gt;"",J132&lt;&gt;""),ROUND(PMT(H132,J132,-G132),0),""))</x:f>
      </x:c>
      <x:c r="N132" s="216"/>
      <x:c r="O132" s="215"/>
      <x:c r="P132" s="215"/>
      <x:c r="Q132" s="219" t="str">
        <x:f>IF(A132="","",IF(D132="No","Excluded",IF(AND(OR(F132="N/A",E132="No Debt / N/A"),G132=""),"No Debt / N/A",IF(M132&lt;&gt;"","Ready","Partial"))))</x:f>
      </x:c>
      <x:c r="R132" s="223"/>
    </x:row>
    <x:row r="133">
      <x:c r="A133" s="134"/>
      <x:c r="B133" s="134"/>
      <x:c r="C133" s="134"/>
      <x:c r="D133" s="215"/>
      <x:c r="E133" s="215"/>
      <x:c r="F133" s="215"/>
      <x:c r="G133" s="216"/>
      <x:c r="H133" s="221"/>
      <x:c r="I133" s="215"/>
      <x:c r="J133" s="215"/>
      <x:c r="K133" s="218" t="str">
        <x:f>IF(N133&lt;&gt;"","",IF(AND(G133&lt;&gt;"",H133&lt;&gt;"",J133&lt;&gt;""),ROUND(PPMT(H133,1,J133,-G133),0),""))</x:f>
      </x:c>
      <x:c r="L133" s="218" t="str">
        <x:f>IF(N133&lt;&gt;"","",IF(AND(G133&lt;&gt;"",H133&lt;&gt;""),ROUND(G133*H133,0),""))</x:f>
      </x:c>
      <x:c r="M133" s="218" t="str">
        <x:f>IF(N133&lt;&gt;"",N133,IF(AND(G133&lt;&gt;"",H133&lt;&gt;"",J133&lt;&gt;""),ROUND(PMT(H133,J133,-G133),0),""))</x:f>
      </x:c>
      <x:c r="N133" s="216"/>
      <x:c r="O133" s="215"/>
      <x:c r="P133" s="215"/>
      <x:c r="Q133" s="219" t="str">
        <x:f>IF(A133="","",IF(D133="No","Excluded",IF(AND(OR(F133="N/A",E133="No Debt / N/A"),G133=""),"No Debt / N/A",IF(M133&lt;&gt;"","Ready","Partial"))))</x:f>
      </x:c>
      <x:c r="R133" s="223"/>
    </x:row>
    <x:row r="134">
      <x:c r="A134" s="134"/>
      <x:c r="B134" s="134"/>
      <x:c r="C134" s="134"/>
      <x:c r="D134" s="215"/>
      <x:c r="E134" s="215"/>
      <x:c r="F134" s="215"/>
      <x:c r="G134" s="216"/>
      <x:c r="H134" s="221"/>
      <x:c r="I134" s="215"/>
      <x:c r="J134" s="215"/>
      <x:c r="K134" s="218" t="str">
        <x:f>IF(N134&lt;&gt;"","",IF(AND(G134&lt;&gt;"",H134&lt;&gt;"",J134&lt;&gt;""),ROUND(PPMT(H134,1,J134,-G134),0),""))</x:f>
      </x:c>
      <x:c r="L134" s="218" t="str">
        <x:f>IF(N134&lt;&gt;"","",IF(AND(G134&lt;&gt;"",H134&lt;&gt;""),ROUND(G134*H134,0),""))</x:f>
      </x:c>
      <x:c r="M134" s="218" t="str">
        <x:f>IF(N134&lt;&gt;"",N134,IF(AND(G134&lt;&gt;"",H134&lt;&gt;"",J134&lt;&gt;""),ROUND(PMT(H134,J134,-G134),0),""))</x:f>
      </x:c>
      <x:c r="N134" s="216"/>
      <x:c r="O134" s="215"/>
      <x:c r="P134" s="215"/>
      <x:c r="Q134" s="219" t="str">
        <x:f>IF(A134="","",IF(D134="No","Excluded",IF(AND(OR(F134="N/A",E134="No Debt / N/A"),G134=""),"No Debt / N/A",IF(M134&lt;&gt;"","Ready","Partial"))))</x:f>
      </x:c>
      <x:c r="R134" s="223"/>
    </x:row>
    <x:row r="135">
      <x:c r="A135" s="134"/>
      <x:c r="B135" s="134"/>
      <x:c r="C135" s="134"/>
      <x:c r="D135" s="215"/>
      <x:c r="E135" s="215"/>
      <x:c r="F135" s="215"/>
      <x:c r="G135" s="216"/>
      <x:c r="H135" s="221"/>
      <x:c r="I135" s="215"/>
      <x:c r="J135" s="215"/>
      <x:c r="K135" s="218" t="str">
        <x:f>IF(N135&lt;&gt;"","",IF(AND(G135&lt;&gt;"",H135&lt;&gt;"",J135&lt;&gt;""),ROUND(PPMT(H135,1,J135,-G135),0),""))</x:f>
      </x:c>
      <x:c r="L135" s="218" t="str">
        <x:f>IF(N135&lt;&gt;"","",IF(AND(G135&lt;&gt;"",H135&lt;&gt;""),ROUND(G135*H135,0),""))</x:f>
      </x:c>
      <x:c r="M135" s="218" t="str">
        <x:f>IF(N135&lt;&gt;"",N135,IF(AND(G135&lt;&gt;"",H135&lt;&gt;"",J135&lt;&gt;""),ROUND(PMT(H135,J135,-G135),0),""))</x:f>
      </x:c>
      <x:c r="N135" s="216"/>
      <x:c r="O135" s="215"/>
      <x:c r="P135" s="215"/>
      <x:c r="Q135" s="219" t="str">
        <x:f>IF(A135="","",IF(D135="No","Excluded",IF(AND(OR(F135="N/A",E135="No Debt / N/A"),G135=""),"No Debt / N/A",IF(M135&lt;&gt;"","Ready","Partial"))))</x:f>
      </x:c>
      <x:c r="R135" s="223"/>
    </x:row>
    <x:row r="136">
      <x:c r="A136" s="134"/>
      <x:c r="B136" s="134"/>
      <x:c r="C136" s="134"/>
      <x:c r="D136" s="215"/>
      <x:c r="E136" s="215"/>
      <x:c r="F136" s="215"/>
      <x:c r="G136" s="216"/>
      <x:c r="H136" s="221"/>
      <x:c r="I136" s="215"/>
      <x:c r="J136" s="215"/>
      <x:c r="K136" s="218" t="str">
        <x:f>IF(N136&lt;&gt;"","",IF(AND(G136&lt;&gt;"",H136&lt;&gt;"",J136&lt;&gt;""),ROUND(PPMT(H136,1,J136,-G136),0),""))</x:f>
      </x:c>
      <x:c r="L136" s="218" t="str">
        <x:f>IF(N136&lt;&gt;"","",IF(AND(G136&lt;&gt;"",H136&lt;&gt;""),ROUND(G136*H136,0),""))</x:f>
      </x:c>
      <x:c r="M136" s="218" t="str">
        <x:f>IF(N136&lt;&gt;"",N136,IF(AND(G136&lt;&gt;"",H136&lt;&gt;"",J136&lt;&gt;""),ROUND(PMT(H136,J136,-G136),0),""))</x:f>
      </x:c>
      <x:c r="N136" s="216"/>
      <x:c r="O136" s="215"/>
      <x:c r="P136" s="215"/>
      <x:c r="Q136" s="219" t="str">
        <x:f>IF(A136="","",IF(D136="No","Excluded",IF(AND(OR(F136="N/A",E136="No Debt / N/A"),G136=""),"No Debt / N/A",IF(M136&lt;&gt;"","Ready","Partial"))))</x:f>
      </x:c>
      <x:c r="R136" s="223"/>
    </x:row>
    <x:row r="137">
      <x:c r="A137" s="134"/>
      <x:c r="B137" s="134"/>
      <x:c r="C137" s="134"/>
      <x:c r="D137" s="215"/>
      <x:c r="E137" s="215"/>
      <x:c r="F137" s="215"/>
      <x:c r="G137" s="216"/>
      <x:c r="H137" s="221"/>
      <x:c r="I137" s="215"/>
      <x:c r="J137" s="215"/>
      <x:c r="K137" s="218" t="str">
        <x:f>IF(N137&lt;&gt;"","",IF(AND(G137&lt;&gt;"",H137&lt;&gt;"",J137&lt;&gt;""),ROUND(PPMT(H137,1,J137,-G137),0),""))</x:f>
      </x:c>
      <x:c r="L137" s="218" t="str">
        <x:f>IF(N137&lt;&gt;"","",IF(AND(G137&lt;&gt;"",H137&lt;&gt;""),ROUND(G137*H137,0),""))</x:f>
      </x:c>
      <x:c r="M137" s="218" t="str">
        <x:f>IF(N137&lt;&gt;"",N137,IF(AND(G137&lt;&gt;"",H137&lt;&gt;"",J137&lt;&gt;""),ROUND(PMT(H137,J137,-G137),0),""))</x:f>
      </x:c>
      <x:c r="N137" s="216"/>
      <x:c r="O137" s="215"/>
      <x:c r="P137" s="215"/>
      <x:c r="Q137" s="219" t="str">
        <x:f>IF(A137="","",IF(D137="No","Excluded",IF(AND(OR(F137="N/A",E137="No Debt / N/A"),G137=""),"No Debt / N/A",IF(M137&lt;&gt;"","Ready","Partial"))))</x:f>
      </x:c>
      <x:c r="R137" s="223"/>
    </x:row>
    <x:row r="138">
      <x:c r="A138" s="134"/>
      <x:c r="B138" s="134"/>
      <x:c r="C138" s="134"/>
      <x:c r="D138" s="215"/>
      <x:c r="E138" s="215"/>
      <x:c r="F138" s="215"/>
      <x:c r="G138" s="216"/>
      <x:c r="H138" s="221"/>
      <x:c r="I138" s="215"/>
      <x:c r="J138" s="215"/>
      <x:c r="K138" s="218" t="str">
        <x:f>IF(N138&lt;&gt;"","",IF(AND(G138&lt;&gt;"",H138&lt;&gt;"",J138&lt;&gt;""),ROUND(PPMT(H138,1,J138,-G138),0),""))</x:f>
      </x:c>
      <x:c r="L138" s="218" t="str">
        <x:f>IF(N138&lt;&gt;"","",IF(AND(G138&lt;&gt;"",H138&lt;&gt;""),ROUND(G138*H138,0),""))</x:f>
      </x:c>
      <x:c r="M138" s="218" t="str">
        <x:f>IF(N138&lt;&gt;"",N138,IF(AND(G138&lt;&gt;"",H138&lt;&gt;"",J138&lt;&gt;""),ROUND(PMT(H138,J138,-G138),0),""))</x:f>
      </x:c>
      <x:c r="N138" s="216"/>
      <x:c r="O138" s="215"/>
      <x:c r="P138" s="215"/>
      <x:c r="Q138" s="219" t="str">
        <x:f>IF(A138="","",IF(D138="No","Excluded",IF(AND(OR(F138="N/A",E138="No Debt / N/A"),G138=""),"No Debt / N/A",IF(M138&lt;&gt;"","Ready","Partial"))))</x:f>
      </x:c>
      <x:c r="R138" s="223"/>
    </x:row>
    <x:row r="139">
      <x:c r="A139" s="134"/>
      <x:c r="B139" s="134"/>
      <x:c r="C139" s="134"/>
      <x:c r="D139" s="215"/>
      <x:c r="E139" s="215"/>
      <x:c r="F139" s="215"/>
      <x:c r="G139" s="216"/>
      <x:c r="H139" s="221"/>
      <x:c r="I139" s="215"/>
      <x:c r="J139" s="215"/>
      <x:c r="K139" s="218" t="str">
        <x:f>IF(N139&lt;&gt;"","",IF(AND(G139&lt;&gt;"",H139&lt;&gt;"",J139&lt;&gt;""),ROUND(PPMT(H139,1,J139,-G139),0),""))</x:f>
      </x:c>
      <x:c r="L139" s="218" t="str">
        <x:f>IF(N139&lt;&gt;"","",IF(AND(G139&lt;&gt;"",H139&lt;&gt;""),ROUND(G139*H139,0),""))</x:f>
      </x:c>
      <x:c r="M139" s="218" t="str">
        <x:f>IF(N139&lt;&gt;"",N139,IF(AND(G139&lt;&gt;"",H139&lt;&gt;"",J139&lt;&gt;""),ROUND(PMT(H139,J139,-G139),0),""))</x:f>
      </x:c>
      <x:c r="N139" s="216"/>
      <x:c r="O139" s="215"/>
      <x:c r="P139" s="215"/>
      <x:c r="Q139" s="219" t="str">
        <x:f>IF(A139="","",IF(D139="No","Excluded",IF(AND(OR(F139="N/A",E139="No Debt / N/A"),G139=""),"No Debt / N/A",IF(M139&lt;&gt;"","Ready","Partial"))))</x:f>
      </x:c>
      <x:c r="R139" s="223"/>
    </x:row>
    <x:row r="140">
      <x:c r="A140" s="134"/>
      <x:c r="B140" s="134"/>
      <x:c r="C140" s="134"/>
      <x:c r="D140" s="215"/>
      <x:c r="E140" s="215"/>
      <x:c r="F140" s="215"/>
      <x:c r="G140" s="216"/>
      <x:c r="H140" s="221"/>
      <x:c r="I140" s="215"/>
      <x:c r="J140" s="215"/>
      <x:c r="K140" s="218" t="str">
        <x:f>IF(N140&lt;&gt;"","",IF(AND(G140&lt;&gt;"",H140&lt;&gt;"",J140&lt;&gt;""),ROUND(PPMT(H140,1,J140,-G140),0),""))</x:f>
      </x:c>
      <x:c r="L140" s="218" t="str">
        <x:f>IF(N140&lt;&gt;"","",IF(AND(G140&lt;&gt;"",H140&lt;&gt;""),ROUND(G140*H140,0),""))</x:f>
      </x:c>
      <x:c r="M140" s="218" t="str">
        <x:f>IF(N140&lt;&gt;"",N140,IF(AND(G140&lt;&gt;"",H140&lt;&gt;"",J140&lt;&gt;""),ROUND(PMT(H140,J140,-G140),0),""))</x:f>
      </x:c>
      <x:c r="N140" s="216"/>
      <x:c r="O140" s="215"/>
      <x:c r="P140" s="215"/>
      <x:c r="Q140" s="219" t="str">
        <x:f>IF(A140="","",IF(D140="No","Excluded",IF(AND(OR(F140="N/A",E140="No Debt / N/A"),G140=""),"No Debt / N/A",IF(M140&lt;&gt;"","Ready","Partial"))))</x:f>
      </x:c>
      <x:c r="R140" s="223"/>
    </x:row>
    <x:row r="141">
      <x:c r="A141" s="134"/>
      <x:c r="B141" s="134"/>
      <x:c r="C141" s="134"/>
      <x:c r="D141" s="215"/>
      <x:c r="E141" s="215"/>
      <x:c r="F141" s="215"/>
      <x:c r="G141" s="216"/>
      <x:c r="H141" s="221"/>
      <x:c r="I141" s="215"/>
      <x:c r="J141" s="215"/>
      <x:c r="K141" s="218" t="str">
        <x:f>IF(N141&lt;&gt;"","",IF(AND(G141&lt;&gt;"",H141&lt;&gt;"",J141&lt;&gt;""),ROUND(PPMT(H141,1,J141,-G141),0),""))</x:f>
      </x:c>
      <x:c r="L141" s="218" t="str">
        <x:f>IF(N141&lt;&gt;"","",IF(AND(G141&lt;&gt;"",H141&lt;&gt;""),ROUND(G141*H141,0),""))</x:f>
      </x:c>
      <x:c r="M141" s="218" t="str">
        <x:f>IF(N141&lt;&gt;"",N141,IF(AND(G141&lt;&gt;"",H141&lt;&gt;"",J141&lt;&gt;""),ROUND(PMT(H141,J141,-G141),0),""))</x:f>
      </x:c>
      <x:c r="N141" s="216"/>
      <x:c r="O141" s="215"/>
      <x:c r="P141" s="215"/>
      <x:c r="Q141" s="219" t="str">
        <x:f>IF(A141="","",IF(D141="No","Excluded",IF(AND(OR(F141="N/A",E141="No Debt / N/A"),G141=""),"No Debt / N/A",IF(M141&lt;&gt;"","Ready","Partial"))))</x:f>
      </x:c>
      <x:c r="R141" s="223"/>
    </x:row>
    <x:row r="142">
      <x:c r="A142" s="134"/>
      <x:c r="B142" s="134"/>
      <x:c r="C142" s="134"/>
      <x:c r="D142" s="215"/>
      <x:c r="E142" s="215"/>
      <x:c r="F142" s="215"/>
      <x:c r="G142" s="216"/>
      <x:c r="H142" s="221"/>
      <x:c r="I142" s="215"/>
      <x:c r="J142" s="215"/>
      <x:c r="K142" s="218" t="str">
        <x:f>IF(N142&lt;&gt;"","",IF(AND(G142&lt;&gt;"",H142&lt;&gt;"",J142&lt;&gt;""),ROUND(PPMT(H142,1,J142,-G142),0),""))</x:f>
      </x:c>
      <x:c r="L142" s="218" t="str">
        <x:f>IF(N142&lt;&gt;"","",IF(AND(G142&lt;&gt;"",H142&lt;&gt;""),ROUND(G142*H142,0),""))</x:f>
      </x:c>
      <x:c r="M142" s="218" t="str">
        <x:f>IF(N142&lt;&gt;"",N142,IF(AND(G142&lt;&gt;"",H142&lt;&gt;"",J142&lt;&gt;""),ROUND(PMT(H142,J142,-G142),0),""))</x:f>
      </x:c>
      <x:c r="N142" s="216"/>
      <x:c r="O142" s="215"/>
      <x:c r="P142" s="215"/>
      <x:c r="Q142" s="219" t="str">
        <x:f>IF(A142="","",IF(D142="No","Excluded",IF(AND(OR(F142="N/A",E142="No Debt / N/A"),G142=""),"No Debt / N/A",IF(M142&lt;&gt;"","Ready","Partial"))))</x:f>
      </x:c>
      <x:c r="R142" s="223"/>
    </x:row>
    <x:row r="143">
      <x:c r="A143" s="134"/>
      <x:c r="B143" s="134"/>
      <x:c r="C143" s="134"/>
      <x:c r="D143" s="215"/>
      <x:c r="E143" s="215"/>
      <x:c r="F143" s="215"/>
      <x:c r="G143" s="216"/>
      <x:c r="H143" s="221"/>
      <x:c r="I143" s="215"/>
      <x:c r="J143" s="215"/>
      <x:c r="K143" s="218" t="str">
        <x:f>IF(N143&lt;&gt;"","",IF(AND(G143&lt;&gt;"",H143&lt;&gt;"",J143&lt;&gt;""),ROUND(PPMT(H143,1,J143,-G143),0),""))</x:f>
      </x:c>
      <x:c r="L143" s="218" t="str">
        <x:f>IF(N143&lt;&gt;"","",IF(AND(G143&lt;&gt;"",H143&lt;&gt;""),ROUND(G143*H143,0),""))</x:f>
      </x:c>
      <x:c r="M143" s="218" t="str">
        <x:f>IF(N143&lt;&gt;"",N143,IF(AND(G143&lt;&gt;"",H143&lt;&gt;"",J143&lt;&gt;""),ROUND(PMT(H143,J143,-G143),0),""))</x:f>
      </x:c>
      <x:c r="N143" s="216"/>
      <x:c r="O143" s="215"/>
      <x:c r="P143" s="215"/>
      <x:c r="Q143" s="219" t="str">
        <x:f>IF(A143="","",IF(D143="No","Excluded",IF(AND(OR(F143="N/A",E143="No Debt / N/A"),G143=""),"No Debt / N/A",IF(M143&lt;&gt;"","Ready","Partial"))))</x:f>
      </x:c>
      <x:c r="R143" s="223"/>
    </x:row>
    <x:row r="144">
      <x:c r="A144" s="134"/>
      <x:c r="B144" s="134"/>
      <x:c r="C144" s="134"/>
      <x:c r="D144" s="215"/>
      <x:c r="E144" s="215"/>
      <x:c r="F144" s="215"/>
      <x:c r="G144" s="216"/>
      <x:c r="H144" s="221"/>
      <x:c r="I144" s="215"/>
      <x:c r="J144" s="215"/>
      <x:c r="K144" s="218" t="str">
        <x:f>IF(N144&lt;&gt;"","",IF(AND(G144&lt;&gt;"",H144&lt;&gt;"",J144&lt;&gt;""),ROUND(PPMT(H144,1,J144,-G144),0),""))</x:f>
      </x:c>
      <x:c r="L144" s="218" t="str">
        <x:f>IF(N144&lt;&gt;"","",IF(AND(G144&lt;&gt;"",H144&lt;&gt;""),ROUND(G144*H144,0),""))</x:f>
      </x:c>
      <x:c r="M144" s="218" t="str">
        <x:f>IF(N144&lt;&gt;"",N144,IF(AND(G144&lt;&gt;"",H144&lt;&gt;"",J144&lt;&gt;""),ROUND(PMT(H144,J144,-G144),0),""))</x:f>
      </x:c>
      <x:c r="N144" s="216"/>
      <x:c r="O144" s="215"/>
      <x:c r="P144" s="215"/>
      <x:c r="Q144" s="219" t="str">
        <x:f>IF(A144="","",IF(D144="No","Excluded",IF(AND(OR(F144="N/A",E144="No Debt / N/A"),G144=""),"No Debt / N/A",IF(M144&lt;&gt;"","Ready","Partial"))))</x:f>
      </x:c>
      <x:c r="R144" s="223"/>
    </x:row>
    <x:row r="145">
      <x:c r="A145" s="134"/>
      <x:c r="B145" s="134"/>
      <x:c r="C145" s="134"/>
      <x:c r="D145" s="215"/>
      <x:c r="E145" s="215"/>
      <x:c r="F145" s="215"/>
      <x:c r="G145" s="216"/>
      <x:c r="H145" s="221"/>
      <x:c r="I145" s="215"/>
      <x:c r="J145" s="215"/>
      <x:c r="K145" s="218" t="str">
        <x:f>IF(N145&lt;&gt;"","",IF(AND(G145&lt;&gt;"",H145&lt;&gt;"",J145&lt;&gt;""),ROUND(PPMT(H145,1,J145,-G145),0),""))</x:f>
      </x:c>
      <x:c r="L145" s="218" t="str">
        <x:f>IF(N145&lt;&gt;"","",IF(AND(G145&lt;&gt;"",H145&lt;&gt;""),ROUND(G145*H145,0),""))</x:f>
      </x:c>
      <x:c r="M145" s="218" t="str">
        <x:f>IF(N145&lt;&gt;"",N145,IF(AND(G145&lt;&gt;"",H145&lt;&gt;"",J145&lt;&gt;""),ROUND(PMT(H145,J145,-G145),0),""))</x:f>
      </x:c>
      <x:c r="N145" s="216"/>
      <x:c r="O145" s="215"/>
      <x:c r="P145" s="215"/>
      <x:c r="Q145" s="219" t="str">
        <x:f>IF(A145="","",IF(D145="No","Excluded",IF(AND(OR(F145="N/A",E145="No Debt / N/A"),G145=""),"No Debt / N/A",IF(M145&lt;&gt;"","Ready","Partial"))))</x:f>
      </x:c>
      <x:c r="R145" s="223"/>
    </x:row>
    <x:row r="146">
      <x:c r="A146" s="134"/>
      <x:c r="B146" s="134"/>
      <x:c r="C146" s="134"/>
      <x:c r="D146" s="215"/>
      <x:c r="E146" s="215"/>
      <x:c r="F146" s="215"/>
      <x:c r="G146" s="216"/>
      <x:c r="H146" s="221"/>
      <x:c r="I146" s="215"/>
      <x:c r="J146" s="215"/>
      <x:c r="K146" s="218" t="str">
        <x:f>IF(N146&lt;&gt;"","",IF(AND(G146&lt;&gt;"",H146&lt;&gt;"",J146&lt;&gt;""),ROUND(PPMT(H146,1,J146,-G146),0),""))</x:f>
      </x:c>
      <x:c r="L146" s="218" t="str">
        <x:f>IF(N146&lt;&gt;"","",IF(AND(G146&lt;&gt;"",H146&lt;&gt;""),ROUND(G146*H146,0),""))</x:f>
      </x:c>
      <x:c r="M146" s="218" t="str">
        <x:f>IF(N146&lt;&gt;"",N146,IF(AND(G146&lt;&gt;"",H146&lt;&gt;"",J146&lt;&gt;""),ROUND(PMT(H146,J146,-G146),0),""))</x:f>
      </x:c>
      <x:c r="N146" s="216"/>
      <x:c r="O146" s="215"/>
      <x:c r="P146" s="215"/>
      <x:c r="Q146" s="219" t="str">
        <x:f>IF(A146="","",IF(D146="No","Excluded",IF(AND(OR(F146="N/A",E146="No Debt / N/A"),G146=""),"No Debt / N/A",IF(M146&lt;&gt;"","Ready","Partial"))))</x:f>
      </x:c>
      <x:c r="R146" s="223"/>
    </x:row>
    <x:row r="147">
      <x:c r="A147" s="134"/>
      <x:c r="B147" s="134"/>
      <x:c r="C147" s="134"/>
      <x:c r="D147" s="215"/>
      <x:c r="E147" s="215"/>
      <x:c r="F147" s="215"/>
      <x:c r="G147" s="216"/>
      <x:c r="H147" s="221"/>
      <x:c r="I147" s="215"/>
      <x:c r="J147" s="215"/>
      <x:c r="K147" s="218" t="str">
        <x:f>IF(N147&lt;&gt;"","",IF(AND(G147&lt;&gt;"",H147&lt;&gt;"",J147&lt;&gt;""),ROUND(PPMT(H147,1,J147,-G147),0),""))</x:f>
      </x:c>
      <x:c r="L147" s="218" t="str">
        <x:f>IF(N147&lt;&gt;"","",IF(AND(G147&lt;&gt;"",H147&lt;&gt;""),ROUND(G147*H147,0),""))</x:f>
      </x:c>
      <x:c r="M147" s="218" t="str">
        <x:f>IF(N147&lt;&gt;"",N147,IF(AND(G147&lt;&gt;"",H147&lt;&gt;"",J147&lt;&gt;""),ROUND(PMT(H147,J147,-G147),0),""))</x:f>
      </x:c>
      <x:c r="N147" s="216"/>
      <x:c r="O147" s="215"/>
      <x:c r="P147" s="215"/>
      <x:c r="Q147" s="219" t="str">
        <x:f>IF(A147="","",IF(D147="No","Excluded",IF(AND(OR(F147="N/A",E147="No Debt / N/A"),G147=""),"No Debt / N/A",IF(M147&lt;&gt;"","Ready","Partial"))))</x:f>
      </x:c>
      <x:c r="R147" s="223"/>
    </x:row>
    <x:row r="148">
      <x:c r="A148" s="134"/>
      <x:c r="B148" s="134"/>
      <x:c r="C148" s="134"/>
      <x:c r="D148" s="215"/>
      <x:c r="E148" s="215"/>
      <x:c r="F148" s="215"/>
      <x:c r="G148" s="216"/>
      <x:c r="H148" s="221"/>
      <x:c r="I148" s="215"/>
      <x:c r="J148" s="215"/>
      <x:c r="K148" s="218" t="str">
        <x:f>IF(N148&lt;&gt;"","",IF(AND(G148&lt;&gt;"",H148&lt;&gt;"",J148&lt;&gt;""),ROUND(PPMT(H148,1,J148,-G148),0),""))</x:f>
      </x:c>
      <x:c r="L148" s="218" t="str">
        <x:f>IF(N148&lt;&gt;"","",IF(AND(G148&lt;&gt;"",H148&lt;&gt;""),ROUND(G148*H148,0),""))</x:f>
      </x:c>
      <x:c r="M148" s="218" t="str">
        <x:f>IF(N148&lt;&gt;"",N148,IF(AND(G148&lt;&gt;"",H148&lt;&gt;"",J148&lt;&gt;""),ROUND(PMT(H148,J148,-G148),0),""))</x:f>
      </x:c>
      <x:c r="N148" s="216"/>
      <x:c r="O148" s="215"/>
      <x:c r="P148" s="215"/>
      <x:c r="Q148" s="219" t="str">
        <x:f>IF(A148="","",IF(D148="No","Excluded",IF(AND(OR(F148="N/A",E148="No Debt / N/A"),G148=""),"No Debt / N/A",IF(M148&lt;&gt;"","Ready","Partial"))))</x:f>
      </x:c>
      <x:c r="R148" s="223"/>
    </x:row>
    <x:row r="149">
      <x:c r="A149" s="134"/>
      <x:c r="B149" s="134"/>
      <x:c r="C149" s="134"/>
      <x:c r="D149" s="215"/>
      <x:c r="E149" s="215"/>
      <x:c r="F149" s="215"/>
      <x:c r="G149" s="216"/>
      <x:c r="H149" s="221"/>
      <x:c r="I149" s="215"/>
      <x:c r="J149" s="215"/>
      <x:c r="K149" s="218" t="str">
        <x:f>IF(N149&lt;&gt;"","",IF(AND(G149&lt;&gt;"",H149&lt;&gt;"",J149&lt;&gt;""),ROUND(PPMT(H149,1,J149,-G149),0),""))</x:f>
      </x:c>
      <x:c r="L149" s="218" t="str">
        <x:f>IF(N149&lt;&gt;"","",IF(AND(G149&lt;&gt;"",H149&lt;&gt;""),ROUND(G149*H149,0),""))</x:f>
      </x:c>
      <x:c r="M149" s="218" t="str">
        <x:f>IF(N149&lt;&gt;"",N149,IF(AND(G149&lt;&gt;"",H149&lt;&gt;"",J149&lt;&gt;""),ROUND(PMT(H149,J149,-G149),0),""))</x:f>
      </x:c>
      <x:c r="N149" s="216"/>
      <x:c r="O149" s="215"/>
      <x:c r="P149" s="215"/>
      <x:c r="Q149" s="219" t="str">
        <x:f>IF(A149="","",IF(D149="No","Excluded",IF(AND(OR(F149="N/A",E149="No Debt / N/A"),G149=""),"No Debt / N/A",IF(M149&lt;&gt;"","Ready","Partial"))))</x:f>
      </x:c>
      <x:c r="R149" s="223"/>
    </x:row>
    <x:row r="150">
      <x:c r="A150" s="134"/>
      <x:c r="B150" s="134"/>
      <x:c r="C150" s="134"/>
      <x:c r="D150" s="215"/>
      <x:c r="E150" s="215"/>
      <x:c r="F150" s="215"/>
      <x:c r="G150" s="216"/>
      <x:c r="H150" s="221"/>
      <x:c r="I150" s="215"/>
      <x:c r="J150" s="215"/>
      <x:c r="K150" s="218" t="str">
        <x:f>IF(N150&lt;&gt;"","",IF(AND(G150&lt;&gt;"",H150&lt;&gt;"",J150&lt;&gt;""),ROUND(PPMT(H150,1,J150,-G150),0),""))</x:f>
      </x:c>
      <x:c r="L150" s="218" t="str">
        <x:f>IF(N150&lt;&gt;"","",IF(AND(G150&lt;&gt;"",H150&lt;&gt;""),ROUND(G150*H150,0),""))</x:f>
      </x:c>
      <x:c r="M150" s="218" t="str">
        <x:f>IF(N150&lt;&gt;"",N150,IF(AND(G150&lt;&gt;"",H150&lt;&gt;"",J150&lt;&gt;""),ROUND(PMT(H150,J150,-G150),0),""))</x:f>
      </x:c>
      <x:c r="N150" s="216"/>
      <x:c r="O150" s="215"/>
      <x:c r="P150" s="215"/>
      <x:c r="Q150" s="219" t="str">
        <x:f>IF(A150="","",IF(D150="No","Excluded",IF(AND(OR(F150="N/A",E150="No Debt / N/A"),G150=""),"No Debt / N/A",IF(M150&lt;&gt;"","Ready","Partial"))))</x:f>
      </x:c>
      <x:c r="R150" s="223"/>
    </x:row>
    <x:row r="151">
      <x:c r="A151" s="134"/>
      <x:c r="B151" s="134"/>
      <x:c r="C151" s="134"/>
      <x:c r="D151" s="215"/>
      <x:c r="E151" s="215"/>
      <x:c r="F151" s="215"/>
      <x:c r="G151" s="216"/>
      <x:c r="H151" s="221"/>
      <x:c r="I151" s="215"/>
      <x:c r="J151" s="215"/>
      <x:c r="K151" s="218" t="str">
        <x:f>IF(N151&lt;&gt;"","",IF(AND(G151&lt;&gt;"",H151&lt;&gt;"",J151&lt;&gt;""),ROUND(PPMT(H151,1,J151,-G151),0),""))</x:f>
      </x:c>
      <x:c r="L151" s="218" t="str">
        <x:f>IF(N151&lt;&gt;"","",IF(AND(G151&lt;&gt;"",H151&lt;&gt;""),ROUND(G151*H151,0),""))</x:f>
      </x:c>
      <x:c r="M151" s="218" t="str">
        <x:f>IF(N151&lt;&gt;"",N151,IF(AND(G151&lt;&gt;"",H151&lt;&gt;"",J151&lt;&gt;""),ROUND(PMT(H151,J151,-G151),0),""))</x:f>
      </x:c>
      <x:c r="N151" s="216"/>
      <x:c r="O151" s="215"/>
      <x:c r="P151" s="215"/>
      <x:c r="Q151" s="219" t="str">
        <x:f>IF(A151="","",IF(D151="No","Excluded",IF(AND(OR(F151="N/A",E151="No Debt / N/A"),G151=""),"No Debt / N/A",IF(M151&lt;&gt;"","Ready","Partial"))))</x:f>
      </x:c>
      <x:c r="R151" s="223"/>
    </x:row>
    <x:row r="152">
      <x:c r="A152" s="134"/>
      <x:c r="B152" s="134"/>
      <x:c r="C152" s="134"/>
      <x:c r="D152" s="215"/>
      <x:c r="E152" s="215"/>
      <x:c r="F152" s="215"/>
      <x:c r="G152" s="216"/>
      <x:c r="H152" s="221"/>
      <x:c r="I152" s="215"/>
      <x:c r="J152" s="215"/>
      <x:c r="K152" s="218" t="str">
        <x:f>IF(N152&lt;&gt;"","",IF(AND(G152&lt;&gt;"",H152&lt;&gt;"",J152&lt;&gt;""),ROUND(PPMT(H152,1,J152,-G152),0),""))</x:f>
      </x:c>
      <x:c r="L152" s="218" t="str">
        <x:f>IF(N152&lt;&gt;"","",IF(AND(G152&lt;&gt;"",H152&lt;&gt;""),ROUND(G152*H152,0),""))</x:f>
      </x:c>
      <x:c r="M152" s="218" t="str">
        <x:f>IF(N152&lt;&gt;"",N152,IF(AND(G152&lt;&gt;"",H152&lt;&gt;"",J152&lt;&gt;""),ROUND(PMT(H152,J152,-G152),0),""))</x:f>
      </x:c>
      <x:c r="N152" s="216"/>
      <x:c r="O152" s="215"/>
      <x:c r="P152" s="215"/>
      <x:c r="Q152" s="219" t="str">
        <x:f>IF(A152="","",IF(D152="No","Excluded",IF(AND(OR(F152="N/A",E152="No Debt / N/A"),G152=""),"No Debt / N/A",IF(M152&lt;&gt;"","Ready","Partial"))))</x:f>
      </x:c>
      <x:c r="R152" s="223"/>
    </x:row>
    <x:row r="153">
      <x:c r="A153" s="134"/>
      <x:c r="B153" s="134"/>
      <x:c r="C153" s="134"/>
      <x:c r="D153" s="215"/>
      <x:c r="E153" s="215"/>
      <x:c r="F153" s="215"/>
      <x:c r="G153" s="216"/>
      <x:c r="H153" s="221"/>
      <x:c r="I153" s="215"/>
      <x:c r="J153" s="215"/>
      <x:c r="K153" s="218" t="str">
        <x:f>IF(N153&lt;&gt;"","",IF(AND(G153&lt;&gt;"",H153&lt;&gt;"",J153&lt;&gt;""),ROUND(PPMT(H153,1,J153,-G153),0),""))</x:f>
      </x:c>
      <x:c r="L153" s="218" t="str">
        <x:f>IF(N153&lt;&gt;"","",IF(AND(G153&lt;&gt;"",H153&lt;&gt;""),ROUND(G153*H153,0),""))</x:f>
      </x:c>
      <x:c r="M153" s="218" t="str">
        <x:f>IF(N153&lt;&gt;"",N153,IF(AND(G153&lt;&gt;"",H153&lt;&gt;"",J153&lt;&gt;""),ROUND(PMT(H153,J153,-G153),0),""))</x:f>
      </x:c>
      <x:c r="N153" s="216"/>
      <x:c r="O153" s="215"/>
      <x:c r="P153" s="215"/>
      <x:c r="Q153" s="219" t="str">
        <x:f>IF(A153="","",IF(D153="No","Excluded",IF(AND(OR(F153="N/A",E153="No Debt / N/A"),G153=""),"No Debt / N/A",IF(M153&lt;&gt;"","Ready","Partial"))))</x:f>
      </x:c>
      <x:c r="R153" s="223"/>
    </x:row>
    <x:row r="154">
      <x:c r="A154" s="134"/>
      <x:c r="B154" s="134"/>
      <x:c r="C154" s="134"/>
      <x:c r="D154" s="215"/>
      <x:c r="E154" s="215"/>
      <x:c r="F154" s="215"/>
      <x:c r="G154" s="216"/>
      <x:c r="H154" s="221"/>
      <x:c r="I154" s="215"/>
      <x:c r="J154" s="215"/>
      <x:c r="K154" s="218" t="str">
        <x:f>IF(N154&lt;&gt;"","",IF(AND(G154&lt;&gt;"",H154&lt;&gt;"",J154&lt;&gt;""),ROUND(PPMT(H154,1,J154,-G154),0),""))</x:f>
      </x:c>
      <x:c r="L154" s="218" t="str">
        <x:f>IF(N154&lt;&gt;"","",IF(AND(G154&lt;&gt;"",H154&lt;&gt;""),ROUND(G154*H154,0),""))</x:f>
      </x:c>
      <x:c r="M154" s="218" t="str">
        <x:f>IF(N154&lt;&gt;"",N154,IF(AND(G154&lt;&gt;"",H154&lt;&gt;"",J154&lt;&gt;""),ROUND(PMT(H154,J154,-G154),0),""))</x:f>
      </x:c>
      <x:c r="N154" s="216"/>
      <x:c r="O154" s="215"/>
      <x:c r="P154" s="215"/>
      <x:c r="Q154" s="219" t="str">
        <x:f>IF(A154="","",IF(D154="No","Excluded",IF(AND(OR(F154="N/A",E154="No Debt / N/A"),G154=""),"No Debt / N/A",IF(M154&lt;&gt;"","Ready","Partial"))))</x:f>
      </x:c>
      <x:c r="R154" s="223"/>
    </x:row>
    <x:row r="155">
      <x:c r="A155" s="134"/>
      <x:c r="B155" s="134"/>
      <x:c r="C155" s="134"/>
      <x:c r="D155" s="215"/>
      <x:c r="E155" s="215"/>
      <x:c r="F155" s="215"/>
      <x:c r="G155" s="216"/>
      <x:c r="H155" s="221"/>
      <x:c r="I155" s="215"/>
      <x:c r="J155" s="215"/>
      <x:c r="K155" s="218" t="str">
        <x:f>IF(N155&lt;&gt;"","",IF(AND(G155&lt;&gt;"",H155&lt;&gt;"",J155&lt;&gt;""),ROUND(PPMT(H155,1,J155,-G155),0),""))</x:f>
      </x:c>
      <x:c r="L155" s="218" t="str">
        <x:f>IF(N155&lt;&gt;"","",IF(AND(G155&lt;&gt;"",H155&lt;&gt;""),ROUND(G155*H155,0),""))</x:f>
      </x:c>
      <x:c r="M155" s="218" t="str">
        <x:f>IF(N155&lt;&gt;"",N155,IF(AND(G155&lt;&gt;"",H155&lt;&gt;"",J155&lt;&gt;""),ROUND(PMT(H155,J155,-G155),0),""))</x:f>
      </x:c>
      <x:c r="N155" s="216"/>
      <x:c r="O155" s="215"/>
      <x:c r="P155" s="215"/>
      <x:c r="Q155" s="219" t="str">
        <x:f>IF(A155="","",IF(D155="No","Excluded",IF(AND(OR(F155="N/A",E155="No Debt / N/A"),G155=""),"No Debt / N/A",IF(M155&lt;&gt;"","Ready","Partial"))))</x:f>
      </x:c>
      <x:c r="R155" s="223"/>
    </x:row>
    <x:row r="156">
      <x:c r="A156" s="134"/>
      <x:c r="B156" s="134"/>
      <x:c r="C156" s="134"/>
      <x:c r="D156" s="215"/>
      <x:c r="E156" s="215"/>
      <x:c r="F156" s="215"/>
      <x:c r="G156" s="216"/>
      <x:c r="H156" s="221"/>
      <x:c r="I156" s="215"/>
      <x:c r="J156" s="215"/>
      <x:c r="K156" s="218" t="str">
        <x:f>IF(N156&lt;&gt;"","",IF(AND(G156&lt;&gt;"",H156&lt;&gt;"",J156&lt;&gt;""),ROUND(PPMT(H156,1,J156,-G156),0),""))</x:f>
      </x:c>
      <x:c r="L156" s="218" t="str">
        <x:f>IF(N156&lt;&gt;"","",IF(AND(G156&lt;&gt;"",H156&lt;&gt;""),ROUND(G156*H156,0),""))</x:f>
      </x:c>
      <x:c r="M156" s="218" t="str">
        <x:f>IF(N156&lt;&gt;"",N156,IF(AND(G156&lt;&gt;"",H156&lt;&gt;"",J156&lt;&gt;""),ROUND(PMT(H156,J156,-G156),0),""))</x:f>
      </x:c>
      <x:c r="N156" s="216"/>
      <x:c r="O156" s="215"/>
      <x:c r="P156" s="215"/>
      <x:c r="Q156" s="219" t="str">
        <x:f>IF(A156="","",IF(D156="No","Excluded",IF(AND(OR(F156="N/A",E156="No Debt / N/A"),G156=""),"No Debt / N/A",IF(M156&lt;&gt;"","Ready","Partial"))))</x:f>
      </x:c>
      <x:c r="R156" s="223"/>
    </x:row>
    <x:row r="157">
      <x:c r="A157" s="134"/>
      <x:c r="B157" s="134"/>
      <x:c r="C157" s="134"/>
      <x:c r="D157" s="215"/>
      <x:c r="E157" s="215"/>
      <x:c r="F157" s="215"/>
      <x:c r="G157" s="216"/>
      <x:c r="H157" s="221"/>
      <x:c r="I157" s="215"/>
      <x:c r="J157" s="215"/>
      <x:c r="K157" s="218" t="str">
        <x:f>IF(N157&lt;&gt;"","",IF(AND(G157&lt;&gt;"",H157&lt;&gt;"",J157&lt;&gt;""),ROUND(PPMT(H157,1,J157,-G157),0),""))</x:f>
      </x:c>
      <x:c r="L157" s="218" t="str">
        <x:f>IF(N157&lt;&gt;"","",IF(AND(G157&lt;&gt;"",H157&lt;&gt;""),ROUND(G157*H157,0),""))</x:f>
      </x:c>
      <x:c r="M157" s="218" t="str">
        <x:f>IF(N157&lt;&gt;"",N157,IF(AND(G157&lt;&gt;"",H157&lt;&gt;"",J157&lt;&gt;""),ROUND(PMT(H157,J157,-G157),0),""))</x:f>
      </x:c>
      <x:c r="N157" s="216"/>
      <x:c r="O157" s="215"/>
      <x:c r="P157" s="215"/>
      <x:c r="Q157" s="219" t="str">
        <x:f>IF(A157="","",IF(D157="No","Excluded",IF(AND(OR(F157="N/A",E157="No Debt / N/A"),G157=""),"No Debt / N/A",IF(M157&lt;&gt;"","Ready","Partial"))))</x:f>
      </x:c>
      <x:c r="R157" s="223"/>
    </x:row>
    <x:row r="158">
      <x:c r="A158" s="134"/>
      <x:c r="B158" s="134"/>
      <x:c r="C158" s="134"/>
      <x:c r="D158" s="215"/>
      <x:c r="E158" s="215"/>
      <x:c r="F158" s="215"/>
      <x:c r="G158" s="216"/>
      <x:c r="H158" s="221"/>
      <x:c r="I158" s="215"/>
      <x:c r="J158" s="215"/>
      <x:c r="K158" s="218" t="str">
        <x:f>IF(N158&lt;&gt;"","",IF(AND(G158&lt;&gt;"",H158&lt;&gt;"",J158&lt;&gt;""),ROUND(PPMT(H158,1,J158,-G158),0),""))</x:f>
      </x:c>
      <x:c r="L158" s="218" t="str">
        <x:f>IF(N158&lt;&gt;"","",IF(AND(G158&lt;&gt;"",H158&lt;&gt;""),ROUND(G158*H158,0),""))</x:f>
      </x:c>
      <x:c r="M158" s="218" t="str">
        <x:f>IF(N158&lt;&gt;"",N158,IF(AND(G158&lt;&gt;"",H158&lt;&gt;"",J158&lt;&gt;""),ROUND(PMT(H158,J158,-G158),0),""))</x:f>
      </x:c>
      <x:c r="N158" s="216"/>
      <x:c r="O158" s="215"/>
      <x:c r="P158" s="215"/>
      <x:c r="Q158" s="219" t="str">
        <x:f>IF(A158="","",IF(D158="No","Excluded",IF(AND(OR(F158="N/A",E158="No Debt / N/A"),G158=""),"No Debt / N/A",IF(M158&lt;&gt;"","Ready","Partial"))))</x:f>
      </x:c>
      <x:c r="R158" s="223"/>
    </x:row>
    <x:row r="159">
      <x:c r="A159" s="134"/>
      <x:c r="B159" s="134"/>
      <x:c r="C159" s="134"/>
      <x:c r="D159" s="215"/>
      <x:c r="E159" s="215"/>
      <x:c r="F159" s="215"/>
      <x:c r="G159" s="216"/>
      <x:c r="H159" s="221"/>
      <x:c r="I159" s="215"/>
      <x:c r="J159" s="215"/>
      <x:c r="K159" s="218" t="str">
        <x:f>IF(N159&lt;&gt;"","",IF(AND(G159&lt;&gt;"",H159&lt;&gt;"",J159&lt;&gt;""),ROUND(PPMT(H159,1,J159,-G159),0),""))</x:f>
      </x:c>
      <x:c r="L159" s="218" t="str">
        <x:f>IF(N159&lt;&gt;"","",IF(AND(G159&lt;&gt;"",H159&lt;&gt;""),ROUND(G159*H159,0),""))</x:f>
      </x:c>
      <x:c r="M159" s="218" t="str">
        <x:f>IF(N159&lt;&gt;"",N159,IF(AND(G159&lt;&gt;"",H159&lt;&gt;"",J159&lt;&gt;""),ROUND(PMT(H159,J159,-G159),0),""))</x:f>
      </x:c>
      <x:c r="N159" s="216"/>
      <x:c r="O159" s="215"/>
      <x:c r="P159" s="215"/>
      <x:c r="Q159" s="219" t="str">
        <x:f>IF(A159="","",IF(D159="No","Excluded",IF(AND(OR(F159="N/A",E159="No Debt / N/A"),G159=""),"No Debt / N/A",IF(M159&lt;&gt;"","Ready","Partial"))))</x:f>
      </x:c>
      <x:c r="R159" s="223"/>
    </x:row>
    <x:row r="160">
      <x:c r="A160" s="134"/>
      <x:c r="B160" s="134"/>
      <x:c r="C160" s="134"/>
      <x:c r="D160" s="215"/>
      <x:c r="E160" s="215"/>
      <x:c r="F160" s="215"/>
      <x:c r="G160" s="216"/>
      <x:c r="H160" s="221"/>
      <x:c r="I160" s="215"/>
      <x:c r="J160" s="215"/>
      <x:c r="K160" s="218" t="str">
        <x:f>IF(N160&lt;&gt;"","",IF(AND(G160&lt;&gt;"",H160&lt;&gt;"",J160&lt;&gt;""),ROUND(PPMT(H160,1,J160,-G160),0),""))</x:f>
      </x:c>
      <x:c r="L160" s="218" t="str">
        <x:f>IF(N160&lt;&gt;"","",IF(AND(G160&lt;&gt;"",H160&lt;&gt;""),ROUND(G160*H160,0),""))</x:f>
      </x:c>
      <x:c r="M160" s="218" t="str">
        <x:f>IF(N160&lt;&gt;"",N160,IF(AND(G160&lt;&gt;"",H160&lt;&gt;"",J160&lt;&gt;""),ROUND(PMT(H160,J160,-G160),0),""))</x:f>
      </x:c>
      <x:c r="N160" s="216"/>
      <x:c r="O160" s="215"/>
      <x:c r="P160" s="215"/>
      <x:c r="Q160" s="219" t="str">
        <x:f>IF(A160="","",IF(D160="No","Excluded",IF(AND(OR(F160="N/A",E160="No Debt / N/A"),G160=""),"No Debt / N/A",IF(M160&lt;&gt;"","Ready","Partial"))))</x:f>
      </x:c>
      <x:c r="R160" s="223"/>
    </x:row>
    <x:row r="161">
      <x:c r="A161" s="134"/>
      <x:c r="B161" s="134"/>
      <x:c r="C161" s="134"/>
      <x:c r="D161" s="215"/>
      <x:c r="E161" s="215"/>
      <x:c r="F161" s="215"/>
      <x:c r="G161" s="216"/>
      <x:c r="H161" s="221"/>
      <x:c r="I161" s="215"/>
      <x:c r="J161" s="215"/>
      <x:c r="K161" s="218" t="str">
        <x:f>IF(N161&lt;&gt;"","",IF(AND(G161&lt;&gt;"",H161&lt;&gt;"",J161&lt;&gt;""),ROUND(PPMT(H161,1,J161,-G161),0),""))</x:f>
      </x:c>
      <x:c r="L161" s="218" t="str">
        <x:f>IF(N161&lt;&gt;"","",IF(AND(G161&lt;&gt;"",H161&lt;&gt;""),ROUND(G161*H161,0),""))</x:f>
      </x:c>
      <x:c r="M161" s="218" t="str">
        <x:f>IF(N161&lt;&gt;"",N161,IF(AND(G161&lt;&gt;"",H161&lt;&gt;"",J161&lt;&gt;""),ROUND(PMT(H161,J161,-G161),0),""))</x:f>
      </x:c>
      <x:c r="N161" s="216"/>
      <x:c r="O161" s="215"/>
      <x:c r="P161" s="215"/>
      <x:c r="Q161" s="219" t="str">
        <x:f>IF(A161="","",IF(D161="No","Excluded",IF(AND(OR(F161="N/A",E161="No Debt / N/A"),G161=""),"No Debt / N/A",IF(M161&lt;&gt;"","Ready","Partial"))))</x:f>
      </x:c>
      <x:c r="R161" s="223"/>
    </x:row>
    <x:row r="162">
      <x:c r="A162" s="134"/>
      <x:c r="B162" s="134"/>
      <x:c r="C162" s="134"/>
      <x:c r="D162" s="215"/>
      <x:c r="E162" s="215"/>
      <x:c r="F162" s="215"/>
      <x:c r="G162" s="216"/>
      <x:c r="H162" s="221"/>
      <x:c r="I162" s="215"/>
      <x:c r="J162" s="215"/>
      <x:c r="K162" s="218" t="str">
        <x:f>IF(N162&lt;&gt;"","",IF(AND(G162&lt;&gt;"",H162&lt;&gt;"",J162&lt;&gt;""),ROUND(PPMT(H162,1,J162,-G162),0),""))</x:f>
      </x:c>
      <x:c r="L162" s="218" t="str">
        <x:f>IF(N162&lt;&gt;"","",IF(AND(G162&lt;&gt;"",H162&lt;&gt;""),ROUND(G162*H162,0),""))</x:f>
      </x:c>
      <x:c r="M162" s="218" t="str">
        <x:f>IF(N162&lt;&gt;"",N162,IF(AND(G162&lt;&gt;"",H162&lt;&gt;"",J162&lt;&gt;""),ROUND(PMT(H162,J162,-G162),0),""))</x:f>
      </x:c>
      <x:c r="N162" s="216"/>
      <x:c r="O162" s="215"/>
      <x:c r="P162" s="215"/>
      <x:c r="Q162" s="219" t="str">
        <x:f>IF(A162="","",IF(D162="No","Excluded",IF(AND(OR(F162="N/A",E162="No Debt / N/A"),G162=""),"No Debt / N/A",IF(M162&lt;&gt;"","Ready","Partial"))))</x:f>
      </x:c>
      <x:c r="R162" s="223"/>
    </x:row>
    <x:row r="163">
      <x:c r="A163" s="134"/>
      <x:c r="B163" s="134"/>
      <x:c r="C163" s="134"/>
      <x:c r="D163" s="215"/>
      <x:c r="E163" s="215"/>
      <x:c r="F163" s="215"/>
      <x:c r="G163" s="216"/>
      <x:c r="H163" s="221"/>
      <x:c r="I163" s="215"/>
      <x:c r="J163" s="215"/>
      <x:c r="K163" s="218" t="str">
        <x:f>IF(N163&lt;&gt;"","",IF(AND(G163&lt;&gt;"",H163&lt;&gt;"",J163&lt;&gt;""),ROUND(PPMT(H163,1,J163,-G163),0),""))</x:f>
      </x:c>
      <x:c r="L163" s="218" t="str">
        <x:f>IF(N163&lt;&gt;"","",IF(AND(G163&lt;&gt;"",H163&lt;&gt;""),ROUND(G163*H163,0),""))</x:f>
      </x:c>
      <x:c r="M163" s="218" t="str">
        <x:f>IF(N163&lt;&gt;"",N163,IF(AND(G163&lt;&gt;"",H163&lt;&gt;"",J163&lt;&gt;""),ROUND(PMT(H163,J163,-G163),0),""))</x:f>
      </x:c>
      <x:c r="N163" s="216"/>
      <x:c r="O163" s="215"/>
      <x:c r="P163" s="215"/>
      <x:c r="Q163" s="219" t="str">
        <x:f>IF(A163="","",IF(D163="No","Excluded",IF(AND(OR(F163="N/A",E163="No Debt / N/A"),G163=""),"No Debt / N/A",IF(M163&lt;&gt;"","Ready","Partial"))))</x:f>
      </x:c>
      <x:c r="R163" s="223"/>
    </x:row>
    <x:row r="164">
      <x:c r="A164" s="134"/>
      <x:c r="B164" s="134"/>
      <x:c r="C164" s="134"/>
      <x:c r="D164" s="215"/>
      <x:c r="E164" s="215"/>
      <x:c r="F164" s="215"/>
      <x:c r="G164" s="216"/>
      <x:c r="H164" s="221"/>
      <x:c r="I164" s="215"/>
      <x:c r="J164" s="215"/>
      <x:c r="K164" s="218" t="str">
        <x:f>IF(N164&lt;&gt;"","",IF(AND(G164&lt;&gt;"",H164&lt;&gt;"",J164&lt;&gt;""),ROUND(PPMT(H164,1,J164,-G164),0),""))</x:f>
      </x:c>
      <x:c r="L164" s="218" t="str">
        <x:f>IF(N164&lt;&gt;"","",IF(AND(G164&lt;&gt;"",H164&lt;&gt;""),ROUND(G164*H164,0),""))</x:f>
      </x:c>
      <x:c r="M164" s="218" t="str">
        <x:f>IF(N164&lt;&gt;"",N164,IF(AND(G164&lt;&gt;"",H164&lt;&gt;"",J164&lt;&gt;""),ROUND(PMT(H164,J164,-G164),0),""))</x:f>
      </x:c>
      <x:c r="N164" s="216"/>
      <x:c r="O164" s="215"/>
      <x:c r="P164" s="215"/>
      <x:c r="Q164" s="219" t="str">
        <x:f>IF(A164="","",IF(D164="No","Excluded",IF(AND(OR(F164="N/A",E164="No Debt / N/A"),G164=""),"No Debt / N/A",IF(M164&lt;&gt;"","Ready","Partial"))))</x:f>
      </x:c>
      <x:c r="R164" s="223"/>
    </x:row>
    <x:row r="165">
      <x:c r="A165" s="134"/>
      <x:c r="B165" s="134"/>
      <x:c r="C165" s="134"/>
      <x:c r="D165" s="215"/>
      <x:c r="E165" s="215"/>
      <x:c r="F165" s="215"/>
      <x:c r="G165" s="216"/>
      <x:c r="H165" s="221"/>
      <x:c r="I165" s="215"/>
      <x:c r="J165" s="215"/>
      <x:c r="K165" s="218" t="str">
        <x:f>IF(N165&lt;&gt;"","",IF(AND(G165&lt;&gt;"",H165&lt;&gt;"",J165&lt;&gt;""),ROUND(PPMT(H165,1,J165,-G165),0),""))</x:f>
      </x:c>
      <x:c r="L165" s="218" t="str">
        <x:f>IF(N165&lt;&gt;"","",IF(AND(G165&lt;&gt;"",H165&lt;&gt;""),ROUND(G165*H165,0),""))</x:f>
      </x:c>
      <x:c r="M165" s="218" t="str">
        <x:f>IF(N165&lt;&gt;"",N165,IF(AND(G165&lt;&gt;"",H165&lt;&gt;"",J165&lt;&gt;""),ROUND(PMT(H165,J165,-G165),0),""))</x:f>
      </x:c>
      <x:c r="N165" s="216"/>
      <x:c r="O165" s="215"/>
      <x:c r="P165" s="215"/>
      <x:c r="Q165" s="219" t="str">
        <x:f>IF(A165="","",IF(D165="No","Excluded",IF(AND(OR(F165="N/A",E165="No Debt / N/A"),G165=""),"No Debt / N/A",IF(M165&lt;&gt;"","Ready","Partial"))))</x:f>
      </x:c>
      <x:c r="R165" s="223"/>
    </x:row>
    <x:row r="166">
      <x:c r="A166" s="134"/>
      <x:c r="B166" s="134"/>
      <x:c r="C166" s="134"/>
      <x:c r="D166" s="215"/>
      <x:c r="E166" s="215"/>
      <x:c r="F166" s="215"/>
      <x:c r="G166" s="216"/>
      <x:c r="H166" s="221"/>
      <x:c r="I166" s="215"/>
      <x:c r="J166" s="215"/>
      <x:c r="K166" s="218" t="str">
        <x:f>IF(N166&lt;&gt;"","",IF(AND(G166&lt;&gt;"",H166&lt;&gt;"",J166&lt;&gt;""),ROUND(PPMT(H166,1,J166,-G166),0),""))</x:f>
      </x:c>
      <x:c r="L166" s="218" t="str">
        <x:f>IF(N166&lt;&gt;"","",IF(AND(G166&lt;&gt;"",H166&lt;&gt;""),ROUND(G166*H166,0),""))</x:f>
      </x:c>
      <x:c r="M166" s="218" t="str">
        <x:f>IF(N166&lt;&gt;"",N166,IF(AND(G166&lt;&gt;"",H166&lt;&gt;"",J166&lt;&gt;""),ROUND(PMT(H166,J166,-G166),0),""))</x:f>
      </x:c>
      <x:c r="N166" s="216"/>
      <x:c r="O166" s="215"/>
      <x:c r="P166" s="215"/>
      <x:c r="Q166" s="219" t="str">
        <x:f>IF(A166="","",IF(D166="No","Excluded",IF(AND(OR(F166="N/A",E166="No Debt / N/A"),G166=""),"No Debt / N/A",IF(M166&lt;&gt;"","Ready","Partial"))))</x:f>
      </x:c>
      <x:c r="R166" s="223"/>
    </x:row>
    <x:row r="167">
      <x:c r="A167" s="134"/>
      <x:c r="B167" s="134"/>
      <x:c r="C167" s="134"/>
      <x:c r="D167" s="215"/>
      <x:c r="E167" s="215"/>
      <x:c r="F167" s="215"/>
      <x:c r="G167" s="216"/>
      <x:c r="H167" s="221"/>
      <x:c r="I167" s="215"/>
      <x:c r="J167" s="215"/>
      <x:c r="K167" s="218" t="str">
        <x:f>IF(N167&lt;&gt;"","",IF(AND(G167&lt;&gt;"",H167&lt;&gt;"",J167&lt;&gt;""),ROUND(PPMT(H167,1,J167,-G167),0),""))</x:f>
      </x:c>
      <x:c r="L167" s="218" t="str">
        <x:f>IF(N167&lt;&gt;"","",IF(AND(G167&lt;&gt;"",H167&lt;&gt;""),ROUND(G167*H167,0),""))</x:f>
      </x:c>
      <x:c r="M167" s="218" t="str">
        <x:f>IF(N167&lt;&gt;"",N167,IF(AND(G167&lt;&gt;"",H167&lt;&gt;"",J167&lt;&gt;""),ROUND(PMT(H167,J167,-G167),0),""))</x:f>
      </x:c>
      <x:c r="N167" s="216"/>
      <x:c r="O167" s="215"/>
      <x:c r="P167" s="215"/>
      <x:c r="Q167" s="219" t="str">
        <x:f>IF(A167="","",IF(D167="No","Excluded",IF(AND(OR(F167="N/A",E167="No Debt / N/A"),G167=""),"No Debt / N/A",IF(M167&lt;&gt;"","Ready","Partial"))))</x:f>
      </x:c>
      <x:c r="R167" s="223"/>
    </x:row>
    <x:row r="168">
      <x:c r="A168" s="134"/>
      <x:c r="B168" s="134"/>
      <x:c r="C168" s="134"/>
      <x:c r="D168" s="215"/>
      <x:c r="E168" s="215"/>
      <x:c r="F168" s="215"/>
      <x:c r="G168" s="216"/>
      <x:c r="H168" s="221"/>
      <x:c r="I168" s="215"/>
      <x:c r="J168" s="215"/>
      <x:c r="K168" s="218" t="str">
        <x:f>IF(N168&lt;&gt;"","",IF(AND(G168&lt;&gt;"",H168&lt;&gt;"",J168&lt;&gt;""),ROUND(PPMT(H168,1,J168,-G168),0),""))</x:f>
      </x:c>
      <x:c r="L168" s="218" t="str">
        <x:f>IF(N168&lt;&gt;"","",IF(AND(G168&lt;&gt;"",H168&lt;&gt;""),ROUND(G168*H168,0),""))</x:f>
      </x:c>
      <x:c r="M168" s="218" t="str">
        <x:f>IF(N168&lt;&gt;"",N168,IF(AND(G168&lt;&gt;"",H168&lt;&gt;"",J168&lt;&gt;""),ROUND(PMT(H168,J168,-G168),0),""))</x:f>
      </x:c>
      <x:c r="N168" s="216"/>
      <x:c r="O168" s="215"/>
      <x:c r="P168" s="215"/>
      <x:c r="Q168" s="219" t="str">
        <x:f>IF(A168="","",IF(D168="No","Excluded",IF(AND(OR(F168="N/A",E168="No Debt / N/A"),G168=""),"No Debt / N/A",IF(M168&lt;&gt;"","Ready","Partial"))))</x:f>
      </x:c>
      <x:c r="R168" s="223"/>
    </x:row>
    <x:row r="169">
      <x:c r="A169" s="134"/>
      <x:c r="B169" s="134"/>
      <x:c r="C169" s="134"/>
      <x:c r="D169" s="215"/>
      <x:c r="E169" s="215"/>
      <x:c r="F169" s="215"/>
      <x:c r="G169" s="216"/>
      <x:c r="H169" s="221"/>
      <x:c r="I169" s="215"/>
      <x:c r="J169" s="215"/>
      <x:c r="K169" s="218" t="str">
        <x:f>IF(N169&lt;&gt;"","",IF(AND(G169&lt;&gt;"",H169&lt;&gt;"",J169&lt;&gt;""),ROUND(PPMT(H169,1,J169,-G169),0),""))</x:f>
      </x:c>
      <x:c r="L169" s="218" t="str">
        <x:f>IF(N169&lt;&gt;"","",IF(AND(G169&lt;&gt;"",H169&lt;&gt;""),ROUND(G169*H169,0),""))</x:f>
      </x:c>
      <x:c r="M169" s="218" t="str">
        <x:f>IF(N169&lt;&gt;"",N169,IF(AND(G169&lt;&gt;"",H169&lt;&gt;"",J169&lt;&gt;""),ROUND(PMT(H169,J169,-G169),0),""))</x:f>
      </x:c>
      <x:c r="N169" s="216"/>
      <x:c r="O169" s="215"/>
      <x:c r="P169" s="215"/>
      <x:c r="Q169" s="219" t="str">
        <x:f>IF(A169="","",IF(D169="No","Excluded",IF(AND(OR(F169="N/A",E169="No Debt / N/A"),G169=""),"No Debt / N/A",IF(M169&lt;&gt;"","Ready","Partial"))))</x:f>
      </x:c>
      <x:c r="R169" s="223"/>
    </x:row>
    <x:row r="170">
      <x:c r="A170" s="134"/>
      <x:c r="B170" s="134"/>
      <x:c r="C170" s="134"/>
      <x:c r="D170" s="215"/>
      <x:c r="E170" s="215"/>
      <x:c r="F170" s="215"/>
      <x:c r="G170" s="216"/>
      <x:c r="H170" s="221"/>
      <x:c r="I170" s="215"/>
      <x:c r="J170" s="215"/>
      <x:c r="K170" s="218" t="str">
        <x:f>IF(N170&lt;&gt;"","",IF(AND(G170&lt;&gt;"",H170&lt;&gt;"",J170&lt;&gt;""),ROUND(PPMT(H170,1,J170,-G170),0),""))</x:f>
      </x:c>
      <x:c r="L170" s="218" t="str">
        <x:f>IF(N170&lt;&gt;"","",IF(AND(G170&lt;&gt;"",H170&lt;&gt;""),ROUND(G170*H170,0),""))</x:f>
      </x:c>
      <x:c r="M170" s="218" t="str">
        <x:f>IF(N170&lt;&gt;"",N170,IF(AND(G170&lt;&gt;"",H170&lt;&gt;"",J170&lt;&gt;""),ROUND(PMT(H170,J170,-G170),0),""))</x:f>
      </x:c>
      <x:c r="N170" s="216"/>
      <x:c r="O170" s="215"/>
      <x:c r="P170" s="215"/>
      <x:c r="Q170" s="219" t="str">
        <x:f>IF(A170="","",IF(D170="No","Excluded",IF(AND(OR(F170="N/A",E170="No Debt / N/A"),G170=""),"No Debt / N/A",IF(M170&lt;&gt;"","Ready","Partial"))))</x:f>
      </x:c>
      <x:c r="R170" s="223"/>
    </x:row>
    <x:row r="171">
      <x:c r="A171" s="134"/>
      <x:c r="B171" s="134"/>
      <x:c r="C171" s="134"/>
      <x:c r="D171" s="215"/>
      <x:c r="E171" s="215"/>
      <x:c r="F171" s="215"/>
      <x:c r="G171" s="216"/>
      <x:c r="H171" s="221"/>
      <x:c r="I171" s="215"/>
      <x:c r="J171" s="215"/>
      <x:c r="K171" s="218" t="str">
        <x:f>IF(N171&lt;&gt;"","",IF(AND(G171&lt;&gt;"",H171&lt;&gt;"",J171&lt;&gt;""),ROUND(PPMT(H171,1,J171,-G171),0),""))</x:f>
      </x:c>
      <x:c r="L171" s="218" t="str">
        <x:f>IF(N171&lt;&gt;"","",IF(AND(G171&lt;&gt;"",H171&lt;&gt;""),ROUND(G171*H171,0),""))</x:f>
      </x:c>
      <x:c r="M171" s="218" t="str">
        <x:f>IF(N171&lt;&gt;"",N171,IF(AND(G171&lt;&gt;"",H171&lt;&gt;"",J171&lt;&gt;""),ROUND(PMT(H171,J171,-G171),0),""))</x:f>
      </x:c>
      <x:c r="N171" s="216"/>
      <x:c r="O171" s="215"/>
      <x:c r="P171" s="215"/>
      <x:c r="Q171" s="219" t="str">
        <x:f>IF(A171="","",IF(D171="No","Excluded",IF(AND(OR(F171="N/A",E171="No Debt / N/A"),G171=""),"No Debt / N/A",IF(M171&lt;&gt;"","Ready","Partial"))))</x:f>
      </x:c>
      <x:c r="R171" s="223"/>
    </x:row>
    <x:row r="172">
      <x:c r="A172" s="134"/>
      <x:c r="B172" s="134"/>
      <x:c r="C172" s="134"/>
      <x:c r="D172" s="215"/>
      <x:c r="E172" s="215"/>
      <x:c r="F172" s="215"/>
      <x:c r="G172" s="216"/>
      <x:c r="H172" s="221"/>
      <x:c r="I172" s="215"/>
      <x:c r="J172" s="215"/>
      <x:c r="K172" s="218" t="str">
        <x:f>IF(N172&lt;&gt;"","",IF(AND(G172&lt;&gt;"",H172&lt;&gt;"",J172&lt;&gt;""),ROUND(PPMT(H172,1,J172,-G172),0),""))</x:f>
      </x:c>
      <x:c r="L172" s="218" t="str">
        <x:f>IF(N172&lt;&gt;"","",IF(AND(G172&lt;&gt;"",H172&lt;&gt;""),ROUND(G172*H172,0),""))</x:f>
      </x:c>
      <x:c r="M172" s="218" t="str">
        <x:f>IF(N172&lt;&gt;"",N172,IF(AND(G172&lt;&gt;"",H172&lt;&gt;"",J172&lt;&gt;""),ROUND(PMT(H172,J172,-G172),0),""))</x:f>
      </x:c>
      <x:c r="N172" s="216"/>
      <x:c r="O172" s="215"/>
      <x:c r="P172" s="215"/>
      <x:c r="Q172" s="219" t="str">
        <x:f>IF(A172="","",IF(D172="No","Excluded",IF(AND(OR(F172="N/A",E172="No Debt / N/A"),G172=""),"No Debt / N/A",IF(M172&lt;&gt;"","Ready","Partial"))))</x:f>
      </x:c>
      <x:c r="R172" s="223"/>
    </x:row>
    <x:row r="173">
      <x:c r="A173" s="134"/>
      <x:c r="B173" s="134"/>
      <x:c r="C173" s="134"/>
      <x:c r="D173" s="215"/>
      <x:c r="E173" s="215"/>
      <x:c r="F173" s="215"/>
      <x:c r="G173" s="216"/>
      <x:c r="H173" s="221"/>
      <x:c r="I173" s="215"/>
      <x:c r="J173" s="215"/>
      <x:c r="K173" s="218" t="str">
        <x:f>IF(N173&lt;&gt;"","",IF(AND(G173&lt;&gt;"",H173&lt;&gt;"",J173&lt;&gt;""),ROUND(PPMT(H173,1,J173,-G173),0),""))</x:f>
      </x:c>
      <x:c r="L173" s="218" t="str">
        <x:f>IF(N173&lt;&gt;"","",IF(AND(G173&lt;&gt;"",H173&lt;&gt;""),ROUND(G173*H173,0),""))</x:f>
      </x:c>
      <x:c r="M173" s="218" t="str">
        <x:f>IF(N173&lt;&gt;"",N173,IF(AND(G173&lt;&gt;"",H173&lt;&gt;"",J173&lt;&gt;""),ROUND(PMT(H173,J173,-G173),0),""))</x:f>
      </x:c>
      <x:c r="N173" s="216"/>
      <x:c r="O173" s="215"/>
      <x:c r="P173" s="215"/>
      <x:c r="Q173" s="219" t="str">
        <x:f>IF(A173="","",IF(D173="No","Excluded",IF(AND(OR(F173="N/A",E173="No Debt / N/A"),G173=""),"No Debt / N/A",IF(M173&lt;&gt;"","Ready","Partial"))))</x:f>
      </x:c>
      <x:c r="R173" s="223"/>
    </x:row>
    <x:row r="174">
      <x:c r="A174" s="134"/>
      <x:c r="B174" s="134"/>
      <x:c r="C174" s="134"/>
      <x:c r="D174" s="215"/>
      <x:c r="E174" s="215"/>
      <x:c r="F174" s="215"/>
      <x:c r="G174" s="216"/>
      <x:c r="H174" s="221"/>
      <x:c r="I174" s="215"/>
      <x:c r="J174" s="215"/>
      <x:c r="K174" s="218" t="str">
        <x:f>IF(N174&lt;&gt;"","",IF(AND(G174&lt;&gt;"",H174&lt;&gt;"",J174&lt;&gt;""),ROUND(PPMT(H174,1,J174,-G174),0),""))</x:f>
      </x:c>
      <x:c r="L174" s="218" t="str">
        <x:f>IF(N174&lt;&gt;"","",IF(AND(G174&lt;&gt;"",H174&lt;&gt;""),ROUND(G174*H174,0),""))</x:f>
      </x:c>
      <x:c r="M174" s="218" t="str">
        <x:f>IF(N174&lt;&gt;"",N174,IF(AND(G174&lt;&gt;"",H174&lt;&gt;"",J174&lt;&gt;""),ROUND(PMT(H174,J174,-G174),0),""))</x:f>
      </x:c>
      <x:c r="N174" s="216"/>
      <x:c r="O174" s="215"/>
      <x:c r="P174" s="215"/>
      <x:c r="Q174" s="219" t="str">
        <x:f>IF(A174="","",IF(D174="No","Excluded",IF(AND(OR(F174="N/A",E174="No Debt / N/A"),G174=""),"No Debt / N/A",IF(M174&lt;&gt;"","Ready","Partial"))))</x:f>
      </x:c>
      <x:c r="R174" s="223"/>
    </x:row>
    <x:row r="175">
      <x:c r="A175" s="134"/>
      <x:c r="B175" s="134"/>
      <x:c r="C175" s="134"/>
      <x:c r="D175" s="215"/>
      <x:c r="E175" s="215"/>
      <x:c r="F175" s="215"/>
      <x:c r="G175" s="216"/>
      <x:c r="H175" s="221"/>
      <x:c r="I175" s="215"/>
      <x:c r="J175" s="215"/>
      <x:c r="K175" s="218" t="str">
        <x:f>IF(N175&lt;&gt;"","",IF(AND(G175&lt;&gt;"",H175&lt;&gt;"",J175&lt;&gt;""),ROUND(PPMT(H175,1,J175,-G175),0),""))</x:f>
      </x:c>
      <x:c r="L175" s="218" t="str">
        <x:f>IF(N175&lt;&gt;"","",IF(AND(G175&lt;&gt;"",H175&lt;&gt;""),ROUND(G175*H175,0),""))</x:f>
      </x:c>
      <x:c r="M175" s="218" t="str">
        <x:f>IF(N175&lt;&gt;"",N175,IF(AND(G175&lt;&gt;"",H175&lt;&gt;"",J175&lt;&gt;""),ROUND(PMT(H175,J175,-G175),0),""))</x:f>
      </x:c>
      <x:c r="N175" s="216"/>
      <x:c r="O175" s="215"/>
      <x:c r="P175" s="215"/>
      <x:c r="Q175" s="219" t="str">
        <x:f>IF(A175="","",IF(D175="No","Excluded",IF(AND(OR(F175="N/A",E175="No Debt / N/A"),G175=""),"No Debt / N/A",IF(M175&lt;&gt;"","Ready","Partial"))))</x:f>
      </x:c>
      <x:c r="R175" s="223"/>
    </x:row>
    <x:row r="176">
      <x:c r="A176" s="134"/>
      <x:c r="B176" s="134"/>
      <x:c r="C176" s="134"/>
      <x:c r="D176" s="215"/>
      <x:c r="E176" s="215"/>
      <x:c r="F176" s="215"/>
      <x:c r="G176" s="216"/>
      <x:c r="H176" s="221"/>
      <x:c r="I176" s="215"/>
      <x:c r="J176" s="215"/>
      <x:c r="K176" s="218" t="str">
        <x:f>IF(N176&lt;&gt;"","",IF(AND(G176&lt;&gt;"",H176&lt;&gt;"",J176&lt;&gt;""),ROUND(PPMT(H176,1,J176,-G176),0),""))</x:f>
      </x:c>
      <x:c r="L176" s="218" t="str">
        <x:f>IF(N176&lt;&gt;"","",IF(AND(G176&lt;&gt;"",H176&lt;&gt;""),ROUND(G176*H176,0),""))</x:f>
      </x:c>
      <x:c r="M176" s="218" t="str">
        <x:f>IF(N176&lt;&gt;"",N176,IF(AND(G176&lt;&gt;"",H176&lt;&gt;"",J176&lt;&gt;""),ROUND(PMT(H176,J176,-G176),0),""))</x:f>
      </x:c>
      <x:c r="N176" s="216"/>
      <x:c r="O176" s="215"/>
      <x:c r="P176" s="215"/>
      <x:c r="Q176" s="219" t="str">
        <x:f>IF(A176="","",IF(D176="No","Excluded",IF(AND(OR(F176="N/A",E176="No Debt / N/A"),G176=""),"No Debt / N/A",IF(M176&lt;&gt;"","Ready","Partial"))))</x:f>
      </x:c>
      <x:c r="R176" s="223"/>
    </x:row>
    <x:row r="177">
      <x:c r="A177" s="134"/>
      <x:c r="B177" s="134"/>
      <x:c r="C177" s="134"/>
      <x:c r="D177" s="215"/>
      <x:c r="E177" s="215"/>
      <x:c r="F177" s="215"/>
      <x:c r="G177" s="216"/>
      <x:c r="H177" s="221"/>
      <x:c r="I177" s="215"/>
      <x:c r="J177" s="215"/>
      <x:c r="K177" s="218" t="str">
        <x:f>IF(N177&lt;&gt;"","",IF(AND(G177&lt;&gt;"",H177&lt;&gt;"",J177&lt;&gt;""),ROUND(PPMT(H177,1,J177,-G177),0),""))</x:f>
      </x:c>
      <x:c r="L177" s="218" t="str">
        <x:f>IF(N177&lt;&gt;"","",IF(AND(G177&lt;&gt;"",H177&lt;&gt;""),ROUND(G177*H177,0),""))</x:f>
      </x:c>
      <x:c r="M177" s="218" t="str">
        <x:f>IF(N177&lt;&gt;"",N177,IF(AND(G177&lt;&gt;"",H177&lt;&gt;"",J177&lt;&gt;""),ROUND(PMT(H177,J177,-G177),0),""))</x:f>
      </x:c>
      <x:c r="N177" s="216"/>
      <x:c r="O177" s="215"/>
      <x:c r="P177" s="215"/>
      <x:c r="Q177" s="219" t="str">
        <x:f>IF(A177="","",IF(D177="No","Excluded",IF(AND(OR(F177="N/A",E177="No Debt / N/A"),G177=""),"No Debt / N/A",IF(M177&lt;&gt;"","Ready","Partial"))))</x:f>
      </x:c>
      <x:c r="R177" s="223"/>
    </x:row>
    <x:row r="178">
      <x:c r="A178" s="134"/>
      <x:c r="B178" s="134"/>
      <x:c r="C178" s="134"/>
      <x:c r="D178" s="215"/>
      <x:c r="E178" s="215"/>
      <x:c r="F178" s="215"/>
      <x:c r="G178" s="216"/>
      <x:c r="H178" s="221"/>
      <x:c r="I178" s="215"/>
      <x:c r="J178" s="215"/>
      <x:c r="K178" s="218" t="str">
        <x:f>IF(N178&lt;&gt;"","",IF(AND(G178&lt;&gt;"",H178&lt;&gt;"",J178&lt;&gt;""),ROUND(PPMT(H178,1,J178,-G178),0),""))</x:f>
      </x:c>
      <x:c r="L178" s="218" t="str">
        <x:f>IF(N178&lt;&gt;"","",IF(AND(G178&lt;&gt;"",H178&lt;&gt;""),ROUND(G178*H178,0),""))</x:f>
      </x:c>
      <x:c r="M178" s="218" t="str">
        <x:f>IF(N178&lt;&gt;"",N178,IF(AND(G178&lt;&gt;"",H178&lt;&gt;"",J178&lt;&gt;""),ROUND(PMT(H178,J178,-G178),0),""))</x:f>
      </x:c>
      <x:c r="N178" s="216"/>
      <x:c r="O178" s="215"/>
      <x:c r="P178" s="215"/>
      <x:c r="Q178" s="219" t="str">
        <x:f>IF(A178="","",IF(D178="No","Excluded",IF(AND(OR(F178="N/A",E178="No Debt / N/A"),G178=""),"No Debt / N/A",IF(M178&lt;&gt;"","Ready","Partial"))))</x:f>
      </x:c>
      <x:c r="R178" s="223"/>
    </x:row>
    <x:row r="179">
      <x:c r="A179" s="134"/>
      <x:c r="B179" s="134"/>
      <x:c r="C179" s="134"/>
      <x:c r="D179" s="215"/>
      <x:c r="E179" s="215"/>
      <x:c r="F179" s="215"/>
      <x:c r="G179" s="216"/>
      <x:c r="H179" s="221"/>
      <x:c r="I179" s="215"/>
      <x:c r="J179" s="215"/>
      <x:c r="K179" s="218" t="str">
        <x:f>IF(N179&lt;&gt;"","",IF(AND(G179&lt;&gt;"",H179&lt;&gt;"",J179&lt;&gt;""),ROUND(PPMT(H179,1,J179,-G179),0),""))</x:f>
      </x:c>
      <x:c r="L179" s="218" t="str">
        <x:f>IF(N179&lt;&gt;"","",IF(AND(G179&lt;&gt;"",H179&lt;&gt;""),ROUND(G179*H179,0),""))</x:f>
      </x:c>
      <x:c r="M179" s="218" t="str">
        <x:f>IF(N179&lt;&gt;"",N179,IF(AND(G179&lt;&gt;"",H179&lt;&gt;"",J179&lt;&gt;""),ROUND(PMT(H179,J179,-G179),0),""))</x:f>
      </x:c>
      <x:c r="N179" s="216"/>
      <x:c r="O179" s="215"/>
      <x:c r="P179" s="215"/>
      <x:c r="Q179" s="219" t="str">
        <x:f>IF(A179="","",IF(D179="No","Excluded",IF(AND(OR(F179="N/A",E179="No Debt / N/A"),G179=""),"No Debt / N/A",IF(M179&lt;&gt;"","Ready","Partial"))))</x:f>
      </x:c>
      <x:c r="R179" s="223"/>
    </x:row>
    <x:row r="180">
      <x:c r="A180" s="134"/>
      <x:c r="B180" s="134"/>
      <x:c r="C180" s="134"/>
      <x:c r="D180" s="215"/>
      <x:c r="E180" s="215"/>
      <x:c r="F180" s="215"/>
      <x:c r="G180" s="216"/>
      <x:c r="H180" s="221"/>
      <x:c r="I180" s="215"/>
      <x:c r="J180" s="215"/>
      <x:c r="K180" s="218" t="str">
        <x:f>IF(N180&lt;&gt;"","",IF(AND(G180&lt;&gt;"",H180&lt;&gt;"",J180&lt;&gt;""),ROUND(PPMT(H180,1,J180,-G180),0),""))</x:f>
      </x:c>
      <x:c r="L180" s="218" t="str">
        <x:f>IF(N180&lt;&gt;"","",IF(AND(G180&lt;&gt;"",H180&lt;&gt;""),ROUND(G180*H180,0),""))</x:f>
      </x:c>
      <x:c r="M180" s="218" t="str">
        <x:f>IF(N180&lt;&gt;"",N180,IF(AND(G180&lt;&gt;"",H180&lt;&gt;"",J180&lt;&gt;""),ROUND(PMT(H180,J180,-G180),0),""))</x:f>
      </x:c>
      <x:c r="N180" s="216"/>
      <x:c r="O180" s="215"/>
      <x:c r="P180" s="215"/>
      <x:c r="Q180" s="219" t="str">
        <x:f>IF(A180="","",IF(D180="No","Excluded",IF(AND(OR(F180="N/A",E180="No Debt / N/A"),G180=""),"No Debt / N/A",IF(M180&lt;&gt;"","Ready","Partial"))))</x:f>
      </x:c>
      <x:c r="R180" s="223"/>
    </x:row>
    <x:row r="181">
      <x:c r="A181" s="134"/>
      <x:c r="B181" s="134"/>
      <x:c r="C181" s="134"/>
      <x:c r="D181" s="215"/>
      <x:c r="E181" s="215"/>
      <x:c r="F181" s="215"/>
      <x:c r="G181" s="216"/>
      <x:c r="H181" s="221"/>
      <x:c r="I181" s="215"/>
      <x:c r="J181" s="215"/>
      <x:c r="K181" s="218" t="str">
        <x:f>IF(N181&lt;&gt;"","",IF(AND(G181&lt;&gt;"",H181&lt;&gt;"",J181&lt;&gt;""),ROUND(PPMT(H181,1,J181,-G181),0),""))</x:f>
      </x:c>
      <x:c r="L181" s="218" t="str">
        <x:f>IF(N181&lt;&gt;"","",IF(AND(G181&lt;&gt;"",H181&lt;&gt;""),ROUND(G181*H181,0),""))</x:f>
      </x:c>
      <x:c r="M181" s="218" t="str">
        <x:f>IF(N181&lt;&gt;"",N181,IF(AND(G181&lt;&gt;"",H181&lt;&gt;"",J181&lt;&gt;""),ROUND(PMT(H181,J181,-G181),0),""))</x:f>
      </x:c>
      <x:c r="N181" s="216"/>
      <x:c r="O181" s="215"/>
      <x:c r="P181" s="215"/>
      <x:c r="Q181" s="219" t="str">
        <x:f>IF(A181="","",IF(D181="No","Excluded",IF(AND(OR(F181="N/A",E181="No Debt / N/A"),G181=""),"No Debt / N/A",IF(M181&lt;&gt;"","Ready","Partial"))))</x:f>
      </x:c>
      <x:c r="R181" s="223"/>
    </x:row>
    <x:row r="182">
      <x:c r="A182" s="134"/>
      <x:c r="B182" s="134"/>
      <x:c r="C182" s="134"/>
      <x:c r="D182" s="215"/>
      <x:c r="E182" s="215"/>
      <x:c r="F182" s="215"/>
      <x:c r="G182" s="216"/>
      <x:c r="H182" s="221"/>
      <x:c r="I182" s="215"/>
      <x:c r="J182" s="215"/>
      <x:c r="K182" s="218" t="str">
        <x:f>IF(N182&lt;&gt;"","",IF(AND(G182&lt;&gt;"",H182&lt;&gt;"",J182&lt;&gt;""),ROUND(PPMT(H182,1,J182,-G182),0),""))</x:f>
      </x:c>
      <x:c r="L182" s="218" t="str">
        <x:f>IF(N182&lt;&gt;"","",IF(AND(G182&lt;&gt;"",H182&lt;&gt;""),ROUND(G182*H182,0),""))</x:f>
      </x:c>
      <x:c r="M182" s="218" t="str">
        <x:f>IF(N182&lt;&gt;"",N182,IF(AND(G182&lt;&gt;"",H182&lt;&gt;"",J182&lt;&gt;""),ROUND(PMT(H182,J182,-G182),0),""))</x:f>
      </x:c>
      <x:c r="N182" s="216"/>
      <x:c r="O182" s="215"/>
      <x:c r="P182" s="215"/>
      <x:c r="Q182" s="219" t="str">
        <x:f>IF(A182="","",IF(D182="No","Excluded",IF(AND(OR(F182="N/A",E182="No Debt / N/A"),G182=""),"No Debt / N/A",IF(M182&lt;&gt;"","Ready","Partial"))))</x:f>
      </x:c>
      <x:c r="R182" s="223"/>
    </x:row>
    <x:row r="183">
      <x:c r="A183" s="134"/>
      <x:c r="B183" s="134"/>
      <x:c r="C183" s="134"/>
      <x:c r="D183" s="215"/>
      <x:c r="E183" s="215"/>
      <x:c r="F183" s="215"/>
      <x:c r="G183" s="216"/>
      <x:c r="H183" s="221"/>
      <x:c r="I183" s="215"/>
      <x:c r="J183" s="215"/>
      <x:c r="K183" s="218" t="str">
        <x:f>IF(N183&lt;&gt;"","",IF(AND(G183&lt;&gt;"",H183&lt;&gt;"",J183&lt;&gt;""),ROUND(PPMT(H183,1,J183,-G183),0),""))</x:f>
      </x:c>
      <x:c r="L183" s="218" t="str">
        <x:f>IF(N183&lt;&gt;"","",IF(AND(G183&lt;&gt;"",H183&lt;&gt;""),ROUND(G183*H183,0),""))</x:f>
      </x:c>
      <x:c r="M183" s="218" t="str">
        <x:f>IF(N183&lt;&gt;"",N183,IF(AND(G183&lt;&gt;"",H183&lt;&gt;"",J183&lt;&gt;""),ROUND(PMT(H183,J183,-G183),0),""))</x:f>
      </x:c>
      <x:c r="N183" s="216"/>
      <x:c r="O183" s="215"/>
      <x:c r="P183" s="215"/>
      <x:c r="Q183" s="219" t="str">
        <x:f>IF(A183="","",IF(D183="No","Excluded",IF(AND(OR(F183="N/A",E183="No Debt / N/A"),G183=""),"No Debt / N/A",IF(M183&lt;&gt;"","Ready","Partial"))))</x:f>
      </x:c>
      <x:c r="R183" s="223"/>
    </x:row>
    <x:row r="184">
      <x:c r="A184" s="134"/>
      <x:c r="B184" s="134"/>
      <x:c r="C184" s="134"/>
      <x:c r="D184" s="215"/>
      <x:c r="E184" s="215"/>
      <x:c r="F184" s="215"/>
      <x:c r="G184" s="216"/>
      <x:c r="H184" s="221"/>
      <x:c r="I184" s="215"/>
      <x:c r="J184" s="215"/>
      <x:c r="K184" s="218" t="str">
        <x:f>IF(N184&lt;&gt;"","",IF(AND(G184&lt;&gt;"",H184&lt;&gt;"",J184&lt;&gt;""),ROUND(PPMT(H184,1,J184,-G184),0),""))</x:f>
      </x:c>
      <x:c r="L184" s="218" t="str">
        <x:f>IF(N184&lt;&gt;"","",IF(AND(G184&lt;&gt;"",H184&lt;&gt;""),ROUND(G184*H184,0),""))</x:f>
      </x:c>
      <x:c r="M184" s="218" t="str">
        <x:f>IF(N184&lt;&gt;"",N184,IF(AND(G184&lt;&gt;"",H184&lt;&gt;"",J184&lt;&gt;""),ROUND(PMT(H184,J184,-G184),0),""))</x:f>
      </x:c>
      <x:c r="N184" s="216"/>
      <x:c r="O184" s="215"/>
      <x:c r="P184" s="215"/>
      <x:c r="Q184" s="219" t="str">
        <x:f>IF(A184="","",IF(D184="No","Excluded",IF(AND(OR(F184="N/A",E184="No Debt / N/A"),G184=""),"No Debt / N/A",IF(M184&lt;&gt;"","Ready","Partial"))))</x:f>
      </x:c>
      <x:c r="R184" s="223"/>
    </x:row>
    <x:row r="185">
      <x:c r="A185" s="134"/>
      <x:c r="B185" s="134"/>
      <x:c r="C185" s="134"/>
      <x:c r="D185" s="215"/>
      <x:c r="E185" s="215"/>
      <x:c r="F185" s="215"/>
      <x:c r="G185" s="216"/>
      <x:c r="H185" s="221"/>
      <x:c r="I185" s="215"/>
      <x:c r="J185" s="215"/>
      <x:c r="K185" s="218" t="str">
        <x:f>IF(N185&lt;&gt;"","",IF(AND(G185&lt;&gt;"",H185&lt;&gt;"",J185&lt;&gt;""),ROUND(PPMT(H185,1,J185,-G185),0),""))</x:f>
      </x:c>
      <x:c r="L185" s="218" t="str">
        <x:f>IF(N185&lt;&gt;"","",IF(AND(G185&lt;&gt;"",H185&lt;&gt;""),ROUND(G185*H185,0),""))</x:f>
      </x:c>
      <x:c r="M185" s="218" t="str">
        <x:f>IF(N185&lt;&gt;"",N185,IF(AND(G185&lt;&gt;"",H185&lt;&gt;"",J185&lt;&gt;""),ROUND(PMT(H185,J185,-G185),0),""))</x:f>
      </x:c>
      <x:c r="N185" s="216"/>
      <x:c r="O185" s="215"/>
      <x:c r="P185" s="215"/>
      <x:c r="Q185" s="219" t="str">
        <x:f>IF(A185="","",IF(D185="No","Excluded",IF(AND(OR(F185="N/A",E185="No Debt / N/A"),G185=""),"No Debt / N/A",IF(M185&lt;&gt;"","Ready","Partial"))))</x:f>
      </x:c>
      <x:c r="R185" s="223"/>
    </x:row>
    <x:row r="186">
      <x:c r="A186" s="134"/>
      <x:c r="B186" s="134"/>
      <x:c r="C186" s="134"/>
      <x:c r="D186" s="215"/>
      <x:c r="E186" s="215"/>
      <x:c r="F186" s="215"/>
      <x:c r="G186" s="216"/>
      <x:c r="H186" s="221"/>
      <x:c r="I186" s="215"/>
      <x:c r="J186" s="215"/>
      <x:c r="K186" s="218" t="str">
        <x:f>IF(N186&lt;&gt;"","",IF(AND(G186&lt;&gt;"",H186&lt;&gt;"",J186&lt;&gt;""),ROUND(PPMT(H186,1,J186,-G186),0),""))</x:f>
      </x:c>
      <x:c r="L186" s="218" t="str">
        <x:f>IF(N186&lt;&gt;"","",IF(AND(G186&lt;&gt;"",H186&lt;&gt;""),ROUND(G186*H186,0),""))</x:f>
      </x:c>
      <x:c r="M186" s="218" t="str">
        <x:f>IF(N186&lt;&gt;"",N186,IF(AND(G186&lt;&gt;"",H186&lt;&gt;"",J186&lt;&gt;""),ROUND(PMT(H186,J186,-G186),0),""))</x:f>
      </x:c>
      <x:c r="N186" s="216"/>
      <x:c r="O186" s="215"/>
      <x:c r="P186" s="215"/>
      <x:c r="Q186" s="219" t="str">
        <x:f>IF(A186="","",IF(D186="No","Excluded",IF(AND(OR(F186="N/A",E186="No Debt / N/A"),G186=""),"No Debt / N/A",IF(M186&lt;&gt;"","Ready","Partial"))))</x:f>
      </x:c>
      <x:c r="R186" s="223"/>
    </x:row>
    <x:row r="187">
      <x:c r="A187" s="134"/>
      <x:c r="B187" s="134"/>
      <x:c r="C187" s="134"/>
      <x:c r="D187" s="215"/>
      <x:c r="E187" s="215"/>
      <x:c r="F187" s="215"/>
      <x:c r="G187" s="216"/>
      <x:c r="H187" s="221"/>
      <x:c r="I187" s="215"/>
      <x:c r="J187" s="215"/>
      <x:c r="K187" s="218" t="str">
        <x:f>IF(N187&lt;&gt;"","",IF(AND(G187&lt;&gt;"",H187&lt;&gt;"",J187&lt;&gt;""),ROUND(PPMT(H187,1,J187,-G187),0),""))</x:f>
      </x:c>
      <x:c r="L187" s="218" t="str">
        <x:f>IF(N187&lt;&gt;"","",IF(AND(G187&lt;&gt;"",H187&lt;&gt;""),ROUND(G187*H187,0),""))</x:f>
      </x:c>
      <x:c r="M187" s="218" t="str">
        <x:f>IF(N187&lt;&gt;"",N187,IF(AND(G187&lt;&gt;"",H187&lt;&gt;"",J187&lt;&gt;""),ROUND(PMT(H187,J187,-G187),0),""))</x:f>
      </x:c>
      <x:c r="N187" s="216"/>
      <x:c r="O187" s="215"/>
      <x:c r="P187" s="215"/>
      <x:c r="Q187" s="219" t="str">
        <x:f>IF(A187="","",IF(D187="No","Excluded",IF(AND(OR(F187="N/A",E187="No Debt / N/A"),G187=""),"No Debt / N/A",IF(M187&lt;&gt;"","Ready","Partial"))))</x:f>
      </x:c>
      <x:c r="R187" s="223"/>
    </x:row>
    <x:row r="188">
      <x:c r="A188" s="134"/>
      <x:c r="B188" s="134"/>
      <x:c r="C188" s="134"/>
      <x:c r="D188" s="215"/>
      <x:c r="E188" s="215"/>
      <x:c r="F188" s="215"/>
      <x:c r="G188" s="216"/>
      <x:c r="H188" s="221"/>
      <x:c r="I188" s="215"/>
      <x:c r="J188" s="215"/>
      <x:c r="K188" s="218" t="str">
        <x:f>IF(N188&lt;&gt;"","",IF(AND(G188&lt;&gt;"",H188&lt;&gt;"",J188&lt;&gt;""),ROUND(PPMT(H188,1,J188,-G188),0),""))</x:f>
      </x:c>
      <x:c r="L188" s="218" t="str">
        <x:f>IF(N188&lt;&gt;"","",IF(AND(G188&lt;&gt;"",H188&lt;&gt;""),ROUND(G188*H188,0),""))</x:f>
      </x:c>
      <x:c r="M188" s="218" t="str">
        <x:f>IF(N188&lt;&gt;"",N188,IF(AND(G188&lt;&gt;"",H188&lt;&gt;"",J188&lt;&gt;""),ROUND(PMT(H188,J188,-G188),0),""))</x:f>
      </x:c>
      <x:c r="N188" s="216"/>
      <x:c r="O188" s="215"/>
      <x:c r="P188" s="215"/>
      <x:c r="Q188" s="219" t="str">
        <x:f>IF(A188="","",IF(D188="No","Excluded",IF(AND(OR(F188="N/A",E188="No Debt / N/A"),G188=""),"No Debt / N/A",IF(M188&lt;&gt;"","Ready","Partial"))))</x:f>
      </x:c>
      <x:c r="R188" s="223"/>
    </x:row>
    <x:row r="189">
      <x:c r="A189" s="134"/>
      <x:c r="B189" s="134"/>
      <x:c r="C189" s="134"/>
      <x:c r="D189" s="215"/>
      <x:c r="E189" s="215"/>
      <x:c r="F189" s="215"/>
      <x:c r="G189" s="216"/>
      <x:c r="H189" s="221"/>
      <x:c r="I189" s="215"/>
      <x:c r="J189" s="215"/>
      <x:c r="K189" s="218" t="str">
        <x:f>IF(N189&lt;&gt;"","",IF(AND(G189&lt;&gt;"",H189&lt;&gt;"",J189&lt;&gt;""),ROUND(PPMT(H189,1,J189,-G189),0),""))</x:f>
      </x:c>
      <x:c r="L189" s="218" t="str">
        <x:f>IF(N189&lt;&gt;"","",IF(AND(G189&lt;&gt;"",H189&lt;&gt;""),ROUND(G189*H189,0),""))</x:f>
      </x:c>
      <x:c r="M189" s="218" t="str">
        <x:f>IF(N189&lt;&gt;"",N189,IF(AND(G189&lt;&gt;"",H189&lt;&gt;"",J189&lt;&gt;""),ROUND(PMT(H189,J189,-G189),0),""))</x:f>
      </x:c>
      <x:c r="N189" s="216"/>
      <x:c r="O189" s="215"/>
      <x:c r="P189" s="215"/>
      <x:c r="Q189" s="219" t="str">
        <x:f>IF(A189="","",IF(D189="No","Excluded",IF(AND(OR(F189="N/A",E189="No Debt / N/A"),G189=""),"No Debt / N/A",IF(M189&lt;&gt;"","Ready","Partial"))))</x:f>
      </x:c>
      <x:c r="R189" s="223"/>
    </x:row>
    <x:row r="190">
      <x:c r="A190" s="134"/>
      <x:c r="B190" s="134"/>
      <x:c r="C190" s="134"/>
      <x:c r="D190" s="215"/>
      <x:c r="E190" s="215"/>
      <x:c r="F190" s="215"/>
      <x:c r="G190" s="216"/>
      <x:c r="H190" s="221"/>
      <x:c r="I190" s="215"/>
      <x:c r="J190" s="215"/>
      <x:c r="K190" s="218" t="str">
        <x:f>IF(N190&lt;&gt;"","",IF(AND(G190&lt;&gt;"",H190&lt;&gt;"",J190&lt;&gt;""),ROUND(PPMT(H190,1,J190,-G190),0),""))</x:f>
      </x:c>
      <x:c r="L190" s="218" t="str">
        <x:f>IF(N190&lt;&gt;"","",IF(AND(G190&lt;&gt;"",H190&lt;&gt;""),ROUND(G190*H190,0),""))</x:f>
      </x:c>
      <x:c r="M190" s="218" t="str">
        <x:f>IF(N190&lt;&gt;"",N190,IF(AND(G190&lt;&gt;"",H190&lt;&gt;"",J190&lt;&gt;""),ROUND(PMT(H190,J190,-G190),0),""))</x:f>
      </x:c>
      <x:c r="N190" s="216"/>
      <x:c r="O190" s="215"/>
      <x:c r="P190" s="215"/>
      <x:c r="Q190" s="219" t="str">
        <x:f>IF(A190="","",IF(D190="No","Excluded",IF(AND(OR(F190="N/A",E190="No Debt / N/A"),G190=""),"No Debt / N/A",IF(M190&lt;&gt;"","Ready","Partial"))))</x:f>
      </x:c>
      <x:c r="R190" s="223"/>
    </x:row>
    <x:row r="191">
      <x:c r="A191" s="134"/>
      <x:c r="B191" s="134"/>
      <x:c r="C191" s="134"/>
      <x:c r="D191" s="215"/>
      <x:c r="E191" s="215"/>
      <x:c r="F191" s="215"/>
      <x:c r="G191" s="216"/>
      <x:c r="H191" s="221"/>
      <x:c r="I191" s="215"/>
      <x:c r="J191" s="215"/>
      <x:c r="K191" s="218" t="str">
        <x:f>IF(N191&lt;&gt;"","",IF(AND(G191&lt;&gt;"",H191&lt;&gt;"",J191&lt;&gt;""),ROUND(PPMT(H191,1,J191,-G191),0),""))</x:f>
      </x:c>
      <x:c r="L191" s="218" t="str">
        <x:f>IF(N191&lt;&gt;"","",IF(AND(G191&lt;&gt;"",H191&lt;&gt;""),ROUND(G191*H191,0),""))</x:f>
      </x:c>
      <x:c r="M191" s="218" t="str">
        <x:f>IF(N191&lt;&gt;"",N191,IF(AND(G191&lt;&gt;"",H191&lt;&gt;"",J191&lt;&gt;""),ROUND(PMT(H191,J191,-G191),0),""))</x:f>
      </x:c>
      <x:c r="N191" s="216"/>
      <x:c r="O191" s="215"/>
      <x:c r="P191" s="215"/>
      <x:c r="Q191" s="219" t="str">
        <x:f>IF(A191="","",IF(D191="No","Excluded",IF(AND(OR(F191="N/A",E191="No Debt / N/A"),G191=""),"No Debt / N/A",IF(M191&lt;&gt;"","Ready","Partial"))))</x:f>
      </x:c>
      <x:c r="R191" s="223"/>
    </x:row>
    <x:row r="192">
      <x:c r="A192" s="134"/>
      <x:c r="B192" s="134"/>
      <x:c r="C192" s="134"/>
      <x:c r="D192" s="215"/>
      <x:c r="E192" s="215"/>
      <x:c r="F192" s="215"/>
      <x:c r="G192" s="216"/>
      <x:c r="H192" s="221"/>
      <x:c r="I192" s="215"/>
      <x:c r="J192" s="215"/>
      <x:c r="K192" s="218" t="str">
        <x:f>IF(N192&lt;&gt;"","",IF(AND(G192&lt;&gt;"",H192&lt;&gt;"",J192&lt;&gt;""),ROUND(PPMT(H192,1,J192,-G192),0),""))</x:f>
      </x:c>
      <x:c r="L192" s="218" t="str">
        <x:f>IF(N192&lt;&gt;"","",IF(AND(G192&lt;&gt;"",H192&lt;&gt;""),ROUND(G192*H192,0),""))</x:f>
      </x:c>
      <x:c r="M192" s="218" t="str">
        <x:f>IF(N192&lt;&gt;"",N192,IF(AND(G192&lt;&gt;"",H192&lt;&gt;"",J192&lt;&gt;""),ROUND(PMT(H192,J192,-G192),0),""))</x:f>
      </x:c>
      <x:c r="N192" s="216"/>
      <x:c r="O192" s="215"/>
      <x:c r="P192" s="215"/>
      <x:c r="Q192" s="219" t="str">
        <x:f>IF(A192="","",IF(D192="No","Excluded",IF(AND(OR(F192="N/A",E192="No Debt / N/A"),G192=""),"No Debt / N/A",IF(M192&lt;&gt;"","Ready","Partial"))))</x:f>
      </x:c>
      <x:c r="R192" s="223"/>
    </x:row>
    <x:row r="193">
      <x:c r="A193" s="134"/>
      <x:c r="B193" s="134"/>
      <x:c r="C193" s="134"/>
      <x:c r="D193" s="215"/>
      <x:c r="E193" s="215"/>
      <x:c r="F193" s="215"/>
      <x:c r="G193" s="216"/>
      <x:c r="H193" s="221"/>
      <x:c r="I193" s="215"/>
      <x:c r="J193" s="215"/>
      <x:c r="K193" s="218" t="str">
        <x:f>IF(N193&lt;&gt;"","",IF(AND(G193&lt;&gt;"",H193&lt;&gt;"",J193&lt;&gt;""),ROUND(PPMT(H193,1,J193,-G193),0),""))</x:f>
      </x:c>
      <x:c r="L193" s="218" t="str">
        <x:f>IF(N193&lt;&gt;"","",IF(AND(G193&lt;&gt;"",H193&lt;&gt;""),ROUND(G193*H193,0),""))</x:f>
      </x:c>
      <x:c r="M193" s="218" t="str">
        <x:f>IF(N193&lt;&gt;"",N193,IF(AND(G193&lt;&gt;"",H193&lt;&gt;"",J193&lt;&gt;""),ROUND(PMT(H193,J193,-G193),0),""))</x:f>
      </x:c>
      <x:c r="N193" s="216"/>
      <x:c r="O193" s="215"/>
      <x:c r="P193" s="215"/>
      <x:c r="Q193" s="219" t="str">
        <x:f>IF(A193="","",IF(D193="No","Excluded",IF(AND(OR(F193="N/A",E193="No Debt / N/A"),G193=""),"No Debt / N/A",IF(M193&lt;&gt;"","Ready","Partial"))))</x:f>
      </x:c>
      <x:c r="R193" s="223"/>
    </x:row>
    <x:row r="194">
      <x:c r="A194" s="134"/>
      <x:c r="B194" s="134"/>
      <x:c r="C194" s="134"/>
      <x:c r="D194" s="215"/>
      <x:c r="E194" s="215"/>
      <x:c r="F194" s="215"/>
      <x:c r="G194" s="216"/>
      <x:c r="H194" s="221"/>
      <x:c r="I194" s="215"/>
      <x:c r="J194" s="215"/>
      <x:c r="K194" s="218" t="str">
        <x:f>IF(N194&lt;&gt;"","",IF(AND(G194&lt;&gt;"",H194&lt;&gt;"",J194&lt;&gt;""),ROUND(PPMT(H194,1,J194,-G194),0),""))</x:f>
      </x:c>
      <x:c r="L194" s="218" t="str">
        <x:f>IF(N194&lt;&gt;"","",IF(AND(G194&lt;&gt;"",H194&lt;&gt;""),ROUND(G194*H194,0),""))</x:f>
      </x:c>
      <x:c r="M194" s="218" t="str">
        <x:f>IF(N194&lt;&gt;"",N194,IF(AND(G194&lt;&gt;"",H194&lt;&gt;"",J194&lt;&gt;""),ROUND(PMT(H194,J194,-G194),0),""))</x:f>
      </x:c>
      <x:c r="N194" s="216"/>
      <x:c r="O194" s="215"/>
      <x:c r="P194" s="215"/>
      <x:c r="Q194" s="219" t="str">
        <x:f>IF(A194="","",IF(D194="No","Excluded",IF(AND(OR(F194="N/A",E194="No Debt / N/A"),G194=""),"No Debt / N/A",IF(M194&lt;&gt;"","Ready","Partial"))))</x:f>
      </x:c>
      <x:c r="R194" s="223"/>
    </x:row>
    <x:row r="195">
      <x:c r="A195" s="134"/>
      <x:c r="B195" s="134"/>
      <x:c r="C195" s="134"/>
      <x:c r="D195" s="215"/>
      <x:c r="E195" s="215"/>
      <x:c r="F195" s="215"/>
      <x:c r="G195" s="216"/>
      <x:c r="H195" s="221"/>
      <x:c r="I195" s="215"/>
      <x:c r="J195" s="215"/>
      <x:c r="K195" s="218" t="str">
        <x:f>IF(N195&lt;&gt;"","",IF(AND(G195&lt;&gt;"",H195&lt;&gt;"",J195&lt;&gt;""),ROUND(PPMT(H195,1,J195,-G195),0),""))</x:f>
      </x:c>
      <x:c r="L195" s="218" t="str">
        <x:f>IF(N195&lt;&gt;"","",IF(AND(G195&lt;&gt;"",H195&lt;&gt;""),ROUND(G195*H195,0),""))</x:f>
      </x:c>
      <x:c r="M195" s="218" t="str">
        <x:f>IF(N195&lt;&gt;"",N195,IF(AND(G195&lt;&gt;"",H195&lt;&gt;"",J195&lt;&gt;""),ROUND(PMT(H195,J195,-G195),0),""))</x:f>
      </x:c>
      <x:c r="N195" s="216"/>
      <x:c r="O195" s="215"/>
      <x:c r="P195" s="215"/>
      <x:c r="Q195" s="219" t="str">
        <x:f>IF(A195="","",IF(D195="No","Excluded",IF(AND(OR(F195="N/A",E195="No Debt / N/A"),G195=""),"No Debt / N/A",IF(M195&lt;&gt;"","Ready","Partial"))))</x:f>
      </x:c>
      <x:c r="R195" s="223"/>
    </x:row>
    <x:row r="196">
      <x:c r="A196" s="134"/>
      <x:c r="B196" s="134"/>
      <x:c r="C196" s="134"/>
      <x:c r="D196" s="215"/>
      <x:c r="E196" s="215"/>
      <x:c r="F196" s="215"/>
      <x:c r="G196" s="216"/>
      <x:c r="H196" s="221"/>
      <x:c r="I196" s="215"/>
      <x:c r="J196" s="215"/>
      <x:c r="K196" s="218" t="str">
        <x:f>IF(N196&lt;&gt;"","",IF(AND(G196&lt;&gt;"",H196&lt;&gt;"",J196&lt;&gt;""),ROUND(PPMT(H196,1,J196,-G196),0),""))</x:f>
      </x:c>
      <x:c r="L196" s="218" t="str">
        <x:f>IF(N196&lt;&gt;"","",IF(AND(G196&lt;&gt;"",H196&lt;&gt;""),ROUND(G196*H196,0),""))</x:f>
      </x:c>
      <x:c r="M196" s="218" t="str">
        <x:f>IF(N196&lt;&gt;"",N196,IF(AND(G196&lt;&gt;"",H196&lt;&gt;"",J196&lt;&gt;""),ROUND(PMT(H196,J196,-G196),0),""))</x:f>
      </x:c>
      <x:c r="N196" s="216"/>
      <x:c r="O196" s="215"/>
      <x:c r="P196" s="215"/>
      <x:c r="Q196" s="219" t="str">
        <x:f>IF(A196="","",IF(D196="No","Excluded",IF(AND(OR(F196="N/A",E196="No Debt / N/A"),G196=""),"No Debt / N/A",IF(M196&lt;&gt;"","Ready","Partial"))))</x:f>
      </x:c>
      <x:c r="R196" s="223"/>
    </x:row>
    <x:row r="197">
      <x:c r="A197" s="134"/>
      <x:c r="B197" s="134"/>
      <x:c r="C197" s="134"/>
      <x:c r="D197" s="215"/>
      <x:c r="E197" s="215"/>
      <x:c r="F197" s="215"/>
      <x:c r="G197" s="216"/>
      <x:c r="H197" s="221"/>
      <x:c r="I197" s="215"/>
      <x:c r="J197" s="215"/>
      <x:c r="K197" s="218" t="str">
        <x:f>IF(N197&lt;&gt;"","",IF(AND(G197&lt;&gt;"",H197&lt;&gt;"",J197&lt;&gt;""),ROUND(PPMT(H197,1,J197,-G197),0),""))</x:f>
      </x:c>
      <x:c r="L197" s="218" t="str">
        <x:f>IF(N197&lt;&gt;"","",IF(AND(G197&lt;&gt;"",H197&lt;&gt;""),ROUND(G197*H197,0),""))</x:f>
      </x:c>
      <x:c r="M197" s="218" t="str">
        <x:f>IF(N197&lt;&gt;"",N197,IF(AND(G197&lt;&gt;"",H197&lt;&gt;"",J197&lt;&gt;""),ROUND(PMT(H197,J197,-G197),0),""))</x:f>
      </x:c>
      <x:c r="N197" s="216"/>
      <x:c r="O197" s="215"/>
      <x:c r="P197" s="215"/>
      <x:c r="Q197" s="219" t="str">
        <x:f>IF(A197="","",IF(D197="No","Excluded",IF(AND(OR(F197="N/A",E197="No Debt / N/A"),G197=""),"No Debt / N/A",IF(M197&lt;&gt;"","Ready","Partial"))))</x:f>
      </x:c>
      <x:c r="R197" s="223"/>
    </x:row>
    <x:row r="198">
      <x:c r="A198" s="134"/>
      <x:c r="B198" s="134"/>
      <x:c r="C198" s="134"/>
      <x:c r="D198" s="215"/>
      <x:c r="E198" s="215"/>
      <x:c r="F198" s="215"/>
      <x:c r="G198" s="216"/>
      <x:c r="H198" s="221"/>
      <x:c r="I198" s="215"/>
      <x:c r="J198" s="215"/>
      <x:c r="K198" s="218" t="str">
        <x:f>IF(N198&lt;&gt;"","",IF(AND(G198&lt;&gt;"",H198&lt;&gt;"",J198&lt;&gt;""),ROUND(PPMT(H198,1,J198,-G198),0),""))</x:f>
      </x:c>
      <x:c r="L198" s="218" t="str">
        <x:f>IF(N198&lt;&gt;"","",IF(AND(G198&lt;&gt;"",H198&lt;&gt;""),ROUND(G198*H198,0),""))</x:f>
      </x:c>
      <x:c r="M198" s="218" t="str">
        <x:f>IF(N198&lt;&gt;"",N198,IF(AND(G198&lt;&gt;"",H198&lt;&gt;"",J198&lt;&gt;""),ROUND(PMT(H198,J198,-G198),0),""))</x:f>
      </x:c>
      <x:c r="N198" s="216"/>
      <x:c r="O198" s="215"/>
      <x:c r="P198" s="215"/>
      <x:c r="Q198" s="219" t="str">
        <x:f>IF(A198="","",IF(D198="No","Excluded",IF(AND(OR(F198="N/A",E198="No Debt / N/A"),G198=""),"No Debt / N/A",IF(M198&lt;&gt;"","Ready","Partial"))))</x:f>
      </x:c>
      <x:c r="R198" s="223"/>
    </x:row>
    <x:row r="199">
      <x:c r="A199" s="134"/>
      <x:c r="B199" s="134"/>
      <x:c r="C199" s="134"/>
      <x:c r="D199" s="215"/>
      <x:c r="E199" s="215"/>
      <x:c r="F199" s="215"/>
      <x:c r="G199" s="216"/>
      <x:c r="H199" s="221"/>
      <x:c r="I199" s="215"/>
      <x:c r="J199" s="215"/>
      <x:c r="K199" s="218" t="str">
        <x:f>IF(N199&lt;&gt;"","",IF(AND(G199&lt;&gt;"",H199&lt;&gt;"",J199&lt;&gt;""),ROUND(PPMT(H199,1,J199,-G199),0),""))</x:f>
      </x:c>
      <x:c r="L199" s="218" t="str">
        <x:f>IF(N199&lt;&gt;"","",IF(AND(G199&lt;&gt;"",H199&lt;&gt;""),ROUND(G199*H199,0),""))</x:f>
      </x:c>
      <x:c r="M199" s="218" t="str">
        <x:f>IF(N199&lt;&gt;"",N199,IF(AND(G199&lt;&gt;"",H199&lt;&gt;"",J199&lt;&gt;""),ROUND(PMT(H199,J199,-G199),0),""))</x:f>
      </x:c>
      <x:c r="N199" s="216"/>
      <x:c r="O199" s="215"/>
      <x:c r="P199" s="215"/>
      <x:c r="Q199" s="219" t="str">
        <x:f>IF(A199="","",IF(D199="No","Excluded",IF(AND(OR(F199="N/A",E199="No Debt / N/A"),G199=""),"No Debt / N/A",IF(M199&lt;&gt;"","Ready","Partial"))))</x:f>
      </x:c>
      <x:c r="R199" s="223"/>
    </x:row>
    <x:row r="200">
      <x:c r="A200" s="134"/>
      <x:c r="B200" s="134"/>
      <x:c r="C200" s="134"/>
      <x:c r="D200" s="215"/>
      <x:c r="E200" s="215"/>
      <x:c r="F200" s="215"/>
      <x:c r="G200" s="216"/>
      <x:c r="H200" s="221"/>
      <x:c r="I200" s="215"/>
      <x:c r="J200" s="215"/>
      <x:c r="K200" s="218" t="str">
        <x:f>IF(N200&lt;&gt;"","",IF(AND(G200&lt;&gt;"",H200&lt;&gt;"",J200&lt;&gt;""),ROUND(PPMT(H200,1,J200,-G200),0),""))</x:f>
      </x:c>
      <x:c r="L200" s="218" t="str">
        <x:f>IF(N200&lt;&gt;"","",IF(AND(G200&lt;&gt;"",H200&lt;&gt;""),ROUND(G200*H200,0),""))</x:f>
      </x:c>
      <x:c r="M200" s="218" t="str">
        <x:f>IF(N200&lt;&gt;"",N200,IF(AND(G200&lt;&gt;"",H200&lt;&gt;"",J200&lt;&gt;""),ROUND(PMT(H200,J200,-G200),0),""))</x:f>
      </x:c>
      <x:c r="N200" s="216"/>
      <x:c r="O200" s="215"/>
      <x:c r="P200" s="215"/>
      <x:c r="Q200" s="219" t="str">
        <x:f>IF(A200="","",IF(D200="No","Excluded",IF(AND(OR(F200="N/A",E200="No Debt / N/A"),G200=""),"No Debt / N/A",IF(M200&lt;&gt;"","Ready","Partial"))))</x:f>
      </x:c>
      <x:c r="R200" s="223"/>
    </x:row>
    <x:row r="201">
      <x:c r="A201" s="134"/>
      <x:c r="B201" s="134"/>
      <x:c r="C201" s="134"/>
      <x:c r="D201" s="215"/>
      <x:c r="E201" s="215"/>
      <x:c r="F201" s="215"/>
      <x:c r="G201" s="216"/>
      <x:c r="H201" s="221"/>
      <x:c r="I201" s="215"/>
      <x:c r="J201" s="215"/>
      <x:c r="K201" s="218" t="str">
        <x:f>IF(N201&lt;&gt;"","",IF(AND(G201&lt;&gt;"",H201&lt;&gt;"",J201&lt;&gt;""),ROUND(PPMT(H201,1,J201,-G201),0),""))</x:f>
      </x:c>
      <x:c r="L201" s="218" t="str">
        <x:f>IF(N201&lt;&gt;"","",IF(AND(G201&lt;&gt;"",H201&lt;&gt;""),ROUND(G201*H201,0),""))</x:f>
      </x:c>
      <x:c r="M201" s="218" t="str">
        <x:f>IF(N201&lt;&gt;"",N201,IF(AND(G201&lt;&gt;"",H201&lt;&gt;"",J201&lt;&gt;""),ROUND(PMT(H201,J201,-G201),0),""))</x:f>
      </x:c>
      <x:c r="N201" s="216"/>
      <x:c r="O201" s="215"/>
      <x:c r="P201" s="215"/>
      <x:c r="Q201" s="219" t="str">
        <x:f>IF(A201="","",IF(D201="No","Excluded",IF(AND(OR(F201="N/A",E201="No Debt / N/A"),G201=""),"No Debt / N/A",IF(M201&lt;&gt;"","Ready","Partial"))))</x:f>
      </x:c>
      <x:c r="R201" s="223"/>
    </x:row>
    <x:row r="202">
      <x:c r="A202" s="134"/>
      <x:c r="B202" s="134"/>
      <x:c r="C202" s="134"/>
      <x:c r="D202" s="215"/>
      <x:c r="E202" s="215"/>
      <x:c r="F202" s="215"/>
      <x:c r="G202" s="216"/>
      <x:c r="H202" s="221"/>
      <x:c r="I202" s="215"/>
      <x:c r="J202" s="215"/>
      <x:c r="K202" s="218" t="str">
        <x:f>IF(N202&lt;&gt;"","",IF(AND(G202&lt;&gt;"",H202&lt;&gt;"",J202&lt;&gt;""),ROUND(PPMT(H202,1,J202,-G202),0),""))</x:f>
      </x:c>
      <x:c r="L202" s="218" t="str">
        <x:f>IF(N202&lt;&gt;"","",IF(AND(G202&lt;&gt;"",H202&lt;&gt;""),ROUND(G202*H202,0),""))</x:f>
      </x:c>
      <x:c r="M202" s="218" t="str">
        <x:f>IF(N202&lt;&gt;"",N202,IF(AND(G202&lt;&gt;"",H202&lt;&gt;"",J202&lt;&gt;""),ROUND(PMT(H202,J202,-G202),0),""))</x:f>
      </x:c>
      <x:c r="N202" s="216"/>
      <x:c r="O202" s="215"/>
      <x:c r="P202" s="215"/>
      <x:c r="Q202" s="219" t="str">
        <x:f>IF(A202="","",IF(D202="No","Excluded",IF(AND(OR(F202="N/A",E202="No Debt / N/A"),G202=""),"No Debt / N/A",IF(M202&lt;&gt;"","Ready","Partial"))))</x:f>
      </x:c>
      <x:c r="R202" s="223"/>
    </x:row>
    <x:row r="203">
      <x:c r="A203" s="134"/>
      <x:c r="B203" s="134"/>
      <x:c r="C203" s="134"/>
      <x:c r="D203" s="215"/>
      <x:c r="E203" s="215"/>
      <x:c r="F203" s="215"/>
      <x:c r="G203" s="216"/>
      <x:c r="H203" s="221"/>
      <x:c r="I203" s="215"/>
      <x:c r="J203" s="215"/>
      <x:c r="K203" s="218" t="str">
        <x:f>IF(N203&lt;&gt;"","",IF(AND(G203&lt;&gt;"",H203&lt;&gt;"",J203&lt;&gt;""),ROUND(PPMT(H203,1,J203,-G203),0),""))</x:f>
      </x:c>
      <x:c r="L203" s="218" t="str">
        <x:f>IF(N203&lt;&gt;"","",IF(AND(G203&lt;&gt;"",H203&lt;&gt;""),ROUND(G203*H203,0),""))</x:f>
      </x:c>
      <x:c r="M203" s="218" t="str">
        <x:f>IF(N203&lt;&gt;"",N203,IF(AND(G203&lt;&gt;"",H203&lt;&gt;"",J203&lt;&gt;""),ROUND(PMT(H203,J203,-G203),0),""))</x:f>
      </x:c>
      <x:c r="N203" s="216"/>
      <x:c r="O203" s="215"/>
      <x:c r="P203" s="215"/>
      <x:c r="Q203" s="219" t="str">
        <x:f>IF(A203="","",IF(D203="No","Excluded",IF(AND(OR(F203="N/A",E203="No Debt / N/A"),G203=""),"No Debt / N/A",IF(M203&lt;&gt;"","Ready","Partial"))))</x:f>
      </x:c>
      <x:c r="R203" s="223"/>
    </x:row>
    <x:row r="204">
      <x:c r="A204" s="134"/>
      <x:c r="B204" s="134"/>
      <x:c r="C204" s="134"/>
      <x:c r="D204" s="215"/>
      <x:c r="E204" s="215"/>
      <x:c r="F204" s="215"/>
      <x:c r="G204" s="216"/>
      <x:c r="H204" s="221"/>
      <x:c r="I204" s="215"/>
      <x:c r="J204" s="215"/>
      <x:c r="K204" s="218" t="str">
        <x:f>IF(N204&lt;&gt;"","",IF(AND(G204&lt;&gt;"",H204&lt;&gt;"",J204&lt;&gt;""),ROUND(PPMT(H204,1,J204,-G204),0),""))</x:f>
      </x:c>
      <x:c r="L204" s="218" t="str">
        <x:f>IF(N204&lt;&gt;"","",IF(AND(G204&lt;&gt;"",H204&lt;&gt;""),ROUND(G204*H204,0),""))</x:f>
      </x:c>
      <x:c r="M204" s="218" t="str">
        <x:f>IF(N204&lt;&gt;"",N204,IF(AND(G204&lt;&gt;"",H204&lt;&gt;"",J204&lt;&gt;""),ROUND(PMT(H204,J204,-G204),0),""))</x:f>
      </x:c>
      <x:c r="N204" s="216"/>
      <x:c r="O204" s="215"/>
      <x:c r="P204" s="215"/>
      <x:c r="Q204" s="219" t="str">
        <x:f>IF(A204="","",IF(D204="No","Excluded",IF(AND(OR(F204="N/A",E204="No Debt / N/A"),G204=""),"No Debt / N/A",IF(M204&lt;&gt;"","Ready","Partial"))))</x:f>
      </x:c>
      <x:c r="R204" s="223"/>
    </x:row>
    <x:row r="205">
      <x:c r="A205" s="134"/>
      <x:c r="B205" s="134"/>
      <x:c r="C205" s="134"/>
      <x:c r="D205" s="215"/>
      <x:c r="E205" s="215"/>
      <x:c r="F205" s="215"/>
      <x:c r="G205" s="216"/>
      <x:c r="H205" s="221"/>
      <x:c r="I205" s="215"/>
      <x:c r="J205" s="215"/>
      <x:c r="K205" s="218" t="str">
        <x:f>IF(N205&lt;&gt;"","",IF(AND(G205&lt;&gt;"",H205&lt;&gt;"",J205&lt;&gt;""),ROUND(PPMT(H205,1,J205,-G205),0),""))</x:f>
      </x:c>
      <x:c r="L205" s="218" t="str">
        <x:f>IF(N205&lt;&gt;"","",IF(AND(G205&lt;&gt;"",H205&lt;&gt;""),ROUND(G205*H205,0),""))</x:f>
      </x:c>
      <x:c r="M205" s="218" t="str">
        <x:f>IF(N205&lt;&gt;"",N205,IF(AND(G205&lt;&gt;"",H205&lt;&gt;"",J205&lt;&gt;""),ROUND(PMT(H205,J205,-G205),0),""))</x:f>
      </x:c>
      <x:c r="N205" s="216"/>
      <x:c r="O205" s="215"/>
      <x:c r="P205" s="215"/>
      <x:c r="Q205" s="219" t="str">
        <x:f>IF(A205="","",IF(D205="No","Excluded",IF(AND(OR(F205="N/A",E205="No Debt / N/A"),G205=""),"No Debt / N/A",IF(M205&lt;&gt;"","Ready","Partial"))))</x:f>
      </x:c>
      <x:c r="R205" s="223"/>
    </x:row>
    <x:row r="206">
      <x:c r="A206" s="134"/>
      <x:c r="B206" s="134"/>
      <x:c r="C206" s="134"/>
      <x:c r="D206" s="215"/>
      <x:c r="E206" s="215"/>
      <x:c r="F206" s="215"/>
      <x:c r="G206" s="216"/>
      <x:c r="H206" s="221"/>
      <x:c r="I206" s="215"/>
      <x:c r="J206" s="215"/>
      <x:c r="K206" s="218" t="str">
        <x:f>IF(N206&lt;&gt;"","",IF(AND(G206&lt;&gt;"",H206&lt;&gt;"",J206&lt;&gt;""),ROUND(PPMT(H206,1,J206,-G206),0),""))</x:f>
      </x:c>
      <x:c r="L206" s="218" t="str">
        <x:f>IF(N206&lt;&gt;"","",IF(AND(G206&lt;&gt;"",H206&lt;&gt;""),ROUND(G206*H206,0),""))</x:f>
      </x:c>
      <x:c r="M206" s="218" t="str">
        <x:f>IF(N206&lt;&gt;"",N206,IF(AND(G206&lt;&gt;"",H206&lt;&gt;"",J206&lt;&gt;""),ROUND(PMT(H206,J206,-G206),0),""))</x:f>
      </x:c>
      <x:c r="N206" s="216"/>
      <x:c r="O206" s="215"/>
      <x:c r="P206" s="215"/>
      <x:c r="Q206" s="219" t="str">
        <x:f>IF(A206="","",IF(D206="No","Excluded",IF(AND(OR(F206="N/A",E206="No Debt / N/A"),G206=""),"No Debt / N/A",IF(M206&lt;&gt;"","Ready","Partial"))))</x:f>
      </x:c>
      <x:c r="R206" s="223"/>
    </x:row>
    <x:row r="207">
      <x:c r="A207" s="125"/>
      <x:c r="B207" s="125"/>
      <x:c r="C207" s="125"/>
      <x:c r="D207" s="125"/>
      <x:c r="E207" s="125"/>
      <x:c r="F207" s="125"/>
      <x:c r="G207" s="125"/>
      <x:c r="H207" s="125"/>
      <x:c r="I207" s="125"/>
      <x:c r="J207" s="125"/>
      <x:c r="K207" s="125"/>
      <x:c r="L207" s="125"/>
      <x:c r="M207" s="125"/>
      <x:c r="N207" s="125"/>
      <x:c r="O207" s="125"/>
      <x:c r="P207" s="125"/>
      <x:c r="Q207" s="125"/>
    </x:row>
    <x:row r="208">
      <x:c r="A208" s="125"/>
      <x:c r="B208" s="125"/>
      <x:c r="C208" s="125"/>
      <x:c r="D208" s="125"/>
      <x:c r="E208" s="125"/>
      <x:c r="F208" s="125"/>
      <x:c r="G208" s="125"/>
      <x:c r="H208" s="125"/>
      <x:c r="I208" s="125"/>
      <x:c r="J208" s="125"/>
      <x:c r="K208" s="125"/>
      <x:c r="L208" s="125"/>
      <x:c r="M208" s="125"/>
      <x:c r="N208" s="125"/>
      <x:c r="O208" s="125"/>
      <x:c r="P208" s="125"/>
      <x:c r="Q208" s="125"/>
    </x:row>
    <x:row r="209">
      <x:c r="A209" s="125"/>
      <x:c r="B209" s="125"/>
      <x:c r="C209" s="125"/>
      <x:c r="D209" s="125"/>
      <x:c r="E209" s="125"/>
      <x:c r="F209" s="125"/>
      <x:c r="G209" s="125"/>
      <x:c r="H209" s="125"/>
      <x:c r="I209" s="125"/>
      <x:c r="J209" s="125"/>
      <x:c r="K209" s="125"/>
      <x:c r="L209" s="125"/>
      <x:c r="M209" s="125"/>
      <x:c r="N209" s="125"/>
      <x:c r="O209" s="125"/>
      <x:c r="P209" s="125"/>
      <x:c r="Q209" s="125"/>
    </x:row>
    <x:row r="210">
      <x:c r="A210" s="125"/>
      <x:c r="B210" s="125"/>
      <x:c r="C210" s="125"/>
      <x:c r="D210" s="125"/>
      <x:c r="E210" s="125"/>
      <x:c r="F210" s="125"/>
      <x:c r="G210" s="125"/>
      <x:c r="H210" s="125"/>
      <x:c r="I210" s="125"/>
      <x:c r="J210" s="125"/>
      <x:c r="K210" s="125"/>
      <x:c r="L210" s="125"/>
      <x:c r="M210" s="125"/>
      <x:c r="N210" s="125"/>
      <x:c r="O210" s="125"/>
      <x:c r="P210" s="125"/>
      <x:c r="Q210" s="125"/>
    </x:row>
    <x:row r="211">
      <x:c r="A211" s="125"/>
      <x:c r="B211" s="125"/>
      <x:c r="C211" s="125"/>
      <x:c r="D211" s="125"/>
      <x:c r="E211" s="125"/>
      <x:c r="F211" s="125"/>
      <x:c r="G211" s="125"/>
      <x:c r="H211" s="125"/>
      <x:c r="I211" s="125"/>
      <x:c r="J211" s="125"/>
      <x:c r="K211" s="125"/>
      <x:c r="L211" s="125"/>
      <x:c r="M211" s="125"/>
      <x:c r="N211" s="125"/>
      <x:c r="O211" s="125"/>
      <x:c r="P211" s="125"/>
      <x:c r="Q211" s="125"/>
    </x:row>
    <x:row r="212">
      <x:c r="A212" s="125"/>
      <x:c r="B212" s="125"/>
      <x:c r="C212" s="125"/>
      <x:c r="D212" s="125"/>
      <x:c r="E212" s="125"/>
      <x:c r="F212" s="125"/>
      <x:c r="G212" s="125"/>
      <x:c r="H212" s="125"/>
      <x:c r="I212" s="125"/>
      <x:c r="J212" s="125"/>
      <x:c r="K212" s="125"/>
      <x:c r="L212" s="125"/>
      <x:c r="M212" s="125"/>
      <x:c r="N212" s="125"/>
      <x:c r="O212" s="125"/>
      <x:c r="P212" s="125"/>
      <x:c r="Q212" s="125"/>
    </x:row>
    <x:row r="213">
      <x:c r="A213" s="125"/>
      <x:c r="B213" s="125"/>
      <x:c r="C213" s="125"/>
      <x:c r="D213" s="125"/>
      <x:c r="E213" s="125"/>
      <x:c r="F213" s="125"/>
      <x:c r="G213" s="125"/>
      <x:c r="H213" s="125"/>
      <x:c r="I213" s="125"/>
      <x:c r="J213" s="125"/>
      <x:c r="K213" s="125"/>
      <x:c r="L213" s="125"/>
      <x:c r="M213" s="125"/>
      <x:c r="N213" s="125"/>
      <x:c r="O213" s="125"/>
      <x:c r="P213" s="125"/>
      <x:c r="Q213" s="125"/>
    </x:row>
    <x:row r="214">
      <x:c r="A214" s="125"/>
      <x:c r="B214" s="125"/>
      <x:c r="C214" s="125"/>
      <x:c r="D214" s="125"/>
      <x:c r="E214" s="125"/>
      <x:c r="F214" s="125"/>
      <x:c r="G214" s="125"/>
      <x:c r="H214" s="125"/>
      <x:c r="I214" s="125"/>
      <x:c r="J214" s="125"/>
      <x:c r="K214" s="125"/>
      <x:c r="L214" s="125"/>
      <x:c r="M214" s="125"/>
      <x:c r="N214" s="125"/>
      <x:c r="O214" s="125"/>
      <x:c r="P214" s="125"/>
      <x:c r="Q214" s="125"/>
    </x:row>
    <x:row r="215">
      <x:c r="A215" s="125"/>
      <x:c r="B215" s="125"/>
      <x:c r="C215" s="125"/>
      <x:c r="D215" s="125"/>
      <x:c r="E215" s="125"/>
      <x:c r="F215" s="125"/>
      <x:c r="G215" s="125"/>
      <x:c r="H215" s="125"/>
      <x:c r="I215" s="125"/>
      <x:c r="J215" s="125"/>
      <x:c r="K215" s="125"/>
      <x:c r="L215" s="125"/>
      <x:c r="M215" s="125"/>
      <x:c r="N215" s="125"/>
      <x:c r="O215" s="125"/>
      <x:c r="P215" s="125"/>
      <x:c r="Q215" s="125"/>
    </x:row>
    <x:row r="216">
      <x:c r="A216" s="125"/>
      <x:c r="B216" s="125"/>
      <x:c r="C216" s="125"/>
      <x:c r="D216" s="125"/>
      <x:c r="E216" s="125"/>
      <x:c r="F216" s="125"/>
      <x:c r="G216" s="125"/>
      <x:c r="H216" s="125"/>
      <x:c r="I216" s="125"/>
      <x:c r="J216" s="125"/>
      <x:c r="K216" s="125"/>
      <x:c r="L216" s="125"/>
      <x:c r="M216" s="125"/>
      <x:c r="N216" s="125"/>
      <x:c r="O216" s="125"/>
      <x:c r="P216" s="125"/>
      <x:c r="Q216" s="125"/>
    </x:row>
    <x:row r="217">
      <x:c r="A217" s="125"/>
      <x:c r="B217" s="125"/>
      <x:c r="C217" s="125"/>
      <x:c r="D217" s="125"/>
      <x:c r="E217" s="125"/>
      <x:c r="F217" s="125"/>
      <x:c r="G217" s="125"/>
      <x:c r="H217" s="125"/>
      <x:c r="I217" s="125"/>
      <x:c r="J217" s="125"/>
      <x:c r="K217" s="125"/>
      <x:c r="L217" s="125"/>
      <x:c r="M217" s="125"/>
      <x:c r="N217" s="125"/>
      <x:c r="O217" s="125"/>
      <x:c r="P217" s="125"/>
      <x:c r="Q217" s="125"/>
    </x:row>
    <x:row r="218">
      <x:c r="A218" s="125"/>
      <x:c r="B218" s="125"/>
      <x:c r="C218" s="125"/>
      <x:c r="D218" s="125"/>
      <x:c r="E218" s="125"/>
      <x:c r="F218" s="125"/>
      <x:c r="G218" s="125"/>
      <x:c r="H218" s="125"/>
      <x:c r="I218" s="125"/>
      <x:c r="J218" s="125"/>
      <x:c r="K218" s="125"/>
      <x:c r="L218" s="125"/>
      <x:c r="M218" s="125"/>
      <x:c r="N218" s="125"/>
      <x:c r="O218" s="125"/>
      <x:c r="P218" s="125"/>
      <x:c r="Q218" s="125"/>
    </x:row>
    <x:row r="219">
      <x:c r="A219" s="125"/>
      <x:c r="B219" s="125"/>
      <x:c r="C219" s="125"/>
      <x:c r="D219" s="125"/>
      <x:c r="E219" s="125"/>
      <x:c r="F219" s="125"/>
      <x:c r="G219" s="125"/>
      <x:c r="H219" s="125"/>
      <x:c r="I219" s="125"/>
      <x:c r="J219" s="125"/>
      <x:c r="K219" s="125"/>
      <x:c r="L219" s="125"/>
      <x:c r="M219" s="125"/>
      <x:c r="N219" s="125"/>
      <x:c r="O219" s="125"/>
      <x:c r="P219" s="125"/>
      <x:c r="Q219" s="125"/>
    </x:row>
    <x:row r="220">
      <x:c r="A220" s="125"/>
      <x:c r="B220" s="125"/>
      <x:c r="C220" s="125"/>
      <x:c r="D220" s="125"/>
      <x:c r="E220" s="125"/>
      <x:c r="F220" s="125"/>
      <x:c r="G220" s="125"/>
      <x:c r="H220" s="125"/>
      <x:c r="I220" s="125"/>
      <x:c r="J220" s="125"/>
      <x:c r="K220" s="125"/>
      <x:c r="L220" s="125"/>
      <x:c r="M220" s="125"/>
      <x:c r="N220" s="125"/>
      <x:c r="O220" s="125"/>
      <x:c r="P220" s="125"/>
      <x:c r="Q220" s="125"/>
    </x:row>
    <x:row r="221">
      <x:c r="A221" s="125"/>
      <x:c r="B221" s="125"/>
      <x:c r="C221" s="125"/>
      <x:c r="D221" s="125"/>
      <x:c r="E221" s="125"/>
      <x:c r="F221" s="125"/>
      <x:c r="G221" s="125"/>
      <x:c r="H221" s="125"/>
      <x:c r="I221" s="125"/>
      <x:c r="J221" s="125"/>
      <x:c r="K221" s="125"/>
      <x:c r="L221" s="125"/>
      <x:c r="M221" s="125"/>
      <x:c r="N221" s="125"/>
      <x:c r="O221" s="125"/>
      <x:c r="P221" s="125"/>
      <x:c r="Q221" s="125"/>
    </x:row>
    <x:row r="222">
      <x:c r="A222" s="125"/>
      <x:c r="B222" s="125"/>
      <x:c r="C222" s="125"/>
      <x:c r="D222" s="125"/>
      <x:c r="E222" s="125"/>
      <x:c r="F222" s="125"/>
      <x:c r="G222" s="125"/>
      <x:c r="H222" s="125"/>
      <x:c r="I222" s="125"/>
      <x:c r="J222" s="125"/>
      <x:c r="K222" s="125"/>
      <x:c r="L222" s="125"/>
      <x:c r="M222" s="125"/>
      <x:c r="N222" s="125"/>
      <x:c r="O222" s="125"/>
      <x:c r="P222" s="125"/>
      <x:c r="Q222" s="125"/>
    </x:row>
    <x:row r="223">
      <x:c r="A223" s="125"/>
      <x:c r="B223" s="125"/>
      <x:c r="C223" s="125"/>
      <x:c r="D223" s="125"/>
      <x:c r="E223" s="125"/>
      <x:c r="F223" s="125"/>
      <x:c r="G223" s="125"/>
      <x:c r="H223" s="125"/>
      <x:c r="I223" s="125"/>
      <x:c r="J223" s="125"/>
      <x:c r="K223" s="125"/>
      <x:c r="L223" s="125"/>
      <x:c r="M223" s="125"/>
      <x:c r="N223" s="125"/>
      <x:c r="O223" s="125"/>
      <x:c r="P223" s="125"/>
      <x:c r="Q223" s="125"/>
    </x:row>
    <x:row r="224">
      <x:c r="A224" s="125"/>
      <x:c r="B224" s="125"/>
      <x:c r="C224" s="125"/>
      <x:c r="D224" s="125"/>
      <x:c r="E224" s="125"/>
      <x:c r="F224" s="125"/>
      <x:c r="G224" s="125"/>
      <x:c r="H224" s="125"/>
      <x:c r="I224" s="125"/>
      <x:c r="J224" s="125"/>
      <x:c r="K224" s="125"/>
      <x:c r="L224" s="125"/>
      <x:c r="M224" s="125"/>
      <x:c r="N224" s="125"/>
      <x:c r="O224" s="125"/>
      <x:c r="P224" s="125"/>
      <x:c r="Q224" s="125"/>
    </x:row>
    <x:row r="225">
      <x:c r="A225" s="125"/>
      <x:c r="B225" s="125"/>
      <x:c r="C225" s="125"/>
      <x:c r="D225" s="125"/>
      <x:c r="E225" s="125"/>
      <x:c r="F225" s="125"/>
      <x:c r="G225" s="125"/>
      <x:c r="H225" s="125"/>
      <x:c r="I225" s="125"/>
      <x:c r="J225" s="125"/>
      <x:c r="K225" s="125"/>
      <x:c r="L225" s="125"/>
      <x:c r="M225" s="125"/>
      <x:c r="N225" s="125"/>
      <x:c r="O225" s="125"/>
      <x:c r="P225" s="125"/>
      <x:c r="Q225" s="125"/>
    </x:row>
    <x:row r="226">
      <x:c r="A226" s="125"/>
      <x:c r="B226" s="125"/>
      <x:c r="C226" s="125"/>
      <x:c r="D226" s="125"/>
      <x:c r="E226" s="125"/>
      <x:c r="F226" s="125"/>
      <x:c r="G226" s="125"/>
      <x:c r="H226" s="125"/>
      <x:c r="I226" s="125"/>
      <x:c r="J226" s="125"/>
      <x:c r="K226" s="125"/>
      <x:c r="L226" s="125"/>
      <x:c r="M226" s="125"/>
      <x:c r="N226" s="125"/>
      <x:c r="O226" s="125"/>
      <x:c r="P226" s="125"/>
      <x:c r="Q226" s="125"/>
    </x:row>
    <x:row r="227">
      <x:c r="A227" s="125"/>
      <x:c r="B227" s="125"/>
      <x:c r="C227" s="125"/>
      <x:c r="D227" s="125"/>
      <x:c r="E227" s="125"/>
      <x:c r="F227" s="125"/>
      <x:c r="G227" s="125"/>
      <x:c r="H227" s="125"/>
      <x:c r="I227" s="125"/>
      <x:c r="J227" s="125"/>
      <x:c r="K227" s="125"/>
      <x:c r="L227" s="125"/>
      <x:c r="M227" s="125"/>
      <x:c r="N227" s="125"/>
      <x:c r="O227" s="125"/>
      <x:c r="P227" s="125"/>
      <x:c r="Q227" s="125"/>
    </x:row>
    <x:row r="228">
      <x:c r="A228" s="125"/>
      <x:c r="B228" s="125"/>
      <x:c r="C228" s="125"/>
      <x:c r="D228" s="125"/>
      <x:c r="E228" s="125"/>
      <x:c r="F228" s="125"/>
      <x:c r="G228" s="125"/>
      <x:c r="H228" s="125"/>
      <x:c r="I228" s="125"/>
      <x:c r="J228" s="125"/>
      <x:c r="K228" s="125"/>
      <x:c r="L228" s="125"/>
      <x:c r="M228" s="125"/>
      <x:c r="N228" s="125"/>
      <x:c r="O228" s="125"/>
      <x:c r="P228" s="125"/>
      <x:c r="Q228" s="125"/>
    </x:row>
    <x:row r="229">
      <x:c r="A229" s="125"/>
      <x:c r="B229" s="125"/>
      <x:c r="C229" s="125"/>
      <x:c r="D229" s="125"/>
      <x:c r="E229" s="125"/>
      <x:c r="F229" s="125"/>
      <x:c r="G229" s="125"/>
      <x:c r="H229" s="125"/>
      <x:c r="I229" s="125"/>
      <x:c r="J229" s="125"/>
      <x:c r="K229" s="125"/>
      <x:c r="L229" s="125"/>
      <x:c r="M229" s="125"/>
      <x:c r="N229" s="125"/>
      <x:c r="O229" s="125"/>
      <x:c r="P229" s="125"/>
      <x:c r="Q229" s="125"/>
    </x:row>
    <x:row r="230">
      <x:c r="A230" s="125"/>
      <x:c r="B230" s="125"/>
      <x:c r="C230" s="125"/>
      <x:c r="D230" s="125"/>
      <x:c r="E230" s="125"/>
      <x:c r="F230" s="125"/>
      <x:c r="G230" s="125"/>
      <x:c r="H230" s="125"/>
      <x:c r="I230" s="125"/>
      <x:c r="J230" s="125"/>
      <x:c r="K230" s="125"/>
      <x:c r="L230" s="125"/>
      <x:c r="M230" s="125"/>
      <x:c r="N230" s="125"/>
      <x:c r="O230" s="125"/>
      <x:c r="P230" s="125"/>
      <x:c r="Q230" s="125"/>
    </x:row>
    <x:row r="231">
      <x:c r="A231" s="125"/>
      <x:c r="B231" s="125"/>
      <x:c r="C231" s="125"/>
      <x:c r="D231" s="125"/>
      <x:c r="E231" s="125"/>
      <x:c r="F231" s="125"/>
      <x:c r="G231" s="125"/>
      <x:c r="H231" s="125"/>
      <x:c r="I231" s="125"/>
      <x:c r="J231" s="125"/>
      <x:c r="K231" s="125"/>
      <x:c r="L231" s="125"/>
      <x:c r="M231" s="125"/>
      <x:c r="N231" s="125"/>
      <x:c r="O231" s="125"/>
      <x:c r="P231" s="125"/>
      <x:c r="Q231" s="125"/>
    </x:row>
    <x:row r="232">
      <x:c r="A232" s="125"/>
      <x:c r="B232" s="125"/>
      <x:c r="C232" s="125"/>
      <x:c r="D232" s="125"/>
      <x:c r="E232" s="125"/>
      <x:c r="F232" s="125"/>
      <x:c r="G232" s="125"/>
      <x:c r="H232" s="125"/>
      <x:c r="I232" s="125"/>
      <x:c r="J232" s="125"/>
      <x:c r="K232" s="125"/>
      <x:c r="L232" s="125"/>
      <x:c r="M232" s="125"/>
      <x:c r="N232" s="125"/>
      <x:c r="O232" s="125"/>
      <x:c r="P232" s="125"/>
      <x:c r="Q232" s="125"/>
    </x:row>
    <x:row r="233">
      <x:c r="A233" s="125"/>
      <x:c r="B233" s="125"/>
      <x:c r="C233" s="125"/>
      <x:c r="D233" s="125"/>
      <x:c r="E233" s="125"/>
      <x:c r="F233" s="125"/>
      <x:c r="G233" s="125"/>
      <x:c r="H233" s="125"/>
      <x:c r="I233" s="125"/>
      <x:c r="J233" s="125"/>
      <x:c r="K233" s="125"/>
      <x:c r="L233" s="125"/>
      <x:c r="M233" s="125"/>
      <x:c r="N233" s="125"/>
      <x:c r="O233" s="125"/>
      <x:c r="P233" s="125"/>
      <x:c r="Q233" s="125"/>
    </x:row>
    <x:row r="234">
      <x:c r="A234" s="125"/>
      <x:c r="B234" s="125"/>
      <x:c r="C234" s="125"/>
      <x:c r="D234" s="125"/>
      <x:c r="E234" s="125"/>
      <x:c r="F234" s="125"/>
      <x:c r="G234" s="125"/>
      <x:c r="H234" s="125"/>
      <x:c r="I234" s="125"/>
      <x:c r="J234" s="125"/>
      <x:c r="K234" s="125"/>
      <x:c r="L234" s="125"/>
      <x:c r="M234" s="125"/>
      <x:c r="N234" s="125"/>
      <x:c r="O234" s="125"/>
      <x:c r="P234" s="125"/>
      <x:c r="Q234" s="125"/>
    </x:row>
    <x:row r="235">
      <x:c r="A235" s="125"/>
      <x:c r="B235" s="125"/>
      <x:c r="C235" s="125"/>
      <x:c r="D235" s="125"/>
      <x:c r="E235" s="125"/>
      <x:c r="F235" s="125"/>
      <x:c r="G235" s="125"/>
      <x:c r="H235" s="125"/>
      <x:c r="I235" s="125"/>
      <x:c r="J235" s="125"/>
      <x:c r="K235" s="125"/>
      <x:c r="L235" s="125"/>
      <x:c r="M235" s="125"/>
      <x:c r="N235" s="125"/>
      <x:c r="O235" s="125"/>
      <x:c r="P235" s="125"/>
      <x:c r="Q235" s="125"/>
    </x:row>
    <x:row r="236">
      <x:c r="A236" s="125"/>
      <x:c r="B236" s="125"/>
      <x:c r="C236" s="125"/>
      <x:c r="D236" s="125"/>
      <x:c r="E236" s="125"/>
      <x:c r="F236" s="125"/>
      <x:c r="G236" s="125"/>
      <x:c r="H236" s="125"/>
      <x:c r="I236" s="125"/>
      <x:c r="J236" s="125"/>
      <x:c r="K236" s="125"/>
      <x:c r="L236" s="125"/>
      <x:c r="M236" s="125"/>
      <x:c r="N236" s="125"/>
      <x:c r="O236" s="125"/>
      <x:c r="P236" s="125"/>
      <x:c r="Q236" s="125"/>
    </x:row>
    <x:row r="237">
      <x:c r="A237" s="125"/>
      <x:c r="B237" s="125"/>
      <x:c r="C237" s="125"/>
      <x:c r="D237" s="125"/>
      <x:c r="E237" s="125"/>
      <x:c r="F237" s="125"/>
      <x:c r="G237" s="125"/>
      <x:c r="H237" s="125"/>
      <x:c r="I237" s="125"/>
      <x:c r="J237" s="125"/>
      <x:c r="K237" s="125"/>
      <x:c r="L237" s="125"/>
      <x:c r="M237" s="125"/>
      <x:c r="N237" s="125"/>
      <x:c r="O237" s="125"/>
      <x:c r="P237" s="125"/>
      <x:c r="Q237" s="125"/>
    </x:row>
    <x:row r="238">
      <x:c r="A238" s="125"/>
      <x:c r="B238" s="125"/>
      <x:c r="C238" s="125"/>
      <x:c r="D238" s="125"/>
      <x:c r="E238" s="125"/>
      <x:c r="F238" s="125"/>
      <x:c r="G238" s="125"/>
      <x:c r="H238" s="125"/>
      <x:c r="I238" s="125"/>
      <x:c r="J238" s="125"/>
      <x:c r="K238" s="125"/>
      <x:c r="L238" s="125"/>
      <x:c r="M238" s="125"/>
      <x:c r="N238" s="125"/>
      <x:c r="O238" s="125"/>
      <x:c r="P238" s="125"/>
      <x:c r="Q238" s="125"/>
    </x:row>
    <x:row r="239">
      <x:c r="A239" s="125"/>
      <x:c r="B239" s="125"/>
      <x:c r="C239" s="125"/>
      <x:c r="D239" s="125"/>
      <x:c r="E239" s="125"/>
      <x:c r="F239" s="125"/>
      <x:c r="G239" s="125"/>
      <x:c r="H239" s="125"/>
      <x:c r="I239" s="125"/>
      <x:c r="J239" s="125"/>
      <x:c r="K239" s="125"/>
      <x:c r="L239" s="125"/>
      <x:c r="M239" s="125"/>
      <x:c r="N239" s="125"/>
      <x:c r="O239" s="125"/>
      <x:c r="P239" s="125"/>
      <x:c r="Q239" s="125"/>
    </x:row>
    <x:row r="240">
      <x:c r="A240" s="125"/>
      <x:c r="B240" s="125"/>
      <x:c r="C240" s="125"/>
      <x:c r="D240" s="125"/>
      <x:c r="E240" s="125"/>
      <x:c r="F240" s="125"/>
      <x:c r="G240" s="125"/>
      <x:c r="H240" s="125"/>
      <x:c r="I240" s="125"/>
      <x:c r="J240" s="125"/>
      <x:c r="K240" s="125"/>
      <x:c r="L240" s="125"/>
      <x:c r="M240" s="125"/>
      <x:c r="N240" s="125"/>
      <x:c r="O240" s="125"/>
      <x:c r="P240" s="125"/>
      <x:c r="Q240" s="125"/>
    </x:row>
    <x:row r="241">
      <x:c r="A241" s="125"/>
      <x:c r="B241" s="125"/>
      <x:c r="C241" s="125"/>
      <x:c r="D241" s="125"/>
      <x:c r="E241" s="125"/>
      <x:c r="F241" s="125"/>
      <x:c r="G241" s="125"/>
      <x:c r="H241" s="125"/>
      <x:c r="I241" s="125"/>
      <x:c r="J241" s="125"/>
      <x:c r="K241" s="125"/>
      <x:c r="L241" s="125"/>
      <x:c r="M241" s="125"/>
      <x:c r="N241" s="125"/>
      <x:c r="O241" s="125"/>
      <x:c r="P241" s="125"/>
      <x:c r="Q241" s="125"/>
    </x:row>
    <x:row r="242">
      <x:c r="A242" s="125"/>
      <x:c r="B242" s="125"/>
      <x:c r="C242" s="125"/>
      <x:c r="D242" s="125"/>
      <x:c r="E242" s="125"/>
      <x:c r="F242" s="125"/>
      <x:c r="G242" s="125"/>
      <x:c r="H242" s="125"/>
      <x:c r="I242" s="125"/>
      <x:c r="J242" s="125"/>
      <x:c r="K242" s="125"/>
      <x:c r="L242" s="125"/>
      <x:c r="M242" s="125"/>
      <x:c r="N242" s="125"/>
      <x:c r="O242" s="125"/>
      <x:c r="P242" s="125"/>
      <x:c r="Q242" s="125"/>
    </x:row>
    <x:row r="243">
      <x:c r="A243" s="125"/>
      <x:c r="B243" s="125"/>
      <x:c r="C243" s="125"/>
      <x:c r="D243" s="125"/>
      <x:c r="E243" s="125"/>
      <x:c r="F243" s="125"/>
      <x:c r="G243" s="125"/>
      <x:c r="H243" s="125"/>
      <x:c r="I243" s="125"/>
      <x:c r="J243" s="125"/>
      <x:c r="K243" s="125"/>
      <x:c r="L243" s="125"/>
      <x:c r="M243" s="125"/>
      <x:c r="N243" s="125"/>
      <x:c r="O243" s="125"/>
      <x:c r="P243" s="125"/>
      <x:c r="Q243" s="125"/>
    </x:row>
    <x:row r="244">
      <x:c r="A244" s="125"/>
      <x:c r="B244" s="125"/>
      <x:c r="C244" s="125"/>
      <x:c r="D244" s="125"/>
      <x:c r="E244" s="125"/>
      <x:c r="F244" s="125"/>
      <x:c r="G244" s="125"/>
      <x:c r="H244" s="125"/>
      <x:c r="I244" s="125"/>
      <x:c r="J244" s="125"/>
      <x:c r="K244" s="125"/>
      <x:c r="L244" s="125"/>
      <x:c r="M244" s="125"/>
      <x:c r="N244" s="125"/>
      <x:c r="O244" s="125"/>
      <x:c r="P244" s="125"/>
      <x:c r="Q244" s="125"/>
    </x:row>
    <x:row r="245">
      <x:c r="A245" s="125"/>
      <x:c r="B245" s="125"/>
      <x:c r="C245" s="125"/>
      <x:c r="D245" s="125"/>
      <x:c r="E245" s="125"/>
      <x:c r="F245" s="125"/>
      <x:c r="G245" s="125"/>
      <x:c r="H245" s="125"/>
      <x:c r="I245" s="125"/>
      <x:c r="J245" s="125"/>
      <x:c r="K245" s="125"/>
      <x:c r="L245" s="125"/>
      <x:c r="M245" s="125"/>
      <x:c r="N245" s="125"/>
      <x:c r="O245" s="125"/>
      <x:c r="P245" s="125"/>
      <x:c r="Q245" s="125"/>
    </x:row>
    <x:row r="246">
      <x:c r="A246" s="125"/>
      <x:c r="B246" s="125"/>
      <x:c r="C246" s="125"/>
      <x:c r="D246" s="125"/>
      <x:c r="E246" s="125"/>
      <x:c r="F246" s="125"/>
      <x:c r="G246" s="125"/>
      <x:c r="H246" s="125"/>
      <x:c r="I246" s="125"/>
      <x:c r="J246" s="125"/>
      <x:c r="K246" s="125"/>
      <x:c r="L246" s="125"/>
      <x:c r="M246" s="125"/>
      <x:c r="N246" s="125"/>
      <x:c r="O246" s="125"/>
      <x:c r="P246" s="125"/>
      <x:c r="Q246" s="125"/>
    </x:row>
    <x:row r="247">
      <x:c r="A247" s="125"/>
      <x:c r="B247" s="125"/>
      <x:c r="C247" s="125"/>
      <x:c r="D247" s="125"/>
      <x:c r="E247" s="125"/>
      <x:c r="F247" s="125"/>
      <x:c r="G247" s="125"/>
      <x:c r="H247" s="125"/>
      <x:c r="I247" s="125"/>
      <x:c r="J247" s="125"/>
      <x:c r="K247" s="125"/>
      <x:c r="L247" s="125"/>
      <x:c r="M247" s="125"/>
      <x:c r="N247" s="125"/>
      <x:c r="O247" s="125"/>
      <x:c r="P247" s="125"/>
      <x:c r="Q247" s="125"/>
    </x:row>
    <x:row r="248">
      <x:c r="A248" s="125"/>
      <x:c r="B248" s="125"/>
      <x:c r="C248" s="125"/>
      <x:c r="D248" s="125"/>
      <x:c r="E248" s="125"/>
      <x:c r="F248" s="125"/>
      <x:c r="G248" s="125"/>
      <x:c r="H248" s="125"/>
      <x:c r="I248" s="125"/>
      <x:c r="J248" s="125"/>
      <x:c r="K248" s="125"/>
      <x:c r="L248" s="125"/>
      <x:c r="M248" s="125"/>
      <x:c r="N248" s="125"/>
      <x:c r="O248" s="125"/>
      <x:c r="P248" s="125"/>
      <x:c r="Q248" s="125"/>
    </x:row>
    <x:row r="249">
      <x:c r="A249" s="125"/>
      <x:c r="B249" s="125"/>
      <x:c r="C249" s="125"/>
      <x:c r="D249" s="125"/>
      <x:c r="E249" s="125"/>
      <x:c r="F249" s="125"/>
      <x:c r="G249" s="125"/>
      <x:c r="H249" s="125"/>
      <x:c r="I249" s="125"/>
      <x:c r="J249" s="125"/>
      <x:c r="K249" s="125"/>
      <x:c r="L249" s="125"/>
      <x:c r="M249" s="125"/>
      <x:c r="N249" s="125"/>
      <x:c r="O249" s="125"/>
      <x:c r="P249" s="125"/>
      <x:c r="Q249" s="125"/>
    </x:row>
    <x:row r="250">
      <x:c r="A250" s="125"/>
      <x:c r="B250" s="125"/>
      <x:c r="C250" s="125"/>
      <x:c r="D250" s="125"/>
      <x:c r="E250" s="125"/>
      <x:c r="F250" s="125"/>
      <x:c r="G250" s="125"/>
      <x:c r="H250" s="125"/>
      <x:c r="I250" s="125"/>
      <x:c r="J250" s="125"/>
      <x:c r="K250" s="125"/>
      <x:c r="L250" s="125"/>
      <x:c r="M250" s="125"/>
      <x:c r="N250" s="125"/>
      <x:c r="O250" s="125"/>
      <x:c r="P250" s="125"/>
      <x:c r="Q250" s="125"/>
    </x:row>
  </x:sheetData>
  <x:mergeCells>
    <x:mergeCell ref="A1:Q1"/>
    <x:mergeCell ref="A2:Q2"/>
  </x:mergeCells>
  <x:dataValidations count="2">
    <x:dataValidation type="list" sqref="D7:D206">
      <x:formula1>_LISTS!$A$2:$A$3</x:formula1>
    </x:dataValidation>
    <x:dataValidation type="list" sqref="P7:P206">
      <x:formula1>_LISTS!$D$2:$D$7</x:formula1>
    </x:dataValidation>
  </x:dataValidations>
  <x:pageMargins left="0.7" right="0.7" top="0.75" bottom="0.75" header="0.3" footer="0.3"/>
</x:worksheet>
</file>

<file path=xl/worksheets/sheet12.xml><?xml version="1.0" encoding="utf-8"?>
<x:worksheet xmlns:x="http://schemas.openxmlformats.org/spreadsheetml/2006/main">
  <x:sheetFormatPr defaultRowHeight="15"/>
  <x:cols>
    <x:col min="1" max="1" width="12" hidden="0" customWidth="1"/>
    <x:col min="2" max="2" width="14" hidden="0" customWidth="1"/>
    <x:col min="3" max="3" width="14" hidden="0" customWidth="1"/>
    <x:col min="4" max="4" width="10" hidden="0" customWidth="1"/>
    <x:col min="5" max="5" width="16" hidden="0" customWidth="1"/>
    <x:col min="6" max="6" width="16" hidden="0" customWidth="1"/>
    <x:col min="7" max="7" width="16" hidden="0" customWidth="1"/>
    <x:col min="8" max="8" width="16" hidden="0" customWidth="1"/>
    <x:col min="9" max="9" width="22" hidden="0" customWidth="1"/>
    <x:col min="10" max="10" width="24" hidden="0" customWidth="1"/>
    <x:col min="11" max="11" width="14" hidden="0" customWidth="1"/>
    <x:col min="12" max="12" width="34" hidden="0" customWidth="1"/>
  </x:cols>
  <x:sheetData>
    <x:row r="1" ht="24" customHeight="1">
      <x:c r="A1" s="200" t="str">
        <x:v>DATA_CASH_RESERVES — Cash / Reserve Availability Inputs</x:v>
      </x:c>
      <x:c r="B1" s="198"/>
      <x:c r="C1" s="198"/>
      <x:c r="D1" s="198"/>
      <x:c r="E1" s="198"/>
      <x:c r="F1" s="198"/>
      <x:c r="G1" s="198"/>
      <x:c r="H1" s="198"/>
      <x:c r="I1" s="198"/>
      <x:c r="J1" s="198"/>
      <x:c r="K1" s="198"/>
      <x:c r="L1" s="125"/>
      <x:c r="M1" s="125"/>
      <x:c r="N1" s="125"/>
      <x:c r="O1" s="125"/>
      <x:c r="P1" s="125"/>
      <x:c r="Q1" s="125"/>
    </x:row>
    <x:row r="2" ht="34" customHeight="1">
      <x:c r="A2" s="126" t="str">
        <x:v>Blue cells are writable. Restricted cash treatment is a key MVP flag if not confirmed. Blank template: populate blue/orange cells for a new organization; formulas remain live.</x:v>
      </x:c>
      <x:c r="B2" s="125"/>
      <x:c r="C2" s="125"/>
      <x:c r="D2" s="125"/>
      <x:c r="E2" s="125"/>
      <x:c r="F2" s="125"/>
      <x:c r="G2" s="125"/>
      <x:c r="H2" s="125"/>
      <x:c r="I2" s="125"/>
      <x:c r="J2" s="125"/>
      <x:c r="K2" s="125"/>
      <x:c r="L2" s="125"/>
      <x:c r="M2" s="125"/>
      <x:c r="N2" s="125"/>
      <x:c r="O2" s="125"/>
      <x:c r="P2" s="125"/>
      <x:c r="Q2" s="125"/>
    </x:row>
    <x:row r="3">
      <x:c r="A3" s="125"/>
      <x:c r="B3" s="125"/>
      <x:c r="C3" s="125"/>
      <x:c r="D3" s="125"/>
      <x:c r="E3" s="125"/>
      <x:c r="F3" s="125"/>
      <x:c r="G3" s="125"/>
      <x:c r="H3" s="125"/>
      <x:c r="I3" s="125"/>
      <x:c r="J3" s="125"/>
      <x:c r="K3" s="125"/>
      <x:c r="L3" s="125"/>
      <x:c r="M3" s="125"/>
      <x:c r="N3" s="125"/>
      <x:c r="O3" s="125"/>
      <x:c r="P3" s="125"/>
      <x:c r="Q3" s="125"/>
    </x:row>
    <x:row r="4">
      <x:c r="A4" s="125"/>
      <x:c r="B4" s="125"/>
      <x:c r="C4" s="125"/>
      <x:c r="D4" s="125"/>
      <x:c r="E4" s="125"/>
      <x:c r="F4" s="125"/>
      <x:c r="G4" s="125"/>
      <x:c r="H4" s="125"/>
      <x:c r="I4" s="125"/>
      <x:c r="J4" s="125"/>
      <x:c r="K4" s="125"/>
      <x:c r="L4" s="125"/>
      <x:c r="M4" s="125"/>
      <x:c r="N4" s="125"/>
      <x:c r="O4" s="125"/>
      <x:c r="P4" s="125"/>
      <x:c r="Q4" s="125"/>
    </x:row>
    <x:row r="5">
      <x:c r="A5" s="125"/>
      <x:c r="B5" s="125"/>
      <x:c r="C5" s="125"/>
      <x:c r="D5" s="125"/>
      <x:c r="E5" s="125"/>
      <x:c r="F5" s="125"/>
      <x:c r="G5" s="125"/>
      <x:c r="H5" s="125"/>
      <x:c r="I5" s="125"/>
      <x:c r="J5" s="125"/>
      <x:c r="K5" s="125"/>
      <x:c r="L5" s="125"/>
      <x:c r="M5" s="125"/>
      <x:c r="N5" s="125"/>
      <x:c r="O5" s="125"/>
      <x:c r="P5" s="125"/>
      <x:c r="Q5" s="125"/>
    </x:row>
    <x:row r="6" ht="26" customHeight="1">
      <x:c r="A6" s="127" t="str">
        <x:v>Cash_ID</x:v>
      </x:c>
      <x:c r="B6" s="127" t="str">
        <x:v>Organization_ID</x:v>
      </x:c>
      <x:c r="C6" s="127" t="str">
        <x:v>Property_ID</x:v>
      </x:c>
      <x:c r="D6" s="127" t="str">
        <x:v>Year</x:v>
      </x:c>
      <x:c r="E6" s="127" t="str">
        <x:v>Opening_Cash</x:v>
      </x:c>
      <x:c r="F6" s="127" t="str">
        <x:v>Closing_Cash</x:v>
      </x:c>
      <x:c r="G6" s="127" t="str">
        <x:v>Restricted_Cash</x:v>
      </x:c>
      <x:c r="H6" s="127" t="str">
        <x:v>Unrestricted_Cash</x:v>
      </x:c>
      <x:c r="I6" s="127" t="str">
        <x:v>Available_for_Operations</x:v>
      </x:c>
      <x:c r="J6" s="127" t="str">
        <x:v>Available_for_Debt_Service</x:v>
      </x:c>
      <x:c r="K6" s="127" t="str">
        <x:v>Source_File_ID</x:v>
      </x:c>
      <x:c r="L6" s="127" t="str">
        <x:v>Review_Status</x:v>
      </x:c>
      <x:c r="M6" s="125"/>
      <x:c r="N6" s="125"/>
      <x:c r="O6" s="125"/>
      <x:c r="P6" s="125"/>
      <x:c r="Q6" s="125"/>
    </x:row>
    <x:row r="7">
      <x:c r="A7" s="148"/>
      <x:c r="B7" s="148"/>
      <x:c r="C7" s="148"/>
      <x:c r="D7" s="148"/>
      <x:c r="E7" s="160"/>
      <x:c r="F7" s="160"/>
      <x:c r="G7" s="160"/>
      <x:c r="H7" s="160"/>
      <x:c r="I7" s="148"/>
      <x:c r="J7" s="148"/>
      <x:c r="K7" s="148"/>
      <x:c r="L7" s="148"/>
      <x:c r="M7" s="125"/>
      <x:c r="N7" s="125"/>
      <x:c r="O7" s="125"/>
      <x:c r="P7" s="125"/>
      <x:c r="Q7" s="125"/>
    </x:row>
    <x:row r="8">
      <x:c r="A8" s="148"/>
      <x:c r="B8" s="148"/>
      <x:c r="C8" s="148"/>
      <x:c r="D8" s="148"/>
      <x:c r="E8" s="160"/>
      <x:c r="F8" s="160"/>
      <x:c r="G8" s="160"/>
      <x:c r="H8" s="160"/>
      <x:c r="I8" s="148"/>
      <x:c r="J8" s="148"/>
      <x:c r="K8" s="148"/>
      <x:c r="L8" s="148"/>
      <x:c r="M8" s="125"/>
      <x:c r="N8" s="125"/>
      <x:c r="O8" s="125"/>
      <x:c r="P8" s="125"/>
      <x:c r="Q8" s="125"/>
    </x:row>
    <x:row r="9">
      <x:c r="A9" s="148"/>
      <x:c r="B9" s="148"/>
      <x:c r="C9" s="148"/>
      <x:c r="D9" s="148"/>
      <x:c r="E9" s="160"/>
      <x:c r="F9" s="160"/>
      <x:c r="G9" s="160"/>
      <x:c r="H9" s="160"/>
      <x:c r="I9" s="148"/>
      <x:c r="J9" s="148"/>
      <x:c r="K9" s="148"/>
      <x:c r="L9" s="148"/>
      <x:c r="M9" s="125"/>
      <x:c r="N9" s="125"/>
      <x:c r="O9" s="125"/>
      <x:c r="P9" s="125"/>
      <x:c r="Q9" s="125"/>
    </x:row>
    <x:row r="10">
      <x:c r="A10" s="148"/>
      <x:c r="B10" s="148"/>
      <x:c r="C10" s="148"/>
      <x:c r="D10" s="148"/>
      <x:c r="E10" s="160"/>
      <x:c r="F10" s="160"/>
      <x:c r="G10" s="160"/>
      <x:c r="H10" s="160"/>
      <x:c r="I10" s="148"/>
      <x:c r="J10" s="148"/>
      <x:c r="K10" s="148"/>
      <x:c r="L10" s="148"/>
      <x:c r="M10" s="125"/>
      <x:c r="N10" s="125"/>
      <x:c r="O10" s="125"/>
      <x:c r="P10" s="125"/>
      <x:c r="Q10" s="125"/>
    </x:row>
    <x:row r="11">
      <x:c r="A11" s="148"/>
      <x:c r="B11" s="148"/>
      <x:c r="C11" s="148"/>
      <x:c r="D11" s="148"/>
      <x:c r="E11" s="160"/>
      <x:c r="F11" s="160"/>
      <x:c r="G11" s="160"/>
      <x:c r="H11" s="160"/>
      <x:c r="I11" s="148"/>
      <x:c r="J11" s="148"/>
      <x:c r="K11" s="148"/>
      <x:c r="L11" s="148"/>
      <x:c r="M11" s="125"/>
      <x:c r="N11" s="125"/>
      <x:c r="O11" s="125"/>
      <x:c r="P11" s="125"/>
      <x:c r="Q11" s="125"/>
    </x:row>
    <x:row r="12">
      <x:c r="A12" s="148"/>
      <x:c r="B12" s="148"/>
      <x:c r="C12" s="148"/>
      <x:c r="D12" s="148"/>
      <x:c r="E12" s="160"/>
      <x:c r="F12" s="160"/>
      <x:c r="G12" s="160"/>
      <x:c r="H12" s="160"/>
      <x:c r="I12" s="148"/>
      <x:c r="J12" s="148"/>
      <x:c r="K12" s="148"/>
      <x:c r="L12" s="148"/>
      <x:c r="M12" s="125"/>
      <x:c r="N12" s="125"/>
      <x:c r="O12" s="125"/>
      <x:c r="P12" s="125"/>
      <x:c r="Q12" s="125"/>
    </x:row>
    <x:row r="13">
      <x:c r="A13" s="148"/>
      <x:c r="B13" s="148"/>
      <x:c r="C13" s="148"/>
      <x:c r="D13" s="148"/>
      <x:c r="E13" s="160"/>
      <x:c r="F13" s="160"/>
      <x:c r="G13" s="160"/>
      <x:c r="H13" s="160"/>
      <x:c r="I13" s="148"/>
      <x:c r="J13" s="148"/>
      <x:c r="K13" s="148"/>
      <x:c r="L13" s="148"/>
      <x:c r="M13" s="125"/>
      <x:c r="N13" s="125"/>
      <x:c r="O13" s="125"/>
      <x:c r="P13" s="125"/>
      <x:c r="Q13" s="125"/>
    </x:row>
    <x:row r="14">
      <x:c r="A14" s="148"/>
      <x:c r="B14" s="148"/>
      <x:c r="C14" s="148"/>
      <x:c r="D14" s="148"/>
      <x:c r="E14" s="160"/>
      <x:c r="F14" s="160"/>
      <x:c r="G14" s="160"/>
      <x:c r="H14" s="160"/>
      <x:c r="I14" s="148"/>
      <x:c r="J14" s="148"/>
      <x:c r="K14" s="148"/>
      <x:c r="L14" s="148"/>
      <x:c r="M14" s="125"/>
      <x:c r="N14" s="125"/>
      <x:c r="O14" s="125"/>
      <x:c r="P14" s="125"/>
      <x:c r="Q14" s="125"/>
    </x:row>
    <x:row r="15">
      <x:c r="A15" s="148"/>
      <x:c r="B15" s="148"/>
      <x:c r="C15" s="148"/>
      <x:c r="D15" s="148"/>
      <x:c r="E15" s="160"/>
      <x:c r="F15" s="160"/>
      <x:c r="G15" s="160"/>
      <x:c r="H15" s="160"/>
      <x:c r="I15" s="148"/>
      <x:c r="J15" s="148"/>
      <x:c r="K15" s="148"/>
      <x:c r="L15" s="148"/>
      <x:c r="M15" s="125"/>
      <x:c r="N15" s="125"/>
      <x:c r="O15" s="125"/>
      <x:c r="P15" s="125"/>
      <x:c r="Q15" s="125"/>
    </x:row>
    <x:row r="16">
      <x:c r="A16" s="148"/>
      <x:c r="B16" s="148"/>
      <x:c r="C16" s="148"/>
      <x:c r="D16" s="148"/>
      <x:c r="E16" s="160"/>
      <x:c r="F16" s="160"/>
      <x:c r="G16" s="160"/>
      <x:c r="H16" s="160"/>
      <x:c r="I16" s="148"/>
      <x:c r="J16" s="148"/>
      <x:c r="K16" s="148"/>
      <x:c r="L16" s="148"/>
      <x:c r="M16" s="125"/>
      <x:c r="N16" s="125"/>
      <x:c r="O16" s="125"/>
      <x:c r="P16" s="125"/>
      <x:c r="Q16" s="125"/>
    </x:row>
    <x:row r="17">
      <x:c r="A17" s="148"/>
      <x:c r="B17" s="148"/>
      <x:c r="C17" s="148"/>
      <x:c r="D17" s="148"/>
      <x:c r="E17" s="160"/>
      <x:c r="F17" s="160"/>
      <x:c r="G17" s="160"/>
      <x:c r="H17" s="160"/>
      <x:c r="I17" s="148"/>
      <x:c r="J17" s="148"/>
      <x:c r="K17" s="148"/>
      <x:c r="L17" s="148"/>
      <x:c r="M17" s="125"/>
      <x:c r="N17" s="125"/>
      <x:c r="O17" s="125"/>
      <x:c r="P17" s="125"/>
      <x:c r="Q17" s="125"/>
    </x:row>
    <x:row r="18">
      <x:c r="A18" s="148"/>
      <x:c r="B18" s="148"/>
      <x:c r="C18" s="148"/>
      <x:c r="D18" s="148"/>
      <x:c r="E18" s="160"/>
      <x:c r="F18" s="160"/>
      <x:c r="G18" s="160"/>
      <x:c r="H18" s="160"/>
      <x:c r="I18" s="148"/>
      <x:c r="J18" s="148"/>
      <x:c r="K18" s="148"/>
      <x:c r="L18" s="148"/>
      <x:c r="M18" s="125"/>
      <x:c r="N18" s="125"/>
      <x:c r="O18" s="125"/>
      <x:c r="P18" s="125"/>
      <x:c r="Q18" s="125"/>
    </x:row>
    <x:row r="19">
      <x:c r="A19" s="148"/>
      <x:c r="B19" s="148"/>
      <x:c r="C19" s="148"/>
      <x:c r="D19" s="148"/>
      <x:c r="E19" s="160"/>
      <x:c r="F19" s="160"/>
      <x:c r="G19" s="160"/>
      <x:c r="H19" s="160"/>
      <x:c r="I19" s="148"/>
      <x:c r="J19" s="148"/>
      <x:c r="K19" s="148"/>
      <x:c r="L19" s="148"/>
      <x:c r="M19" s="125"/>
      <x:c r="N19" s="125"/>
      <x:c r="O19" s="125"/>
      <x:c r="P19" s="125"/>
      <x:c r="Q19" s="125"/>
    </x:row>
    <x:row r="20">
      <x:c r="A20" s="148"/>
      <x:c r="B20" s="148"/>
      <x:c r="C20" s="148"/>
      <x:c r="D20" s="148"/>
      <x:c r="E20" s="160"/>
      <x:c r="F20" s="160"/>
      <x:c r="G20" s="160"/>
      <x:c r="H20" s="160"/>
      <x:c r="I20" s="148"/>
      <x:c r="J20" s="148"/>
      <x:c r="K20" s="148"/>
      <x:c r="L20" s="148"/>
      <x:c r="M20" s="125"/>
      <x:c r="N20" s="125"/>
      <x:c r="O20" s="125"/>
      <x:c r="P20" s="125"/>
      <x:c r="Q20" s="125"/>
    </x:row>
    <x:row r="21">
      <x:c r="A21" s="148"/>
      <x:c r="B21" s="148"/>
      <x:c r="C21" s="148"/>
      <x:c r="D21" s="148"/>
      <x:c r="E21" s="160"/>
      <x:c r="F21" s="160"/>
      <x:c r="G21" s="160"/>
      <x:c r="H21" s="160"/>
      <x:c r="I21" s="148"/>
      <x:c r="J21" s="148"/>
      <x:c r="K21" s="148"/>
      <x:c r="L21" s="148"/>
      <x:c r="M21" s="125"/>
      <x:c r="N21" s="125"/>
      <x:c r="O21" s="125"/>
      <x:c r="P21" s="125"/>
      <x:c r="Q21" s="125"/>
    </x:row>
    <x:row r="22">
      <x:c r="A22" s="148"/>
      <x:c r="B22" s="148"/>
      <x:c r="C22" s="148"/>
      <x:c r="D22" s="148"/>
      <x:c r="E22" s="160"/>
      <x:c r="F22" s="160"/>
      <x:c r="G22" s="160"/>
      <x:c r="H22" s="160"/>
      <x:c r="I22" s="148"/>
      <x:c r="J22" s="148"/>
      <x:c r="K22" s="148"/>
      <x:c r="L22" s="148"/>
      <x:c r="M22" s="125"/>
      <x:c r="N22" s="125"/>
      <x:c r="O22" s="125"/>
      <x:c r="P22" s="125"/>
      <x:c r="Q22" s="125"/>
    </x:row>
    <x:row r="23">
      <x:c r="A23" s="148"/>
      <x:c r="B23" s="148"/>
      <x:c r="C23" s="148"/>
      <x:c r="D23" s="148"/>
      <x:c r="E23" s="160"/>
      <x:c r="F23" s="160"/>
      <x:c r="G23" s="160"/>
      <x:c r="H23" s="160"/>
      <x:c r="I23" s="148"/>
      <x:c r="J23" s="148"/>
      <x:c r="K23" s="148"/>
      <x:c r="L23" s="148"/>
      <x:c r="M23" s="125"/>
      <x:c r="N23" s="125"/>
      <x:c r="O23" s="125"/>
      <x:c r="P23" s="125"/>
      <x:c r="Q23" s="125"/>
    </x:row>
    <x:row r="24">
      <x:c r="A24" s="148"/>
      <x:c r="B24" s="148"/>
      <x:c r="C24" s="148"/>
      <x:c r="D24" s="148"/>
      <x:c r="E24" s="160"/>
      <x:c r="F24" s="160"/>
      <x:c r="G24" s="160"/>
      <x:c r="H24" s="160"/>
      <x:c r="I24" s="148"/>
      <x:c r="J24" s="148"/>
      <x:c r="K24" s="148"/>
      <x:c r="L24" s="148"/>
      <x:c r="M24" s="125"/>
      <x:c r="N24" s="125"/>
      <x:c r="O24" s="125"/>
      <x:c r="P24" s="125"/>
      <x:c r="Q24" s="125"/>
    </x:row>
    <x:row r="25">
      <x:c r="A25" s="148"/>
      <x:c r="B25" s="148"/>
      <x:c r="C25" s="148"/>
      <x:c r="D25" s="148"/>
      <x:c r="E25" s="160"/>
      <x:c r="F25" s="160"/>
      <x:c r="G25" s="160"/>
      <x:c r="H25" s="160"/>
      <x:c r="I25" s="148"/>
      <x:c r="J25" s="148"/>
      <x:c r="K25" s="148"/>
      <x:c r="L25" s="148"/>
      <x:c r="M25" s="125"/>
      <x:c r="N25" s="125"/>
      <x:c r="O25" s="125"/>
      <x:c r="P25" s="125"/>
      <x:c r="Q25" s="125"/>
    </x:row>
    <x:row r="26">
      <x:c r="A26" s="148"/>
      <x:c r="B26" s="148"/>
      <x:c r="C26" s="148"/>
      <x:c r="D26" s="148"/>
      <x:c r="E26" s="160"/>
      <x:c r="F26" s="160"/>
      <x:c r="G26" s="160"/>
      <x:c r="H26" s="160"/>
      <x:c r="I26" s="148"/>
      <x:c r="J26" s="148"/>
      <x:c r="K26" s="148"/>
      <x:c r="L26" s="148"/>
      <x:c r="M26" s="125"/>
      <x:c r="N26" s="125"/>
      <x:c r="O26" s="125"/>
      <x:c r="P26" s="125"/>
      <x:c r="Q26" s="125"/>
    </x:row>
    <x:row r="27">
      <x:c r="A27" s="148"/>
      <x:c r="B27" s="148"/>
      <x:c r="C27" s="148"/>
      <x:c r="D27" s="148"/>
      <x:c r="E27" s="160"/>
      <x:c r="F27" s="160"/>
      <x:c r="G27" s="160"/>
      <x:c r="H27" s="160"/>
      <x:c r="I27" s="148"/>
      <x:c r="J27" s="148"/>
      <x:c r="K27" s="148"/>
      <x:c r="L27" s="148"/>
      <x:c r="M27" s="125"/>
      <x:c r="N27" s="125"/>
      <x:c r="O27" s="125"/>
      <x:c r="P27" s="125"/>
      <x:c r="Q27" s="125"/>
    </x:row>
    <x:row r="28">
      <x:c r="A28" s="148"/>
      <x:c r="B28" s="148"/>
      <x:c r="C28" s="148"/>
      <x:c r="D28" s="148"/>
      <x:c r="E28" s="160"/>
      <x:c r="F28" s="160"/>
      <x:c r="G28" s="160"/>
      <x:c r="H28" s="160"/>
      <x:c r="I28" s="148"/>
      <x:c r="J28" s="148"/>
      <x:c r="K28" s="148"/>
      <x:c r="L28" s="148"/>
      <x:c r="M28" s="125"/>
      <x:c r="N28" s="125"/>
      <x:c r="O28" s="125"/>
      <x:c r="P28" s="125"/>
      <x:c r="Q28" s="125"/>
    </x:row>
    <x:row r="29">
      <x:c r="A29" s="148"/>
      <x:c r="B29" s="148"/>
      <x:c r="C29" s="148"/>
      <x:c r="D29" s="148"/>
      <x:c r="E29" s="160"/>
      <x:c r="F29" s="160"/>
      <x:c r="G29" s="160"/>
      <x:c r="H29" s="160"/>
      <x:c r="I29" s="148"/>
      <x:c r="J29" s="148"/>
      <x:c r="K29" s="148"/>
      <x:c r="L29" s="148"/>
      <x:c r="M29" s="125"/>
      <x:c r="N29" s="125"/>
      <x:c r="O29" s="125"/>
      <x:c r="P29" s="125"/>
      <x:c r="Q29" s="125"/>
    </x:row>
    <x:row r="30">
      <x:c r="A30" s="148"/>
      <x:c r="B30" s="148"/>
      <x:c r="C30" s="148"/>
      <x:c r="D30" s="148"/>
      <x:c r="E30" s="160"/>
      <x:c r="F30" s="160"/>
      <x:c r="G30" s="160"/>
      <x:c r="H30" s="160"/>
      <x:c r="I30" s="148"/>
      <x:c r="J30" s="148"/>
      <x:c r="K30" s="148"/>
      <x:c r="L30" s="148"/>
      <x:c r="M30" s="125"/>
      <x:c r="N30" s="125"/>
      <x:c r="O30" s="125"/>
      <x:c r="P30" s="125"/>
      <x:c r="Q30" s="125"/>
    </x:row>
    <x:row r="31">
      <x:c r="A31" s="148"/>
      <x:c r="B31" s="148"/>
      <x:c r="C31" s="148"/>
      <x:c r="D31" s="148"/>
      <x:c r="E31" s="160"/>
      <x:c r="F31" s="160"/>
      <x:c r="G31" s="160"/>
      <x:c r="H31" s="160"/>
      <x:c r="I31" s="148"/>
      <x:c r="J31" s="148"/>
      <x:c r="K31" s="148"/>
      <x:c r="L31" s="148"/>
      <x:c r="M31" s="125"/>
      <x:c r="N31" s="125"/>
      <x:c r="O31" s="125"/>
      <x:c r="P31" s="125"/>
      <x:c r="Q31" s="125"/>
    </x:row>
    <x:row r="32">
      <x:c r="A32" s="148"/>
      <x:c r="B32" s="148"/>
      <x:c r="C32" s="148"/>
      <x:c r="D32" s="148"/>
      <x:c r="E32" s="160"/>
      <x:c r="F32" s="160"/>
      <x:c r="G32" s="160"/>
      <x:c r="H32" s="160"/>
      <x:c r="I32" s="148"/>
      <x:c r="J32" s="148"/>
      <x:c r="K32" s="148"/>
      <x:c r="L32" s="148"/>
      <x:c r="M32" s="125"/>
      <x:c r="N32" s="125"/>
      <x:c r="O32" s="125"/>
      <x:c r="P32" s="125"/>
      <x:c r="Q32" s="125"/>
    </x:row>
    <x:row r="33">
      <x:c r="A33" s="148"/>
      <x:c r="B33" s="148"/>
      <x:c r="C33" s="148"/>
      <x:c r="D33" s="148"/>
      <x:c r="E33" s="160"/>
      <x:c r="F33" s="160"/>
      <x:c r="G33" s="160"/>
      <x:c r="H33" s="160"/>
      <x:c r="I33" s="148"/>
      <x:c r="J33" s="148"/>
      <x:c r="K33" s="148"/>
      <x:c r="L33" s="148"/>
      <x:c r="M33" s="125"/>
      <x:c r="N33" s="125"/>
      <x:c r="O33" s="125"/>
      <x:c r="P33" s="125"/>
      <x:c r="Q33" s="125"/>
    </x:row>
    <x:row r="34">
      <x:c r="A34" s="148"/>
      <x:c r="B34" s="148"/>
      <x:c r="C34" s="148"/>
      <x:c r="D34" s="148"/>
      <x:c r="E34" s="160"/>
      <x:c r="F34" s="160"/>
      <x:c r="G34" s="160"/>
      <x:c r="H34" s="160"/>
      <x:c r="I34" s="148"/>
      <x:c r="J34" s="148"/>
      <x:c r="K34" s="148"/>
      <x:c r="L34" s="148"/>
      <x:c r="M34" s="125"/>
      <x:c r="N34" s="125"/>
      <x:c r="O34" s="125"/>
      <x:c r="P34" s="125"/>
      <x:c r="Q34" s="125"/>
    </x:row>
    <x:row r="35">
      <x:c r="A35" s="148"/>
      <x:c r="B35" s="148"/>
      <x:c r="C35" s="148"/>
      <x:c r="D35" s="148"/>
      <x:c r="E35" s="160"/>
      <x:c r="F35" s="160"/>
      <x:c r="G35" s="160"/>
      <x:c r="H35" s="160"/>
      <x:c r="I35" s="148"/>
      <x:c r="J35" s="148"/>
      <x:c r="K35" s="148"/>
      <x:c r="L35" s="148"/>
      <x:c r="M35" s="125"/>
      <x:c r="N35" s="125"/>
      <x:c r="O35" s="125"/>
      <x:c r="P35" s="125"/>
      <x:c r="Q35" s="125"/>
    </x:row>
    <x:row r="36">
      <x:c r="A36" s="148"/>
      <x:c r="B36" s="148"/>
      <x:c r="C36" s="148"/>
      <x:c r="D36" s="148"/>
      <x:c r="E36" s="160"/>
      <x:c r="F36" s="160"/>
      <x:c r="G36" s="160"/>
      <x:c r="H36" s="160"/>
      <x:c r="I36" s="148"/>
      <x:c r="J36" s="148"/>
      <x:c r="K36" s="148"/>
      <x:c r="L36" s="148"/>
      <x:c r="M36" s="125"/>
      <x:c r="N36" s="125"/>
      <x:c r="O36" s="125"/>
      <x:c r="P36" s="125"/>
      <x:c r="Q36" s="125"/>
    </x:row>
    <x:row r="37">
      <x:c r="A37" s="148"/>
      <x:c r="B37" s="148"/>
      <x:c r="C37" s="148"/>
      <x:c r="D37" s="148"/>
      <x:c r="E37" s="160"/>
      <x:c r="F37" s="160"/>
      <x:c r="G37" s="160"/>
      <x:c r="H37" s="160"/>
      <x:c r="I37" s="148"/>
      <x:c r="J37" s="148"/>
      <x:c r="K37" s="148"/>
      <x:c r="L37" s="148"/>
      <x:c r="M37" s="125"/>
      <x:c r="N37" s="125"/>
      <x:c r="O37" s="125"/>
      <x:c r="P37" s="125"/>
      <x:c r="Q37" s="125"/>
    </x:row>
    <x:row r="38">
      <x:c r="A38" s="148"/>
      <x:c r="B38" s="148"/>
      <x:c r="C38" s="148"/>
      <x:c r="D38" s="148"/>
      <x:c r="E38" s="160"/>
      <x:c r="F38" s="160"/>
      <x:c r="G38" s="160"/>
      <x:c r="H38" s="160"/>
      <x:c r="I38" s="148"/>
      <x:c r="J38" s="148"/>
      <x:c r="K38" s="148"/>
      <x:c r="L38" s="148"/>
      <x:c r="M38" s="125"/>
      <x:c r="N38" s="125"/>
      <x:c r="O38" s="125"/>
      <x:c r="P38" s="125"/>
      <x:c r="Q38" s="125"/>
    </x:row>
    <x:row r="39">
      <x:c r="A39" s="148"/>
      <x:c r="B39" s="148"/>
      <x:c r="C39" s="148"/>
      <x:c r="D39" s="148"/>
      <x:c r="E39" s="160"/>
      <x:c r="F39" s="160"/>
      <x:c r="G39" s="160"/>
      <x:c r="H39" s="160"/>
      <x:c r="I39" s="148"/>
      <x:c r="J39" s="148"/>
      <x:c r="K39" s="148"/>
      <x:c r="L39" s="148"/>
      <x:c r="M39" s="125"/>
      <x:c r="N39" s="125"/>
      <x:c r="O39" s="125"/>
      <x:c r="P39" s="125"/>
      <x:c r="Q39" s="125"/>
    </x:row>
    <x:row r="40">
      <x:c r="A40" s="148"/>
      <x:c r="B40" s="148"/>
      <x:c r="C40" s="148"/>
      <x:c r="D40" s="148"/>
      <x:c r="E40" s="160"/>
      <x:c r="F40" s="160"/>
      <x:c r="G40" s="160"/>
      <x:c r="H40" s="160"/>
      <x:c r="I40" s="148"/>
      <x:c r="J40" s="148"/>
      <x:c r="K40" s="148"/>
      <x:c r="L40" s="148"/>
      <x:c r="M40" s="125"/>
      <x:c r="N40" s="125"/>
      <x:c r="O40" s="125"/>
      <x:c r="P40" s="125"/>
      <x:c r="Q40" s="125"/>
    </x:row>
    <x:row r="41">
      <x:c r="A41" s="148"/>
      <x:c r="B41" s="148"/>
      <x:c r="C41" s="148"/>
      <x:c r="D41" s="148"/>
      <x:c r="E41" s="160"/>
      <x:c r="F41" s="160"/>
      <x:c r="G41" s="160"/>
      <x:c r="H41" s="160"/>
      <x:c r="I41" s="148"/>
      <x:c r="J41" s="148"/>
      <x:c r="K41" s="148"/>
      <x:c r="L41" s="148"/>
      <x:c r="M41" s="125"/>
      <x:c r="N41" s="125"/>
      <x:c r="O41" s="125"/>
      <x:c r="P41" s="125"/>
      <x:c r="Q41" s="125"/>
    </x:row>
    <x:row r="42">
      <x:c r="A42" s="148"/>
      <x:c r="B42" s="148"/>
      <x:c r="C42" s="148"/>
      <x:c r="D42" s="148"/>
      <x:c r="E42" s="160"/>
      <x:c r="F42" s="160"/>
      <x:c r="G42" s="160"/>
      <x:c r="H42" s="160"/>
      <x:c r="I42" s="148"/>
      <x:c r="J42" s="148"/>
      <x:c r="K42" s="148"/>
      <x:c r="L42" s="148"/>
      <x:c r="M42" s="125"/>
      <x:c r="N42" s="125"/>
      <x:c r="O42" s="125"/>
      <x:c r="P42" s="125"/>
      <x:c r="Q42" s="125"/>
    </x:row>
    <x:row r="43">
      <x:c r="A43" s="148"/>
      <x:c r="B43" s="148"/>
      <x:c r="C43" s="148"/>
      <x:c r="D43" s="148"/>
      <x:c r="E43" s="160"/>
      <x:c r="F43" s="160"/>
      <x:c r="G43" s="160"/>
      <x:c r="H43" s="160"/>
      <x:c r="I43" s="148"/>
      <x:c r="J43" s="148"/>
      <x:c r="K43" s="148"/>
      <x:c r="L43" s="148"/>
      <x:c r="M43" s="125"/>
      <x:c r="N43" s="125"/>
      <x:c r="O43" s="125"/>
      <x:c r="P43" s="125"/>
      <x:c r="Q43" s="125"/>
    </x:row>
    <x:row r="44">
      <x:c r="A44" s="148"/>
      <x:c r="B44" s="148"/>
      <x:c r="C44" s="148"/>
      <x:c r="D44" s="148"/>
      <x:c r="E44" s="160"/>
      <x:c r="F44" s="160"/>
      <x:c r="G44" s="160"/>
      <x:c r="H44" s="160"/>
      <x:c r="I44" s="148"/>
      <x:c r="J44" s="148"/>
      <x:c r="K44" s="148"/>
      <x:c r="L44" s="148"/>
      <x:c r="M44" s="125"/>
      <x:c r="N44" s="125"/>
      <x:c r="O44" s="125"/>
      <x:c r="P44" s="125"/>
      <x:c r="Q44" s="125"/>
    </x:row>
    <x:row r="45">
      <x:c r="A45" s="148"/>
      <x:c r="B45" s="148"/>
      <x:c r="C45" s="148"/>
      <x:c r="D45" s="148"/>
      <x:c r="E45" s="160"/>
      <x:c r="F45" s="160"/>
      <x:c r="G45" s="160"/>
      <x:c r="H45" s="160"/>
      <x:c r="I45" s="148"/>
      <x:c r="J45" s="148"/>
      <x:c r="K45" s="148"/>
      <x:c r="L45" s="148"/>
      <x:c r="M45" s="125"/>
      <x:c r="N45" s="125"/>
      <x:c r="O45" s="125"/>
      <x:c r="P45" s="125"/>
      <x:c r="Q45" s="125"/>
    </x:row>
    <x:row r="46">
      <x:c r="A46" s="148"/>
      <x:c r="B46" s="148"/>
      <x:c r="C46" s="148"/>
      <x:c r="D46" s="148"/>
      <x:c r="E46" s="160"/>
      <x:c r="F46" s="160"/>
      <x:c r="G46" s="160"/>
      <x:c r="H46" s="160"/>
      <x:c r="I46" s="148"/>
      <x:c r="J46" s="148"/>
      <x:c r="K46" s="148"/>
      <x:c r="L46" s="148"/>
      <x:c r="M46" s="125"/>
      <x:c r="N46" s="125"/>
      <x:c r="O46" s="125"/>
      <x:c r="P46" s="125"/>
      <x:c r="Q46" s="125"/>
    </x:row>
    <x:row r="47">
      <x:c r="A47" s="148"/>
      <x:c r="B47" s="148"/>
      <x:c r="C47" s="148"/>
      <x:c r="D47" s="148"/>
      <x:c r="E47" s="160"/>
      <x:c r="F47" s="160"/>
      <x:c r="G47" s="160"/>
      <x:c r="H47" s="160"/>
      <x:c r="I47" s="148"/>
      <x:c r="J47" s="148"/>
      <x:c r="K47" s="148"/>
      <x:c r="L47" s="148"/>
      <x:c r="M47" s="125"/>
      <x:c r="N47" s="125"/>
      <x:c r="O47" s="125"/>
      <x:c r="P47" s="125"/>
      <x:c r="Q47" s="125"/>
    </x:row>
    <x:row r="48">
      <x:c r="A48" s="148"/>
      <x:c r="B48" s="148"/>
      <x:c r="C48" s="148"/>
      <x:c r="D48" s="148"/>
      <x:c r="E48" s="160"/>
      <x:c r="F48" s="160"/>
      <x:c r="G48" s="160"/>
      <x:c r="H48" s="160"/>
      <x:c r="I48" s="148"/>
      <x:c r="J48" s="148"/>
      <x:c r="K48" s="148"/>
      <x:c r="L48" s="148"/>
      <x:c r="M48" s="125"/>
      <x:c r="N48" s="125"/>
      <x:c r="O48" s="125"/>
      <x:c r="P48" s="125"/>
      <x:c r="Q48" s="125"/>
    </x:row>
    <x:row r="49">
      <x:c r="A49" s="148"/>
      <x:c r="B49" s="148"/>
      <x:c r="C49" s="148"/>
      <x:c r="D49" s="148"/>
      <x:c r="E49" s="160"/>
      <x:c r="F49" s="160"/>
      <x:c r="G49" s="160"/>
      <x:c r="H49" s="160"/>
      <x:c r="I49" s="148"/>
      <x:c r="J49" s="148"/>
      <x:c r="K49" s="148"/>
      <x:c r="L49" s="148"/>
      <x:c r="M49" s="125"/>
      <x:c r="N49" s="125"/>
      <x:c r="O49" s="125"/>
      <x:c r="P49" s="125"/>
      <x:c r="Q49" s="125"/>
    </x:row>
    <x:row r="50">
      <x:c r="A50" s="148"/>
      <x:c r="B50" s="148"/>
      <x:c r="C50" s="148"/>
      <x:c r="D50" s="148"/>
      <x:c r="E50" s="160"/>
      <x:c r="F50" s="160"/>
      <x:c r="G50" s="160"/>
      <x:c r="H50" s="160"/>
      <x:c r="I50" s="148"/>
      <x:c r="J50" s="148"/>
      <x:c r="K50" s="148"/>
      <x:c r="L50" s="148"/>
      <x:c r="M50" s="125"/>
      <x:c r="N50" s="125"/>
      <x:c r="O50" s="125"/>
      <x:c r="P50" s="125"/>
      <x:c r="Q50" s="125"/>
    </x:row>
    <x:row r="51">
      <x:c r="A51" s="148"/>
      <x:c r="B51" s="148"/>
      <x:c r="C51" s="148"/>
      <x:c r="D51" s="148"/>
      <x:c r="E51" s="160"/>
      <x:c r="F51" s="160"/>
      <x:c r="G51" s="160"/>
      <x:c r="H51" s="160"/>
      <x:c r="I51" s="148"/>
      <x:c r="J51" s="148"/>
      <x:c r="K51" s="148"/>
      <x:c r="L51" s="148"/>
      <x:c r="M51" s="125"/>
      <x:c r="N51" s="125"/>
      <x:c r="O51" s="125"/>
      <x:c r="P51" s="125"/>
      <x:c r="Q51" s="125"/>
    </x:row>
    <x:row r="52">
      <x:c r="A52" s="148"/>
      <x:c r="B52" s="148"/>
      <x:c r="C52" s="148"/>
      <x:c r="D52" s="148"/>
      <x:c r="E52" s="160"/>
      <x:c r="F52" s="160"/>
      <x:c r="G52" s="160"/>
      <x:c r="H52" s="160"/>
      <x:c r="I52" s="148"/>
      <x:c r="J52" s="148"/>
      <x:c r="K52" s="148"/>
      <x:c r="L52" s="148"/>
      <x:c r="M52" s="125"/>
      <x:c r="N52" s="125"/>
      <x:c r="O52" s="125"/>
      <x:c r="P52" s="125"/>
      <x:c r="Q52" s="125"/>
    </x:row>
    <x:row r="53">
      <x:c r="A53" s="148"/>
      <x:c r="B53" s="148"/>
      <x:c r="C53" s="148"/>
      <x:c r="D53" s="148"/>
      <x:c r="E53" s="160"/>
      <x:c r="F53" s="160"/>
      <x:c r="G53" s="160"/>
      <x:c r="H53" s="160"/>
      <x:c r="I53" s="148"/>
      <x:c r="J53" s="148"/>
      <x:c r="K53" s="148"/>
      <x:c r="L53" s="148"/>
      <x:c r="M53" s="125"/>
      <x:c r="N53" s="125"/>
      <x:c r="O53" s="125"/>
      <x:c r="P53" s="125"/>
      <x:c r="Q53" s="125"/>
    </x:row>
    <x:row r="54">
      <x:c r="A54" s="148"/>
      <x:c r="B54" s="148"/>
      <x:c r="C54" s="148"/>
      <x:c r="D54" s="148"/>
      <x:c r="E54" s="160"/>
      <x:c r="F54" s="160"/>
      <x:c r="G54" s="160"/>
      <x:c r="H54" s="160"/>
      <x:c r="I54" s="148"/>
      <x:c r="J54" s="148"/>
      <x:c r="K54" s="148"/>
      <x:c r="L54" s="148"/>
      <x:c r="M54" s="125"/>
      <x:c r="N54" s="125"/>
      <x:c r="O54" s="125"/>
      <x:c r="P54" s="125"/>
      <x:c r="Q54" s="125"/>
    </x:row>
    <x:row r="55">
      <x:c r="A55" s="148"/>
      <x:c r="B55" s="148"/>
      <x:c r="C55" s="148"/>
      <x:c r="D55" s="148"/>
      <x:c r="E55" s="160"/>
      <x:c r="F55" s="160"/>
      <x:c r="G55" s="160"/>
      <x:c r="H55" s="160"/>
      <x:c r="I55" s="148"/>
      <x:c r="J55" s="148"/>
      <x:c r="K55" s="148"/>
      <x:c r="L55" s="148"/>
      <x:c r="M55" s="125"/>
      <x:c r="N55" s="125"/>
      <x:c r="O55" s="125"/>
      <x:c r="P55" s="125"/>
      <x:c r="Q55" s="125"/>
    </x:row>
    <x:row r="56">
      <x:c r="A56" s="148"/>
      <x:c r="B56" s="148"/>
      <x:c r="C56" s="148"/>
      <x:c r="D56" s="148"/>
      <x:c r="E56" s="160"/>
      <x:c r="F56" s="160"/>
      <x:c r="G56" s="160"/>
      <x:c r="H56" s="160"/>
      <x:c r="I56" s="148"/>
      <x:c r="J56" s="148"/>
      <x:c r="K56" s="148"/>
      <x:c r="L56" s="148"/>
      <x:c r="M56" s="125"/>
      <x:c r="N56" s="125"/>
      <x:c r="O56" s="125"/>
      <x:c r="P56" s="125"/>
      <x:c r="Q56" s="125"/>
    </x:row>
    <x:row r="57">
      <x:c r="A57" s="148"/>
      <x:c r="B57" s="148"/>
      <x:c r="C57" s="148"/>
      <x:c r="D57" s="148"/>
      <x:c r="E57" s="160"/>
      <x:c r="F57" s="160"/>
      <x:c r="G57" s="160"/>
      <x:c r="H57" s="160"/>
      <x:c r="I57" s="148"/>
      <x:c r="J57" s="148"/>
      <x:c r="K57" s="148"/>
      <x:c r="L57" s="148"/>
      <x:c r="M57" s="125"/>
      <x:c r="N57" s="125"/>
      <x:c r="O57" s="125"/>
      <x:c r="P57" s="125"/>
      <x:c r="Q57" s="125"/>
    </x:row>
    <x:row r="58">
      <x:c r="A58" s="148"/>
      <x:c r="B58" s="148"/>
      <x:c r="C58" s="148"/>
      <x:c r="D58" s="148"/>
      <x:c r="E58" s="160"/>
      <x:c r="F58" s="160"/>
      <x:c r="G58" s="160"/>
      <x:c r="H58" s="160"/>
      <x:c r="I58" s="148"/>
      <x:c r="J58" s="148"/>
      <x:c r="K58" s="148"/>
      <x:c r="L58" s="148"/>
      <x:c r="M58" s="125"/>
      <x:c r="N58" s="125"/>
      <x:c r="O58" s="125"/>
      <x:c r="P58" s="125"/>
      <x:c r="Q58" s="125"/>
    </x:row>
    <x:row r="59">
      <x:c r="A59" s="148"/>
      <x:c r="B59" s="148"/>
      <x:c r="C59" s="148"/>
      <x:c r="D59" s="148"/>
      <x:c r="E59" s="160"/>
      <x:c r="F59" s="160"/>
      <x:c r="G59" s="160"/>
      <x:c r="H59" s="160"/>
      <x:c r="I59" s="148"/>
      <x:c r="J59" s="148"/>
      <x:c r="K59" s="148"/>
      <x:c r="L59" s="148"/>
      <x:c r="M59" s="125"/>
      <x:c r="N59" s="125"/>
      <x:c r="O59" s="125"/>
      <x:c r="P59" s="125"/>
      <x:c r="Q59" s="125"/>
    </x:row>
    <x:row r="60">
      <x:c r="A60" s="148"/>
      <x:c r="B60" s="148"/>
      <x:c r="C60" s="148"/>
      <x:c r="D60" s="148"/>
      <x:c r="E60" s="160"/>
      <x:c r="F60" s="160"/>
      <x:c r="G60" s="160"/>
      <x:c r="H60" s="160"/>
      <x:c r="I60" s="148"/>
      <x:c r="J60" s="148"/>
      <x:c r="K60" s="148"/>
      <x:c r="L60" s="148"/>
      <x:c r="M60" s="125"/>
      <x:c r="N60" s="125"/>
      <x:c r="O60" s="125"/>
      <x:c r="P60" s="125"/>
      <x:c r="Q60" s="125"/>
    </x:row>
    <x:row r="61">
      <x:c r="A61" s="148"/>
      <x:c r="B61" s="148"/>
      <x:c r="C61" s="148"/>
      <x:c r="D61" s="148"/>
      <x:c r="E61" s="160"/>
      <x:c r="F61" s="160"/>
      <x:c r="G61" s="160"/>
      <x:c r="H61" s="160"/>
      <x:c r="I61" s="148"/>
      <x:c r="J61" s="148"/>
      <x:c r="K61" s="148"/>
      <x:c r="L61" s="148"/>
      <x:c r="M61" s="125"/>
      <x:c r="N61" s="125"/>
      <x:c r="O61" s="125"/>
      <x:c r="P61" s="125"/>
      <x:c r="Q61" s="125"/>
    </x:row>
    <x:row r="62">
      <x:c r="A62" s="148"/>
      <x:c r="B62" s="148"/>
      <x:c r="C62" s="148"/>
      <x:c r="D62" s="148"/>
      <x:c r="E62" s="160"/>
      <x:c r="F62" s="160"/>
      <x:c r="G62" s="160"/>
      <x:c r="H62" s="160"/>
      <x:c r="I62" s="148"/>
      <x:c r="J62" s="148"/>
      <x:c r="K62" s="148"/>
      <x:c r="L62" s="148"/>
      <x:c r="M62" s="125"/>
      <x:c r="N62" s="125"/>
      <x:c r="O62" s="125"/>
      <x:c r="P62" s="125"/>
      <x:c r="Q62" s="125"/>
    </x:row>
    <x:row r="63">
      <x:c r="A63" s="148"/>
      <x:c r="B63" s="148"/>
      <x:c r="C63" s="148"/>
      <x:c r="D63" s="148"/>
      <x:c r="E63" s="160"/>
      <x:c r="F63" s="160"/>
      <x:c r="G63" s="160"/>
      <x:c r="H63" s="160"/>
      <x:c r="I63" s="148"/>
      <x:c r="J63" s="148"/>
      <x:c r="K63" s="148"/>
      <x:c r="L63" s="148"/>
      <x:c r="M63" s="125"/>
      <x:c r="N63" s="125"/>
      <x:c r="O63" s="125"/>
      <x:c r="P63" s="125"/>
      <x:c r="Q63" s="125"/>
    </x:row>
    <x:row r="64">
      <x:c r="A64" s="148"/>
      <x:c r="B64" s="148"/>
      <x:c r="C64" s="148"/>
      <x:c r="D64" s="148"/>
      <x:c r="E64" s="160"/>
      <x:c r="F64" s="160"/>
      <x:c r="G64" s="160"/>
      <x:c r="H64" s="160"/>
      <x:c r="I64" s="148"/>
      <x:c r="J64" s="148"/>
      <x:c r="K64" s="148"/>
      <x:c r="L64" s="148"/>
      <x:c r="M64" s="125"/>
      <x:c r="N64" s="125"/>
      <x:c r="O64" s="125"/>
      <x:c r="P64" s="125"/>
      <x:c r="Q64" s="125"/>
    </x:row>
    <x:row r="65">
      <x:c r="A65" s="148"/>
      <x:c r="B65" s="148"/>
      <x:c r="C65" s="148"/>
      <x:c r="D65" s="148"/>
      <x:c r="E65" s="160"/>
      <x:c r="F65" s="160"/>
      <x:c r="G65" s="160"/>
      <x:c r="H65" s="160"/>
      <x:c r="I65" s="148"/>
      <x:c r="J65" s="148"/>
      <x:c r="K65" s="148"/>
      <x:c r="L65" s="148"/>
      <x:c r="M65" s="125"/>
      <x:c r="N65" s="125"/>
      <x:c r="O65" s="125"/>
      <x:c r="P65" s="125"/>
      <x:c r="Q65" s="125"/>
    </x:row>
    <x:row r="66">
      <x:c r="A66" s="148"/>
      <x:c r="B66" s="148"/>
      <x:c r="C66" s="148"/>
      <x:c r="D66" s="148"/>
      <x:c r="E66" s="160"/>
      <x:c r="F66" s="160"/>
      <x:c r="G66" s="160"/>
      <x:c r="H66" s="160"/>
      <x:c r="I66" s="148"/>
      <x:c r="J66" s="148"/>
      <x:c r="K66" s="148"/>
      <x:c r="L66" s="148"/>
      <x:c r="M66" s="125"/>
      <x:c r="N66" s="125"/>
      <x:c r="O66" s="125"/>
      <x:c r="P66" s="125"/>
      <x:c r="Q66" s="125"/>
    </x:row>
    <x:row r="67">
      <x:c r="A67" s="148"/>
      <x:c r="B67" s="148"/>
      <x:c r="C67" s="148"/>
      <x:c r="D67" s="148"/>
      <x:c r="E67" s="160"/>
      <x:c r="F67" s="160"/>
      <x:c r="G67" s="160"/>
      <x:c r="H67" s="160"/>
      <x:c r="I67" s="148"/>
      <x:c r="J67" s="148"/>
      <x:c r="K67" s="148"/>
      <x:c r="L67" s="148"/>
      <x:c r="M67" s="125"/>
      <x:c r="N67" s="125"/>
      <x:c r="O67" s="125"/>
      <x:c r="P67" s="125"/>
      <x:c r="Q67" s="125"/>
    </x:row>
    <x:row r="68">
      <x:c r="A68" s="148"/>
      <x:c r="B68" s="148"/>
      <x:c r="C68" s="148"/>
      <x:c r="D68" s="148"/>
      <x:c r="E68" s="160"/>
      <x:c r="F68" s="160"/>
      <x:c r="G68" s="160"/>
      <x:c r="H68" s="160"/>
      <x:c r="I68" s="148"/>
      <x:c r="J68" s="148"/>
      <x:c r="K68" s="148"/>
      <x:c r="L68" s="148"/>
      <x:c r="M68" s="125"/>
      <x:c r="N68" s="125"/>
      <x:c r="O68" s="125"/>
      <x:c r="P68" s="125"/>
      <x:c r="Q68" s="125"/>
    </x:row>
    <x:row r="69">
      <x:c r="A69" s="148"/>
      <x:c r="B69" s="148"/>
      <x:c r="C69" s="148"/>
      <x:c r="D69" s="148"/>
      <x:c r="E69" s="160"/>
      <x:c r="F69" s="160"/>
      <x:c r="G69" s="160"/>
      <x:c r="H69" s="160"/>
      <x:c r="I69" s="148"/>
      <x:c r="J69" s="148"/>
      <x:c r="K69" s="148"/>
      <x:c r="L69" s="148"/>
      <x:c r="M69" s="125"/>
      <x:c r="N69" s="125"/>
      <x:c r="O69" s="125"/>
      <x:c r="P69" s="125"/>
      <x:c r="Q69" s="125"/>
    </x:row>
    <x:row r="70">
      <x:c r="A70" s="148"/>
      <x:c r="B70" s="148"/>
      <x:c r="C70" s="148"/>
      <x:c r="D70" s="148"/>
      <x:c r="E70" s="160"/>
      <x:c r="F70" s="160"/>
      <x:c r="G70" s="160"/>
      <x:c r="H70" s="160"/>
      <x:c r="I70" s="148"/>
      <x:c r="J70" s="148"/>
      <x:c r="K70" s="148"/>
      <x:c r="L70" s="148"/>
      <x:c r="M70" s="125"/>
      <x:c r="N70" s="125"/>
      <x:c r="O70" s="125"/>
      <x:c r="P70" s="125"/>
      <x:c r="Q70" s="125"/>
    </x:row>
    <x:row r="71">
      <x:c r="A71" s="148"/>
      <x:c r="B71" s="148"/>
      <x:c r="C71" s="148"/>
      <x:c r="D71" s="148"/>
      <x:c r="E71" s="160"/>
      <x:c r="F71" s="160"/>
      <x:c r="G71" s="160"/>
      <x:c r="H71" s="160"/>
      <x:c r="I71" s="148"/>
      <x:c r="J71" s="148"/>
      <x:c r="K71" s="148"/>
      <x:c r="L71" s="148"/>
      <x:c r="M71" s="125"/>
      <x:c r="N71" s="125"/>
      <x:c r="O71" s="125"/>
      <x:c r="P71" s="125"/>
      <x:c r="Q71" s="125"/>
    </x:row>
    <x:row r="72">
      <x:c r="A72" s="148"/>
      <x:c r="B72" s="148"/>
      <x:c r="C72" s="148"/>
      <x:c r="D72" s="148"/>
      <x:c r="E72" s="160"/>
      <x:c r="F72" s="160"/>
      <x:c r="G72" s="160"/>
      <x:c r="H72" s="160"/>
      <x:c r="I72" s="148"/>
      <x:c r="J72" s="148"/>
      <x:c r="K72" s="148"/>
      <x:c r="L72" s="148"/>
      <x:c r="M72" s="125"/>
      <x:c r="N72" s="125"/>
      <x:c r="O72" s="125"/>
      <x:c r="P72" s="125"/>
      <x:c r="Q72" s="125"/>
    </x:row>
    <x:row r="73">
      <x:c r="A73" s="148"/>
      <x:c r="B73" s="148"/>
      <x:c r="C73" s="148"/>
      <x:c r="D73" s="148"/>
      <x:c r="E73" s="160"/>
      <x:c r="F73" s="160"/>
      <x:c r="G73" s="160"/>
      <x:c r="H73" s="160"/>
      <x:c r="I73" s="148"/>
      <x:c r="J73" s="148"/>
      <x:c r="K73" s="148"/>
      <x:c r="L73" s="148"/>
      <x:c r="M73" s="125"/>
      <x:c r="N73" s="125"/>
      <x:c r="O73" s="125"/>
      <x:c r="P73" s="125"/>
      <x:c r="Q73" s="125"/>
    </x:row>
    <x:row r="74">
      <x:c r="A74" s="148"/>
      <x:c r="B74" s="148"/>
      <x:c r="C74" s="148"/>
      <x:c r="D74" s="148"/>
      <x:c r="E74" s="160"/>
      <x:c r="F74" s="160"/>
      <x:c r="G74" s="160"/>
      <x:c r="H74" s="160"/>
      <x:c r="I74" s="148"/>
      <x:c r="J74" s="148"/>
      <x:c r="K74" s="148"/>
      <x:c r="L74" s="148"/>
      <x:c r="M74" s="125"/>
      <x:c r="N74" s="125"/>
      <x:c r="O74" s="125"/>
      <x:c r="P74" s="125"/>
      <x:c r="Q74" s="125"/>
    </x:row>
    <x:row r="75">
      <x:c r="A75" s="148"/>
      <x:c r="B75" s="148"/>
      <x:c r="C75" s="148"/>
      <x:c r="D75" s="148"/>
      <x:c r="E75" s="160"/>
      <x:c r="F75" s="160"/>
      <x:c r="G75" s="160"/>
      <x:c r="H75" s="160"/>
      <x:c r="I75" s="148"/>
      <x:c r="J75" s="148"/>
      <x:c r="K75" s="148"/>
      <x:c r="L75" s="148"/>
      <x:c r="M75" s="125"/>
      <x:c r="N75" s="125"/>
      <x:c r="O75" s="125"/>
      <x:c r="P75" s="125"/>
      <x:c r="Q75" s="125"/>
    </x:row>
    <x:row r="76">
      <x:c r="A76" s="148"/>
      <x:c r="B76" s="148"/>
      <x:c r="C76" s="148"/>
      <x:c r="D76" s="148"/>
      <x:c r="E76" s="160"/>
      <x:c r="F76" s="160"/>
      <x:c r="G76" s="160"/>
      <x:c r="H76" s="160"/>
      <x:c r="I76" s="148"/>
      <x:c r="J76" s="148"/>
      <x:c r="K76" s="148"/>
      <x:c r="L76" s="148"/>
      <x:c r="M76" s="125"/>
      <x:c r="N76" s="125"/>
      <x:c r="O76" s="125"/>
      <x:c r="P76" s="125"/>
      <x:c r="Q76" s="125"/>
    </x:row>
    <x:row r="77">
      <x:c r="A77" s="148"/>
      <x:c r="B77" s="148"/>
      <x:c r="C77" s="148"/>
      <x:c r="D77" s="148"/>
      <x:c r="E77" s="160"/>
      <x:c r="F77" s="160"/>
      <x:c r="G77" s="160"/>
      <x:c r="H77" s="160"/>
      <x:c r="I77" s="148"/>
      <x:c r="J77" s="148"/>
      <x:c r="K77" s="148"/>
      <x:c r="L77" s="148"/>
      <x:c r="M77" s="125"/>
      <x:c r="N77" s="125"/>
      <x:c r="O77" s="125"/>
      <x:c r="P77" s="125"/>
      <x:c r="Q77" s="125"/>
    </x:row>
    <x:row r="78">
      <x:c r="A78" s="148"/>
      <x:c r="B78" s="148"/>
      <x:c r="C78" s="148"/>
      <x:c r="D78" s="148"/>
      <x:c r="E78" s="160"/>
      <x:c r="F78" s="160"/>
      <x:c r="G78" s="160"/>
      <x:c r="H78" s="160"/>
      <x:c r="I78" s="148"/>
      <x:c r="J78" s="148"/>
      <x:c r="K78" s="148"/>
      <x:c r="L78" s="148"/>
      <x:c r="M78" s="125"/>
      <x:c r="N78" s="125"/>
      <x:c r="O78" s="125"/>
      <x:c r="P78" s="125"/>
      <x:c r="Q78" s="125"/>
    </x:row>
    <x:row r="79">
      <x:c r="A79" s="148"/>
      <x:c r="B79" s="148"/>
      <x:c r="C79" s="148"/>
      <x:c r="D79" s="148"/>
      <x:c r="E79" s="160"/>
      <x:c r="F79" s="160"/>
      <x:c r="G79" s="160"/>
      <x:c r="H79" s="160"/>
      <x:c r="I79" s="148"/>
      <x:c r="J79" s="148"/>
      <x:c r="K79" s="148"/>
      <x:c r="L79" s="148"/>
      <x:c r="M79" s="125"/>
      <x:c r="N79" s="125"/>
      <x:c r="O79" s="125"/>
      <x:c r="P79" s="125"/>
      <x:c r="Q79" s="125"/>
    </x:row>
    <x:row r="80">
      <x:c r="A80" s="148"/>
      <x:c r="B80" s="148"/>
      <x:c r="C80" s="148"/>
      <x:c r="D80" s="148"/>
      <x:c r="E80" s="160"/>
      <x:c r="F80" s="160"/>
      <x:c r="G80" s="160"/>
      <x:c r="H80" s="160"/>
      <x:c r="I80" s="148"/>
      <x:c r="J80" s="148"/>
      <x:c r="K80" s="148"/>
      <x:c r="L80" s="148"/>
      <x:c r="M80" s="125"/>
      <x:c r="N80" s="125"/>
      <x:c r="O80" s="125"/>
      <x:c r="P80" s="125"/>
      <x:c r="Q80" s="125"/>
    </x:row>
    <x:row r="81">
      <x:c r="A81" s="148"/>
      <x:c r="B81" s="148"/>
      <x:c r="C81" s="148"/>
      <x:c r="D81" s="148"/>
      <x:c r="E81" s="160"/>
      <x:c r="F81" s="160"/>
      <x:c r="G81" s="160"/>
      <x:c r="H81" s="160"/>
      <x:c r="I81" s="148"/>
      <x:c r="J81" s="148"/>
      <x:c r="K81" s="148"/>
      <x:c r="L81" s="148"/>
      <x:c r="M81" s="125"/>
      <x:c r="N81" s="125"/>
      <x:c r="O81" s="125"/>
      <x:c r="P81" s="125"/>
      <x:c r="Q81" s="125"/>
    </x:row>
    <x:row r="82">
      <x:c r="A82" s="148"/>
      <x:c r="B82" s="148"/>
      <x:c r="C82" s="148"/>
      <x:c r="D82" s="148"/>
      <x:c r="E82" s="160"/>
      <x:c r="F82" s="160"/>
      <x:c r="G82" s="160"/>
      <x:c r="H82" s="160"/>
      <x:c r="I82" s="148"/>
      <x:c r="J82" s="148"/>
      <x:c r="K82" s="148"/>
      <x:c r="L82" s="148"/>
      <x:c r="M82" s="125"/>
      <x:c r="N82" s="125"/>
      <x:c r="O82" s="125"/>
      <x:c r="P82" s="125"/>
      <x:c r="Q82" s="125"/>
    </x:row>
    <x:row r="83">
      <x:c r="A83" s="148"/>
      <x:c r="B83" s="148"/>
      <x:c r="C83" s="148"/>
      <x:c r="D83" s="148"/>
      <x:c r="E83" s="160"/>
      <x:c r="F83" s="160"/>
      <x:c r="G83" s="160"/>
      <x:c r="H83" s="160"/>
      <x:c r="I83" s="148"/>
      <x:c r="J83" s="148"/>
      <x:c r="K83" s="148"/>
      <x:c r="L83" s="148"/>
      <x:c r="M83" s="125"/>
      <x:c r="N83" s="125"/>
      <x:c r="O83" s="125"/>
      <x:c r="P83" s="125"/>
      <x:c r="Q83" s="125"/>
    </x:row>
    <x:row r="84">
      <x:c r="A84" s="148"/>
      <x:c r="B84" s="148"/>
      <x:c r="C84" s="148"/>
      <x:c r="D84" s="148"/>
      <x:c r="E84" s="160"/>
      <x:c r="F84" s="160"/>
      <x:c r="G84" s="160"/>
      <x:c r="H84" s="160"/>
      <x:c r="I84" s="148"/>
      <x:c r="J84" s="148"/>
      <x:c r="K84" s="148"/>
      <x:c r="L84" s="148"/>
      <x:c r="M84" s="125"/>
      <x:c r="N84" s="125"/>
      <x:c r="O84" s="125"/>
      <x:c r="P84" s="125"/>
      <x:c r="Q84" s="125"/>
    </x:row>
    <x:row r="85">
      <x:c r="A85" s="148"/>
      <x:c r="B85" s="148"/>
      <x:c r="C85" s="148"/>
      <x:c r="D85" s="148"/>
      <x:c r="E85" s="160"/>
      <x:c r="F85" s="160"/>
      <x:c r="G85" s="160"/>
      <x:c r="H85" s="160"/>
      <x:c r="I85" s="148"/>
      <x:c r="J85" s="148"/>
      <x:c r="K85" s="148"/>
      <x:c r="L85" s="148"/>
      <x:c r="M85" s="125"/>
      <x:c r="N85" s="125"/>
      <x:c r="O85" s="125"/>
      <x:c r="P85" s="125"/>
      <x:c r="Q85" s="125"/>
    </x:row>
    <x:row r="86">
      <x:c r="A86" s="148"/>
      <x:c r="B86" s="148"/>
      <x:c r="C86" s="148"/>
      <x:c r="D86" s="148"/>
      <x:c r="E86" s="160"/>
      <x:c r="F86" s="160"/>
      <x:c r="G86" s="160"/>
      <x:c r="H86" s="160"/>
      <x:c r="I86" s="148"/>
      <x:c r="J86" s="148"/>
      <x:c r="K86" s="148"/>
      <x:c r="L86" s="148"/>
      <x:c r="M86" s="125"/>
      <x:c r="N86" s="125"/>
      <x:c r="O86" s="125"/>
      <x:c r="P86" s="125"/>
      <x:c r="Q86" s="125"/>
    </x:row>
    <x:row r="87">
      <x:c r="A87" s="148"/>
      <x:c r="B87" s="148"/>
      <x:c r="C87" s="148"/>
      <x:c r="D87" s="148"/>
      <x:c r="E87" s="160"/>
      <x:c r="F87" s="160"/>
      <x:c r="G87" s="160"/>
      <x:c r="H87" s="160"/>
      <x:c r="I87" s="148"/>
      <x:c r="J87" s="148"/>
      <x:c r="K87" s="148"/>
      <x:c r="L87" s="148"/>
      <x:c r="M87" s="125"/>
      <x:c r="N87" s="125"/>
      <x:c r="O87" s="125"/>
      <x:c r="P87" s="125"/>
      <x:c r="Q87" s="125"/>
    </x:row>
    <x:row r="88">
      <x:c r="A88" s="148"/>
      <x:c r="B88" s="148"/>
      <x:c r="C88" s="148"/>
      <x:c r="D88" s="148"/>
      <x:c r="E88" s="160"/>
      <x:c r="F88" s="160"/>
      <x:c r="G88" s="160"/>
      <x:c r="H88" s="160"/>
      <x:c r="I88" s="148"/>
      <x:c r="J88" s="148"/>
      <x:c r="K88" s="148"/>
      <x:c r="L88" s="148"/>
      <x:c r="M88" s="125"/>
      <x:c r="N88" s="125"/>
      <x:c r="O88" s="125"/>
      <x:c r="P88" s="125"/>
      <x:c r="Q88" s="125"/>
    </x:row>
    <x:row r="89">
      <x:c r="A89" s="148"/>
      <x:c r="B89" s="148"/>
      <x:c r="C89" s="148"/>
      <x:c r="D89" s="148"/>
      <x:c r="E89" s="160"/>
      <x:c r="F89" s="160"/>
      <x:c r="G89" s="160"/>
      <x:c r="H89" s="160"/>
      <x:c r="I89" s="148"/>
      <x:c r="J89" s="148"/>
      <x:c r="K89" s="148"/>
      <x:c r="L89" s="148"/>
      <x:c r="M89" s="125"/>
      <x:c r="N89" s="125"/>
      <x:c r="O89" s="125"/>
      <x:c r="P89" s="125"/>
      <x:c r="Q89" s="125"/>
    </x:row>
    <x:row r="90">
      <x:c r="A90" s="148"/>
      <x:c r="B90" s="148"/>
      <x:c r="C90" s="148"/>
      <x:c r="D90" s="148"/>
      <x:c r="E90" s="160"/>
      <x:c r="F90" s="160"/>
      <x:c r="G90" s="160"/>
      <x:c r="H90" s="160"/>
      <x:c r="I90" s="148"/>
      <x:c r="J90" s="148"/>
      <x:c r="K90" s="148"/>
      <x:c r="L90" s="148"/>
      <x:c r="M90" s="125"/>
      <x:c r="N90" s="125"/>
      <x:c r="O90" s="125"/>
      <x:c r="P90" s="125"/>
      <x:c r="Q90" s="125"/>
    </x:row>
    <x:row r="91">
      <x:c r="A91" s="148"/>
      <x:c r="B91" s="148"/>
      <x:c r="C91" s="148"/>
      <x:c r="D91" s="148"/>
      <x:c r="E91" s="160"/>
      <x:c r="F91" s="160"/>
      <x:c r="G91" s="160"/>
      <x:c r="H91" s="160"/>
      <x:c r="I91" s="148"/>
      <x:c r="J91" s="148"/>
      <x:c r="K91" s="148"/>
      <x:c r="L91" s="148"/>
      <x:c r="M91" s="125"/>
      <x:c r="N91" s="125"/>
      <x:c r="O91" s="125"/>
      <x:c r="P91" s="125"/>
      <x:c r="Q91" s="125"/>
    </x:row>
    <x:row r="92">
      <x:c r="A92" s="148"/>
      <x:c r="B92" s="148"/>
      <x:c r="C92" s="148"/>
      <x:c r="D92" s="148"/>
      <x:c r="E92" s="160"/>
      <x:c r="F92" s="160"/>
      <x:c r="G92" s="160"/>
      <x:c r="H92" s="160"/>
      <x:c r="I92" s="148"/>
      <x:c r="J92" s="148"/>
      <x:c r="K92" s="148"/>
      <x:c r="L92" s="148"/>
      <x:c r="M92" s="125"/>
      <x:c r="N92" s="125"/>
      <x:c r="O92" s="125"/>
      <x:c r="P92" s="125"/>
      <x:c r="Q92" s="125"/>
    </x:row>
    <x:row r="93">
      <x:c r="A93" s="148"/>
      <x:c r="B93" s="148"/>
      <x:c r="C93" s="148"/>
      <x:c r="D93" s="148"/>
      <x:c r="E93" s="160"/>
      <x:c r="F93" s="160"/>
      <x:c r="G93" s="160"/>
      <x:c r="H93" s="160"/>
      <x:c r="I93" s="148"/>
      <x:c r="J93" s="148"/>
      <x:c r="K93" s="148"/>
      <x:c r="L93" s="148"/>
      <x:c r="M93" s="125"/>
      <x:c r="N93" s="125"/>
      <x:c r="O93" s="125"/>
      <x:c r="P93" s="125"/>
      <x:c r="Q93" s="125"/>
    </x:row>
    <x:row r="94">
      <x:c r="A94" s="148"/>
      <x:c r="B94" s="148"/>
      <x:c r="C94" s="148"/>
      <x:c r="D94" s="148"/>
      <x:c r="E94" s="160"/>
      <x:c r="F94" s="160"/>
      <x:c r="G94" s="160"/>
      <x:c r="H94" s="160"/>
      <x:c r="I94" s="148"/>
      <x:c r="J94" s="148"/>
      <x:c r="K94" s="148"/>
      <x:c r="L94" s="148"/>
      <x:c r="M94" s="125"/>
      <x:c r="N94" s="125"/>
      <x:c r="O94" s="125"/>
      <x:c r="P94" s="125"/>
      <x:c r="Q94" s="125"/>
    </x:row>
    <x:row r="95">
      <x:c r="A95" s="148"/>
      <x:c r="B95" s="148"/>
      <x:c r="C95" s="148"/>
      <x:c r="D95" s="148"/>
      <x:c r="E95" s="160"/>
      <x:c r="F95" s="160"/>
      <x:c r="G95" s="160"/>
      <x:c r="H95" s="160"/>
      <x:c r="I95" s="148"/>
      <x:c r="J95" s="148"/>
      <x:c r="K95" s="148"/>
      <x:c r="L95" s="148"/>
      <x:c r="M95" s="125"/>
      <x:c r="N95" s="125"/>
      <x:c r="O95" s="125"/>
      <x:c r="P95" s="125"/>
      <x:c r="Q95" s="125"/>
    </x:row>
    <x:row r="96">
      <x:c r="A96" s="148"/>
      <x:c r="B96" s="148"/>
      <x:c r="C96" s="148"/>
      <x:c r="D96" s="148"/>
      <x:c r="E96" s="160"/>
      <x:c r="F96" s="160"/>
      <x:c r="G96" s="160"/>
      <x:c r="H96" s="160"/>
      <x:c r="I96" s="148"/>
      <x:c r="J96" s="148"/>
      <x:c r="K96" s="148"/>
      <x:c r="L96" s="148"/>
      <x:c r="M96" s="125"/>
      <x:c r="N96" s="125"/>
      <x:c r="O96" s="125"/>
      <x:c r="P96" s="125"/>
      <x:c r="Q96" s="125"/>
    </x:row>
    <x:row r="97">
      <x:c r="A97" s="148"/>
      <x:c r="B97" s="148"/>
      <x:c r="C97" s="148"/>
      <x:c r="D97" s="148"/>
      <x:c r="E97" s="160"/>
      <x:c r="F97" s="160"/>
      <x:c r="G97" s="160"/>
      <x:c r="H97" s="160"/>
      <x:c r="I97" s="148"/>
      <x:c r="J97" s="148"/>
      <x:c r="K97" s="148"/>
      <x:c r="L97" s="148"/>
      <x:c r="M97" s="125"/>
      <x:c r="N97" s="125"/>
      <x:c r="O97" s="125"/>
      <x:c r="P97" s="125"/>
      <x:c r="Q97" s="125"/>
    </x:row>
    <x:row r="98">
      <x:c r="A98" s="148"/>
      <x:c r="B98" s="148"/>
      <x:c r="C98" s="148"/>
      <x:c r="D98" s="148"/>
      <x:c r="E98" s="160"/>
      <x:c r="F98" s="160"/>
      <x:c r="G98" s="160"/>
      <x:c r="H98" s="160"/>
      <x:c r="I98" s="148"/>
      <x:c r="J98" s="148"/>
      <x:c r="K98" s="148"/>
      <x:c r="L98" s="148"/>
      <x:c r="M98" s="125"/>
      <x:c r="N98" s="125"/>
      <x:c r="O98" s="125"/>
      <x:c r="P98" s="125"/>
      <x:c r="Q98" s="125"/>
    </x:row>
    <x:row r="99">
      <x:c r="A99" s="148"/>
      <x:c r="B99" s="148"/>
      <x:c r="C99" s="148"/>
      <x:c r="D99" s="148"/>
      <x:c r="E99" s="160"/>
      <x:c r="F99" s="160"/>
      <x:c r="G99" s="160"/>
      <x:c r="H99" s="160"/>
      <x:c r="I99" s="148"/>
      <x:c r="J99" s="148"/>
      <x:c r="K99" s="148"/>
      <x:c r="L99" s="148"/>
      <x:c r="M99" s="125"/>
      <x:c r="N99" s="125"/>
      <x:c r="O99" s="125"/>
      <x:c r="P99" s="125"/>
      <x:c r="Q99" s="125"/>
    </x:row>
    <x:row r="100">
      <x:c r="A100" s="148"/>
      <x:c r="B100" s="148"/>
      <x:c r="C100" s="148"/>
      <x:c r="D100" s="148"/>
      <x:c r="E100" s="160"/>
      <x:c r="F100" s="160"/>
      <x:c r="G100" s="160"/>
      <x:c r="H100" s="160"/>
      <x:c r="I100" s="148"/>
      <x:c r="J100" s="148"/>
      <x:c r="K100" s="148"/>
      <x:c r="L100" s="148"/>
      <x:c r="M100" s="125"/>
      <x:c r="N100" s="125"/>
      <x:c r="O100" s="125"/>
      <x:c r="P100" s="125"/>
      <x:c r="Q100" s="125"/>
    </x:row>
    <x:row r="101">
      <x:c r="A101" s="148"/>
      <x:c r="B101" s="148"/>
      <x:c r="C101" s="148"/>
      <x:c r="D101" s="148"/>
      <x:c r="E101" s="160"/>
      <x:c r="F101" s="160"/>
      <x:c r="G101" s="160"/>
      <x:c r="H101" s="160"/>
      <x:c r="I101" s="148"/>
      <x:c r="J101" s="148"/>
      <x:c r="K101" s="148"/>
      <x:c r="L101" s="148"/>
      <x:c r="M101" s="125"/>
      <x:c r="N101" s="125"/>
      <x:c r="O101" s="125"/>
      <x:c r="P101" s="125"/>
      <x:c r="Q101" s="125"/>
    </x:row>
    <x:row r="102">
      <x:c r="A102" s="148"/>
      <x:c r="B102" s="148"/>
      <x:c r="C102" s="148"/>
      <x:c r="D102" s="148"/>
      <x:c r="E102" s="160"/>
      <x:c r="F102" s="160"/>
      <x:c r="G102" s="160"/>
      <x:c r="H102" s="160"/>
      <x:c r="I102" s="148"/>
      <x:c r="J102" s="148"/>
      <x:c r="K102" s="148"/>
      <x:c r="L102" s="148"/>
      <x:c r="M102" s="125"/>
      <x:c r="N102" s="125"/>
      <x:c r="O102" s="125"/>
      <x:c r="P102" s="125"/>
      <x:c r="Q102" s="125"/>
    </x:row>
    <x:row r="103">
      <x:c r="A103" s="148"/>
      <x:c r="B103" s="148"/>
      <x:c r="C103" s="148"/>
      <x:c r="D103" s="148"/>
      <x:c r="E103" s="160"/>
      <x:c r="F103" s="160"/>
      <x:c r="G103" s="160"/>
      <x:c r="H103" s="160"/>
      <x:c r="I103" s="148"/>
      <x:c r="J103" s="148"/>
      <x:c r="K103" s="148"/>
      <x:c r="L103" s="148"/>
      <x:c r="M103" s="125"/>
      <x:c r="N103" s="125"/>
      <x:c r="O103" s="125"/>
      <x:c r="P103" s="125"/>
      <x:c r="Q103" s="125"/>
    </x:row>
    <x:row r="104">
      <x:c r="A104" s="148"/>
      <x:c r="B104" s="148"/>
      <x:c r="C104" s="148"/>
      <x:c r="D104" s="148"/>
      <x:c r="E104" s="160"/>
      <x:c r="F104" s="160"/>
      <x:c r="G104" s="160"/>
      <x:c r="H104" s="160"/>
      <x:c r="I104" s="148"/>
      <x:c r="J104" s="148"/>
      <x:c r="K104" s="148"/>
      <x:c r="L104" s="148"/>
      <x:c r="M104" s="125"/>
      <x:c r="N104" s="125"/>
      <x:c r="O104" s="125"/>
      <x:c r="P104" s="125"/>
      <x:c r="Q104" s="125"/>
    </x:row>
    <x:row r="105">
      <x:c r="A105" s="148"/>
      <x:c r="B105" s="148"/>
      <x:c r="C105" s="148"/>
      <x:c r="D105" s="148"/>
      <x:c r="E105" s="160"/>
      <x:c r="F105" s="160"/>
      <x:c r="G105" s="160"/>
      <x:c r="H105" s="160"/>
      <x:c r="I105" s="148"/>
      <x:c r="J105" s="148"/>
      <x:c r="K105" s="148"/>
      <x:c r="L105" s="148"/>
      <x:c r="M105" s="125"/>
      <x:c r="N105" s="125"/>
      <x:c r="O105" s="125"/>
      <x:c r="P105" s="125"/>
      <x:c r="Q105" s="125"/>
    </x:row>
    <x:row r="106">
      <x:c r="A106" s="148"/>
      <x:c r="B106" s="148"/>
      <x:c r="C106" s="148"/>
      <x:c r="D106" s="148"/>
      <x:c r="E106" s="160"/>
      <x:c r="F106" s="160"/>
      <x:c r="G106" s="160"/>
      <x:c r="H106" s="160"/>
      <x:c r="I106" s="148"/>
      <x:c r="J106" s="148"/>
      <x:c r="K106" s="148"/>
      <x:c r="L106" s="148"/>
      <x:c r="M106" s="125"/>
      <x:c r="N106" s="125"/>
      <x:c r="O106" s="125"/>
      <x:c r="P106" s="125"/>
      <x:c r="Q106" s="125"/>
    </x:row>
    <x:row r="107">
      <x:c r="A107" s="148"/>
      <x:c r="B107" s="148"/>
      <x:c r="C107" s="148"/>
      <x:c r="D107" s="148"/>
      <x:c r="E107" s="160"/>
      <x:c r="F107" s="160"/>
      <x:c r="G107" s="160"/>
      <x:c r="H107" s="160"/>
      <x:c r="I107" s="148"/>
      <x:c r="J107" s="148"/>
      <x:c r="K107" s="148"/>
      <x:c r="L107" s="148"/>
      <x:c r="M107" s="125"/>
      <x:c r="N107" s="125"/>
      <x:c r="O107" s="125"/>
      <x:c r="P107" s="125"/>
      <x:c r="Q107" s="125"/>
    </x:row>
    <x:row r="108">
      <x:c r="A108" s="148"/>
      <x:c r="B108" s="148"/>
      <x:c r="C108" s="148"/>
      <x:c r="D108" s="148"/>
      <x:c r="E108" s="160"/>
      <x:c r="F108" s="160"/>
      <x:c r="G108" s="160"/>
      <x:c r="H108" s="160"/>
      <x:c r="I108" s="148"/>
      <x:c r="J108" s="148"/>
      <x:c r="K108" s="148"/>
      <x:c r="L108" s="148"/>
      <x:c r="M108" s="125"/>
      <x:c r="N108" s="125"/>
      <x:c r="O108" s="125"/>
      <x:c r="P108" s="125"/>
      <x:c r="Q108" s="125"/>
    </x:row>
    <x:row r="109">
      <x:c r="A109" s="148"/>
      <x:c r="B109" s="148"/>
      <x:c r="C109" s="148"/>
      <x:c r="D109" s="148"/>
      <x:c r="E109" s="160"/>
      <x:c r="F109" s="160"/>
      <x:c r="G109" s="160"/>
      <x:c r="H109" s="160"/>
      <x:c r="I109" s="148"/>
      <x:c r="J109" s="148"/>
      <x:c r="K109" s="148"/>
      <x:c r="L109" s="148"/>
      <x:c r="M109" s="125"/>
      <x:c r="N109" s="125"/>
      <x:c r="O109" s="125"/>
      <x:c r="P109" s="125"/>
      <x:c r="Q109" s="125"/>
    </x:row>
    <x:row r="110">
      <x:c r="A110" s="148"/>
      <x:c r="B110" s="148"/>
      <x:c r="C110" s="148"/>
      <x:c r="D110" s="148"/>
      <x:c r="E110" s="160"/>
      <x:c r="F110" s="160"/>
      <x:c r="G110" s="160"/>
      <x:c r="H110" s="160"/>
      <x:c r="I110" s="148"/>
      <x:c r="J110" s="148"/>
      <x:c r="K110" s="148"/>
      <x:c r="L110" s="148"/>
      <x:c r="M110" s="125"/>
      <x:c r="N110" s="125"/>
      <x:c r="O110" s="125"/>
      <x:c r="P110" s="125"/>
      <x:c r="Q110" s="125"/>
    </x:row>
    <x:row r="111">
      <x:c r="A111" s="148"/>
      <x:c r="B111" s="148"/>
      <x:c r="C111" s="148"/>
      <x:c r="D111" s="148"/>
      <x:c r="E111" s="160"/>
      <x:c r="F111" s="160"/>
      <x:c r="G111" s="160"/>
      <x:c r="H111" s="160"/>
      <x:c r="I111" s="148"/>
      <x:c r="J111" s="148"/>
      <x:c r="K111" s="148"/>
      <x:c r="L111" s="148"/>
      <x:c r="M111" s="125"/>
      <x:c r="N111" s="125"/>
      <x:c r="O111" s="125"/>
      <x:c r="P111" s="125"/>
      <x:c r="Q111" s="125"/>
    </x:row>
    <x:row r="112">
      <x:c r="A112" s="148"/>
      <x:c r="B112" s="148"/>
      <x:c r="C112" s="148"/>
      <x:c r="D112" s="148"/>
      <x:c r="E112" s="160"/>
      <x:c r="F112" s="160"/>
      <x:c r="G112" s="160"/>
      <x:c r="H112" s="160"/>
      <x:c r="I112" s="148"/>
      <x:c r="J112" s="148"/>
      <x:c r="K112" s="148"/>
      <x:c r="L112" s="148"/>
      <x:c r="M112" s="125"/>
      <x:c r="N112" s="125"/>
      <x:c r="O112" s="125"/>
      <x:c r="P112" s="125"/>
      <x:c r="Q112" s="125"/>
    </x:row>
    <x:row r="113">
      <x:c r="A113" s="148"/>
      <x:c r="B113" s="148"/>
      <x:c r="C113" s="148"/>
      <x:c r="D113" s="148"/>
      <x:c r="E113" s="160"/>
      <x:c r="F113" s="160"/>
      <x:c r="G113" s="160"/>
      <x:c r="H113" s="160"/>
      <x:c r="I113" s="148"/>
      <x:c r="J113" s="148"/>
      <x:c r="K113" s="148"/>
      <x:c r="L113" s="148"/>
      <x:c r="M113" s="125"/>
      <x:c r="N113" s="125"/>
      <x:c r="O113" s="125"/>
      <x:c r="P113" s="125"/>
      <x:c r="Q113" s="125"/>
    </x:row>
    <x:row r="114">
      <x:c r="A114" s="148"/>
      <x:c r="B114" s="148"/>
      <x:c r="C114" s="148"/>
      <x:c r="D114" s="148"/>
      <x:c r="E114" s="160"/>
      <x:c r="F114" s="160"/>
      <x:c r="G114" s="160"/>
      <x:c r="H114" s="160"/>
      <x:c r="I114" s="148"/>
      <x:c r="J114" s="148"/>
      <x:c r="K114" s="148"/>
      <x:c r="L114" s="148"/>
      <x:c r="M114" s="125"/>
      <x:c r="N114" s="125"/>
      <x:c r="O114" s="125"/>
      <x:c r="P114" s="125"/>
      <x:c r="Q114" s="125"/>
    </x:row>
    <x:row r="115">
      <x:c r="A115" s="148"/>
      <x:c r="B115" s="148"/>
      <x:c r="C115" s="148"/>
      <x:c r="D115" s="148"/>
      <x:c r="E115" s="160"/>
      <x:c r="F115" s="160"/>
      <x:c r="G115" s="160"/>
      <x:c r="H115" s="160"/>
      <x:c r="I115" s="148"/>
      <x:c r="J115" s="148"/>
      <x:c r="K115" s="148"/>
      <x:c r="L115" s="148"/>
      <x:c r="M115" s="125"/>
      <x:c r="N115" s="125"/>
      <x:c r="O115" s="125"/>
      <x:c r="P115" s="125"/>
      <x:c r="Q115" s="125"/>
    </x:row>
    <x:row r="116">
      <x:c r="A116" s="148"/>
      <x:c r="B116" s="148"/>
      <x:c r="C116" s="148"/>
      <x:c r="D116" s="148"/>
      <x:c r="E116" s="160"/>
      <x:c r="F116" s="160"/>
      <x:c r="G116" s="160"/>
      <x:c r="H116" s="160"/>
      <x:c r="I116" s="148"/>
      <x:c r="J116" s="148"/>
      <x:c r="K116" s="148"/>
      <x:c r="L116" s="148"/>
      <x:c r="M116" s="125"/>
      <x:c r="N116" s="125"/>
      <x:c r="O116" s="125"/>
      <x:c r="P116" s="125"/>
      <x:c r="Q116" s="125"/>
    </x:row>
    <x:row r="117">
      <x:c r="A117" s="148"/>
      <x:c r="B117" s="148"/>
      <x:c r="C117" s="148"/>
      <x:c r="D117" s="148"/>
      <x:c r="E117" s="160"/>
      <x:c r="F117" s="160"/>
      <x:c r="G117" s="160"/>
      <x:c r="H117" s="160"/>
      <x:c r="I117" s="148"/>
      <x:c r="J117" s="148"/>
      <x:c r="K117" s="148"/>
      <x:c r="L117" s="148"/>
      <x:c r="M117" s="125"/>
      <x:c r="N117" s="125"/>
      <x:c r="O117" s="125"/>
      <x:c r="P117" s="125"/>
      <x:c r="Q117" s="125"/>
    </x:row>
    <x:row r="118">
      <x:c r="A118" s="148"/>
      <x:c r="B118" s="148"/>
      <x:c r="C118" s="148"/>
      <x:c r="D118" s="148"/>
      <x:c r="E118" s="160"/>
      <x:c r="F118" s="160"/>
      <x:c r="G118" s="160"/>
      <x:c r="H118" s="160"/>
      <x:c r="I118" s="148"/>
      <x:c r="J118" s="148"/>
      <x:c r="K118" s="148"/>
      <x:c r="L118" s="148"/>
      <x:c r="M118" s="125"/>
      <x:c r="N118" s="125"/>
      <x:c r="O118" s="125"/>
      <x:c r="P118" s="125"/>
      <x:c r="Q118" s="125"/>
    </x:row>
    <x:row r="119">
      <x:c r="A119" s="148"/>
      <x:c r="B119" s="148"/>
      <x:c r="C119" s="148"/>
      <x:c r="D119" s="148"/>
      <x:c r="E119" s="160"/>
      <x:c r="F119" s="160"/>
      <x:c r="G119" s="160"/>
      <x:c r="H119" s="160"/>
      <x:c r="I119" s="148"/>
      <x:c r="J119" s="148"/>
      <x:c r="K119" s="148"/>
      <x:c r="L119" s="148"/>
      <x:c r="M119" s="125"/>
      <x:c r="N119" s="125"/>
      <x:c r="O119" s="125"/>
      <x:c r="P119" s="125"/>
      <x:c r="Q119" s="125"/>
    </x:row>
    <x:row r="120">
      <x:c r="A120" s="148"/>
      <x:c r="B120" s="148"/>
      <x:c r="C120" s="148"/>
      <x:c r="D120" s="148"/>
      <x:c r="E120" s="160"/>
      <x:c r="F120" s="160"/>
      <x:c r="G120" s="160"/>
      <x:c r="H120" s="160"/>
      <x:c r="I120" s="148"/>
      <x:c r="J120" s="148"/>
      <x:c r="K120" s="148"/>
      <x:c r="L120" s="148"/>
      <x:c r="M120" s="125"/>
      <x:c r="N120" s="125"/>
      <x:c r="O120" s="125"/>
      <x:c r="P120" s="125"/>
      <x:c r="Q120" s="125"/>
    </x:row>
    <x:row r="121">
      <x:c r="A121" s="148"/>
      <x:c r="B121" s="148"/>
      <x:c r="C121" s="148"/>
      <x:c r="D121" s="148"/>
      <x:c r="E121" s="160"/>
      <x:c r="F121" s="160"/>
      <x:c r="G121" s="160"/>
      <x:c r="H121" s="160"/>
      <x:c r="I121" s="148"/>
      <x:c r="J121" s="148"/>
      <x:c r="K121" s="148"/>
      <x:c r="L121" s="148"/>
      <x:c r="M121" s="125"/>
      <x:c r="N121" s="125"/>
      <x:c r="O121" s="125"/>
      <x:c r="P121" s="125"/>
      <x:c r="Q121" s="125"/>
    </x:row>
    <x:row r="122">
      <x:c r="A122" s="148"/>
      <x:c r="B122" s="148"/>
      <x:c r="C122" s="148"/>
      <x:c r="D122" s="148"/>
      <x:c r="E122" s="160"/>
      <x:c r="F122" s="160"/>
      <x:c r="G122" s="160"/>
      <x:c r="H122" s="160"/>
      <x:c r="I122" s="148"/>
      <x:c r="J122" s="148"/>
      <x:c r="K122" s="148"/>
      <x:c r="L122" s="148"/>
      <x:c r="M122" s="125"/>
      <x:c r="N122" s="125"/>
      <x:c r="O122" s="125"/>
      <x:c r="P122" s="125"/>
      <x:c r="Q122" s="125"/>
    </x:row>
    <x:row r="123">
      <x:c r="A123" s="148"/>
      <x:c r="B123" s="148"/>
      <x:c r="C123" s="148"/>
      <x:c r="D123" s="148"/>
      <x:c r="E123" s="160"/>
      <x:c r="F123" s="160"/>
      <x:c r="G123" s="160"/>
      <x:c r="H123" s="160"/>
      <x:c r="I123" s="148"/>
      <x:c r="J123" s="148"/>
      <x:c r="K123" s="148"/>
      <x:c r="L123" s="148"/>
      <x:c r="M123" s="125"/>
      <x:c r="N123" s="125"/>
      <x:c r="O123" s="125"/>
      <x:c r="P123" s="125"/>
      <x:c r="Q123" s="125"/>
    </x:row>
    <x:row r="124">
      <x:c r="A124" s="148"/>
      <x:c r="B124" s="148"/>
      <x:c r="C124" s="148"/>
      <x:c r="D124" s="148"/>
      <x:c r="E124" s="160"/>
      <x:c r="F124" s="160"/>
      <x:c r="G124" s="160"/>
      <x:c r="H124" s="160"/>
      <x:c r="I124" s="148"/>
      <x:c r="J124" s="148"/>
      <x:c r="K124" s="148"/>
      <x:c r="L124" s="148"/>
      <x:c r="M124" s="125"/>
      <x:c r="N124" s="125"/>
      <x:c r="O124" s="125"/>
      <x:c r="P124" s="125"/>
      <x:c r="Q124" s="125"/>
    </x:row>
    <x:row r="125">
      <x:c r="A125" s="148"/>
      <x:c r="B125" s="148"/>
      <x:c r="C125" s="148"/>
      <x:c r="D125" s="148"/>
      <x:c r="E125" s="160"/>
      <x:c r="F125" s="160"/>
      <x:c r="G125" s="160"/>
      <x:c r="H125" s="160"/>
      <x:c r="I125" s="148"/>
      <x:c r="J125" s="148"/>
      <x:c r="K125" s="148"/>
      <x:c r="L125" s="148"/>
      <x:c r="M125" s="125"/>
      <x:c r="N125" s="125"/>
      <x:c r="O125" s="125"/>
      <x:c r="P125" s="125"/>
      <x:c r="Q125" s="125"/>
    </x:row>
    <x:row r="126">
      <x:c r="A126" s="148"/>
      <x:c r="B126" s="148"/>
      <x:c r="C126" s="148"/>
      <x:c r="D126" s="148"/>
      <x:c r="E126" s="160"/>
      <x:c r="F126" s="160"/>
      <x:c r="G126" s="160"/>
      <x:c r="H126" s="160"/>
      <x:c r="I126" s="148"/>
      <x:c r="J126" s="148"/>
      <x:c r="K126" s="148"/>
      <x:c r="L126" s="148"/>
      <x:c r="M126" s="125"/>
      <x:c r="N126" s="125"/>
      <x:c r="O126" s="125"/>
      <x:c r="P126" s="125"/>
      <x:c r="Q126" s="125"/>
    </x:row>
    <x:row r="127">
      <x:c r="A127" s="148"/>
      <x:c r="B127" s="148"/>
      <x:c r="C127" s="148"/>
      <x:c r="D127" s="148"/>
      <x:c r="E127" s="160"/>
      <x:c r="F127" s="160"/>
      <x:c r="G127" s="160"/>
      <x:c r="H127" s="160"/>
      <x:c r="I127" s="148"/>
      <x:c r="J127" s="148"/>
      <x:c r="K127" s="148"/>
      <x:c r="L127" s="148"/>
      <x:c r="M127" s="125"/>
      <x:c r="N127" s="125"/>
      <x:c r="O127" s="125"/>
      <x:c r="P127" s="125"/>
      <x:c r="Q127" s="125"/>
    </x:row>
    <x:row r="128">
      <x:c r="A128" s="148"/>
      <x:c r="B128" s="148"/>
      <x:c r="C128" s="148"/>
      <x:c r="D128" s="148"/>
      <x:c r="E128" s="160"/>
      <x:c r="F128" s="160"/>
      <x:c r="G128" s="160"/>
      <x:c r="H128" s="160"/>
      <x:c r="I128" s="148"/>
      <x:c r="J128" s="148"/>
      <x:c r="K128" s="148"/>
      <x:c r="L128" s="148"/>
      <x:c r="M128" s="125"/>
      <x:c r="N128" s="125"/>
      <x:c r="O128" s="125"/>
      <x:c r="P128" s="125"/>
      <x:c r="Q128" s="125"/>
    </x:row>
    <x:row r="129">
      <x:c r="A129" s="148"/>
      <x:c r="B129" s="148"/>
      <x:c r="C129" s="148"/>
      <x:c r="D129" s="148"/>
      <x:c r="E129" s="160"/>
      <x:c r="F129" s="160"/>
      <x:c r="G129" s="160"/>
      <x:c r="H129" s="160"/>
      <x:c r="I129" s="148"/>
      <x:c r="J129" s="148"/>
      <x:c r="K129" s="148"/>
      <x:c r="L129" s="148"/>
      <x:c r="M129" s="125"/>
      <x:c r="N129" s="125"/>
      <x:c r="O129" s="125"/>
      <x:c r="P129" s="125"/>
      <x:c r="Q129" s="125"/>
    </x:row>
    <x:row r="130">
      <x:c r="A130" s="148"/>
      <x:c r="B130" s="148"/>
      <x:c r="C130" s="148"/>
      <x:c r="D130" s="148"/>
      <x:c r="E130" s="160"/>
      <x:c r="F130" s="160"/>
      <x:c r="G130" s="160"/>
      <x:c r="H130" s="160"/>
      <x:c r="I130" s="148"/>
      <x:c r="J130" s="148"/>
      <x:c r="K130" s="148"/>
      <x:c r="L130" s="148"/>
      <x:c r="M130" s="125"/>
      <x:c r="N130" s="125"/>
      <x:c r="O130" s="125"/>
      <x:c r="P130" s="125"/>
      <x:c r="Q130" s="125"/>
    </x:row>
    <x:row r="131">
      <x:c r="A131" s="148"/>
      <x:c r="B131" s="148"/>
      <x:c r="C131" s="148"/>
      <x:c r="D131" s="148"/>
      <x:c r="E131" s="160"/>
      <x:c r="F131" s="160"/>
      <x:c r="G131" s="160"/>
      <x:c r="H131" s="160"/>
      <x:c r="I131" s="148"/>
      <x:c r="J131" s="148"/>
      <x:c r="K131" s="148"/>
      <x:c r="L131" s="148"/>
      <x:c r="M131" s="125"/>
      <x:c r="N131" s="125"/>
      <x:c r="O131" s="125"/>
      <x:c r="P131" s="125"/>
      <x:c r="Q131" s="125"/>
    </x:row>
    <x:row r="132">
      <x:c r="A132" s="148"/>
      <x:c r="B132" s="148"/>
      <x:c r="C132" s="148"/>
      <x:c r="D132" s="148"/>
      <x:c r="E132" s="160"/>
      <x:c r="F132" s="160"/>
      <x:c r="G132" s="160"/>
      <x:c r="H132" s="160"/>
      <x:c r="I132" s="148"/>
      <x:c r="J132" s="148"/>
      <x:c r="K132" s="148"/>
      <x:c r="L132" s="148"/>
      <x:c r="M132" s="125"/>
      <x:c r="N132" s="125"/>
      <x:c r="O132" s="125"/>
      <x:c r="P132" s="125"/>
      <x:c r="Q132" s="125"/>
    </x:row>
    <x:row r="133">
      <x:c r="A133" s="148"/>
      <x:c r="B133" s="148"/>
      <x:c r="C133" s="148"/>
      <x:c r="D133" s="148"/>
      <x:c r="E133" s="160"/>
      <x:c r="F133" s="160"/>
      <x:c r="G133" s="160"/>
      <x:c r="H133" s="160"/>
      <x:c r="I133" s="148"/>
      <x:c r="J133" s="148"/>
      <x:c r="K133" s="148"/>
      <x:c r="L133" s="148"/>
      <x:c r="M133" s="125"/>
      <x:c r="N133" s="125"/>
      <x:c r="O133" s="125"/>
      <x:c r="P133" s="125"/>
      <x:c r="Q133" s="125"/>
    </x:row>
    <x:row r="134">
      <x:c r="A134" s="148"/>
      <x:c r="B134" s="148"/>
      <x:c r="C134" s="148"/>
      <x:c r="D134" s="148"/>
      <x:c r="E134" s="160"/>
      <x:c r="F134" s="160"/>
      <x:c r="G134" s="160"/>
      <x:c r="H134" s="160"/>
      <x:c r="I134" s="148"/>
      <x:c r="J134" s="148"/>
      <x:c r="K134" s="148"/>
      <x:c r="L134" s="148"/>
      <x:c r="M134" s="125"/>
      <x:c r="N134" s="125"/>
      <x:c r="O134" s="125"/>
      <x:c r="P134" s="125"/>
      <x:c r="Q134" s="125"/>
    </x:row>
    <x:row r="135">
      <x:c r="A135" s="148"/>
      <x:c r="B135" s="148"/>
      <x:c r="C135" s="148"/>
      <x:c r="D135" s="148"/>
      <x:c r="E135" s="160"/>
      <x:c r="F135" s="160"/>
      <x:c r="G135" s="160"/>
      <x:c r="H135" s="160"/>
      <x:c r="I135" s="148"/>
      <x:c r="J135" s="148"/>
      <x:c r="K135" s="148"/>
      <x:c r="L135" s="148"/>
      <x:c r="M135" s="125"/>
      <x:c r="N135" s="125"/>
      <x:c r="O135" s="125"/>
      <x:c r="P135" s="125"/>
      <x:c r="Q135" s="125"/>
    </x:row>
    <x:row r="136">
      <x:c r="A136" s="148"/>
      <x:c r="B136" s="148"/>
      <x:c r="C136" s="148"/>
      <x:c r="D136" s="148"/>
      <x:c r="E136" s="160"/>
      <x:c r="F136" s="160"/>
      <x:c r="G136" s="160"/>
      <x:c r="H136" s="160"/>
      <x:c r="I136" s="148"/>
      <x:c r="J136" s="148"/>
      <x:c r="K136" s="148"/>
      <x:c r="L136" s="148"/>
      <x:c r="M136" s="125"/>
      <x:c r="N136" s="125"/>
      <x:c r="O136" s="125"/>
      <x:c r="P136" s="125"/>
      <x:c r="Q136" s="125"/>
    </x:row>
    <x:row r="137">
      <x:c r="A137" s="148"/>
      <x:c r="B137" s="148"/>
      <x:c r="C137" s="148"/>
      <x:c r="D137" s="148"/>
      <x:c r="E137" s="160"/>
      <x:c r="F137" s="160"/>
      <x:c r="G137" s="160"/>
      <x:c r="H137" s="160"/>
      <x:c r="I137" s="148"/>
      <x:c r="J137" s="148"/>
      <x:c r="K137" s="148"/>
      <x:c r="L137" s="148"/>
      <x:c r="M137" s="125"/>
      <x:c r="N137" s="125"/>
      <x:c r="O137" s="125"/>
      <x:c r="P137" s="125"/>
      <x:c r="Q137" s="125"/>
    </x:row>
    <x:row r="138">
      <x:c r="A138" s="148"/>
      <x:c r="B138" s="148"/>
      <x:c r="C138" s="148"/>
      <x:c r="D138" s="148"/>
      <x:c r="E138" s="160"/>
      <x:c r="F138" s="160"/>
      <x:c r="G138" s="160"/>
      <x:c r="H138" s="160"/>
      <x:c r="I138" s="148"/>
      <x:c r="J138" s="148"/>
      <x:c r="K138" s="148"/>
      <x:c r="L138" s="148"/>
      <x:c r="M138" s="125"/>
      <x:c r="N138" s="125"/>
      <x:c r="O138" s="125"/>
      <x:c r="P138" s="125"/>
      <x:c r="Q138" s="125"/>
    </x:row>
    <x:row r="139">
      <x:c r="A139" s="148"/>
      <x:c r="B139" s="148"/>
      <x:c r="C139" s="148"/>
      <x:c r="D139" s="148"/>
      <x:c r="E139" s="160"/>
      <x:c r="F139" s="160"/>
      <x:c r="G139" s="160"/>
      <x:c r="H139" s="160"/>
      <x:c r="I139" s="148"/>
      <x:c r="J139" s="148"/>
      <x:c r="K139" s="148"/>
      <x:c r="L139" s="148"/>
      <x:c r="M139" s="125"/>
      <x:c r="N139" s="125"/>
      <x:c r="O139" s="125"/>
      <x:c r="P139" s="125"/>
      <x:c r="Q139" s="125"/>
    </x:row>
    <x:row r="140">
      <x:c r="A140" s="148"/>
      <x:c r="B140" s="148"/>
      <x:c r="C140" s="148"/>
      <x:c r="D140" s="148"/>
      <x:c r="E140" s="160"/>
      <x:c r="F140" s="160"/>
      <x:c r="G140" s="160"/>
      <x:c r="H140" s="160"/>
      <x:c r="I140" s="148"/>
      <x:c r="J140" s="148"/>
      <x:c r="K140" s="148"/>
      <x:c r="L140" s="148"/>
      <x:c r="M140" s="125"/>
      <x:c r="N140" s="125"/>
      <x:c r="O140" s="125"/>
      <x:c r="P140" s="125"/>
      <x:c r="Q140" s="125"/>
    </x:row>
    <x:row r="141">
      <x:c r="A141" s="148"/>
      <x:c r="B141" s="148"/>
      <x:c r="C141" s="148"/>
      <x:c r="D141" s="148"/>
      <x:c r="E141" s="160"/>
      <x:c r="F141" s="160"/>
      <x:c r="G141" s="160"/>
      <x:c r="H141" s="160"/>
      <x:c r="I141" s="148"/>
      <x:c r="J141" s="148"/>
      <x:c r="K141" s="148"/>
      <x:c r="L141" s="148"/>
      <x:c r="M141" s="125"/>
      <x:c r="N141" s="125"/>
      <x:c r="O141" s="125"/>
      <x:c r="P141" s="125"/>
      <x:c r="Q141" s="125"/>
    </x:row>
    <x:row r="142">
      <x:c r="A142" s="148"/>
      <x:c r="B142" s="148"/>
      <x:c r="C142" s="148"/>
      <x:c r="D142" s="148"/>
      <x:c r="E142" s="160"/>
      <x:c r="F142" s="160"/>
      <x:c r="G142" s="160"/>
      <x:c r="H142" s="160"/>
      <x:c r="I142" s="148"/>
      <x:c r="J142" s="148"/>
      <x:c r="K142" s="148"/>
      <x:c r="L142" s="148"/>
      <x:c r="M142" s="125"/>
      <x:c r="N142" s="125"/>
      <x:c r="O142" s="125"/>
      <x:c r="P142" s="125"/>
      <x:c r="Q142" s="125"/>
    </x:row>
    <x:row r="143">
      <x:c r="A143" s="148"/>
      <x:c r="B143" s="148"/>
      <x:c r="C143" s="148"/>
      <x:c r="D143" s="148"/>
      <x:c r="E143" s="160"/>
      <x:c r="F143" s="160"/>
      <x:c r="G143" s="160"/>
      <x:c r="H143" s="160"/>
      <x:c r="I143" s="148"/>
      <x:c r="J143" s="148"/>
      <x:c r="K143" s="148"/>
      <x:c r="L143" s="148"/>
      <x:c r="M143" s="125"/>
      <x:c r="N143" s="125"/>
      <x:c r="O143" s="125"/>
      <x:c r="P143" s="125"/>
      <x:c r="Q143" s="125"/>
    </x:row>
    <x:row r="144">
      <x:c r="A144" s="148"/>
      <x:c r="B144" s="148"/>
      <x:c r="C144" s="148"/>
      <x:c r="D144" s="148"/>
      <x:c r="E144" s="160"/>
      <x:c r="F144" s="160"/>
      <x:c r="G144" s="160"/>
      <x:c r="H144" s="160"/>
      <x:c r="I144" s="148"/>
      <x:c r="J144" s="148"/>
      <x:c r="K144" s="148"/>
      <x:c r="L144" s="148"/>
      <x:c r="M144" s="125"/>
      <x:c r="N144" s="125"/>
      <x:c r="O144" s="125"/>
      <x:c r="P144" s="125"/>
      <x:c r="Q144" s="125"/>
    </x:row>
    <x:row r="145">
      <x:c r="A145" s="148"/>
      <x:c r="B145" s="148"/>
      <x:c r="C145" s="148"/>
      <x:c r="D145" s="148"/>
      <x:c r="E145" s="160"/>
      <x:c r="F145" s="160"/>
      <x:c r="G145" s="160"/>
      <x:c r="H145" s="160"/>
      <x:c r="I145" s="148"/>
      <x:c r="J145" s="148"/>
      <x:c r="K145" s="148"/>
      <x:c r="L145" s="148"/>
      <x:c r="M145" s="125"/>
      <x:c r="N145" s="125"/>
      <x:c r="O145" s="125"/>
      <x:c r="P145" s="125"/>
      <x:c r="Q145" s="125"/>
    </x:row>
    <x:row r="146">
      <x:c r="A146" s="148"/>
      <x:c r="B146" s="148"/>
      <x:c r="C146" s="148"/>
      <x:c r="D146" s="148"/>
      <x:c r="E146" s="160"/>
      <x:c r="F146" s="160"/>
      <x:c r="G146" s="160"/>
      <x:c r="H146" s="160"/>
      <x:c r="I146" s="148"/>
      <x:c r="J146" s="148"/>
      <x:c r="K146" s="148"/>
      <x:c r="L146" s="148"/>
      <x:c r="M146" s="125"/>
      <x:c r="N146" s="125"/>
      <x:c r="O146" s="125"/>
      <x:c r="P146" s="125"/>
      <x:c r="Q146" s="125"/>
    </x:row>
    <x:row r="147">
      <x:c r="A147" s="148"/>
      <x:c r="B147" s="148"/>
      <x:c r="C147" s="148"/>
      <x:c r="D147" s="148"/>
      <x:c r="E147" s="160"/>
      <x:c r="F147" s="160"/>
      <x:c r="G147" s="160"/>
      <x:c r="H147" s="160"/>
      <x:c r="I147" s="148"/>
      <x:c r="J147" s="148"/>
      <x:c r="K147" s="148"/>
      <x:c r="L147" s="148"/>
      <x:c r="M147" s="125"/>
      <x:c r="N147" s="125"/>
      <x:c r="O147" s="125"/>
      <x:c r="P147" s="125"/>
      <x:c r="Q147" s="125"/>
    </x:row>
    <x:row r="148">
      <x:c r="A148" s="148"/>
      <x:c r="B148" s="148"/>
      <x:c r="C148" s="148"/>
      <x:c r="D148" s="148"/>
      <x:c r="E148" s="160"/>
      <x:c r="F148" s="160"/>
      <x:c r="G148" s="160"/>
      <x:c r="H148" s="160"/>
      <x:c r="I148" s="148"/>
      <x:c r="J148" s="148"/>
      <x:c r="K148" s="148"/>
      <x:c r="L148" s="148"/>
      <x:c r="M148" s="125"/>
      <x:c r="N148" s="125"/>
      <x:c r="O148" s="125"/>
      <x:c r="P148" s="125"/>
      <x:c r="Q148" s="125"/>
    </x:row>
    <x:row r="149">
      <x:c r="A149" s="148"/>
      <x:c r="B149" s="148"/>
      <x:c r="C149" s="148"/>
      <x:c r="D149" s="148"/>
      <x:c r="E149" s="160"/>
      <x:c r="F149" s="160"/>
      <x:c r="G149" s="160"/>
      <x:c r="H149" s="160"/>
      <x:c r="I149" s="148"/>
      <x:c r="J149" s="148"/>
      <x:c r="K149" s="148"/>
      <x:c r="L149" s="148"/>
      <x:c r="M149" s="125"/>
      <x:c r="N149" s="125"/>
      <x:c r="O149" s="125"/>
      <x:c r="P149" s="125"/>
      <x:c r="Q149" s="125"/>
    </x:row>
    <x:row r="150">
      <x:c r="A150" s="148"/>
      <x:c r="B150" s="148"/>
      <x:c r="C150" s="148"/>
      <x:c r="D150" s="148"/>
      <x:c r="E150" s="160"/>
      <x:c r="F150" s="160"/>
      <x:c r="G150" s="160"/>
      <x:c r="H150" s="160"/>
      <x:c r="I150" s="148"/>
      <x:c r="J150" s="148"/>
      <x:c r="K150" s="148"/>
      <x:c r="L150" s="148"/>
      <x:c r="M150" s="125"/>
      <x:c r="N150" s="125"/>
      <x:c r="O150" s="125"/>
      <x:c r="P150" s="125"/>
      <x:c r="Q150" s="125"/>
    </x:row>
    <x:row r="151">
      <x:c r="A151" s="148"/>
      <x:c r="B151" s="148"/>
      <x:c r="C151" s="148"/>
      <x:c r="D151" s="148"/>
      <x:c r="E151" s="160"/>
      <x:c r="F151" s="160"/>
      <x:c r="G151" s="160"/>
      <x:c r="H151" s="160"/>
      <x:c r="I151" s="148"/>
      <x:c r="J151" s="148"/>
      <x:c r="K151" s="148"/>
      <x:c r="L151" s="148"/>
      <x:c r="M151" s="125"/>
      <x:c r="N151" s="125"/>
      <x:c r="O151" s="125"/>
      <x:c r="P151" s="125"/>
      <x:c r="Q151" s="125"/>
    </x:row>
    <x:row r="152">
      <x:c r="A152" s="148"/>
      <x:c r="B152" s="148"/>
      <x:c r="C152" s="148"/>
      <x:c r="D152" s="148"/>
      <x:c r="E152" s="160"/>
      <x:c r="F152" s="160"/>
      <x:c r="G152" s="160"/>
      <x:c r="H152" s="160"/>
      <x:c r="I152" s="148"/>
      <x:c r="J152" s="148"/>
      <x:c r="K152" s="148"/>
      <x:c r="L152" s="148"/>
      <x:c r="M152" s="125"/>
      <x:c r="N152" s="125"/>
      <x:c r="O152" s="125"/>
      <x:c r="P152" s="125"/>
      <x:c r="Q152" s="125"/>
    </x:row>
    <x:row r="153">
      <x:c r="A153" s="148"/>
      <x:c r="B153" s="148"/>
      <x:c r="C153" s="148"/>
      <x:c r="D153" s="148"/>
      <x:c r="E153" s="160"/>
      <x:c r="F153" s="160"/>
      <x:c r="G153" s="160"/>
      <x:c r="H153" s="160"/>
      <x:c r="I153" s="148"/>
      <x:c r="J153" s="148"/>
      <x:c r="K153" s="148"/>
      <x:c r="L153" s="148"/>
      <x:c r="M153" s="125"/>
      <x:c r="N153" s="125"/>
      <x:c r="O153" s="125"/>
      <x:c r="P153" s="125"/>
      <x:c r="Q153" s="125"/>
    </x:row>
    <x:row r="154">
      <x:c r="A154" s="148"/>
      <x:c r="B154" s="148"/>
      <x:c r="C154" s="148"/>
      <x:c r="D154" s="148"/>
      <x:c r="E154" s="160"/>
      <x:c r="F154" s="160"/>
      <x:c r="G154" s="160"/>
      <x:c r="H154" s="160"/>
      <x:c r="I154" s="148"/>
      <x:c r="J154" s="148"/>
      <x:c r="K154" s="148"/>
      <x:c r="L154" s="148"/>
      <x:c r="M154" s="125"/>
      <x:c r="N154" s="125"/>
      <x:c r="O154" s="125"/>
      <x:c r="P154" s="125"/>
      <x:c r="Q154" s="125"/>
    </x:row>
    <x:row r="155">
      <x:c r="A155" s="148"/>
      <x:c r="B155" s="148"/>
      <x:c r="C155" s="148"/>
      <x:c r="D155" s="148"/>
      <x:c r="E155" s="160"/>
      <x:c r="F155" s="160"/>
      <x:c r="G155" s="160"/>
      <x:c r="H155" s="160"/>
      <x:c r="I155" s="148"/>
      <x:c r="J155" s="148"/>
      <x:c r="K155" s="148"/>
      <x:c r="L155" s="148"/>
      <x:c r="M155" s="125"/>
      <x:c r="N155" s="125"/>
      <x:c r="O155" s="125"/>
      <x:c r="P155" s="125"/>
      <x:c r="Q155" s="125"/>
    </x:row>
    <x:row r="156">
      <x:c r="A156" s="148"/>
      <x:c r="B156" s="148"/>
      <x:c r="C156" s="148"/>
      <x:c r="D156" s="148"/>
      <x:c r="E156" s="160"/>
      <x:c r="F156" s="160"/>
      <x:c r="G156" s="160"/>
      <x:c r="H156" s="160"/>
      <x:c r="I156" s="148"/>
      <x:c r="J156" s="148"/>
      <x:c r="K156" s="148"/>
      <x:c r="L156" s="148"/>
      <x:c r="M156" s="125"/>
      <x:c r="N156" s="125"/>
      <x:c r="O156" s="125"/>
      <x:c r="P156" s="125"/>
      <x:c r="Q156" s="125"/>
    </x:row>
    <x:row r="157">
      <x:c r="A157" s="148"/>
      <x:c r="B157" s="148"/>
      <x:c r="C157" s="148"/>
      <x:c r="D157" s="148"/>
      <x:c r="E157" s="160"/>
      <x:c r="F157" s="160"/>
      <x:c r="G157" s="160"/>
      <x:c r="H157" s="160"/>
      <x:c r="I157" s="148"/>
      <x:c r="J157" s="148"/>
      <x:c r="K157" s="148"/>
      <x:c r="L157" s="148"/>
      <x:c r="M157" s="125"/>
      <x:c r="N157" s="125"/>
      <x:c r="O157" s="125"/>
      <x:c r="P157" s="125"/>
      <x:c r="Q157" s="125"/>
    </x:row>
    <x:row r="158">
      <x:c r="A158" s="148"/>
      <x:c r="B158" s="148"/>
      <x:c r="C158" s="148"/>
      <x:c r="D158" s="148"/>
      <x:c r="E158" s="160"/>
      <x:c r="F158" s="160"/>
      <x:c r="G158" s="160"/>
      <x:c r="H158" s="160"/>
      <x:c r="I158" s="148"/>
      <x:c r="J158" s="148"/>
      <x:c r="K158" s="148"/>
      <x:c r="L158" s="148"/>
      <x:c r="M158" s="125"/>
      <x:c r="N158" s="125"/>
      <x:c r="O158" s="125"/>
      <x:c r="P158" s="125"/>
      <x:c r="Q158" s="125"/>
    </x:row>
    <x:row r="159">
      <x:c r="A159" s="148"/>
      <x:c r="B159" s="148"/>
      <x:c r="C159" s="148"/>
      <x:c r="D159" s="148"/>
      <x:c r="E159" s="160"/>
      <x:c r="F159" s="160"/>
      <x:c r="G159" s="160"/>
      <x:c r="H159" s="160"/>
      <x:c r="I159" s="148"/>
      <x:c r="J159" s="148"/>
      <x:c r="K159" s="148"/>
      <x:c r="L159" s="148"/>
      <x:c r="M159" s="125"/>
      <x:c r="N159" s="125"/>
      <x:c r="O159" s="125"/>
      <x:c r="P159" s="125"/>
      <x:c r="Q159" s="125"/>
    </x:row>
    <x:row r="160">
      <x:c r="A160" s="148"/>
      <x:c r="B160" s="148"/>
      <x:c r="C160" s="148"/>
      <x:c r="D160" s="148"/>
      <x:c r="E160" s="160"/>
      <x:c r="F160" s="160"/>
      <x:c r="G160" s="160"/>
      <x:c r="H160" s="160"/>
      <x:c r="I160" s="148"/>
      <x:c r="J160" s="148"/>
      <x:c r="K160" s="148"/>
      <x:c r="L160" s="148"/>
      <x:c r="M160" s="125"/>
      <x:c r="N160" s="125"/>
      <x:c r="O160" s="125"/>
      <x:c r="P160" s="125"/>
      <x:c r="Q160" s="125"/>
    </x:row>
    <x:row r="161">
      <x:c r="A161" s="148"/>
      <x:c r="B161" s="148"/>
      <x:c r="C161" s="148"/>
      <x:c r="D161" s="148"/>
      <x:c r="E161" s="160"/>
      <x:c r="F161" s="160"/>
      <x:c r="G161" s="160"/>
      <x:c r="H161" s="160"/>
      <x:c r="I161" s="148"/>
      <x:c r="J161" s="148"/>
      <x:c r="K161" s="148"/>
      <x:c r="L161" s="148"/>
      <x:c r="M161" s="125"/>
      <x:c r="N161" s="125"/>
      <x:c r="O161" s="125"/>
      <x:c r="P161" s="125"/>
      <x:c r="Q161" s="125"/>
    </x:row>
    <x:row r="162">
      <x:c r="A162" s="148"/>
      <x:c r="B162" s="148"/>
      <x:c r="C162" s="148"/>
      <x:c r="D162" s="148"/>
      <x:c r="E162" s="160"/>
      <x:c r="F162" s="160"/>
      <x:c r="G162" s="160"/>
      <x:c r="H162" s="160"/>
      <x:c r="I162" s="148"/>
      <x:c r="J162" s="148"/>
      <x:c r="K162" s="148"/>
      <x:c r="L162" s="148"/>
      <x:c r="M162" s="125"/>
      <x:c r="N162" s="125"/>
      <x:c r="O162" s="125"/>
      <x:c r="P162" s="125"/>
      <x:c r="Q162" s="125"/>
    </x:row>
    <x:row r="163">
      <x:c r="A163" s="148"/>
      <x:c r="B163" s="148"/>
      <x:c r="C163" s="148"/>
      <x:c r="D163" s="148"/>
      <x:c r="E163" s="160"/>
      <x:c r="F163" s="160"/>
      <x:c r="G163" s="160"/>
      <x:c r="H163" s="160"/>
      <x:c r="I163" s="148"/>
      <x:c r="J163" s="148"/>
      <x:c r="K163" s="148"/>
      <x:c r="L163" s="148"/>
      <x:c r="M163" s="125"/>
      <x:c r="N163" s="125"/>
      <x:c r="O163" s="125"/>
      <x:c r="P163" s="125"/>
      <x:c r="Q163" s="125"/>
    </x:row>
    <x:row r="164">
      <x:c r="A164" s="148"/>
      <x:c r="B164" s="148"/>
      <x:c r="C164" s="148"/>
      <x:c r="D164" s="148"/>
      <x:c r="E164" s="160"/>
      <x:c r="F164" s="160"/>
      <x:c r="G164" s="160"/>
      <x:c r="H164" s="160"/>
      <x:c r="I164" s="148"/>
      <x:c r="J164" s="148"/>
      <x:c r="K164" s="148"/>
      <x:c r="L164" s="148"/>
      <x:c r="M164" s="125"/>
      <x:c r="N164" s="125"/>
      <x:c r="O164" s="125"/>
      <x:c r="P164" s="125"/>
      <x:c r="Q164" s="125"/>
    </x:row>
    <x:row r="165">
      <x:c r="A165" s="148"/>
      <x:c r="B165" s="148"/>
      <x:c r="C165" s="148"/>
      <x:c r="D165" s="148"/>
      <x:c r="E165" s="160"/>
      <x:c r="F165" s="160"/>
      <x:c r="G165" s="160"/>
      <x:c r="H165" s="160"/>
      <x:c r="I165" s="148"/>
      <x:c r="J165" s="148"/>
      <x:c r="K165" s="148"/>
      <x:c r="L165" s="148"/>
      <x:c r="M165" s="125"/>
      <x:c r="N165" s="125"/>
      <x:c r="O165" s="125"/>
      <x:c r="P165" s="125"/>
      <x:c r="Q165" s="125"/>
    </x:row>
    <x:row r="166">
      <x:c r="A166" s="148"/>
      <x:c r="B166" s="148"/>
      <x:c r="C166" s="148"/>
      <x:c r="D166" s="148"/>
      <x:c r="E166" s="160"/>
      <x:c r="F166" s="160"/>
      <x:c r="G166" s="160"/>
      <x:c r="H166" s="160"/>
      <x:c r="I166" s="148"/>
      <x:c r="J166" s="148"/>
      <x:c r="K166" s="148"/>
      <x:c r="L166" s="148"/>
      <x:c r="M166" s="125"/>
      <x:c r="N166" s="125"/>
      <x:c r="O166" s="125"/>
      <x:c r="P166" s="125"/>
      <x:c r="Q166" s="125"/>
    </x:row>
    <x:row r="167">
      <x:c r="A167" s="148"/>
      <x:c r="B167" s="148"/>
      <x:c r="C167" s="148"/>
      <x:c r="D167" s="148"/>
      <x:c r="E167" s="160"/>
      <x:c r="F167" s="160"/>
      <x:c r="G167" s="160"/>
      <x:c r="H167" s="160"/>
      <x:c r="I167" s="148"/>
      <x:c r="J167" s="148"/>
      <x:c r="K167" s="148"/>
      <x:c r="L167" s="148"/>
      <x:c r="M167" s="125"/>
      <x:c r="N167" s="125"/>
      <x:c r="O167" s="125"/>
      <x:c r="P167" s="125"/>
      <x:c r="Q167" s="125"/>
    </x:row>
    <x:row r="168">
      <x:c r="A168" s="148"/>
      <x:c r="B168" s="148"/>
      <x:c r="C168" s="148"/>
      <x:c r="D168" s="148"/>
      <x:c r="E168" s="160"/>
      <x:c r="F168" s="160"/>
      <x:c r="G168" s="160"/>
      <x:c r="H168" s="160"/>
      <x:c r="I168" s="148"/>
      <x:c r="J168" s="148"/>
      <x:c r="K168" s="148"/>
      <x:c r="L168" s="148"/>
      <x:c r="M168" s="125"/>
      <x:c r="N168" s="125"/>
      <x:c r="O168" s="125"/>
      <x:c r="P168" s="125"/>
      <x:c r="Q168" s="125"/>
    </x:row>
    <x:row r="169">
      <x:c r="A169" s="148"/>
      <x:c r="B169" s="148"/>
      <x:c r="C169" s="148"/>
      <x:c r="D169" s="148"/>
      <x:c r="E169" s="160"/>
      <x:c r="F169" s="160"/>
      <x:c r="G169" s="160"/>
      <x:c r="H169" s="160"/>
      <x:c r="I169" s="148"/>
      <x:c r="J169" s="148"/>
      <x:c r="K169" s="148"/>
      <x:c r="L169" s="148"/>
      <x:c r="M169" s="125"/>
      <x:c r="N169" s="125"/>
      <x:c r="O169" s="125"/>
      <x:c r="P169" s="125"/>
      <x:c r="Q169" s="125"/>
    </x:row>
    <x:row r="170">
      <x:c r="A170" s="148"/>
      <x:c r="B170" s="148"/>
      <x:c r="C170" s="148"/>
      <x:c r="D170" s="148"/>
      <x:c r="E170" s="160"/>
      <x:c r="F170" s="160"/>
      <x:c r="G170" s="160"/>
      <x:c r="H170" s="160"/>
      <x:c r="I170" s="148"/>
      <x:c r="J170" s="148"/>
      <x:c r="K170" s="148"/>
      <x:c r="L170" s="148"/>
      <x:c r="M170" s="125"/>
      <x:c r="N170" s="125"/>
      <x:c r="O170" s="125"/>
      <x:c r="P170" s="125"/>
      <x:c r="Q170" s="125"/>
    </x:row>
    <x:row r="171">
      <x:c r="A171" s="148"/>
      <x:c r="B171" s="148"/>
      <x:c r="C171" s="148"/>
      <x:c r="D171" s="148"/>
      <x:c r="E171" s="160"/>
      <x:c r="F171" s="160"/>
      <x:c r="G171" s="160"/>
      <x:c r="H171" s="160"/>
      <x:c r="I171" s="148"/>
      <x:c r="J171" s="148"/>
      <x:c r="K171" s="148"/>
      <x:c r="L171" s="148"/>
      <x:c r="M171" s="125"/>
      <x:c r="N171" s="125"/>
      <x:c r="O171" s="125"/>
      <x:c r="P171" s="125"/>
      <x:c r="Q171" s="125"/>
    </x:row>
    <x:row r="172">
      <x:c r="A172" s="148"/>
      <x:c r="B172" s="148"/>
      <x:c r="C172" s="148"/>
      <x:c r="D172" s="148"/>
      <x:c r="E172" s="160"/>
      <x:c r="F172" s="160"/>
      <x:c r="G172" s="160"/>
      <x:c r="H172" s="160"/>
      <x:c r="I172" s="148"/>
      <x:c r="J172" s="148"/>
      <x:c r="K172" s="148"/>
      <x:c r="L172" s="148"/>
      <x:c r="M172" s="125"/>
      <x:c r="N172" s="125"/>
      <x:c r="O172" s="125"/>
      <x:c r="P172" s="125"/>
      <x:c r="Q172" s="125"/>
    </x:row>
    <x:row r="173">
      <x:c r="A173" s="148"/>
      <x:c r="B173" s="148"/>
      <x:c r="C173" s="148"/>
      <x:c r="D173" s="148"/>
      <x:c r="E173" s="160"/>
      <x:c r="F173" s="160"/>
      <x:c r="G173" s="160"/>
      <x:c r="H173" s="160"/>
      <x:c r="I173" s="148"/>
      <x:c r="J173" s="148"/>
      <x:c r="K173" s="148"/>
      <x:c r="L173" s="148"/>
      <x:c r="M173" s="125"/>
      <x:c r="N173" s="125"/>
      <x:c r="O173" s="125"/>
      <x:c r="P173" s="125"/>
      <x:c r="Q173" s="125"/>
    </x:row>
    <x:row r="174">
      <x:c r="A174" s="148"/>
      <x:c r="B174" s="148"/>
      <x:c r="C174" s="148"/>
      <x:c r="D174" s="148"/>
      <x:c r="E174" s="160"/>
      <x:c r="F174" s="160"/>
      <x:c r="G174" s="160"/>
      <x:c r="H174" s="160"/>
      <x:c r="I174" s="148"/>
      <x:c r="J174" s="148"/>
      <x:c r="K174" s="148"/>
      <x:c r="L174" s="148"/>
      <x:c r="M174" s="125"/>
      <x:c r="N174" s="125"/>
      <x:c r="O174" s="125"/>
      <x:c r="P174" s="125"/>
      <x:c r="Q174" s="125"/>
    </x:row>
    <x:row r="175">
      <x:c r="A175" s="148"/>
      <x:c r="B175" s="148"/>
      <x:c r="C175" s="148"/>
      <x:c r="D175" s="148"/>
      <x:c r="E175" s="160"/>
      <x:c r="F175" s="160"/>
      <x:c r="G175" s="160"/>
      <x:c r="H175" s="160"/>
      <x:c r="I175" s="148"/>
      <x:c r="J175" s="148"/>
      <x:c r="K175" s="148"/>
      <x:c r="L175" s="148"/>
      <x:c r="M175" s="125"/>
      <x:c r="N175" s="125"/>
      <x:c r="O175" s="125"/>
      <x:c r="P175" s="125"/>
      <x:c r="Q175" s="125"/>
    </x:row>
    <x:row r="176">
      <x:c r="A176" s="148"/>
      <x:c r="B176" s="148"/>
      <x:c r="C176" s="148"/>
      <x:c r="D176" s="148"/>
      <x:c r="E176" s="160"/>
      <x:c r="F176" s="160"/>
      <x:c r="G176" s="160"/>
      <x:c r="H176" s="160"/>
      <x:c r="I176" s="148"/>
      <x:c r="J176" s="148"/>
      <x:c r="K176" s="148"/>
      <x:c r="L176" s="148"/>
      <x:c r="M176" s="125"/>
      <x:c r="N176" s="125"/>
      <x:c r="O176" s="125"/>
      <x:c r="P176" s="125"/>
      <x:c r="Q176" s="125"/>
    </x:row>
    <x:row r="177">
      <x:c r="A177" s="148"/>
      <x:c r="B177" s="148"/>
      <x:c r="C177" s="148"/>
      <x:c r="D177" s="148"/>
      <x:c r="E177" s="160"/>
      <x:c r="F177" s="160"/>
      <x:c r="G177" s="160"/>
      <x:c r="H177" s="160"/>
      <x:c r="I177" s="148"/>
      <x:c r="J177" s="148"/>
      <x:c r="K177" s="148"/>
      <x:c r="L177" s="148"/>
      <x:c r="M177" s="125"/>
      <x:c r="N177" s="125"/>
      <x:c r="O177" s="125"/>
      <x:c r="P177" s="125"/>
      <x:c r="Q177" s="125"/>
    </x:row>
    <x:row r="178">
      <x:c r="A178" s="148"/>
      <x:c r="B178" s="148"/>
      <x:c r="C178" s="148"/>
      <x:c r="D178" s="148"/>
      <x:c r="E178" s="160"/>
      <x:c r="F178" s="160"/>
      <x:c r="G178" s="160"/>
      <x:c r="H178" s="160"/>
      <x:c r="I178" s="148"/>
      <x:c r="J178" s="148"/>
      <x:c r="K178" s="148"/>
      <x:c r="L178" s="148"/>
      <x:c r="M178" s="125"/>
      <x:c r="N178" s="125"/>
      <x:c r="O178" s="125"/>
      <x:c r="P178" s="125"/>
      <x:c r="Q178" s="125"/>
    </x:row>
    <x:row r="179">
      <x:c r="A179" s="148"/>
      <x:c r="B179" s="148"/>
      <x:c r="C179" s="148"/>
      <x:c r="D179" s="148"/>
      <x:c r="E179" s="160"/>
      <x:c r="F179" s="160"/>
      <x:c r="G179" s="160"/>
      <x:c r="H179" s="160"/>
      <x:c r="I179" s="148"/>
      <x:c r="J179" s="148"/>
      <x:c r="K179" s="148"/>
      <x:c r="L179" s="148"/>
      <x:c r="M179" s="125"/>
      <x:c r="N179" s="125"/>
      <x:c r="O179" s="125"/>
      <x:c r="P179" s="125"/>
      <x:c r="Q179" s="125"/>
    </x:row>
    <x:row r="180">
      <x:c r="A180" s="148"/>
      <x:c r="B180" s="148"/>
      <x:c r="C180" s="148"/>
      <x:c r="D180" s="148"/>
      <x:c r="E180" s="160"/>
      <x:c r="F180" s="160"/>
      <x:c r="G180" s="160"/>
      <x:c r="H180" s="160"/>
      <x:c r="I180" s="148"/>
      <x:c r="J180" s="148"/>
      <x:c r="K180" s="148"/>
      <x:c r="L180" s="148"/>
      <x:c r="M180" s="125"/>
      <x:c r="N180" s="125"/>
      <x:c r="O180" s="125"/>
      <x:c r="P180" s="125"/>
      <x:c r="Q180" s="125"/>
    </x:row>
    <x:row r="181">
      <x:c r="A181" s="148"/>
      <x:c r="B181" s="148"/>
      <x:c r="C181" s="148"/>
      <x:c r="D181" s="148"/>
      <x:c r="E181" s="160"/>
      <x:c r="F181" s="160"/>
      <x:c r="G181" s="160"/>
      <x:c r="H181" s="160"/>
      <x:c r="I181" s="148"/>
      <x:c r="J181" s="148"/>
      <x:c r="K181" s="148"/>
      <x:c r="L181" s="148"/>
      <x:c r="M181" s="125"/>
      <x:c r="N181" s="125"/>
      <x:c r="O181" s="125"/>
      <x:c r="P181" s="125"/>
      <x:c r="Q181" s="125"/>
    </x:row>
    <x:row r="182">
      <x:c r="A182" s="148"/>
      <x:c r="B182" s="148"/>
      <x:c r="C182" s="148"/>
      <x:c r="D182" s="148"/>
      <x:c r="E182" s="160"/>
      <x:c r="F182" s="160"/>
      <x:c r="G182" s="160"/>
      <x:c r="H182" s="160"/>
      <x:c r="I182" s="148"/>
      <x:c r="J182" s="148"/>
      <x:c r="K182" s="148"/>
      <x:c r="L182" s="148"/>
      <x:c r="M182" s="125"/>
      <x:c r="N182" s="125"/>
      <x:c r="O182" s="125"/>
      <x:c r="P182" s="125"/>
      <x:c r="Q182" s="125"/>
    </x:row>
    <x:row r="183">
      <x:c r="A183" s="148"/>
      <x:c r="B183" s="148"/>
      <x:c r="C183" s="148"/>
      <x:c r="D183" s="148"/>
      <x:c r="E183" s="160"/>
      <x:c r="F183" s="160"/>
      <x:c r="G183" s="160"/>
      <x:c r="H183" s="160"/>
      <x:c r="I183" s="148"/>
      <x:c r="J183" s="148"/>
      <x:c r="K183" s="148"/>
      <x:c r="L183" s="148"/>
      <x:c r="M183" s="125"/>
      <x:c r="N183" s="125"/>
      <x:c r="O183" s="125"/>
      <x:c r="P183" s="125"/>
      <x:c r="Q183" s="125"/>
    </x:row>
    <x:row r="184">
      <x:c r="A184" s="148"/>
      <x:c r="B184" s="148"/>
      <x:c r="C184" s="148"/>
      <x:c r="D184" s="148"/>
      <x:c r="E184" s="160"/>
      <x:c r="F184" s="160"/>
      <x:c r="G184" s="160"/>
      <x:c r="H184" s="160"/>
      <x:c r="I184" s="148"/>
      <x:c r="J184" s="148"/>
      <x:c r="K184" s="148"/>
      <x:c r="L184" s="148"/>
      <x:c r="M184" s="125"/>
      <x:c r="N184" s="125"/>
      <x:c r="O184" s="125"/>
      <x:c r="P184" s="125"/>
      <x:c r="Q184" s="125"/>
    </x:row>
    <x:row r="185">
      <x:c r="A185" s="148"/>
      <x:c r="B185" s="148"/>
      <x:c r="C185" s="148"/>
      <x:c r="D185" s="148"/>
      <x:c r="E185" s="160"/>
      <x:c r="F185" s="160"/>
      <x:c r="G185" s="160"/>
      <x:c r="H185" s="160"/>
      <x:c r="I185" s="148"/>
      <x:c r="J185" s="148"/>
      <x:c r="K185" s="148"/>
      <x:c r="L185" s="148"/>
      <x:c r="M185" s="125"/>
      <x:c r="N185" s="125"/>
      <x:c r="O185" s="125"/>
      <x:c r="P185" s="125"/>
      <x:c r="Q185" s="125"/>
    </x:row>
    <x:row r="186">
      <x:c r="A186" s="148"/>
      <x:c r="B186" s="148"/>
      <x:c r="C186" s="148"/>
      <x:c r="D186" s="148"/>
      <x:c r="E186" s="160"/>
      <x:c r="F186" s="160"/>
      <x:c r="G186" s="160"/>
      <x:c r="H186" s="160"/>
      <x:c r="I186" s="148"/>
      <x:c r="J186" s="148"/>
      <x:c r="K186" s="148"/>
      <x:c r="L186" s="148"/>
      <x:c r="M186" s="125"/>
      <x:c r="N186" s="125"/>
      <x:c r="O186" s="125"/>
      <x:c r="P186" s="125"/>
      <x:c r="Q186" s="125"/>
    </x:row>
    <x:row r="187">
      <x:c r="A187" s="148"/>
      <x:c r="B187" s="148"/>
      <x:c r="C187" s="148"/>
      <x:c r="D187" s="148"/>
      <x:c r="E187" s="160"/>
      <x:c r="F187" s="160"/>
      <x:c r="G187" s="160"/>
      <x:c r="H187" s="160"/>
      <x:c r="I187" s="148"/>
      <x:c r="J187" s="148"/>
      <x:c r="K187" s="148"/>
      <x:c r="L187" s="148"/>
      <x:c r="M187" s="125"/>
      <x:c r="N187" s="125"/>
      <x:c r="O187" s="125"/>
      <x:c r="P187" s="125"/>
      <x:c r="Q187" s="125"/>
    </x:row>
    <x:row r="188">
      <x:c r="A188" s="148"/>
      <x:c r="B188" s="148"/>
      <x:c r="C188" s="148"/>
      <x:c r="D188" s="148"/>
      <x:c r="E188" s="160"/>
      <x:c r="F188" s="160"/>
      <x:c r="G188" s="160"/>
      <x:c r="H188" s="160"/>
      <x:c r="I188" s="148"/>
      <x:c r="J188" s="148"/>
      <x:c r="K188" s="148"/>
      <x:c r="L188" s="148"/>
      <x:c r="M188" s="125"/>
      <x:c r="N188" s="125"/>
      <x:c r="O188" s="125"/>
      <x:c r="P188" s="125"/>
      <x:c r="Q188" s="125"/>
    </x:row>
    <x:row r="189">
      <x:c r="A189" s="148"/>
      <x:c r="B189" s="148"/>
      <x:c r="C189" s="148"/>
      <x:c r="D189" s="148"/>
      <x:c r="E189" s="160"/>
      <x:c r="F189" s="160"/>
      <x:c r="G189" s="160"/>
      <x:c r="H189" s="160"/>
      <x:c r="I189" s="148"/>
      <x:c r="J189" s="148"/>
      <x:c r="K189" s="148"/>
      <x:c r="L189" s="148"/>
      <x:c r="M189" s="125"/>
      <x:c r="N189" s="125"/>
      <x:c r="O189" s="125"/>
      <x:c r="P189" s="125"/>
      <x:c r="Q189" s="125"/>
    </x:row>
    <x:row r="190">
      <x:c r="A190" s="148"/>
      <x:c r="B190" s="148"/>
      <x:c r="C190" s="148"/>
      <x:c r="D190" s="148"/>
      <x:c r="E190" s="160"/>
      <x:c r="F190" s="160"/>
      <x:c r="G190" s="160"/>
      <x:c r="H190" s="160"/>
      <x:c r="I190" s="148"/>
      <x:c r="J190" s="148"/>
      <x:c r="K190" s="148"/>
      <x:c r="L190" s="148"/>
      <x:c r="M190" s="125"/>
      <x:c r="N190" s="125"/>
      <x:c r="O190" s="125"/>
      <x:c r="P190" s="125"/>
      <x:c r="Q190" s="125"/>
    </x:row>
    <x:row r="191">
      <x:c r="A191" s="148"/>
      <x:c r="B191" s="148"/>
      <x:c r="C191" s="148"/>
      <x:c r="D191" s="148"/>
      <x:c r="E191" s="160"/>
      <x:c r="F191" s="160"/>
      <x:c r="G191" s="160"/>
      <x:c r="H191" s="160"/>
      <x:c r="I191" s="148"/>
      <x:c r="J191" s="148"/>
      <x:c r="K191" s="148"/>
      <x:c r="L191" s="148"/>
      <x:c r="M191" s="125"/>
      <x:c r="N191" s="125"/>
      <x:c r="O191" s="125"/>
      <x:c r="P191" s="125"/>
      <x:c r="Q191" s="125"/>
    </x:row>
    <x:row r="192">
      <x:c r="A192" s="148"/>
      <x:c r="B192" s="148"/>
      <x:c r="C192" s="148"/>
      <x:c r="D192" s="148"/>
      <x:c r="E192" s="160"/>
      <x:c r="F192" s="160"/>
      <x:c r="G192" s="160"/>
      <x:c r="H192" s="160"/>
      <x:c r="I192" s="148"/>
      <x:c r="J192" s="148"/>
      <x:c r="K192" s="148"/>
      <x:c r="L192" s="148"/>
      <x:c r="M192" s="125"/>
      <x:c r="N192" s="125"/>
      <x:c r="O192" s="125"/>
      <x:c r="P192" s="125"/>
      <x:c r="Q192" s="125"/>
    </x:row>
    <x:row r="193">
      <x:c r="A193" s="148"/>
      <x:c r="B193" s="148"/>
      <x:c r="C193" s="148"/>
      <x:c r="D193" s="148"/>
      <x:c r="E193" s="160"/>
      <x:c r="F193" s="160"/>
      <x:c r="G193" s="160"/>
      <x:c r="H193" s="160"/>
      <x:c r="I193" s="148"/>
      <x:c r="J193" s="148"/>
      <x:c r="K193" s="148"/>
      <x:c r="L193" s="148"/>
      <x:c r="M193" s="125"/>
      <x:c r="N193" s="125"/>
      <x:c r="O193" s="125"/>
      <x:c r="P193" s="125"/>
      <x:c r="Q193" s="125"/>
    </x:row>
    <x:row r="194">
      <x:c r="A194" s="148"/>
      <x:c r="B194" s="148"/>
      <x:c r="C194" s="148"/>
      <x:c r="D194" s="148"/>
      <x:c r="E194" s="160"/>
      <x:c r="F194" s="160"/>
      <x:c r="G194" s="160"/>
      <x:c r="H194" s="160"/>
      <x:c r="I194" s="148"/>
      <x:c r="J194" s="148"/>
      <x:c r="K194" s="148"/>
      <x:c r="L194" s="148"/>
      <x:c r="M194" s="125"/>
      <x:c r="N194" s="125"/>
      <x:c r="O194" s="125"/>
      <x:c r="P194" s="125"/>
      <x:c r="Q194" s="125"/>
    </x:row>
    <x:row r="195">
      <x:c r="A195" s="148"/>
      <x:c r="B195" s="148"/>
      <x:c r="C195" s="148"/>
      <x:c r="D195" s="148"/>
      <x:c r="E195" s="160"/>
      <x:c r="F195" s="160"/>
      <x:c r="G195" s="160"/>
      <x:c r="H195" s="160"/>
      <x:c r="I195" s="148"/>
      <x:c r="J195" s="148"/>
      <x:c r="K195" s="148"/>
      <x:c r="L195" s="148"/>
      <x:c r="M195" s="125"/>
      <x:c r="N195" s="125"/>
      <x:c r="O195" s="125"/>
      <x:c r="P195" s="125"/>
      <x:c r="Q195" s="125"/>
    </x:row>
    <x:row r="196">
      <x:c r="A196" s="148"/>
      <x:c r="B196" s="148"/>
      <x:c r="C196" s="148"/>
      <x:c r="D196" s="148"/>
      <x:c r="E196" s="160"/>
      <x:c r="F196" s="160"/>
      <x:c r="G196" s="160"/>
      <x:c r="H196" s="160"/>
      <x:c r="I196" s="148"/>
      <x:c r="J196" s="148"/>
      <x:c r="K196" s="148"/>
      <x:c r="L196" s="148"/>
      <x:c r="M196" s="125"/>
      <x:c r="N196" s="125"/>
      <x:c r="O196" s="125"/>
      <x:c r="P196" s="125"/>
      <x:c r="Q196" s="125"/>
    </x:row>
    <x:row r="197">
      <x:c r="A197" s="148"/>
      <x:c r="B197" s="148"/>
      <x:c r="C197" s="148"/>
      <x:c r="D197" s="148"/>
      <x:c r="E197" s="160"/>
      <x:c r="F197" s="160"/>
      <x:c r="G197" s="160"/>
      <x:c r="H197" s="160"/>
      <x:c r="I197" s="148"/>
      <x:c r="J197" s="148"/>
      <x:c r="K197" s="148"/>
      <x:c r="L197" s="148"/>
      <x:c r="M197" s="125"/>
      <x:c r="N197" s="125"/>
      <x:c r="O197" s="125"/>
      <x:c r="P197" s="125"/>
      <x:c r="Q197" s="125"/>
    </x:row>
    <x:row r="198">
      <x:c r="A198" s="148"/>
      <x:c r="B198" s="148"/>
      <x:c r="C198" s="148"/>
      <x:c r="D198" s="148"/>
      <x:c r="E198" s="160"/>
      <x:c r="F198" s="160"/>
      <x:c r="G198" s="160"/>
      <x:c r="H198" s="160"/>
      <x:c r="I198" s="148"/>
      <x:c r="J198" s="148"/>
      <x:c r="K198" s="148"/>
      <x:c r="L198" s="148"/>
      <x:c r="M198" s="125"/>
      <x:c r="N198" s="125"/>
      <x:c r="O198" s="125"/>
      <x:c r="P198" s="125"/>
      <x:c r="Q198" s="125"/>
    </x:row>
    <x:row r="199">
      <x:c r="A199" s="148"/>
      <x:c r="B199" s="148"/>
      <x:c r="C199" s="148"/>
      <x:c r="D199" s="148"/>
      <x:c r="E199" s="160"/>
      <x:c r="F199" s="160"/>
      <x:c r="G199" s="160"/>
      <x:c r="H199" s="160"/>
      <x:c r="I199" s="148"/>
      <x:c r="J199" s="148"/>
      <x:c r="K199" s="148"/>
      <x:c r="L199" s="148"/>
      <x:c r="M199" s="125"/>
      <x:c r="N199" s="125"/>
      <x:c r="O199" s="125"/>
      <x:c r="P199" s="125"/>
      <x:c r="Q199" s="125"/>
    </x:row>
    <x:row r="200">
      <x:c r="A200" s="148"/>
      <x:c r="B200" s="148"/>
      <x:c r="C200" s="148"/>
      <x:c r="D200" s="148"/>
      <x:c r="E200" s="160"/>
      <x:c r="F200" s="160"/>
      <x:c r="G200" s="160"/>
      <x:c r="H200" s="160"/>
      <x:c r="I200" s="148"/>
      <x:c r="J200" s="148"/>
      <x:c r="K200" s="148"/>
      <x:c r="L200" s="148"/>
      <x:c r="M200" s="125"/>
      <x:c r="N200" s="125"/>
      <x:c r="O200" s="125"/>
      <x:c r="P200" s="125"/>
      <x:c r="Q200" s="125"/>
    </x:row>
    <x:row r="201">
      <x:c r="A201" s="148"/>
      <x:c r="B201" s="148"/>
      <x:c r="C201" s="148"/>
      <x:c r="D201" s="148"/>
      <x:c r="E201" s="160"/>
      <x:c r="F201" s="160"/>
      <x:c r="G201" s="160"/>
      <x:c r="H201" s="160"/>
      <x:c r="I201" s="148"/>
      <x:c r="J201" s="148"/>
      <x:c r="K201" s="148"/>
      <x:c r="L201" s="148"/>
      <x:c r="M201" s="125"/>
      <x:c r="N201" s="125"/>
      <x:c r="O201" s="125"/>
      <x:c r="P201" s="125"/>
      <x:c r="Q201" s="125"/>
    </x:row>
    <x:row r="202">
      <x:c r="A202" s="148"/>
      <x:c r="B202" s="148"/>
      <x:c r="C202" s="148"/>
      <x:c r="D202" s="148"/>
      <x:c r="E202" s="160"/>
      <x:c r="F202" s="160"/>
      <x:c r="G202" s="160"/>
      <x:c r="H202" s="160"/>
      <x:c r="I202" s="148"/>
      <x:c r="J202" s="148"/>
      <x:c r="K202" s="148"/>
      <x:c r="L202" s="148"/>
      <x:c r="M202" s="125"/>
      <x:c r="N202" s="125"/>
      <x:c r="O202" s="125"/>
      <x:c r="P202" s="125"/>
      <x:c r="Q202" s="125"/>
    </x:row>
    <x:row r="203">
      <x:c r="A203" s="148"/>
      <x:c r="B203" s="148"/>
      <x:c r="C203" s="148"/>
      <x:c r="D203" s="148"/>
      <x:c r="E203" s="160"/>
      <x:c r="F203" s="160"/>
      <x:c r="G203" s="160"/>
      <x:c r="H203" s="160"/>
      <x:c r="I203" s="148"/>
      <x:c r="J203" s="148"/>
      <x:c r="K203" s="148"/>
      <x:c r="L203" s="148"/>
      <x:c r="M203" s="125"/>
      <x:c r="N203" s="125"/>
      <x:c r="O203" s="125"/>
      <x:c r="P203" s="125"/>
      <x:c r="Q203" s="125"/>
    </x:row>
    <x:row r="204">
      <x:c r="A204" s="148"/>
      <x:c r="B204" s="148"/>
      <x:c r="C204" s="148"/>
      <x:c r="D204" s="148"/>
      <x:c r="E204" s="160"/>
      <x:c r="F204" s="160"/>
      <x:c r="G204" s="160"/>
      <x:c r="H204" s="160"/>
      <x:c r="I204" s="148"/>
      <x:c r="J204" s="148"/>
      <x:c r="K204" s="148"/>
      <x:c r="L204" s="148"/>
      <x:c r="M204" s="125"/>
      <x:c r="N204" s="125"/>
      <x:c r="O204" s="125"/>
      <x:c r="P204" s="125"/>
      <x:c r="Q204" s="125"/>
    </x:row>
    <x:row r="205">
      <x:c r="A205" s="148"/>
      <x:c r="B205" s="148"/>
      <x:c r="C205" s="148"/>
      <x:c r="D205" s="148"/>
      <x:c r="E205" s="160"/>
      <x:c r="F205" s="160"/>
      <x:c r="G205" s="160"/>
      <x:c r="H205" s="160"/>
      <x:c r="I205" s="148"/>
      <x:c r="J205" s="148"/>
      <x:c r="K205" s="148"/>
      <x:c r="L205" s="148"/>
      <x:c r="M205" s="125"/>
      <x:c r="N205" s="125"/>
      <x:c r="O205" s="125"/>
      <x:c r="P205" s="125"/>
      <x:c r="Q205" s="125"/>
    </x:row>
    <x:row r="206">
      <x:c r="A206" s="148"/>
      <x:c r="B206" s="148"/>
      <x:c r="C206" s="148"/>
      <x:c r="D206" s="148"/>
      <x:c r="E206" s="160"/>
      <x:c r="F206" s="160"/>
      <x:c r="G206" s="160"/>
      <x:c r="H206" s="160"/>
      <x:c r="I206" s="148"/>
      <x:c r="J206" s="148"/>
      <x:c r="K206" s="148"/>
      <x:c r="L206" s="148"/>
      <x:c r="M206" s="125"/>
      <x:c r="N206" s="125"/>
      <x:c r="O206" s="125"/>
      <x:c r="P206" s="125"/>
      <x:c r="Q206" s="125"/>
    </x:row>
    <x:row r="207">
      <x:c r="A207" s="125"/>
      <x:c r="B207" s="125"/>
      <x:c r="C207" s="125"/>
      <x:c r="D207" s="125"/>
      <x:c r="E207" s="125"/>
      <x:c r="F207" s="125"/>
      <x:c r="G207" s="125"/>
      <x:c r="H207" s="125"/>
      <x:c r="I207" s="125"/>
      <x:c r="J207" s="125"/>
      <x:c r="K207" s="125"/>
      <x:c r="L207" s="125"/>
      <x:c r="M207" s="125"/>
      <x:c r="N207" s="125"/>
      <x:c r="O207" s="125"/>
      <x:c r="P207" s="125"/>
      <x:c r="Q207" s="125"/>
    </x:row>
    <x:row r="208">
      <x:c r="A208" s="125"/>
      <x:c r="B208" s="125"/>
      <x:c r="C208" s="125"/>
      <x:c r="D208" s="125"/>
      <x:c r="E208" s="125"/>
      <x:c r="F208" s="125"/>
      <x:c r="G208" s="125"/>
      <x:c r="H208" s="125"/>
      <x:c r="I208" s="125"/>
      <x:c r="J208" s="125"/>
      <x:c r="K208" s="125"/>
      <x:c r="L208" s="125"/>
      <x:c r="M208" s="125"/>
      <x:c r="N208" s="125"/>
      <x:c r="O208" s="125"/>
      <x:c r="P208" s="125"/>
      <x:c r="Q208" s="125"/>
    </x:row>
    <x:row r="209">
      <x:c r="A209" s="125"/>
      <x:c r="B209" s="125"/>
      <x:c r="C209" s="125"/>
      <x:c r="D209" s="125"/>
      <x:c r="E209" s="125"/>
      <x:c r="F209" s="125"/>
      <x:c r="G209" s="125"/>
      <x:c r="H209" s="125"/>
      <x:c r="I209" s="125"/>
      <x:c r="J209" s="125"/>
      <x:c r="K209" s="125"/>
      <x:c r="L209" s="125"/>
      <x:c r="M209" s="125"/>
      <x:c r="N209" s="125"/>
      <x:c r="O209" s="125"/>
      <x:c r="P209" s="125"/>
      <x:c r="Q209" s="125"/>
    </x:row>
    <x:row r="210">
      <x:c r="A210" s="125"/>
      <x:c r="B210" s="125"/>
      <x:c r="C210" s="125"/>
      <x:c r="D210" s="125"/>
      <x:c r="E210" s="125"/>
      <x:c r="F210" s="125"/>
      <x:c r="G210" s="125"/>
      <x:c r="H210" s="125"/>
      <x:c r="I210" s="125"/>
      <x:c r="J210" s="125"/>
      <x:c r="K210" s="125"/>
      <x:c r="L210" s="125"/>
      <x:c r="M210" s="125"/>
      <x:c r="N210" s="125"/>
      <x:c r="O210" s="125"/>
      <x:c r="P210" s="125"/>
      <x:c r="Q210" s="125"/>
    </x:row>
    <x:row r="211">
      <x:c r="A211" s="125"/>
      <x:c r="B211" s="125"/>
      <x:c r="C211" s="125"/>
      <x:c r="D211" s="125"/>
      <x:c r="E211" s="125"/>
      <x:c r="F211" s="125"/>
      <x:c r="G211" s="125"/>
      <x:c r="H211" s="125"/>
      <x:c r="I211" s="125"/>
      <x:c r="J211" s="125"/>
      <x:c r="K211" s="125"/>
      <x:c r="L211" s="125"/>
      <x:c r="M211" s="125"/>
      <x:c r="N211" s="125"/>
      <x:c r="O211" s="125"/>
      <x:c r="P211" s="125"/>
      <x:c r="Q211" s="125"/>
    </x:row>
    <x:row r="212">
      <x:c r="A212" s="125"/>
      <x:c r="B212" s="125"/>
      <x:c r="C212" s="125"/>
      <x:c r="D212" s="125"/>
      <x:c r="E212" s="125"/>
      <x:c r="F212" s="125"/>
      <x:c r="G212" s="125"/>
      <x:c r="H212" s="125"/>
      <x:c r="I212" s="125"/>
      <x:c r="J212" s="125"/>
      <x:c r="K212" s="125"/>
      <x:c r="L212" s="125"/>
      <x:c r="M212" s="125"/>
      <x:c r="N212" s="125"/>
      <x:c r="O212" s="125"/>
      <x:c r="P212" s="125"/>
      <x:c r="Q212" s="125"/>
    </x:row>
    <x:row r="213">
      <x:c r="A213" s="125"/>
      <x:c r="B213" s="125"/>
      <x:c r="C213" s="125"/>
      <x:c r="D213" s="125"/>
      <x:c r="E213" s="125"/>
      <x:c r="F213" s="125"/>
      <x:c r="G213" s="125"/>
      <x:c r="H213" s="125"/>
      <x:c r="I213" s="125"/>
      <x:c r="J213" s="125"/>
      <x:c r="K213" s="125"/>
      <x:c r="L213" s="125"/>
      <x:c r="M213" s="125"/>
      <x:c r="N213" s="125"/>
      <x:c r="O213" s="125"/>
      <x:c r="P213" s="125"/>
      <x:c r="Q213" s="125"/>
    </x:row>
    <x:row r="214">
      <x:c r="A214" s="125"/>
      <x:c r="B214" s="125"/>
      <x:c r="C214" s="125"/>
      <x:c r="D214" s="125"/>
      <x:c r="E214" s="125"/>
      <x:c r="F214" s="125"/>
      <x:c r="G214" s="125"/>
      <x:c r="H214" s="125"/>
      <x:c r="I214" s="125"/>
      <x:c r="J214" s="125"/>
      <x:c r="K214" s="125"/>
      <x:c r="L214" s="125"/>
      <x:c r="M214" s="125"/>
      <x:c r="N214" s="125"/>
      <x:c r="O214" s="125"/>
      <x:c r="P214" s="125"/>
      <x:c r="Q214" s="125"/>
    </x:row>
    <x:row r="215">
      <x:c r="A215" s="125"/>
      <x:c r="B215" s="125"/>
      <x:c r="C215" s="125"/>
      <x:c r="D215" s="125"/>
      <x:c r="E215" s="125"/>
      <x:c r="F215" s="125"/>
      <x:c r="G215" s="125"/>
      <x:c r="H215" s="125"/>
      <x:c r="I215" s="125"/>
      <x:c r="J215" s="125"/>
      <x:c r="K215" s="125"/>
      <x:c r="L215" s="125"/>
      <x:c r="M215" s="125"/>
      <x:c r="N215" s="125"/>
      <x:c r="O215" s="125"/>
      <x:c r="P215" s="125"/>
      <x:c r="Q215" s="125"/>
    </x:row>
    <x:row r="216">
      <x:c r="A216" s="125"/>
      <x:c r="B216" s="125"/>
      <x:c r="C216" s="125"/>
      <x:c r="D216" s="125"/>
      <x:c r="E216" s="125"/>
      <x:c r="F216" s="125"/>
      <x:c r="G216" s="125"/>
      <x:c r="H216" s="125"/>
      <x:c r="I216" s="125"/>
      <x:c r="J216" s="125"/>
      <x:c r="K216" s="125"/>
      <x:c r="L216" s="125"/>
      <x:c r="M216" s="125"/>
      <x:c r="N216" s="125"/>
      <x:c r="O216" s="125"/>
      <x:c r="P216" s="125"/>
      <x:c r="Q216" s="125"/>
    </x:row>
    <x:row r="217">
      <x:c r="A217" s="125"/>
      <x:c r="B217" s="125"/>
      <x:c r="C217" s="125"/>
      <x:c r="D217" s="125"/>
      <x:c r="E217" s="125"/>
      <x:c r="F217" s="125"/>
      <x:c r="G217" s="125"/>
      <x:c r="H217" s="125"/>
      <x:c r="I217" s="125"/>
      <x:c r="J217" s="125"/>
      <x:c r="K217" s="125"/>
      <x:c r="L217" s="125"/>
      <x:c r="M217" s="125"/>
      <x:c r="N217" s="125"/>
      <x:c r="O217" s="125"/>
      <x:c r="P217" s="125"/>
      <x:c r="Q217" s="125"/>
    </x:row>
    <x:row r="218">
      <x:c r="A218" s="125"/>
      <x:c r="B218" s="125"/>
      <x:c r="C218" s="125"/>
      <x:c r="D218" s="125"/>
      <x:c r="E218" s="125"/>
      <x:c r="F218" s="125"/>
      <x:c r="G218" s="125"/>
      <x:c r="H218" s="125"/>
      <x:c r="I218" s="125"/>
      <x:c r="J218" s="125"/>
      <x:c r="K218" s="125"/>
      <x:c r="L218" s="125"/>
      <x:c r="M218" s="125"/>
      <x:c r="N218" s="125"/>
      <x:c r="O218" s="125"/>
      <x:c r="P218" s="125"/>
      <x:c r="Q218" s="125"/>
    </x:row>
    <x:row r="219">
      <x:c r="A219" s="125"/>
      <x:c r="B219" s="125"/>
      <x:c r="C219" s="125"/>
      <x:c r="D219" s="125"/>
      <x:c r="E219" s="125"/>
      <x:c r="F219" s="125"/>
      <x:c r="G219" s="125"/>
      <x:c r="H219" s="125"/>
      <x:c r="I219" s="125"/>
      <x:c r="J219" s="125"/>
      <x:c r="K219" s="125"/>
      <x:c r="L219" s="125"/>
      <x:c r="M219" s="125"/>
      <x:c r="N219" s="125"/>
      <x:c r="O219" s="125"/>
      <x:c r="P219" s="125"/>
      <x:c r="Q219" s="125"/>
    </x:row>
    <x:row r="220">
      <x:c r="A220" s="125"/>
      <x:c r="B220" s="125"/>
      <x:c r="C220" s="125"/>
      <x:c r="D220" s="125"/>
      <x:c r="E220" s="125"/>
      <x:c r="F220" s="125"/>
      <x:c r="G220" s="125"/>
      <x:c r="H220" s="125"/>
      <x:c r="I220" s="125"/>
      <x:c r="J220" s="125"/>
      <x:c r="K220" s="125"/>
      <x:c r="L220" s="125"/>
      <x:c r="M220" s="125"/>
      <x:c r="N220" s="125"/>
      <x:c r="O220" s="125"/>
      <x:c r="P220" s="125"/>
      <x:c r="Q220" s="125"/>
    </x:row>
    <x:row r="221">
      <x:c r="A221" s="125"/>
      <x:c r="B221" s="125"/>
      <x:c r="C221" s="125"/>
      <x:c r="D221" s="125"/>
      <x:c r="E221" s="125"/>
      <x:c r="F221" s="125"/>
      <x:c r="G221" s="125"/>
      <x:c r="H221" s="125"/>
      <x:c r="I221" s="125"/>
      <x:c r="J221" s="125"/>
      <x:c r="K221" s="125"/>
      <x:c r="L221" s="125"/>
      <x:c r="M221" s="125"/>
      <x:c r="N221" s="125"/>
      <x:c r="O221" s="125"/>
      <x:c r="P221" s="125"/>
      <x:c r="Q221" s="125"/>
    </x:row>
    <x:row r="222">
      <x:c r="A222" s="125"/>
      <x:c r="B222" s="125"/>
      <x:c r="C222" s="125"/>
      <x:c r="D222" s="125"/>
      <x:c r="E222" s="125"/>
      <x:c r="F222" s="125"/>
      <x:c r="G222" s="125"/>
      <x:c r="H222" s="125"/>
      <x:c r="I222" s="125"/>
      <x:c r="J222" s="125"/>
      <x:c r="K222" s="125"/>
      <x:c r="L222" s="125"/>
      <x:c r="M222" s="125"/>
      <x:c r="N222" s="125"/>
      <x:c r="O222" s="125"/>
      <x:c r="P222" s="125"/>
      <x:c r="Q222" s="125"/>
    </x:row>
    <x:row r="223">
      <x:c r="A223" s="125"/>
      <x:c r="B223" s="125"/>
      <x:c r="C223" s="125"/>
      <x:c r="D223" s="125"/>
      <x:c r="E223" s="125"/>
      <x:c r="F223" s="125"/>
      <x:c r="G223" s="125"/>
      <x:c r="H223" s="125"/>
      <x:c r="I223" s="125"/>
      <x:c r="J223" s="125"/>
      <x:c r="K223" s="125"/>
      <x:c r="L223" s="125"/>
      <x:c r="M223" s="125"/>
      <x:c r="N223" s="125"/>
      <x:c r="O223" s="125"/>
      <x:c r="P223" s="125"/>
      <x:c r="Q223" s="125"/>
    </x:row>
    <x:row r="224">
      <x:c r="A224" s="125"/>
      <x:c r="B224" s="125"/>
      <x:c r="C224" s="125"/>
      <x:c r="D224" s="125"/>
      <x:c r="E224" s="125"/>
      <x:c r="F224" s="125"/>
      <x:c r="G224" s="125"/>
      <x:c r="H224" s="125"/>
      <x:c r="I224" s="125"/>
      <x:c r="J224" s="125"/>
      <x:c r="K224" s="125"/>
      <x:c r="L224" s="125"/>
      <x:c r="M224" s="125"/>
      <x:c r="N224" s="125"/>
      <x:c r="O224" s="125"/>
      <x:c r="P224" s="125"/>
      <x:c r="Q224" s="125"/>
    </x:row>
    <x:row r="225">
      <x:c r="A225" s="125"/>
      <x:c r="B225" s="125"/>
      <x:c r="C225" s="125"/>
      <x:c r="D225" s="125"/>
      <x:c r="E225" s="125"/>
      <x:c r="F225" s="125"/>
      <x:c r="G225" s="125"/>
      <x:c r="H225" s="125"/>
      <x:c r="I225" s="125"/>
      <x:c r="J225" s="125"/>
      <x:c r="K225" s="125"/>
      <x:c r="L225" s="125"/>
      <x:c r="M225" s="125"/>
      <x:c r="N225" s="125"/>
      <x:c r="O225" s="125"/>
      <x:c r="P225" s="125"/>
      <x:c r="Q225" s="125"/>
    </x:row>
    <x:row r="226">
      <x:c r="A226" s="125"/>
      <x:c r="B226" s="125"/>
      <x:c r="C226" s="125"/>
      <x:c r="D226" s="125"/>
      <x:c r="E226" s="125"/>
      <x:c r="F226" s="125"/>
      <x:c r="G226" s="125"/>
      <x:c r="H226" s="125"/>
      <x:c r="I226" s="125"/>
      <x:c r="J226" s="125"/>
      <x:c r="K226" s="125"/>
      <x:c r="L226" s="125"/>
      <x:c r="M226" s="125"/>
      <x:c r="N226" s="125"/>
      <x:c r="O226" s="125"/>
      <x:c r="P226" s="125"/>
      <x:c r="Q226" s="125"/>
    </x:row>
    <x:row r="227">
      <x:c r="A227" s="125"/>
      <x:c r="B227" s="125"/>
      <x:c r="C227" s="125"/>
      <x:c r="D227" s="125"/>
      <x:c r="E227" s="125"/>
      <x:c r="F227" s="125"/>
      <x:c r="G227" s="125"/>
      <x:c r="H227" s="125"/>
      <x:c r="I227" s="125"/>
      <x:c r="J227" s="125"/>
      <x:c r="K227" s="125"/>
      <x:c r="L227" s="125"/>
      <x:c r="M227" s="125"/>
      <x:c r="N227" s="125"/>
      <x:c r="O227" s="125"/>
      <x:c r="P227" s="125"/>
      <x:c r="Q227" s="125"/>
    </x:row>
    <x:row r="228">
      <x:c r="A228" s="125"/>
      <x:c r="B228" s="125"/>
      <x:c r="C228" s="125"/>
      <x:c r="D228" s="125"/>
      <x:c r="E228" s="125"/>
      <x:c r="F228" s="125"/>
      <x:c r="G228" s="125"/>
      <x:c r="H228" s="125"/>
      <x:c r="I228" s="125"/>
      <x:c r="J228" s="125"/>
      <x:c r="K228" s="125"/>
      <x:c r="L228" s="125"/>
      <x:c r="M228" s="125"/>
      <x:c r="N228" s="125"/>
      <x:c r="O228" s="125"/>
      <x:c r="P228" s="125"/>
      <x:c r="Q228" s="125"/>
    </x:row>
    <x:row r="229">
      <x:c r="A229" s="125"/>
      <x:c r="B229" s="125"/>
      <x:c r="C229" s="125"/>
      <x:c r="D229" s="125"/>
      <x:c r="E229" s="125"/>
      <x:c r="F229" s="125"/>
      <x:c r="G229" s="125"/>
      <x:c r="H229" s="125"/>
      <x:c r="I229" s="125"/>
      <x:c r="J229" s="125"/>
      <x:c r="K229" s="125"/>
      <x:c r="L229" s="125"/>
      <x:c r="M229" s="125"/>
      <x:c r="N229" s="125"/>
      <x:c r="O229" s="125"/>
      <x:c r="P229" s="125"/>
      <x:c r="Q229" s="125"/>
    </x:row>
    <x:row r="230">
      <x:c r="A230" s="125"/>
      <x:c r="B230" s="125"/>
      <x:c r="C230" s="125"/>
      <x:c r="D230" s="125"/>
      <x:c r="E230" s="125"/>
      <x:c r="F230" s="125"/>
      <x:c r="G230" s="125"/>
      <x:c r="H230" s="125"/>
      <x:c r="I230" s="125"/>
      <x:c r="J230" s="125"/>
      <x:c r="K230" s="125"/>
      <x:c r="L230" s="125"/>
      <x:c r="M230" s="125"/>
      <x:c r="N230" s="125"/>
      <x:c r="O230" s="125"/>
      <x:c r="P230" s="125"/>
      <x:c r="Q230" s="125"/>
    </x:row>
    <x:row r="231">
      <x:c r="A231" s="125"/>
      <x:c r="B231" s="125"/>
      <x:c r="C231" s="125"/>
      <x:c r="D231" s="125"/>
      <x:c r="E231" s="125"/>
      <x:c r="F231" s="125"/>
      <x:c r="G231" s="125"/>
      <x:c r="H231" s="125"/>
      <x:c r="I231" s="125"/>
      <x:c r="J231" s="125"/>
      <x:c r="K231" s="125"/>
      <x:c r="L231" s="125"/>
      <x:c r="M231" s="125"/>
      <x:c r="N231" s="125"/>
      <x:c r="O231" s="125"/>
      <x:c r="P231" s="125"/>
      <x:c r="Q231" s="125"/>
    </x:row>
    <x:row r="232">
      <x:c r="A232" s="125"/>
      <x:c r="B232" s="125"/>
      <x:c r="C232" s="125"/>
      <x:c r="D232" s="125"/>
      <x:c r="E232" s="125"/>
      <x:c r="F232" s="125"/>
      <x:c r="G232" s="125"/>
      <x:c r="H232" s="125"/>
      <x:c r="I232" s="125"/>
      <x:c r="J232" s="125"/>
      <x:c r="K232" s="125"/>
      <x:c r="L232" s="125"/>
      <x:c r="M232" s="125"/>
      <x:c r="N232" s="125"/>
      <x:c r="O232" s="125"/>
      <x:c r="P232" s="125"/>
      <x:c r="Q232" s="125"/>
    </x:row>
    <x:row r="233">
      <x:c r="A233" s="125"/>
      <x:c r="B233" s="125"/>
      <x:c r="C233" s="125"/>
      <x:c r="D233" s="125"/>
      <x:c r="E233" s="125"/>
      <x:c r="F233" s="125"/>
      <x:c r="G233" s="125"/>
      <x:c r="H233" s="125"/>
      <x:c r="I233" s="125"/>
      <x:c r="J233" s="125"/>
      <x:c r="K233" s="125"/>
      <x:c r="L233" s="125"/>
      <x:c r="M233" s="125"/>
      <x:c r="N233" s="125"/>
      <x:c r="O233" s="125"/>
      <x:c r="P233" s="125"/>
      <x:c r="Q233" s="125"/>
    </x:row>
    <x:row r="234">
      <x:c r="A234" s="125"/>
      <x:c r="B234" s="125"/>
      <x:c r="C234" s="125"/>
      <x:c r="D234" s="125"/>
      <x:c r="E234" s="125"/>
      <x:c r="F234" s="125"/>
      <x:c r="G234" s="125"/>
      <x:c r="H234" s="125"/>
      <x:c r="I234" s="125"/>
      <x:c r="J234" s="125"/>
      <x:c r="K234" s="125"/>
      <x:c r="L234" s="125"/>
      <x:c r="M234" s="125"/>
      <x:c r="N234" s="125"/>
      <x:c r="O234" s="125"/>
      <x:c r="P234" s="125"/>
      <x:c r="Q234" s="125"/>
    </x:row>
    <x:row r="235">
      <x:c r="A235" s="125"/>
      <x:c r="B235" s="125"/>
      <x:c r="C235" s="125"/>
      <x:c r="D235" s="125"/>
      <x:c r="E235" s="125"/>
      <x:c r="F235" s="125"/>
      <x:c r="G235" s="125"/>
      <x:c r="H235" s="125"/>
      <x:c r="I235" s="125"/>
      <x:c r="J235" s="125"/>
      <x:c r="K235" s="125"/>
      <x:c r="L235" s="125"/>
      <x:c r="M235" s="125"/>
      <x:c r="N235" s="125"/>
      <x:c r="O235" s="125"/>
      <x:c r="P235" s="125"/>
      <x:c r="Q235" s="125"/>
    </x:row>
    <x:row r="236">
      <x:c r="A236" s="125"/>
      <x:c r="B236" s="125"/>
      <x:c r="C236" s="125"/>
      <x:c r="D236" s="125"/>
      <x:c r="E236" s="125"/>
      <x:c r="F236" s="125"/>
      <x:c r="G236" s="125"/>
      <x:c r="H236" s="125"/>
      <x:c r="I236" s="125"/>
      <x:c r="J236" s="125"/>
      <x:c r="K236" s="125"/>
      <x:c r="L236" s="125"/>
      <x:c r="M236" s="125"/>
      <x:c r="N236" s="125"/>
      <x:c r="O236" s="125"/>
      <x:c r="P236" s="125"/>
      <x:c r="Q236" s="125"/>
    </x:row>
    <x:row r="237">
      <x:c r="A237" s="125"/>
      <x:c r="B237" s="125"/>
      <x:c r="C237" s="125"/>
      <x:c r="D237" s="125"/>
      <x:c r="E237" s="125"/>
      <x:c r="F237" s="125"/>
      <x:c r="G237" s="125"/>
      <x:c r="H237" s="125"/>
      <x:c r="I237" s="125"/>
      <x:c r="J237" s="125"/>
      <x:c r="K237" s="125"/>
      <x:c r="L237" s="125"/>
      <x:c r="M237" s="125"/>
      <x:c r="N237" s="125"/>
      <x:c r="O237" s="125"/>
      <x:c r="P237" s="125"/>
      <x:c r="Q237" s="125"/>
    </x:row>
    <x:row r="238">
      <x:c r="A238" s="125"/>
      <x:c r="B238" s="125"/>
      <x:c r="C238" s="125"/>
      <x:c r="D238" s="125"/>
      <x:c r="E238" s="125"/>
      <x:c r="F238" s="125"/>
      <x:c r="G238" s="125"/>
      <x:c r="H238" s="125"/>
      <x:c r="I238" s="125"/>
      <x:c r="J238" s="125"/>
      <x:c r="K238" s="125"/>
      <x:c r="L238" s="125"/>
      <x:c r="M238" s="125"/>
      <x:c r="N238" s="125"/>
      <x:c r="O238" s="125"/>
      <x:c r="P238" s="125"/>
      <x:c r="Q238" s="125"/>
    </x:row>
    <x:row r="239">
      <x:c r="A239" s="125"/>
      <x:c r="B239" s="125"/>
      <x:c r="C239" s="125"/>
      <x:c r="D239" s="125"/>
      <x:c r="E239" s="125"/>
      <x:c r="F239" s="125"/>
      <x:c r="G239" s="125"/>
      <x:c r="H239" s="125"/>
      <x:c r="I239" s="125"/>
      <x:c r="J239" s="125"/>
      <x:c r="K239" s="125"/>
      <x:c r="L239" s="125"/>
      <x:c r="M239" s="125"/>
      <x:c r="N239" s="125"/>
      <x:c r="O239" s="125"/>
      <x:c r="P239" s="125"/>
      <x:c r="Q239" s="125"/>
    </x:row>
    <x:row r="240">
      <x:c r="A240" s="125"/>
      <x:c r="B240" s="125"/>
      <x:c r="C240" s="125"/>
      <x:c r="D240" s="125"/>
      <x:c r="E240" s="125"/>
      <x:c r="F240" s="125"/>
      <x:c r="G240" s="125"/>
      <x:c r="H240" s="125"/>
      <x:c r="I240" s="125"/>
      <x:c r="J240" s="125"/>
      <x:c r="K240" s="125"/>
      <x:c r="L240" s="125"/>
      <x:c r="M240" s="125"/>
      <x:c r="N240" s="125"/>
      <x:c r="O240" s="125"/>
      <x:c r="P240" s="125"/>
      <x:c r="Q240" s="125"/>
    </x:row>
    <x:row r="241">
      <x:c r="A241" s="125"/>
      <x:c r="B241" s="125"/>
      <x:c r="C241" s="125"/>
      <x:c r="D241" s="125"/>
      <x:c r="E241" s="125"/>
      <x:c r="F241" s="125"/>
      <x:c r="G241" s="125"/>
      <x:c r="H241" s="125"/>
      <x:c r="I241" s="125"/>
      <x:c r="J241" s="125"/>
      <x:c r="K241" s="125"/>
      <x:c r="L241" s="125"/>
      <x:c r="M241" s="125"/>
      <x:c r="N241" s="125"/>
      <x:c r="O241" s="125"/>
      <x:c r="P241" s="125"/>
      <x:c r="Q241" s="125"/>
    </x:row>
    <x:row r="242">
      <x:c r="A242" s="125"/>
      <x:c r="B242" s="125"/>
      <x:c r="C242" s="125"/>
      <x:c r="D242" s="125"/>
      <x:c r="E242" s="125"/>
      <x:c r="F242" s="125"/>
      <x:c r="G242" s="125"/>
      <x:c r="H242" s="125"/>
      <x:c r="I242" s="125"/>
      <x:c r="J242" s="125"/>
      <x:c r="K242" s="125"/>
      <x:c r="L242" s="125"/>
      <x:c r="M242" s="125"/>
      <x:c r="N242" s="125"/>
      <x:c r="O242" s="125"/>
      <x:c r="P242" s="125"/>
      <x:c r="Q242" s="125"/>
    </x:row>
    <x:row r="243">
      <x:c r="A243" s="125"/>
      <x:c r="B243" s="125"/>
      <x:c r="C243" s="125"/>
      <x:c r="D243" s="125"/>
      <x:c r="E243" s="125"/>
      <x:c r="F243" s="125"/>
      <x:c r="G243" s="125"/>
      <x:c r="H243" s="125"/>
      <x:c r="I243" s="125"/>
      <x:c r="J243" s="125"/>
      <x:c r="K243" s="125"/>
      <x:c r="L243" s="125"/>
      <x:c r="M243" s="125"/>
      <x:c r="N243" s="125"/>
      <x:c r="O243" s="125"/>
      <x:c r="P243" s="125"/>
      <x:c r="Q243" s="125"/>
    </x:row>
    <x:row r="244">
      <x:c r="A244" s="125"/>
      <x:c r="B244" s="125"/>
      <x:c r="C244" s="125"/>
      <x:c r="D244" s="125"/>
      <x:c r="E244" s="125"/>
      <x:c r="F244" s="125"/>
      <x:c r="G244" s="125"/>
      <x:c r="H244" s="125"/>
      <x:c r="I244" s="125"/>
      <x:c r="J244" s="125"/>
      <x:c r="K244" s="125"/>
      <x:c r="L244" s="125"/>
      <x:c r="M244" s="125"/>
      <x:c r="N244" s="125"/>
      <x:c r="O244" s="125"/>
      <x:c r="P244" s="125"/>
      <x:c r="Q244" s="125"/>
    </x:row>
    <x:row r="245">
      <x:c r="A245" s="125"/>
      <x:c r="B245" s="125"/>
      <x:c r="C245" s="125"/>
      <x:c r="D245" s="125"/>
      <x:c r="E245" s="125"/>
      <x:c r="F245" s="125"/>
      <x:c r="G245" s="125"/>
      <x:c r="H245" s="125"/>
      <x:c r="I245" s="125"/>
      <x:c r="J245" s="125"/>
      <x:c r="K245" s="125"/>
      <x:c r="L245" s="125"/>
      <x:c r="M245" s="125"/>
      <x:c r="N245" s="125"/>
      <x:c r="O245" s="125"/>
      <x:c r="P245" s="125"/>
      <x:c r="Q245" s="125"/>
    </x:row>
    <x:row r="246">
      <x:c r="A246" s="125"/>
      <x:c r="B246" s="125"/>
      <x:c r="C246" s="125"/>
      <x:c r="D246" s="125"/>
      <x:c r="E246" s="125"/>
      <x:c r="F246" s="125"/>
      <x:c r="G246" s="125"/>
      <x:c r="H246" s="125"/>
      <x:c r="I246" s="125"/>
      <x:c r="J246" s="125"/>
      <x:c r="K246" s="125"/>
      <x:c r="L246" s="125"/>
      <x:c r="M246" s="125"/>
      <x:c r="N246" s="125"/>
      <x:c r="O246" s="125"/>
      <x:c r="P246" s="125"/>
      <x:c r="Q246" s="125"/>
    </x:row>
    <x:row r="247">
      <x:c r="A247" s="125"/>
      <x:c r="B247" s="125"/>
      <x:c r="C247" s="125"/>
      <x:c r="D247" s="125"/>
      <x:c r="E247" s="125"/>
      <x:c r="F247" s="125"/>
      <x:c r="G247" s="125"/>
      <x:c r="H247" s="125"/>
      <x:c r="I247" s="125"/>
      <x:c r="J247" s="125"/>
      <x:c r="K247" s="125"/>
      <x:c r="L247" s="125"/>
      <x:c r="M247" s="125"/>
      <x:c r="N247" s="125"/>
      <x:c r="O247" s="125"/>
      <x:c r="P247" s="125"/>
      <x:c r="Q247" s="125"/>
    </x:row>
    <x:row r="248">
      <x:c r="A248" s="125"/>
      <x:c r="B248" s="125"/>
      <x:c r="C248" s="125"/>
      <x:c r="D248" s="125"/>
      <x:c r="E248" s="125"/>
      <x:c r="F248" s="125"/>
      <x:c r="G248" s="125"/>
      <x:c r="H248" s="125"/>
      <x:c r="I248" s="125"/>
      <x:c r="J248" s="125"/>
      <x:c r="K248" s="125"/>
      <x:c r="L248" s="125"/>
      <x:c r="M248" s="125"/>
      <x:c r="N248" s="125"/>
      <x:c r="O248" s="125"/>
      <x:c r="P248" s="125"/>
      <x:c r="Q248" s="125"/>
    </x:row>
    <x:row r="249">
      <x:c r="A249" s="125"/>
      <x:c r="B249" s="125"/>
      <x:c r="C249" s="125"/>
      <x:c r="D249" s="125"/>
      <x:c r="E249" s="125"/>
      <x:c r="F249" s="125"/>
      <x:c r="G249" s="125"/>
      <x:c r="H249" s="125"/>
      <x:c r="I249" s="125"/>
      <x:c r="J249" s="125"/>
      <x:c r="K249" s="125"/>
      <x:c r="L249" s="125"/>
      <x:c r="M249" s="125"/>
      <x:c r="N249" s="125"/>
      <x:c r="O249" s="125"/>
      <x:c r="P249" s="125"/>
      <x:c r="Q249" s="125"/>
    </x:row>
    <x:row r="250">
      <x:c r="A250" s="125"/>
      <x:c r="B250" s="125"/>
      <x:c r="C250" s="125"/>
      <x:c r="D250" s="125"/>
      <x:c r="E250" s="125"/>
      <x:c r="F250" s="125"/>
      <x:c r="G250" s="125"/>
      <x:c r="H250" s="125"/>
      <x:c r="I250" s="125"/>
      <x:c r="J250" s="125"/>
      <x:c r="K250" s="125"/>
      <x:c r="L250" s="125"/>
      <x:c r="M250" s="125"/>
      <x:c r="N250" s="125"/>
      <x:c r="O250" s="125"/>
      <x:c r="P250" s="125"/>
      <x:c r="Q250" s="125"/>
    </x:row>
  </x:sheetData>
  <x:mergeCells>
    <x:mergeCell ref="A1:L1"/>
    <x:mergeCell ref="A2:L2"/>
  </x:mergeCells>
  <x:dataValidations count="1">
    <x:dataValidation type="list" sqref="I7:J206">
      <x:formula1>_LISTS!$H$2:$H$5</x:formula1>
    </x:dataValidation>
  </x:dataValidations>
  <x:pageMargins left="0.7" right="0.7" top="0.75" bottom="0.75" header="0.3" footer="0.3"/>
</x:worksheet>
</file>

<file path=xl/worksheets/sheet13.xml><?xml version="1.0" encoding="utf-8"?>
<x:worksheet xmlns:x="http://schemas.openxmlformats.org/spreadsheetml/2006/main">
  <x:sheetFormatPr defaultRowHeight="15"/>
  <x:cols>
    <x:col min="1" max="1" width="14" hidden="0" customWidth="1"/>
    <x:col min="2" max="2" width="12" hidden="0" customWidth="1"/>
    <x:col min="3" max="3" width="28" hidden="0" customWidth="1"/>
    <x:col min="4" max="4" width="18" hidden="0" customWidth="1"/>
    <x:col min="5" max="5" width="20" hidden="0" customWidth="1"/>
    <x:col min="6" max="6" width="12" hidden="0" customWidth="1"/>
    <x:col min="7" max="7" width="12" hidden="0" customWidth="1"/>
    <x:col min="8" max="8" width="32" hidden="0" customWidth="1"/>
    <x:col min="9" max="9" width="20" hidden="0" customWidth="1"/>
    <x:col min="10" max="10" width="20" hidden="0" customWidth="1"/>
    <x:col min="11" max="11" width="20" hidden="0" customWidth="1"/>
    <x:col min="12" max="12" width="22" hidden="0" customWidth="1"/>
    <x:col min="13" max="13" width="14" hidden="0" customWidth="1"/>
    <x:col min="14" max="14" width="24" hidden="0" customWidth="1"/>
  </x:cols>
  <x:sheetData>
    <x:row r="1" ht="24" customHeight="1">
      <x:c r="A1" s="200" t="str">
        <x:v>DATA_AGREEMENTS — Agreements / Restrictions Inputs</x:v>
      </x:c>
      <x:c r="B1" s="198"/>
      <x:c r="C1" s="198"/>
      <x:c r="D1" s="198"/>
      <x:c r="E1" s="198"/>
      <x:c r="F1" s="198"/>
      <x:c r="G1" s="198"/>
      <x:c r="H1" s="198"/>
      <x:c r="I1" s="198"/>
      <x:c r="J1" s="198"/>
      <x:c r="K1" s="198"/>
      <x:c r="L1" s="125"/>
      <x:c r="M1" s="125"/>
      <x:c r="N1" s="125"/>
      <x:c r="O1" s="125"/>
      <x:c r="P1" s="125"/>
      <x:c r="Q1" s="125"/>
    </x:row>
    <x:row r="2" ht="34" customHeight="1">
      <x:c r="A2" s="126" t="str">
        <x:v>Blue cells are writable. This tab tracks mission-lock, affordability, covenant, cash, refinance, and disposition restrictions. Placeholder is acceptable in MVP v1. Blank template: populate blue/orange cells for a new organization; formulas remain live.</x:v>
      </x:c>
      <x:c r="B2" s="125"/>
      <x:c r="C2" s="125"/>
      <x:c r="D2" s="125"/>
      <x:c r="E2" s="125"/>
      <x:c r="F2" s="125"/>
      <x:c r="G2" s="125"/>
      <x:c r="H2" s="125"/>
      <x:c r="I2" s="125"/>
      <x:c r="J2" s="125"/>
      <x:c r="K2" s="125"/>
      <x:c r="L2" s="125"/>
      <x:c r="M2" s="125"/>
      <x:c r="N2" s="125"/>
      <x:c r="O2" s="125"/>
      <x:c r="P2" s="125"/>
      <x:c r="Q2" s="125"/>
    </x:row>
    <x:row r="3">
      <x:c r="A3" s="125"/>
      <x:c r="B3" s="125"/>
      <x:c r="C3" s="125"/>
      <x:c r="D3" s="125"/>
      <x:c r="E3" s="125"/>
      <x:c r="F3" s="125"/>
      <x:c r="G3" s="125"/>
      <x:c r="H3" s="125"/>
      <x:c r="I3" s="125"/>
      <x:c r="J3" s="125"/>
      <x:c r="K3" s="125"/>
      <x:c r="L3" s="125"/>
      <x:c r="M3" s="125"/>
      <x:c r="N3" s="125"/>
      <x:c r="O3" s="125"/>
      <x:c r="P3" s="125"/>
      <x:c r="Q3" s="125"/>
    </x:row>
    <x:row r="4">
      <x:c r="A4" s="125"/>
      <x:c r="B4" s="125"/>
      <x:c r="C4" s="125"/>
      <x:c r="D4" s="125"/>
      <x:c r="E4" s="125"/>
      <x:c r="F4" s="125"/>
      <x:c r="G4" s="125"/>
      <x:c r="H4" s="125"/>
      <x:c r="I4" s="125"/>
      <x:c r="J4" s="125"/>
      <x:c r="K4" s="125"/>
      <x:c r="L4" s="125"/>
      <x:c r="M4" s="125"/>
      <x:c r="N4" s="125"/>
      <x:c r="O4" s="125"/>
      <x:c r="P4" s="125"/>
      <x:c r="Q4" s="125"/>
    </x:row>
    <x:row r="5">
      <x:c r="A5" s="125"/>
      <x:c r="B5" s="125"/>
      <x:c r="C5" s="125"/>
      <x:c r="D5" s="125"/>
      <x:c r="E5" s="125"/>
      <x:c r="F5" s="125"/>
      <x:c r="G5" s="125"/>
      <x:c r="H5" s="125"/>
      <x:c r="I5" s="125"/>
      <x:c r="J5" s="125"/>
      <x:c r="K5" s="125"/>
      <x:c r="L5" s="125"/>
      <x:c r="M5" s="125"/>
      <x:c r="N5" s="125"/>
      <x:c r="O5" s="125"/>
      <x:c r="P5" s="125"/>
      <x:c r="Q5" s="125"/>
    </x:row>
    <x:row r="6" ht="26" customHeight="1">
      <x:c r="A6" s="127" t="str">
        <x:v>Agreement_ID</x:v>
      </x:c>
      <x:c r="B6" s="127" t="str">
        <x:v>Property_ID</x:v>
      </x:c>
      <x:c r="C6" s="127" t="str">
        <x:v>Property_Name</x:v>
      </x:c>
      <x:c r="D6" s="127" t="str">
        <x:v>Agreement_Type</x:v>
      </x:c>
      <x:c r="E6" s="127" t="str">
        <x:v>Counterparty</x:v>
      </x:c>
      <x:c r="F6" s="127" t="str">
        <x:v>Start_Date</x:v>
      </x:c>
      <x:c r="G6" s="127" t="str">
        <x:v>End_Date</x:v>
      </x:c>
      <x:c r="H6" s="127" t="str">
        <x:v>Affordability_Requirement</x:v>
      </x:c>
      <x:c r="I6" s="127" t="str">
        <x:v>Rent_Restriction</x:v>
      </x:c>
      <x:c r="J6" s="127" t="str">
        <x:v>Use_Restriction</x:v>
      </x:c>
      <x:c r="K6" s="127" t="str">
        <x:v>Refinance_Restriction</x:v>
      </x:c>
      <x:c r="L6" s="127" t="str">
        <x:v>Disposition_Restriction</x:v>
      </x:c>
      <x:c r="M6" s="127" t="str">
        <x:v>Source_File_ID</x:v>
      </x:c>
      <x:c r="N6" s="127" t="str">
        <x:v>Review_Status</x:v>
      </x:c>
      <x:c r="O6" s="125"/>
      <x:c r="P6" s="125"/>
      <x:c r="Q6" s="125"/>
    </x:row>
    <x:row r="7">
      <x:c r="A7" s="148"/>
      <x:c r="B7" s="148"/>
      <x:c r="C7" s="148"/>
      <x:c r="D7" s="148"/>
      <x:c r="E7" s="148"/>
      <x:c r="F7" s="148"/>
      <x:c r="G7" s="148"/>
      <x:c r="H7" s="148"/>
      <x:c r="I7" s="148"/>
      <x:c r="J7" s="148"/>
      <x:c r="K7" s="148"/>
      <x:c r="L7" s="148"/>
      <x:c r="M7" s="148"/>
      <x:c r="N7" s="148"/>
      <x:c r="O7" s="125"/>
      <x:c r="P7" s="125"/>
      <x:c r="Q7" s="125"/>
    </x:row>
    <x:row r="8">
      <x:c r="A8" s="148"/>
      <x:c r="B8" s="148"/>
      <x:c r="C8" s="148"/>
      <x:c r="D8" s="148"/>
      <x:c r="E8" s="148"/>
      <x:c r="F8" s="148"/>
      <x:c r="G8" s="148"/>
      <x:c r="H8" s="148"/>
      <x:c r="I8" s="148"/>
      <x:c r="J8" s="148"/>
      <x:c r="K8" s="148"/>
      <x:c r="L8" s="148"/>
      <x:c r="M8" s="148"/>
      <x:c r="N8" s="148"/>
      <x:c r="O8" s="125"/>
      <x:c r="P8" s="125"/>
      <x:c r="Q8" s="125"/>
    </x:row>
    <x:row r="9">
      <x:c r="A9" s="148"/>
      <x:c r="B9" s="148"/>
      <x:c r="C9" s="148"/>
      <x:c r="D9" s="148"/>
      <x:c r="E9" s="148"/>
      <x:c r="F9" s="148"/>
      <x:c r="G9" s="148"/>
      <x:c r="H9" s="148"/>
      <x:c r="I9" s="148"/>
      <x:c r="J9" s="148"/>
      <x:c r="K9" s="148"/>
      <x:c r="L9" s="148"/>
      <x:c r="M9" s="148"/>
      <x:c r="N9" s="148"/>
      <x:c r="O9" s="125"/>
      <x:c r="P9" s="125"/>
      <x:c r="Q9" s="125"/>
    </x:row>
    <x:row r="10">
      <x:c r="A10" s="148"/>
      <x:c r="B10" s="148"/>
      <x:c r="C10" s="148"/>
      <x:c r="D10" s="148"/>
      <x:c r="E10" s="148"/>
      <x:c r="F10" s="148"/>
      <x:c r="G10" s="148"/>
      <x:c r="H10" s="148"/>
      <x:c r="I10" s="148"/>
      <x:c r="J10" s="148"/>
      <x:c r="K10" s="148"/>
      <x:c r="L10" s="148"/>
      <x:c r="M10" s="148"/>
      <x:c r="N10" s="148"/>
      <x:c r="O10" s="125"/>
      <x:c r="P10" s="125"/>
      <x:c r="Q10" s="125"/>
    </x:row>
    <x:row r="11">
      <x:c r="A11" s="148"/>
      <x:c r="B11" s="148"/>
      <x:c r="C11" s="148"/>
      <x:c r="D11" s="148"/>
      <x:c r="E11" s="148"/>
      <x:c r="F11" s="148"/>
      <x:c r="G11" s="148"/>
      <x:c r="H11" s="148"/>
      <x:c r="I11" s="148"/>
      <x:c r="J11" s="148"/>
      <x:c r="K11" s="148"/>
      <x:c r="L11" s="148"/>
      <x:c r="M11" s="148"/>
      <x:c r="N11" s="148"/>
      <x:c r="O11" s="125"/>
      <x:c r="P11" s="125"/>
      <x:c r="Q11" s="125"/>
    </x:row>
    <x:row r="12">
      <x:c r="A12" s="148"/>
      <x:c r="B12" s="148"/>
      <x:c r="C12" s="148"/>
      <x:c r="D12" s="148"/>
      <x:c r="E12" s="148"/>
      <x:c r="F12" s="148"/>
      <x:c r="G12" s="148"/>
      <x:c r="H12" s="148"/>
      <x:c r="I12" s="148"/>
      <x:c r="J12" s="148"/>
      <x:c r="K12" s="148"/>
      <x:c r="L12" s="148"/>
      <x:c r="M12" s="148"/>
      <x:c r="N12" s="148"/>
      <x:c r="O12" s="125"/>
      <x:c r="P12" s="125"/>
      <x:c r="Q12" s="125"/>
    </x:row>
    <x:row r="13">
      <x:c r="A13" s="148"/>
      <x:c r="B13" s="148"/>
      <x:c r="C13" s="148"/>
      <x:c r="D13" s="148"/>
      <x:c r="E13" s="148"/>
      <x:c r="F13" s="148"/>
      <x:c r="G13" s="148"/>
      <x:c r="H13" s="148"/>
      <x:c r="I13" s="148"/>
      <x:c r="J13" s="148"/>
      <x:c r="K13" s="148"/>
      <x:c r="L13" s="148"/>
      <x:c r="M13" s="148"/>
      <x:c r="N13" s="148"/>
      <x:c r="O13" s="125"/>
      <x:c r="P13" s="125"/>
      <x:c r="Q13" s="125"/>
    </x:row>
    <x:row r="14">
      <x:c r="A14" s="148"/>
      <x:c r="B14" s="148"/>
      <x:c r="C14" s="148"/>
      <x:c r="D14" s="148"/>
      <x:c r="E14" s="148"/>
      <x:c r="F14" s="148"/>
      <x:c r="G14" s="148"/>
      <x:c r="H14" s="148"/>
      <x:c r="I14" s="148"/>
      <x:c r="J14" s="148"/>
      <x:c r="K14" s="148"/>
      <x:c r="L14" s="148"/>
      <x:c r="M14" s="148"/>
      <x:c r="N14" s="148"/>
      <x:c r="O14" s="125"/>
      <x:c r="P14" s="125"/>
      <x:c r="Q14" s="125"/>
    </x:row>
    <x:row r="15">
      <x:c r="A15" s="148"/>
      <x:c r="B15" s="148"/>
      <x:c r="C15" s="148"/>
      <x:c r="D15" s="148"/>
      <x:c r="E15" s="148"/>
      <x:c r="F15" s="148"/>
      <x:c r="G15" s="148"/>
      <x:c r="H15" s="148"/>
      <x:c r="I15" s="148"/>
      <x:c r="J15" s="148"/>
      <x:c r="K15" s="148"/>
      <x:c r="L15" s="148"/>
      <x:c r="M15" s="148"/>
      <x:c r="N15" s="148"/>
      <x:c r="O15" s="125"/>
      <x:c r="P15" s="125"/>
      <x:c r="Q15" s="125"/>
    </x:row>
    <x:row r="16">
      <x:c r="A16" s="148"/>
      <x:c r="B16" s="148"/>
      <x:c r="C16" s="148"/>
      <x:c r="D16" s="148"/>
      <x:c r="E16" s="148"/>
      <x:c r="F16" s="148"/>
      <x:c r="G16" s="148"/>
      <x:c r="H16" s="148"/>
      <x:c r="I16" s="148"/>
      <x:c r="J16" s="148"/>
      <x:c r="K16" s="148"/>
      <x:c r="L16" s="148"/>
      <x:c r="M16" s="148"/>
      <x:c r="N16" s="148"/>
      <x:c r="O16" s="125"/>
      <x:c r="P16" s="125"/>
      <x:c r="Q16" s="125"/>
    </x:row>
    <x:row r="17">
      <x:c r="A17" s="148"/>
      <x:c r="B17" s="148"/>
      <x:c r="C17" s="148"/>
      <x:c r="D17" s="148"/>
      <x:c r="E17" s="148"/>
      <x:c r="F17" s="148"/>
      <x:c r="G17" s="148"/>
      <x:c r="H17" s="148"/>
      <x:c r="I17" s="148"/>
      <x:c r="J17" s="148"/>
      <x:c r="K17" s="148"/>
      <x:c r="L17" s="148"/>
      <x:c r="M17" s="148"/>
      <x:c r="N17" s="148"/>
      <x:c r="O17" s="125"/>
      <x:c r="P17" s="125"/>
      <x:c r="Q17" s="125"/>
    </x:row>
    <x:row r="18">
      <x:c r="A18" s="148"/>
      <x:c r="B18" s="148"/>
      <x:c r="C18" s="148"/>
      <x:c r="D18" s="148"/>
      <x:c r="E18" s="148"/>
      <x:c r="F18" s="148"/>
      <x:c r="G18" s="148"/>
      <x:c r="H18" s="148"/>
      <x:c r="I18" s="148"/>
      <x:c r="J18" s="148"/>
      <x:c r="K18" s="148"/>
      <x:c r="L18" s="148"/>
      <x:c r="M18" s="148"/>
      <x:c r="N18" s="148"/>
      <x:c r="O18" s="125"/>
      <x:c r="P18" s="125"/>
      <x:c r="Q18" s="125"/>
    </x:row>
    <x:row r="19">
      <x:c r="A19" s="148"/>
      <x:c r="B19" s="148"/>
      <x:c r="C19" s="148"/>
      <x:c r="D19" s="148"/>
      <x:c r="E19" s="148"/>
      <x:c r="F19" s="148"/>
      <x:c r="G19" s="148"/>
      <x:c r="H19" s="148"/>
      <x:c r="I19" s="148"/>
      <x:c r="J19" s="148"/>
      <x:c r="K19" s="148"/>
      <x:c r="L19" s="148"/>
      <x:c r="M19" s="148"/>
      <x:c r="N19" s="148"/>
      <x:c r="O19" s="125"/>
      <x:c r="P19" s="125"/>
      <x:c r="Q19" s="125"/>
    </x:row>
    <x:row r="20">
      <x:c r="A20" s="148"/>
      <x:c r="B20" s="148"/>
      <x:c r="C20" s="148"/>
      <x:c r="D20" s="148"/>
      <x:c r="E20" s="148"/>
      <x:c r="F20" s="148"/>
      <x:c r="G20" s="148"/>
      <x:c r="H20" s="148"/>
      <x:c r="I20" s="148"/>
      <x:c r="J20" s="148"/>
      <x:c r="K20" s="148"/>
      <x:c r="L20" s="148"/>
      <x:c r="M20" s="148"/>
      <x:c r="N20" s="148"/>
      <x:c r="O20" s="125"/>
      <x:c r="P20" s="125"/>
      <x:c r="Q20" s="125"/>
    </x:row>
    <x:row r="21">
      <x:c r="A21" s="148"/>
      <x:c r="B21" s="148"/>
      <x:c r="C21" s="148"/>
      <x:c r="D21" s="148"/>
      <x:c r="E21" s="148"/>
      <x:c r="F21" s="148"/>
      <x:c r="G21" s="148"/>
      <x:c r="H21" s="148"/>
      <x:c r="I21" s="148"/>
      <x:c r="J21" s="148"/>
      <x:c r="K21" s="148"/>
      <x:c r="L21" s="148"/>
      <x:c r="M21" s="148"/>
      <x:c r="N21" s="148"/>
      <x:c r="O21" s="125"/>
      <x:c r="P21" s="125"/>
      <x:c r="Q21" s="125"/>
    </x:row>
    <x:row r="22">
      <x:c r="A22" s="148"/>
      <x:c r="B22" s="148"/>
      <x:c r="C22" s="148"/>
      <x:c r="D22" s="148"/>
      <x:c r="E22" s="148"/>
      <x:c r="F22" s="148"/>
      <x:c r="G22" s="148"/>
      <x:c r="H22" s="148"/>
      <x:c r="I22" s="148"/>
      <x:c r="J22" s="148"/>
      <x:c r="K22" s="148"/>
      <x:c r="L22" s="148"/>
      <x:c r="M22" s="148"/>
      <x:c r="N22" s="148"/>
      <x:c r="O22" s="125"/>
      <x:c r="P22" s="125"/>
      <x:c r="Q22" s="125"/>
    </x:row>
    <x:row r="23">
      <x:c r="A23" s="148"/>
      <x:c r="B23" s="148"/>
      <x:c r="C23" s="148"/>
      <x:c r="D23" s="148"/>
      <x:c r="E23" s="148"/>
      <x:c r="F23" s="148"/>
      <x:c r="G23" s="148"/>
      <x:c r="H23" s="148"/>
      <x:c r="I23" s="148"/>
      <x:c r="J23" s="148"/>
      <x:c r="K23" s="148"/>
      <x:c r="L23" s="148"/>
      <x:c r="M23" s="148"/>
      <x:c r="N23" s="148"/>
      <x:c r="O23" s="125"/>
      <x:c r="P23" s="125"/>
      <x:c r="Q23" s="125"/>
    </x:row>
    <x:row r="24">
      <x:c r="A24" s="148"/>
      <x:c r="B24" s="148"/>
      <x:c r="C24" s="148"/>
      <x:c r="D24" s="148"/>
      <x:c r="E24" s="148"/>
      <x:c r="F24" s="148"/>
      <x:c r="G24" s="148"/>
      <x:c r="H24" s="148"/>
      <x:c r="I24" s="148"/>
      <x:c r="J24" s="148"/>
      <x:c r="K24" s="148"/>
      <x:c r="L24" s="148"/>
      <x:c r="M24" s="148"/>
      <x:c r="N24" s="148"/>
      <x:c r="O24" s="125"/>
      <x:c r="P24" s="125"/>
      <x:c r="Q24" s="125"/>
    </x:row>
    <x:row r="25">
      <x:c r="A25" s="148"/>
      <x:c r="B25" s="148"/>
      <x:c r="C25" s="148"/>
      <x:c r="D25" s="148"/>
      <x:c r="E25" s="148"/>
      <x:c r="F25" s="148"/>
      <x:c r="G25" s="148"/>
      <x:c r="H25" s="148"/>
      <x:c r="I25" s="148"/>
      <x:c r="J25" s="148"/>
      <x:c r="K25" s="148"/>
      <x:c r="L25" s="148"/>
      <x:c r="M25" s="148"/>
      <x:c r="N25" s="148"/>
      <x:c r="O25" s="125"/>
      <x:c r="P25" s="125"/>
      <x:c r="Q25" s="125"/>
    </x:row>
    <x:row r="26">
      <x:c r="A26" s="148"/>
      <x:c r="B26" s="148"/>
      <x:c r="C26" s="148"/>
      <x:c r="D26" s="148"/>
      <x:c r="E26" s="148"/>
      <x:c r="F26" s="148"/>
      <x:c r="G26" s="148"/>
      <x:c r="H26" s="148"/>
      <x:c r="I26" s="148"/>
      <x:c r="J26" s="148"/>
      <x:c r="K26" s="148"/>
      <x:c r="L26" s="148"/>
      <x:c r="M26" s="148"/>
      <x:c r="N26" s="148"/>
      <x:c r="O26" s="125"/>
      <x:c r="P26" s="125"/>
      <x:c r="Q26" s="125"/>
    </x:row>
    <x:row r="27">
      <x:c r="A27" s="148"/>
      <x:c r="B27" s="148"/>
      <x:c r="C27" s="148"/>
      <x:c r="D27" s="148"/>
      <x:c r="E27" s="148"/>
      <x:c r="F27" s="148"/>
      <x:c r="G27" s="148"/>
      <x:c r="H27" s="148"/>
      <x:c r="I27" s="148"/>
      <x:c r="J27" s="148"/>
      <x:c r="K27" s="148"/>
      <x:c r="L27" s="148"/>
      <x:c r="M27" s="148"/>
      <x:c r="N27" s="148"/>
      <x:c r="O27" s="125"/>
      <x:c r="P27" s="125"/>
      <x:c r="Q27" s="125"/>
    </x:row>
    <x:row r="28">
      <x:c r="A28" s="148"/>
      <x:c r="B28" s="148"/>
      <x:c r="C28" s="148"/>
      <x:c r="D28" s="148"/>
      <x:c r="E28" s="148"/>
      <x:c r="F28" s="148"/>
      <x:c r="G28" s="148"/>
      <x:c r="H28" s="148"/>
      <x:c r="I28" s="148"/>
      <x:c r="J28" s="148"/>
      <x:c r="K28" s="148"/>
      <x:c r="L28" s="148"/>
      <x:c r="M28" s="148"/>
      <x:c r="N28" s="148"/>
      <x:c r="O28" s="125"/>
      <x:c r="P28" s="125"/>
      <x:c r="Q28" s="125"/>
    </x:row>
    <x:row r="29">
      <x:c r="A29" s="148"/>
      <x:c r="B29" s="148"/>
      <x:c r="C29" s="148"/>
      <x:c r="D29" s="148"/>
      <x:c r="E29" s="148"/>
      <x:c r="F29" s="148"/>
      <x:c r="G29" s="148"/>
      <x:c r="H29" s="148"/>
      <x:c r="I29" s="148"/>
      <x:c r="J29" s="148"/>
      <x:c r="K29" s="148"/>
      <x:c r="L29" s="148"/>
      <x:c r="M29" s="148"/>
      <x:c r="N29" s="148"/>
      <x:c r="O29" s="125"/>
      <x:c r="P29" s="125"/>
      <x:c r="Q29" s="125"/>
    </x:row>
    <x:row r="30">
      <x:c r="A30" s="148"/>
      <x:c r="B30" s="148"/>
      <x:c r="C30" s="148"/>
      <x:c r="D30" s="148"/>
      <x:c r="E30" s="148"/>
      <x:c r="F30" s="148"/>
      <x:c r="G30" s="148"/>
      <x:c r="H30" s="148"/>
      <x:c r="I30" s="148"/>
      <x:c r="J30" s="148"/>
      <x:c r="K30" s="148"/>
      <x:c r="L30" s="148"/>
      <x:c r="M30" s="148"/>
      <x:c r="N30" s="148"/>
      <x:c r="O30" s="125"/>
      <x:c r="P30" s="125"/>
      <x:c r="Q30" s="125"/>
    </x:row>
    <x:row r="31">
      <x:c r="A31" s="148"/>
      <x:c r="B31" s="148"/>
      <x:c r="C31" s="148"/>
      <x:c r="D31" s="148"/>
      <x:c r="E31" s="148"/>
      <x:c r="F31" s="148"/>
      <x:c r="G31" s="148"/>
      <x:c r="H31" s="148"/>
      <x:c r="I31" s="148"/>
      <x:c r="J31" s="148"/>
      <x:c r="K31" s="148"/>
      <x:c r="L31" s="148"/>
      <x:c r="M31" s="148"/>
      <x:c r="N31" s="148"/>
      <x:c r="O31" s="125"/>
      <x:c r="P31" s="125"/>
      <x:c r="Q31" s="125"/>
    </x:row>
    <x:row r="32">
      <x:c r="A32" s="148"/>
      <x:c r="B32" s="148"/>
      <x:c r="C32" s="148"/>
      <x:c r="D32" s="148"/>
      <x:c r="E32" s="148"/>
      <x:c r="F32" s="148"/>
      <x:c r="G32" s="148"/>
      <x:c r="H32" s="148"/>
      <x:c r="I32" s="148"/>
      <x:c r="J32" s="148"/>
      <x:c r="K32" s="148"/>
      <x:c r="L32" s="148"/>
      <x:c r="M32" s="148"/>
      <x:c r="N32" s="148"/>
      <x:c r="O32" s="125"/>
      <x:c r="P32" s="125"/>
      <x:c r="Q32" s="125"/>
    </x:row>
    <x:row r="33">
      <x:c r="A33" s="148"/>
      <x:c r="B33" s="148"/>
      <x:c r="C33" s="148"/>
      <x:c r="D33" s="148"/>
      <x:c r="E33" s="148"/>
      <x:c r="F33" s="148"/>
      <x:c r="G33" s="148"/>
      <x:c r="H33" s="148"/>
      <x:c r="I33" s="148"/>
      <x:c r="J33" s="148"/>
      <x:c r="K33" s="148"/>
      <x:c r="L33" s="148"/>
      <x:c r="M33" s="148"/>
      <x:c r="N33" s="148"/>
      <x:c r="O33" s="125"/>
      <x:c r="P33" s="125"/>
      <x:c r="Q33" s="125"/>
    </x:row>
    <x:row r="34">
      <x:c r="A34" s="148"/>
      <x:c r="B34" s="148"/>
      <x:c r="C34" s="148"/>
      <x:c r="D34" s="148"/>
      <x:c r="E34" s="148"/>
      <x:c r="F34" s="148"/>
      <x:c r="G34" s="148"/>
      <x:c r="H34" s="148"/>
      <x:c r="I34" s="148"/>
      <x:c r="J34" s="148"/>
      <x:c r="K34" s="148"/>
      <x:c r="L34" s="148"/>
      <x:c r="M34" s="148"/>
      <x:c r="N34" s="148"/>
      <x:c r="O34" s="125"/>
      <x:c r="P34" s="125"/>
      <x:c r="Q34" s="125"/>
    </x:row>
    <x:row r="35">
      <x:c r="A35" s="148"/>
      <x:c r="B35" s="148"/>
      <x:c r="C35" s="148"/>
      <x:c r="D35" s="148"/>
      <x:c r="E35" s="148"/>
      <x:c r="F35" s="148"/>
      <x:c r="G35" s="148"/>
      <x:c r="H35" s="148"/>
      <x:c r="I35" s="148"/>
      <x:c r="J35" s="148"/>
      <x:c r="K35" s="148"/>
      <x:c r="L35" s="148"/>
      <x:c r="M35" s="148"/>
      <x:c r="N35" s="148"/>
      <x:c r="O35" s="125"/>
      <x:c r="P35" s="125"/>
      <x:c r="Q35" s="125"/>
    </x:row>
    <x:row r="36">
      <x:c r="A36" s="148"/>
      <x:c r="B36" s="148"/>
      <x:c r="C36" s="148"/>
      <x:c r="D36" s="148"/>
      <x:c r="E36" s="148"/>
      <x:c r="F36" s="148"/>
      <x:c r="G36" s="148"/>
      <x:c r="H36" s="148"/>
      <x:c r="I36" s="148"/>
      <x:c r="J36" s="148"/>
      <x:c r="K36" s="148"/>
      <x:c r="L36" s="148"/>
      <x:c r="M36" s="148"/>
      <x:c r="N36" s="148"/>
      <x:c r="O36" s="125"/>
      <x:c r="P36" s="125"/>
      <x:c r="Q36" s="125"/>
    </x:row>
    <x:row r="37">
      <x:c r="A37" s="148"/>
      <x:c r="B37" s="148"/>
      <x:c r="C37" s="148"/>
      <x:c r="D37" s="148"/>
      <x:c r="E37" s="148"/>
      <x:c r="F37" s="148"/>
      <x:c r="G37" s="148"/>
      <x:c r="H37" s="148"/>
      <x:c r="I37" s="148"/>
      <x:c r="J37" s="148"/>
      <x:c r="K37" s="148"/>
      <x:c r="L37" s="148"/>
      <x:c r="M37" s="148"/>
      <x:c r="N37" s="148"/>
      <x:c r="O37" s="125"/>
      <x:c r="P37" s="125"/>
      <x:c r="Q37" s="125"/>
    </x:row>
    <x:row r="38">
      <x:c r="A38" s="148"/>
      <x:c r="B38" s="148"/>
      <x:c r="C38" s="148"/>
      <x:c r="D38" s="148"/>
      <x:c r="E38" s="148"/>
      <x:c r="F38" s="148"/>
      <x:c r="G38" s="148"/>
      <x:c r="H38" s="148"/>
      <x:c r="I38" s="148"/>
      <x:c r="J38" s="148"/>
      <x:c r="K38" s="148"/>
      <x:c r="L38" s="148"/>
      <x:c r="M38" s="148"/>
      <x:c r="N38" s="148"/>
      <x:c r="O38" s="125"/>
      <x:c r="P38" s="125"/>
      <x:c r="Q38" s="125"/>
    </x:row>
    <x:row r="39">
      <x:c r="A39" s="148"/>
      <x:c r="B39" s="148"/>
      <x:c r="C39" s="148"/>
      <x:c r="D39" s="148"/>
      <x:c r="E39" s="148"/>
      <x:c r="F39" s="148"/>
      <x:c r="G39" s="148"/>
      <x:c r="H39" s="148"/>
      <x:c r="I39" s="148"/>
      <x:c r="J39" s="148"/>
      <x:c r="K39" s="148"/>
      <x:c r="L39" s="148"/>
      <x:c r="M39" s="148"/>
      <x:c r="N39" s="148"/>
      <x:c r="O39" s="125"/>
      <x:c r="P39" s="125"/>
      <x:c r="Q39" s="125"/>
    </x:row>
    <x:row r="40">
      <x:c r="A40" s="148"/>
      <x:c r="B40" s="148"/>
      <x:c r="C40" s="148"/>
      <x:c r="D40" s="148"/>
      <x:c r="E40" s="148"/>
      <x:c r="F40" s="148"/>
      <x:c r="G40" s="148"/>
      <x:c r="H40" s="148"/>
      <x:c r="I40" s="148"/>
      <x:c r="J40" s="148"/>
      <x:c r="K40" s="148"/>
      <x:c r="L40" s="148"/>
      <x:c r="M40" s="148"/>
      <x:c r="N40" s="148"/>
      <x:c r="O40" s="125"/>
      <x:c r="P40" s="125"/>
      <x:c r="Q40" s="125"/>
    </x:row>
    <x:row r="41">
      <x:c r="A41" s="148"/>
      <x:c r="B41" s="148"/>
      <x:c r="C41" s="148"/>
      <x:c r="D41" s="148"/>
      <x:c r="E41" s="148"/>
      <x:c r="F41" s="148"/>
      <x:c r="G41" s="148"/>
      <x:c r="H41" s="148"/>
      <x:c r="I41" s="148"/>
      <x:c r="J41" s="148"/>
      <x:c r="K41" s="148"/>
      <x:c r="L41" s="148"/>
      <x:c r="M41" s="148"/>
      <x:c r="N41" s="148"/>
      <x:c r="O41" s="125"/>
      <x:c r="P41" s="125"/>
      <x:c r="Q41" s="125"/>
    </x:row>
    <x:row r="42">
      <x:c r="A42" s="148"/>
      <x:c r="B42" s="148"/>
      <x:c r="C42" s="148"/>
      <x:c r="D42" s="148"/>
      <x:c r="E42" s="148"/>
      <x:c r="F42" s="148"/>
      <x:c r="G42" s="148"/>
      <x:c r="H42" s="148"/>
      <x:c r="I42" s="148"/>
      <x:c r="J42" s="148"/>
      <x:c r="K42" s="148"/>
      <x:c r="L42" s="148"/>
      <x:c r="M42" s="148"/>
      <x:c r="N42" s="148"/>
      <x:c r="O42" s="125"/>
      <x:c r="P42" s="125"/>
      <x:c r="Q42" s="125"/>
    </x:row>
    <x:row r="43">
      <x:c r="A43" s="148"/>
      <x:c r="B43" s="148"/>
      <x:c r="C43" s="148"/>
      <x:c r="D43" s="148"/>
      <x:c r="E43" s="148"/>
      <x:c r="F43" s="148"/>
      <x:c r="G43" s="148"/>
      <x:c r="H43" s="148"/>
      <x:c r="I43" s="148"/>
      <x:c r="J43" s="148"/>
      <x:c r="K43" s="148"/>
      <x:c r="L43" s="148"/>
      <x:c r="M43" s="148"/>
      <x:c r="N43" s="148"/>
      <x:c r="O43" s="125"/>
      <x:c r="P43" s="125"/>
      <x:c r="Q43" s="125"/>
    </x:row>
    <x:row r="44">
      <x:c r="A44" s="148"/>
      <x:c r="B44" s="148"/>
      <x:c r="C44" s="148"/>
      <x:c r="D44" s="148"/>
      <x:c r="E44" s="148"/>
      <x:c r="F44" s="148"/>
      <x:c r="G44" s="148"/>
      <x:c r="H44" s="148"/>
      <x:c r="I44" s="148"/>
      <x:c r="J44" s="148"/>
      <x:c r="K44" s="148"/>
      <x:c r="L44" s="148"/>
      <x:c r="M44" s="148"/>
      <x:c r="N44" s="148"/>
      <x:c r="O44" s="125"/>
      <x:c r="P44" s="125"/>
      <x:c r="Q44" s="125"/>
    </x:row>
    <x:row r="45">
      <x:c r="A45" s="148"/>
      <x:c r="B45" s="148"/>
      <x:c r="C45" s="148"/>
      <x:c r="D45" s="148"/>
      <x:c r="E45" s="148"/>
      <x:c r="F45" s="148"/>
      <x:c r="G45" s="148"/>
      <x:c r="H45" s="148"/>
      <x:c r="I45" s="148"/>
      <x:c r="J45" s="148"/>
      <x:c r="K45" s="148"/>
      <x:c r="L45" s="148"/>
      <x:c r="M45" s="148"/>
      <x:c r="N45" s="148"/>
      <x:c r="O45" s="125"/>
      <x:c r="P45" s="125"/>
      <x:c r="Q45" s="125"/>
    </x:row>
    <x:row r="46">
      <x:c r="A46" s="148"/>
      <x:c r="B46" s="148"/>
      <x:c r="C46" s="148"/>
      <x:c r="D46" s="148"/>
      <x:c r="E46" s="148"/>
      <x:c r="F46" s="148"/>
      <x:c r="G46" s="148"/>
      <x:c r="H46" s="148"/>
      <x:c r="I46" s="148"/>
      <x:c r="J46" s="148"/>
      <x:c r="K46" s="148"/>
      <x:c r="L46" s="148"/>
      <x:c r="M46" s="148"/>
      <x:c r="N46" s="148"/>
      <x:c r="O46" s="125"/>
      <x:c r="P46" s="125"/>
      <x:c r="Q46" s="125"/>
    </x:row>
    <x:row r="47">
      <x:c r="A47" s="148"/>
      <x:c r="B47" s="148"/>
      <x:c r="C47" s="148"/>
      <x:c r="D47" s="148"/>
      <x:c r="E47" s="148"/>
      <x:c r="F47" s="148"/>
      <x:c r="G47" s="148"/>
      <x:c r="H47" s="148"/>
      <x:c r="I47" s="148"/>
      <x:c r="J47" s="148"/>
      <x:c r="K47" s="148"/>
      <x:c r="L47" s="148"/>
      <x:c r="M47" s="148"/>
      <x:c r="N47" s="148"/>
      <x:c r="O47" s="125"/>
      <x:c r="P47" s="125"/>
      <x:c r="Q47" s="125"/>
    </x:row>
    <x:row r="48">
      <x:c r="A48" s="148"/>
      <x:c r="B48" s="148"/>
      <x:c r="C48" s="148"/>
      <x:c r="D48" s="148"/>
      <x:c r="E48" s="148"/>
      <x:c r="F48" s="148"/>
      <x:c r="G48" s="148"/>
      <x:c r="H48" s="148"/>
      <x:c r="I48" s="148"/>
      <x:c r="J48" s="148"/>
      <x:c r="K48" s="148"/>
      <x:c r="L48" s="148"/>
      <x:c r="M48" s="148"/>
      <x:c r="N48" s="148"/>
      <x:c r="O48" s="125"/>
      <x:c r="P48" s="125"/>
      <x:c r="Q48" s="125"/>
    </x:row>
    <x:row r="49">
      <x:c r="A49" s="148"/>
      <x:c r="B49" s="148"/>
      <x:c r="C49" s="148"/>
      <x:c r="D49" s="148"/>
      <x:c r="E49" s="148"/>
      <x:c r="F49" s="148"/>
      <x:c r="G49" s="148"/>
      <x:c r="H49" s="148"/>
      <x:c r="I49" s="148"/>
      <x:c r="J49" s="148"/>
      <x:c r="K49" s="148"/>
      <x:c r="L49" s="148"/>
      <x:c r="M49" s="148"/>
      <x:c r="N49" s="148"/>
      <x:c r="O49" s="125"/>
      <x:c r="P49" s="125"/>
      <x:c r="Q49" s="125"/>
    </x:row>
    <x:row r="50">
      <x:c r="A50" s="148"/>
      <x:c r="B50" s="148"/>
      <x:c r="C50" s="148"/>
      <x:c r="D50" s="148"/>
      <x:c r="E50" s="148"/>
      <x:c r="F50" s="148"/>
      <x:c r="G50" s="148"/>
      <x:c r="H50" s="148"/>
      <x:c r="I50" s="148"/>
      <x:c r="J50" s="148"/>
      <x:c r="K50" s="148"/>
      <x:c r="L50" s="148"/>
      <x:c r="M50" s="148"/>
      <x:c r="N50" s="148"/>
      <x:c r="O50" s="125"/>
      <x:c r="P50" s="125"/>
      <x:c r="Q50" s="125"/>
    </x:row>
    <x:row r="51">
      <x:c r="A51" s="148"/>
      <x:c r="B51" s="148"/>
      <x:c r="C51" s="148"/>
      <x:c r="D51" s="148"/>
      <x:c r="E51" s="148"/>
      <x:c r="F51" s="148"/>
      <x:c r="G51" s="148"/>
      <x:c r="H51" s="148"/>
      <x:c r="I51" s="148"/>
      <x:c r="J51" s="148"/>
      <x:c r="K51" s="148"/>
      <x:c r="L51" s="148"/>
      <x:c r="M51" s="148"/>
      <x:c r="N51" s="148"/>
      <x:c r="O51" s="125"/>
      <x:c r="P51" s="125"/>
      <x:c r="Q51" s="125"/>
    </x:row>
    <x:row r="52">
      <x:c r="A52" s="148"/>
      <x:c r="B52" s="148"/>
      <x:c r="C52" s="148"/>
      <x:c r="D52" s="148"/>
      <x:c r="E52" s="148"/>
      <x:c r="F52" s="148"/>
      <x:c r="G52" s="148"/>
      <x:c r="H52" s="148"/>
      <x:c r="I52" s="148"/>
      <x:c r="J52" s="148"/>
      <x:c r="K52" s="148"/>
      <x:c r="L52" s="148"/>
      <x:c r="M52" s="148"/>
      <x:c r="N52" s="148"/>
      <x:c r="O52" s="125"/>
      <x:c r="P52" s="125"/>
      <x:c r="Q52" s="125"/>
    </x:row>
    <x:row r="53">
      <x:c r="A53" s="148"/>
      <x:c r="B53" s="148"/>
      <x:c r="C53" s="148"/>
      <x:c r="D53" s="148"/>
      <x:c r="E53" s="148"/>
      <x:c r="F53" s="148"/>
      <x:c r="G53" s="148"/>
      <x:c r="H53" s="148"/>
      <x:c r="I53" s="148"/>
      <x:c r="J53" s="148"/>
      <x:c r="K53" s="148"/>
      <x:c r="L53" s="148"/>
      <x:c r="M53" s="148"/>
      <x:c r="N53" s="148"/>
      <x:c r="O53" s="125"/>
      <x:c r="P53" s="125"/>
      <x:c r="Q53" s="125"/>
    </x:row>
    <x:row r="54">
      <x:c r="A54" s="148"/>
      <x:c r="B54" s="148"/>
      <x:c r="C54" s="148"/>
      <x:c r="D54" s="148"/>
      <x:c r="E54" s="148"/>
      <x:c r="F54" s="148"/>
      <x:c r="G54" s="148"/>
      <x:c r="H54" s="148"/>
      <x:c r="I54" s="148"/>
      <x:c r="J54" s="148"/>
      <x:c r="K54" s="148"/>
      <x:c r="L54" s="148"/>
      <x:c r="M54" s="148"/>
      <x:c r="N54" s="148"/>
      <x:c r="O54" s="125"/>
      <x:c r="P54" s="125"/>
      <x:c r="Q54" s="125"/>
    </x:row>
    <x:row r="55">
      <x:c r="A55" s="148"/>
      <x:c r="B55" s="148"/>
      <x:c r="C55" s="148"/>
      <x:c r="D55" s="148"/>
      <x:c r="E55" s="148"/>
      <x:c r="F55" s="148"/>
      <x:c r="G55" s="148"/>
      <x:c r="H55" s="148"/>
      <x:c r="I55" s="148"/>
      <x:c r="J55" s="148"/>
      <x:c r="K55" s="148"/>
      <x:c r="L55" s="148"/>
      <x:c r="M55" s="148"/>
      <x:c r="N55" s="148"/>
      <x:c r="O55" s="125"/>
      <x:c r="P55" s="125"/>
      <x:c r="Q55" s="125"/>
    </x:row>
    <x:row r="56">
      <x:c r="A56" s="148"/>
      <x:c r="B56" s="148"/>
      <x:c r="C56" s="148"/>
      <x:c r="D56" s="148"/>
      <x:c r="E56" s="148"/>
      <x:c r="F56" s="148"/>
      <x:c r="G56" s="148"/>
      <x:c r="H56" s="148"/>
      <x:c r="I56" s="148"/>
      <x:c r="J56" s="148"/>
      <x:c r="K56" s="148"/>
      <x:c r="L56" s="148"/>
      <x:c r="M56" s="148"/>
      <x:c r="N56" s="148"/>
      <x:c r="O56" s="125"/>
      <x:c r="P56" s="125"/>
      <x:c r="Q56" s="125"/>
    </x:row>
    <x:row r="57">
      <x:c r="A57" s="148"/>
      <x:c r="B57" s="148"/>
      <x:c r="C57" s="148"/>
      <x:c r="D57" s="148"/>
      <x:c r="E57" s="148"/>
      <x:c r="F57" s="148"/>
      <x:c r="G57" s="148"/>
      <x:c r="H57" s="148"/>
      <x:c r="I57" s="148"/>
      <x:c r="J57" s="148"/>
      <x:c r="K57" s="148"/>
      <x:c r="L57" s="148"/>
      <x:c r="M57" s="148"/>
      <x:c r="N57" s="148"/>
      <x:c r="O57" s="125"/>
      <x:c r="P57" s="125"/>
      <x:c r="Q57" s="125"/>
    </x:row>
    <x:row r="58">
      <x:c r="A58" s="148"/>
      <x:c r="B58" s="148"/>
      <x:c r="C58" s="148"/>
      <x:c r="D58" s="148"/>
      <x:c r="E58" s="148"/>
      <x:c r="F58" s="148"/>
      <x:c r="G58" s="148"/>
      <x:c r="H58" s="148"/>
      <x:c r="I58" s="148"/>
      <x:c r="J58" s="148"/>
      <x:c r="K58" s="148"/>
      <x:c r="L58" s="148"/>
      <x:c r="M58" s="148"/>
      <x:c r="N58" s="148"/>
      <x:c r="O58" s="125"/>
      <x:c r="P58" s="125"/>
      <x:c r="Q58" s="125"/>
    </x:row>
    <x:row r="59">
      <x:c r="A59" s="148"/>
      <x:c r="B59" s="148"/>
      <x:c r="C59" s="148"/>
      <x:c r="D59" s="148"/>
      <x:c r="E59" s="148"/>
      <x:c r="F59" s="148"/>
      <x:c r="G59" s="148"/>
      <x:c r="H59" s="148"/>
      <x:c r="I59" s="148"/>
      <x:c r="J59" s="148"/>
      <x:c r="K59" s="148"/>
      <x:c r="L59" s="148"/>
      <x:c r="M59" s="148"/>
      <x:c r="N59" s="148"/>
      <x:c r="O59" s="125"/>
      <x:c r="P59" s="125"/>
      <x:c r="Q59" s="125"/>
    </x:row>
    <x:row r="60">
      <x:c r="A60" s="148"/>
      <x:c r="B60" s="148"/>
      <x:c r="C60" s="148"/>
      <x:c r="D60" s="148"/>
      <x:c r="E60" s="148"/>
      <x:c r="F60" s="148"/>
      <x:c r="G60" s="148"/>
      <x:c r="H60" s="148"/>
      <x:c r="I60" s="148"/>
      <x:c r="J60" s="148"/>
      <x:c r="K60" s="148"/>
      <x:c r="L60" s="148"/>
      <x:c r="M60" s="148"/>
      <x:c r="N60" s="148"/>
      <x:c r="O60" s="125"/>
      <x:c r="P60" s="125"/>
      <x:c r="Q60" s="125"/>
    </x:row>
    <x:row r="61">
      <x:c r="A61" s="148"/>
      <x:c r="B61" s="148"/>
      <x:c r="C61" s="148"/>
      <x:c r="D61" s="148"/>
      <x:c r="E61" s="148"/>
      <x:c r="F61" s="148"/>
      <x:c r="G61" s="148"/>
      <x:c r="H61" s="148"/>
      <x:c r="I61" s="148"/>
      <x:c r="J61" s="148"/>
      <x:c r="K61" s="148"/>
      <x:c r="L61" s="148"/>
      <x:c r="M61" s="148"/>
      <x:c r="N61" s="148"/>
      <x:c r="O61" s="125"/>
      <x:c r="P61" s="125"/>
      <x:c r="Q61" s="125"/>
    </x:row>
    <x:row r="62">
      <x:c r="A62" s="148"/>
      <x:c r="B62" s="148"/>
      <x:c r="C62" s="148"/>
      <x:c r="D62" s="148"/>
      <x:c r="E62" s="148"/>
      <x:c r="F62" s="148"/>
      <x:c r="G62" s="148"/>
      <x:c r="H62" s="148"/>
      <x:c r="I62" s="148"/>
      <x:c r="J62" s="148"/>
      <x:c r="K62" s="148"/>
      <x:c r="L62" s="148"/>
      <x:c r="M62" s="148"/>
      <x:c r="N62" s="148"/>
      <x:c r="O62" s="125"/>
      <x:c r="P62" s="125"/>
      <x:c r="Q62" s="125"/>
    </x:row>
    <x:row r="63">
      <x:c r="A63" s="148"/>
      <x:c r="B63" s="148"/>
      <x:c r="C63" s="148"/>
      <x:c r="D63" s="148"/>
      <x:c r="E63" s="148"/>
      <x:c r="F63" s="148"/>
      <x:c r="G63" s="148"/>
      <x:c r="H63" s="148"/>
      <x:c r="I63" s="148"/>
      <x:c r="J63" s="148"/>
      <x:c r="K63" s="148"/>
      <x:c r="L63" s="148"/>
      <x:c r="M63" s="148"/>
      <x:c r="N63" s="148"/>
      <x:c r="O63" s="125"/>
      <x:c r="P63" s="125"/>
      <x:c r="Q63" s="125"/>
    </x:row>
    <x:row r="64">
      <x:c r="A64" s="148"/>
      <x:c r="B64" s="148"/>
      <x:c r="C64" s="148"/>
      <x:c r="D64" s="148"/>
      <x:c r="E64" s="148"/>
      <x:c r="F64" s="148"/>
      <x:c r="G64" s="148"/>
      <x:c r="H64" s="148"/>
      <x:c r="I64" s="148"/>
      <x:c r="J64" s="148"/>
      <x:c r="K64" s="148"/>
      <x:c r="L64" s="148"/>
      <x:c r="M64" s="148"/>
      <x:c r="N64" s="148"/>
      <x:c r="O64" s="125"/>
      <x:c r="P64" s="125"/>
      <x:c r="Q64" s="125"/>
    </x:row>
    <x:row r="65">
      <x:c r="A65" s="148"/>
      <x:c r="B65" s="148"/>
      <x:c r="C65" s="148"/>
      <x:c r="D65" s="148"/>
      <x:c r="E65" s="148"/>
      <x:c r="F65" s="148"/>
      <x:c r="G65" s="148"/>
      <x:c r="H65" s="148"/>
      <x:c r="I65" s="148"/>
      <x:c r="J65" s="148"/>
      <x:c r="K65" s="148"/>
      <x:c r="L65" s="148"/>
      <x:c r="M65" s="148"/>
      <x:c r="N65" s="148"/>
      <x:c r="O65" s="125"/>
      <x:c r="P65" s="125"/>
      <x:c r="Q65" s="125"/>
    </x:row>
    <x:row r="66">
      <x:c r="A66" s="148"/>
      <x:c r="B66" s="148"/>
      <x:c r="C66" s="148"/>
      <x:c r="D66" s="148"/>
      <x:c r="E66" s="148"/>
      <x:c r="F66" s="148"/>
      <x:c r="G66" s="148"/>
      <x:c r="H66" s="148"/>
      <x:c r="I66" s="148"/>
      <x:c r="J66" s="148"/>
      <x:c r="K66" s="148"/>
      <x:c r="L66" s="148"/>
      <x:c r="M66" s="148"/>
      <x:c r="N66" s="148"/>
      <x:c r="O66" s="125"/>
      <x:c r="P66" s="125"/>
      <x:c r="Q66" s="125"/>
    </x:row>
    <x:row r="67">
      <x:c r="A67" s="148"/>
      <x:c r="B67" s="148"/>
      <x:c r="C67" s="148"/>
      <x:c r="D67" s="148"/>
      <x:c r="E67" s="148"/>
      <x:c r="F67" s="148"/>
      <x:c r="G67" s="148"/>
      <x:c r="H67" s="148"/>
      <x:c r="I67" s="148"/>
      <x:c r="J67" s="148"/>
      <x:c r="K67" s="148"/>
      <x:c r="L67" s="148"/>
      <x:c r="M67" s="148"/>
      <x:c r="N67" s="148"/>
      <x:c r="O67" s="125"/>
      <x:c r="P67" s="125"/>
      <x:c r="Q67" s="125"/>
    </x:row>
    <x:row r="68">
      <x:c r="A68" s="148"/>
      <x:c r="B68" s="148"/>
      <x:c r="C68" s="148"/>
      <x:c r="D68" s="148"/>
      <x:c r="E68" s="148"/>
      <x:c r="F68" s="148"/>
      <x:c r="G68" s="148"/>
      <x:c r="H68" s="148"/>
      <x:c r="I68" s="148"/>
      <x:c r="J68" s="148"/>
      <x:c r="K68" s="148"/>
      <x:c r="L68" s="148"/>
      <x:c r="M68" s="148"/>
      <x:c r="N68" s="148"/>
      <x:c r="O68" s="125"/>
      <x:c r="P68" s="125"/>
      <x:c r="Q68" s="125"/>
    </x:row>
    <x:row r="69">
      <x:c r="A69" s="148"/>
      <x:c r="B69" s="148"/>
      <x:c r="C69" s="148"/>
      <x:c r="D69" s="148"/>
      <x:c r="E69" s="148"/>
      <x:c r="F69" s="148"/>
      <x:c r="G69" s="148"/>
      <x:c r="H69" s="148"/>
      <x:c r="I69" s="148"/>
      <x:c r="J69" s="148"/>
      <x:c r="K69" s="148"/>
      <x:c r="L69" s="148"/>
      <x:c r="M69" s="148"/>
      <x:c r="N69" s="148"/>
      <x:c r="O69" s="125"/>
      <x:c r="P69" s="125"/>
      <x:c r="Q69" s="125"/>
    </x:row>
    <x:row r="70">
      <x:c r="A70" s="148"/>
      <x:c r="B70" s="148"/>
      <x:c r="C70" s="148"/>
      <x:c r="D70" s="148"/>
      <x:c r="E70" s="148"/>
      <x:c r="F70" s="148"/>
      <x:c r="G70" s="148"/>
      <x:c r="H70" s="148"/>
      <x:c r="I70" s="148"/>
      <x:c r="J70" s="148"/>
      <x:c r="K70" s="148"/>
      <x:c r="L70" s="148"/>
      <x:c r="M70" s="148"/>
      <x:c r="N70" s="148"/>
      <x:c r="O70" s="125"/>
      <x:c r="P70" s="125"/>
      <x:c r="Q70" s="125"/>
    </x:row>
    <x:row r="71">
      <x:c r="A71" s="148"/>
      <x:c r="B71" s="148"/>
      <x:c r="C71" s="148"/>
      <x:c r="D71" s="148"/>
      <x:c r="E71" s="148"/>
      <x:c r="F71" s="148"/>
      <x:c r="G71" s="148"/>
      <x:c r="H71" s="148"/>
      <x:c r="I71" s="148"/>
      <x:c r="J71" s="148"/>
      <x:c r="K71" s="148"/>
      <x:c r="L71" s="148"/>
      <x:c r="M71" s="148"/>
      <x:c r="N71" s="148"/>
      <x:c r="O71" s="125"/>
      <x:c r="P71" s="125"/>
      <x:c r="Q71" s="125"/>
    </x:row>
    <x:row r="72">
      <x:c r="A72" s="148"/>
      <x:c r="B72" s="148"/>
      <x:c r="C72" s="148"/>
      <x:c r="D72" s="148"/>
      <x:c r="E72" s="148"/>
      <x:c r="F72" s="148"/>
      <x:c r="G72" s="148"/>
      <x:c r="H72" s="148"/>
      <x:c r="I72" s="148"/>
      <x:c r="J72" s="148"/>
      <x:c r="K72" s="148"/>
      <x:c r="L72" s="148"/>
      <x:c r="M72" s="148"/>
      <x:c r="N72" s="148"/>
      <x:c r="O72" s="125"/>
      <x:c r="P72" s="125"/>
      <x:c r="Q72" s="125"/>
    </x:row>
    <x:row r="73">
      <x:c r="A73" s="148"/>
      <x:c r="B73" s="148"/>
      <x:c r="C73" s="148"/>
      <x:c r="D73" s="148"/>
      <x:c r="E73" s="148"/>
      <x:c r="F73" s="148"/>
      <x:c r="G73" s="148"/>
      <x:c r="H73" s="148"/>
      <x:c r="I73" s="148"/>
      <x:c r="J73" s="148"/>
      <x:c r="K73" s="148"/>
      <x:c r="L73" s="148"/>
      <x:c r="M73" s="148"/>
      <x:c r="N73" s="148"/>
      <x:c r="O73" s="125"/>
      <x:c r="P73" s="125"/>
      <x:c r="Q73" s="125"/>
    </x:row>
    <x:row r="74">
      <x:c r="A74" s="148"/>
      <x:c r="B74" s="148"/>
      <x:c r="C74" s="148"/>
      <x:c r="D74" s="148"/>
      <x:c r="E74" s="148"/>
      <x:c r="F74" s="148"/>
      <x:c r="G74" s="148"/>
      <x:c r="H74" s="148"/>
      <x:c r="I74" s="148"/>
      <x:c r="J74" s="148"/>
      <x:c r="K74" s="148"/>
      <x:c r="L74" s="148"/>
      <x:c r="M74" s="148"/>
      <x:c r="N74" s="148"/>
      <x:c r="O74" s="125"/>
      <x:c r="P74" s="125"/>
      <x:c r="Q74" s="125"/>
    </x:row>
    <x:row r="75">
      <x:c r="A75" s="148"/>
      <x:c r="B75" s="148"/>
      <x:c r="C75" s="148"/>
      <x:c r="D75" s="148"/>
      <x:c r="E75" s="148"/>
      <x:c r="F75" s="148"/>
      <x:c r="G75" s="148"/>
      <x:c r="H75" s="148"/>
      <x:c r="I75" s="148"/>
      <x:c r="J75" s="148"/>
      <x:c r="K75" s="148"/>
      <x:c r="L75" s="148"/>
      <x:c r="M75" s="148"/>
      <x:c r="N75" s="148"/>
      <x:c r="O75" s="125"/>
      <x:c r="P75" s="125"/>
      <x:c r="Q75" s="125"/>
    </x:row>
    <x:row r="76">
      <x:c r="A76" s="148"/>
      <x:c r="B76" s="148"/>
      <x:c r="C76" s="148"/>
      <x:c r="D76" s="148"/>
      <x:c r="E76" s="148"/>
      <x:c r="F76" s="148"/>
      <x:c r="G76" s="148"/>
      <x:c r="H76" s="148"/>
      <x:c r="I76" s="148"/>
      <x:c r="J76" s="148"/>
      <x:c r="K76" s="148"/>
      <x:c r="L76" s="148"/>
      <x:c r="M76" s="148"/>
      <x:c r="N76" s="148"/>
      <x:c r="O76" s="125"/>
      <x:c r="P76" s="125"/>
      <x:c r="Q76" s="125"/>
    </x:row>
    <x:row r="77">
      <x:c r="A77" s="148"/>
      <x:c r="B77" s="148"/>
      <x:c r="C77" s="148"/>
      <x:c r="D77" s="148"/>
      <x:c r="E77" s="148"/>
      <x:c r="F77" s="148"/>
      <x:c r="G77" s="148"/>
      <x:c r="H77" s="148"/>
      <x:c r="I77" s="148"/>
      <x:c r="J77" s="148"/>
      <x:c r="K77" s="148"/>
      <x:c r="L77" s="148"/>
      <x:c r="M77" s="148"/>
      <x:c r="N77" s="148"/>
      <x:c r="O77" s="125"/>
      <x:c r="P77" s="125"/>
      <x:c r="Q77" s="125"/>
    </x:row>
    <x:row r="78">
      <x:c r="A78" s="148"/>
      <x:c r="B78" s="148"/>
      <x:c r="C78" s="148"/>
      <x:c r="D78" s="148"/>
      <x:c r="E78" s="148"/>
      <x:c r="F78" s="148"/>
      <x:c r="G78" s="148"/>
      <x:c r="H78" s="148"/>
      <x:c r="I78" s="148"/>
      <x:c r="J78" s="148"/>
      <x:c r="K78" s="148"/>
      <x:c r="L78" s="148"/>
      <x:c r="M78" s="148"/>
      <x:c r="N78" s="148"/>
      <x:c r="O78" s="125"/>
      <x:c r="P78" s="125"/>
      <x:c r="Q78" s="125"/>
    </x:row>
    <x:row r="79">
      <x:c r="A79" s="148"/>
      <x:c r="B79" s="148"/>
      <x:c r="C79" s="148"/>
      <x:c r="D79" s="148"/>
      <x:c r="E79" s="148"/>
      <x:c r="F79" s="148"/>
      <x:c r="G79" s="148"/>
      <x:c r="H79" s="148"/>
      <x:c r="I79" s="148"/>
      <x:c r="J79" s="148"/>
      <x:c r="K79" s="148"/>
      <x:c r="L79" s="148"/>
      <x:c r="M79" s="148"/>
      <x:c r="N79" s="148"/>
      <x:c r="O79" s="125"/>
      <x:c r="P79" s="125"/>
      <x:c r="Q79" s="125"/>
    </x:row>
    <x:row r="80">
      <x:c r="A80" s="148"/>
      <x:c r="B80" s="148"/>
      <x:c r="C80" s="148"/>
      <x:c r="D80" s="148"/>
      <x:c r="E80" s="148"/>
      <x:c r="F80" s="148"/>
      <x:c r="G80" s="148"/>
      <x:c r="H80" s="148"/>
      <x:c r="I80" s="148"/>
      <x:c r="J80" s="148"/>
      <x:c r="K80" s="148"/>
      <x:c r="L80" s="148"/>
      <x:c r="M80" s="148"/>
      <x:c r="N80" s="148"/>
      <x:c r="O80" s="125"/>
      <x:c r="P80" s="125"/>
      <x:c r="Q80" s="125"/>
    </x:row>
    <x:row r="81">
      <x:c r="A81" s="148"/>
      <x:c r="B81" s="148"/>
      <x:c r="C81" s="148"/>
      <x:c r="D81" s="148"/>
      <x:c r="E81" s="148"/>
      <x:c r="F81" s="148"/>
      <x:c r="G81" s="148"/>
      <x:c r="H81" s="148"/>
      <x:c r="I81" s="148"/>
      <x:c r="J81" s="148"/>
      <x:c r="K81" s="148"/>
      <x:c r="L81" s="148"/>
      <x:c r="M81" s="148"/>
      <x:c r="N81" s="148"/>
      <x:c r="O81" s="125"/>
      <x:c r="P81" s="125"/>
      <x:c r="Q81" s="125"/>
    </x:row>
    <x:row r="82">
      <x:c r="A82" s="148"/>
      <x:c r="B82" s="148"/>
      <x:c r="C82" s="148"/>
      <x:c r="D82" s="148"/>
      <x:c r="E82" s="148"/>
      <x:c r="F82" s="148"/>
      <x:c r="G82" s="148"/>
      <x:c r="H82" s="148"/>
      <x:c r="I82" s="148"/>
      <x:c r="J82" s="148"/>
      <x:c r="K82" s="148"/>
      <x:c r="L82" s="148"/>
      <x:c r="M82" s="148"/>
      <x:c r="N82" s="148"/>
      <x:c r="O82" s="125"/>
      <x:c r="P82" s="125"/>
      <x:c r="Q82" s="125"/>
    </x:row>
    <x:row r="83">
      <x:c r="A83" s="148"/>
      <x:c r="B83" s="148"/>
      <x:c r="C83" s="148"/>
      <x:c r="D83" s="148"/>
      <x:c r="E83" s="148"/>
      <x:c r="F83" s="148"/>
      <x:c r="G83" s="148"/>
      <x:c r="H83" s="148"/>
      <x:c r="I83" s="148"/>
      <x:c r="J83" s="148"/>
      <x:c r="K83" s="148"/>
      <x:c r="L83" s="148"/>
      <x:c r="M83" s="148"/>
      <x:c r="N83" s="148"/>
      <x:c r="O83" s="125"/>
      <x:c r="P83" s="125"/>
      <x:c r="Q83" s="125"/>
    </x:row>
    <x:row r="84">
      <x:c r="A84" s="148"/>
      <x:c r="B84" s="148"/>
      <x:c r="C84" s="148"/>
      <x:c r="D84" s="148"/>
      <x:c r="E84" s="148"/>
      <x:c r="F84" s="148"/>
      <x:c r="G84" s="148"/>
      <x:c r="H84" s="148"/>
      <x:c r="I84" s="148"/>
      <x:c r="J84" s="148"/>
      <x:c r="K84" s="148"/>
      <x:c r="L84" s="148"/>
      <x:c r="M84" s="148"/>
      <x:c r="N84" s="148"/>
      <x:c r="O84" s="125"/>
      <x:c r="P84" s="125"/>
      <x:c r="Q84" s="125"/>
    </x:row>
    <x:row r="85">
      <x:c r="A85" s="148"/>
      <x:c r="B85" s="148"/>
      <x:c r="C85" s="148"/>
      <x:c r="D85" s="148"/>
      <x:c r="E85" s="148"/>
      <x:c r="F85" s="148"/>
      <x:c r="G85" s="148"/>
      <x:c r="H85" s="148"/>
      <x:c r="I85" s="148"/>
      <x:c r="J85" s="148"/>
      <x:c r="K85" s="148"/>
      <x:c r="L85" s="148"/>
      <x:c r="M85" s="148"/>
      <x:c r="N85" s="148"/>
      <x:c r="O85" s="125"/>
      <x:c r="P85" s="125"/>
      <x:c r="Q85" s="125"/>
    </x:row>
    <x:row r="86">
      <x:c r="A86" s="148"/>
      <x:c r="B86" s="148"/>
      <x:c r="C86" s="148"/>
      <x:c r="D86" s="148"/>
      <x:c r="E86" s="148"/>
      <x:c r="F86" s="148"/>
      <x:c r="G86" s="148"/>
      <x:c r="H86" s="148"/>
      <x:c r="I86" s="148"/>
      <x:c r="J86" s="148"/>
      <x:c r="K86" s="148"/>
      <x:c r="L86" s="148"/>
      <x:c r="M86" s="148"/>
      <x:c r="N86" s="148"/>
      <x:c r="O86" s="125"/>
      <x:c r="P86" s="125"/>
      <x:c r="Q86" s="125"/>
    </x:row>
    <x:row r="87">
      <x:c r="A87" s="148"/>
      <x:c r="B87" s="148"/>
      <x:c r="C87" s="148"/>
      <x:c r="D87" s="148"/>
      <x:c r="E87" s="148"/>
      <x:c r="F87" s="148"/>
      <x:c r="G87" s="148"/>
      <x:c r="H87" s="148"/>
      <x:c r="I87" s="148"/>
      <x:c r="J87" s="148"/>
      <x:c r="K87" s="148"/>
      <x:c r="L87" s="148"/>
      <x:c r="M87" s="148"/>
      <x:c r="N87" s="148"/>
      <x:c r="O87" s="125"/>
      <x:c r="P87" s="125"/>
      <x:c r="Q87" s="125"/>
    </x:row>
    <x:row r="88">
      <x:c r="A88" s="148"/>
      <x:c r="B88" s="148"/>
      <x:c r="C88" s="148"/>
      <x:c r="D88" s="148"/>
      <x:c r="E88" s="148"/>
      <x:c r="F88" s="148"/>
      <x:c r="G88" s="148"/>
      <x:c r="H88" s="148"/>
      <x:c r="I88" s="148"/>
      <x:c r="J88" s="148"/>
      <x:c r="K88" s="148"/>
      <x:c r="L88" s="148"/>
      <x:c r="M88" s="148"/>
      <x:c r="N88" s="148"/>
      <x:c r="O88" s="125"/>
      <x:c r="P88" s="125"/>
      <x:c r="Q88" s="125"/>
    </x:row>
    <x:row r="89">
      <x:c r="A89" s="148"/>
      <x:c r="B89" s="148"/>
      <x:c r="C89" s="148"/>
      <x:c r="D89" s="148"/>
      <x:c r="E89" s="148"/>
      <x:c r="F89" s="148"/>
      <x:c r="G89" s="148"/>
      <x:c r="H89" s="148"/>
      <x:c r="I89" s="148"/>
      <x:c r="J89" s="148"/>
      <x:c r="K89" s="148"/>
      <x:c r="L89" s="148"/>
      <x:c r="M89" s="148"/>
      <x:c r="N89" s="148"/>
      <x:c r="O89" s="125"/>
      <x:c r="P89" s="125"/>
      <x:c r="Q89" s="125"/>
    </x:row>
    <x:row r="90">
      <x:c r="A90" s="148"/>
      <x:c r="B90" s="148"/>
      <x:c r="C90" s="148"/>
      <x:c r="D90" s="148"/>
      <x:c r="E90" s="148"/>
      <x:c r="F90" s="148"/>
      <x:c r="G90" s="148"/>
      <x:c r="H90" s="148"/>
      <x:c r="I90" s="148"/>
      <x:c r="J90" s="148"/>
      <x:c r="K90" s="148"/>
      <x:c r="L90" s="148"/>
      <x:c r="M90" s="148"/>
      <x:c r="N90" s="148"/>
      <x:c r="O90" s="125"/>
      <x:c r="P90" s="125"/>
      <x:c r="Q90" s="125"/>
    </x:row>
    <x:row r="91">
      <x:c r="A91" s="148"/>
      <x:c r="B91" s="148"/>
      <x:c r="C91" s="148"/>
      <x:c r="D91" s="148"/>
      <x:c r="E91" s="148"/>
      <x:c r="F91" s="148"/>
      <x:c r="G91" s="148"/>
      <x:c r="H91" s="148"/>
      <x:c r="I91" s="148"/>
      <x:c r="J91" s="148"/>
      <x:c r="K91" s="148"/>
      <x:c r="L91" s="148"/>
      <x:c r="M91" s="148"/>
      <x:c r="N91" s="148"/>
      <x:c r="O91" s="125"/>
      <x:c r="P91" s="125"/>
      <x:c r="Q91" s="125"/>
    </x:row>
    <x:row r="92">
      <x:c r="A92" s="148"/>
      <x:c r="B92" s="148"/>
      <x:c r="C92" s="148"/>
      <x:c r="D92" s="148"/>
      <x:c r="E92" s="148"/>
      <x:c r="F92" s="148"/>
      <x:c r="G92" s="148"/>
      <x:c r="H92" s="148"/>
      <x:c r="I92" s="148"/>
      <x:c r="J92" s="148"/>
      <x:c r="K92" s="148"/>
      <x:c r="L92" s="148"/>
      <x:c r="M92" s="148"/>
      <x:c r="N92" s="148"/>
      <x:c r="O92" s="125"/>
      <x:c r="P92" s="125"/>
      <x:c r="Q92" s="125"/>
    </x:row>
    <x:row r="93">
      <x:c r="A93" s="148"/>
      <x:c r="B93" s="148"/>
      <x:c r="C93" s="148"/>
      <x:c r="D93" s="148"/>
      <x:c r="E93" s="148"/>
      <x:c r="F93" s="148"/>
      <x:c r="G93" s="148"/>
      <x:c r="H93" s="148"/>
      <x:c r="I93" s="148"/>
      <x:c r="J93" s="148"/>
      <x:c r="K93" s="148"/>
      <x:c r="L93" s="148"/>
      <x:c r="M93" s="148"/>
      <x:c r="N93" s="148"/>
      <x:c r="O93" s="125"/>
      <x:c r="P93" s="125"/>
      <x:c r="Q93" s="125"/>
    </x:row>
    <x:row r="94">
      <x:c r="A94" s="148"/>
      <x:c r="B94" s="148"/>
      <x:c r="C94" s="148"/>
      <x:c r="D94" s="148"/>
      <x:c r="E94" s="148"/>
      <x:c r="F94" s="148"/>
      <x:c r="G94" s="148"/>
      <x:c r="H94" s="148"/>
      <x:c r="I94" s="148"/>
      <x:c r="J94" s="148"/>
      <x:c r="K94" s="148"/>
      <x:c r="L94" s="148"/>
      <x:c r="M94" s="148"/>
      <x:c r="N94" s="148"/>
      <x:c r="O94" s="125"/>
      <x:c r="P94" s="125"/>
      <x:c r="Q94" s="125"/>
    </x:row>
    <x:row r="95">
      <x:c r="A95" s="148"/>
      <x:c r="B95" s="148"/>
      <x:c r="C95" s="148"/>
      <x:c r="D95" s="148"/>
      <x:c r="E95" s="148"/>
      <x:c r="F95" s="148"/>
      <x:c r="G95" s="148"/>
      <x:c r="H95" s="148"/>
      <x:c r="I95" s="148"/>
      <x:c r="J95" s="148"/>
      <x:c r="K95" s="148"/>
      <x:c r="L95" s="148"/>
      <x:c r="M95" s="148"/>
      <x:c r="N95" s="148"/>
      <x:c r="O95" s="125"/>
      <x:c r="P95" s="125"/>
      <x:c r="Q95" s="125"/>
    </x:row>
    <x:row r="96">
      <x:c r="A96" s="148"/>
      <x:c r="B96" s="148"/>
      <x:c r="C96" s="148"/>
      <x:c r="D96" s="148"/>
      <x:c r="E96" s="148"/>
      <x:c r="F96" s="148"/>
      <x:c r="G96" s="148"/>
      <x:c r="H96" s="148"/>
      <x:c r="I96" s="148"/>
      <x:c r="J96" s="148"/>
      <x:c r="K96" s="148"/>
      <x:c r="L96" s="148"/>
      <x:c r="M96" s="148"/>
      <x:c r="N96" s="148"/>
      <x:c r="O96" s="125"/>
      <x:c r="P96" s="125"/>
      <x:c r="Q96" s="125"/>
    </x:row>
    <x:row r="97">
      <x:c r="A97" s="148"/>
      <x:c r="B97" s="148"/>
      <x:c r="C97" s="148"/>
      <x:c r="D97" s="148"/>
      <x:c r="E97" s="148"/>
      <x:c r="F97" s="148"/>
      <x:c r="G97" s="148"/>
      <x:c r="H97" s="148"/>
      <x:c r="I97" s="148"/>
      <x:c r="J97" s="148"/>
      <x:c r="K97" s="148"/>
      <x:c r="L97" s="148"/>
      <x:c r="M97" s="148"/>
      <x:c r="N97" s="148"/>
      <x:c r="O97" s="125"/>
      <x:c r="P97" s="125"/>
      <x:c r="Q97" s="125"/>
    </x:row>
    <x:row r="98">
      <x:c r="A98" s="148"/>
      <x:c r="B98" s="148"/>
      <x:c r="C98" s="148"/>
      <x:c r="D98" s="148"/>
      <x:c r="E98" s="148"/>
      <x:c r="F98" s="148"/>
      <x:c r="G98" s="148"/>
      <x:c r="H98" s="148"/>
      <x:c r="I98" s="148"/>
      <x:c r="J98" s="148"/>
      <x:c r="K98" s="148"/>
      <x:c r="L98" s="148"/>
      <x:c r="M98" s="148"/>
      <x:c r="N98" s="148"/>
      <x:c r="O98" s="125"/>
      <x:c r="P98" s="125"/>
      <x:c r="Q98" s="125"/>
    </x:row>
    <x:row r="99">
      <x:c r="A99" s="148"/>
      <x:c r="B99" s="148"/>
      <x:c r="C99" s="148"/>
      <x:c r="D99" s="148"/>
      <x:c r="E99" s="148"/>
      <x:c r="F99" s="148"/>
      <x:c r="G99" s="148"/>
      <x:c r="H99" s="148"/>
      <x:c r="I99" s="148"/>
      <x:c r="J99" s="148"/>
      <x:c r="K99" s="148"/>
      <x:c r="L99" s="148"/>
      <x:c r="M99" s="148"/>
      <x:c r="N99" s="148"/>
      <x:c r="O99" s="125"/>
      <x:c r="P99" s="125"/>
      <x:c r="Q99" s="125"/>
    </x:row>
    <x:row r="100">
      <x:c r="A100" s="148"/>
      <x:c r="B100" s="148"/>
      <x:c r="C100" s="148"/>
      <x:c r="D100" s="148"/>
      <x:c r="E100" s="148"/>
      <x:c r="F100" s="148"/>
      <x:c r="G100" s="148"/>
      <x:c r="H100" s="148"/>
      <x:c r="I100" s="148"/>
      <x:c r="J100" s="148"/>
      <x:c r="K100" s="148"/>
      <x:c r="L100" s="148"/>
      <x:c r="M100" s="148"/>
      <x:c r="N100" s="148"/>
      <x:c r="O100" s="125"/>
      <x:c r="P100" s="125"/>
      <x:c r="Q100" s="125"/>
    </x:row>
    <x:row r="101">
      <x:c r="A101" s="148"/>
      <x:c r="B101" s="148"/>
      <x:c r="C101" s="148"/>
      <x:c r="D101" s="148"/>
      <x:c r="E101" s="148"/>
      <x:c r="F101" s="148"/>
      <x:c r="G101" s="148"/>
      <x:c r="H101" s="148"/>
      <x:c r="I101" s="148"/>
      <x:c r="J101" s="148"/>
      <x:c r="K101" s="148"/>
      <x:c r="L101" s="148"/>
      <x:c r="M101" s="148"/>
      <x:c r="N101" s="148"/>
      <x:c r="O101" s="125"/>
      <x:c r="P101" s="125"/>
      <x:c r="Q101" s="125"/>
    </x:row>
    <x:row r="102">
      <x:c r="A102" s="148"/>
      <x:c r="B102" s="148"/>
      <x:c r="C102" s="148"/>
      <x:c r="D102" s="148"/>
      <x:c r="E102" s="148"/>
      <x:c r="F102" s="148"/>
      <x:c r="G102" s="148"/>
      <x:c r="H102" s="148"/>
      <x:c r="I102" s="148"/>
      <x:c r="J102" s="148"/>
      <x:c r="K102" s="148"/>
      <x:c r="L102" s="148"/>
      <x:c r="M102" s="148"/>
      <x:c r="N102" s="148"/>
      <x:c r="O102" s="125"/>
      <x:c r="P102" s="125"/>
      <x:c r="Q102" s="125"/>
    </x:row>
    <x:row r="103">
      <x:c r="A103" s="148"/>
      <x:c r="B103" s="148"/>
      <x:c r="C103" s="148"/>
      <x:c r="D103" s="148"/>
      <x:c r="E103" s="148"/>
      <x:c r="F103" s="148"/>
      <x:c r="G103" s="148"/>
      <x:c r="H103" s="148"/>
      <x:c r="I103" s="148"/>
      <x:c r="J103" s="148"/>
      <x:c r="K103" s="148"/>
      <x:c r="L103" s="148"/>
      <x:c r="M103" s="148"/>
      <x:c r="N103" s="148"/>
      <x:c r="O103" s="125"/>
      <x:c r="P103" s="125"/>
      <x:c r="Q103" s="125"/>
    </x:row>
    <x:row r="104">
      <x:c r="A104" s="148"/>
      <x:c r="B104" s="148"/>
      <x:c r="C104" s="148"/>
      <x:c r="D104" s="148"/>
      <x:c r="E104" s="148"/>
      <x:c r="F104" s="148"/>
      <x:c r="G104" s="148"/>
      <x:c r="H104" s="148"/>
      <x:c r="I104" s="148"/>
      <x:c r="J104" s="148"/>
      <x:c r="K104" s="148"/>
      <x:c r="L104" s="148"/>
      <x:c r="M104" s="148"/>
      <x:c r="N104" s="148"/>
      <x:c r="O104" s="125"/>
      <x:c r="P104" s="125"/>
      <x:c r="Q104" s="125"/>
    </x:row>
    <x:row r="105">
      <x:c r="A105" s="148"/>
      <x:c r="B105" s="148"/>
      <x:c r="C105" s="148"/>
      <x:c r="D105" s="148"/>
      <x:c r="E105" s="148"/>
      <x:c r="F105" s="148"/>
      <x:c r="G105" s="148"/>
      <x:c r="H105" s="148"/>
      <x:c r="I105" s="148"/>
      <x:c r="J105" s="148"/>
      <x:c r="K105" s="148"/>
      <x:c r="L105" s="148"/>
      <x:c r="M105" s="148"/>
      <x:c r="N105" s="148"/>
      <x:c r="O105" s="125"/>
      <x:c r="P105" s="125"/>
      <x:c r="Q105" s="125"/>
    </x:row>
    <x:row r="106">
      <x:c r="A106" s="148"/>
      <x:c r="B106" s="148"/>
      <x:c r="C106" s="148"/>
      <x:c r="D106" s="148"/>
      <x:c r="E106" s="148"/>
      <x:c r="F106" s="148"/>
      <x:c r="G106" s="148"/>
      <x:c r="H106" s="148"/>
      <x:c r="I106" s="148"/>
      <x:c r="J106" s="148"/>
      <x:c r="K106" s="148"/>
      <x:c r="L106" s="148"/>
      <x:c r="M106" s="148"/>
      <x:c r="N106" s="148"/>
      <x:c r="O106" s="125"/>
      <x:c r="P106" s="125"/>
      <x:c r="Q106" s="125"/>
    </x:row>
    <x:row r="107">
      <x:c r="A107" s="148"/>
      <x:c r="B107" s="148"/>
      <x:c r="C107" s="148"/>
      <x:c r="D107" s="148"/>
      <x:c r="E107" s="148"/>
      <x:c r="F107" s="148"/>
      <x:c r="G107" s="148"/>
      <x:c r="H107" s="148"/>
      <x:c r="I107" s="148"/>
      <x:c r="J107" s="148"/>
      <x:c r="K107" s="148"/>
      <x:c r="L107" s="148"/>
      <x:c r="M107" s="148"/>
      <x:c r="N107" s="148"/>
      <x:c r="O107" s="125"/>
      <x:c r="P107" s="125"/>
      <x:c r="Q107" s="125"/>
    </x:row>
    <x:row r="108">
      <x:c r="A108" s="148"/>
      <x:c r="B108" s="148"/>
      <x:c r="C108" s="148"/>
      <x:c r="D108" s="148"/>
      <x:c r="E108" s="148"/>
      <x:c r="F108" s="148"/>
      <x:c r="G108" s="148"/>
      <x:c r="H108" s="148"/>
      <x:c r="I108" s="148"/>
      <x:c r="J108" s="148"/>
      <x:c r="K108" s="148"/>
      <x:c r="L108" s="148"/>
      <x:c r="M108" s="148"/>
      <x:c r="N108" s="148"/>
      <x:c r="O108" s="125"/>
      <x:c r="P108" s="125"/>
      <x:c r="Q108" s="125"/>
    </x:row>
    <x:row r="109">
      <x:c r="A109" s="148"/>
      <x:c r="B109" s="148"/>
      <x:c r="C109" s="148"/>
      <x:c r="D109" s="148"/>
      <x:c r="E109" s="148"/>
      <x:c r="F109" s="148"/>
      <x:c r="G109" s="148"/>
      <x:c r="H109" s="148"/>
      <x:c r="I109" s="148"/>
      <x:c r="J109" s="148"/>
      <x:c r="K109" s="148"/>
      <x:c r="L109" s="148"/>
      <x:c r="M109" s="148"/>
      <x:c r="N109" s="148"/>
      <x:c r="O109" s="125"/>
      <x:c r="P109" s="125"/>
      <x:c r="Q109" s="125"/>
    </x:row>
    <x:row r="110">
      <x:c r="A110" s="148"/>
      <x:c r="B110" s="148"/>
      <x:c r="C110" s="148"/>
      <x:c r="D110" s="148"/>
      <x:c r="E110" s="148"/>
      <x:c r="F110" s="148"/>
      <x:c r="G110" s="148"/>
      <x:c r="H110" s="148"/>
      <x:c r="I110" s="148"/>
      <x:c r="J110" s="148"/>
      <x:c r="K110" s="148"/>
      <x:c r="L110" s="148"/>
      <x:c r="M110" s="148"/>
      <x:c r="N110" s="148"/>
      <x:c r="O110" s="125"/>
      <x:c r="P110" s="125"/>
      <x:c r="Q110" s="125"/>
    </x:row>
    <x:row r="111">
      <x:c r="A111" s="148"/>
      <x:c r="B111" s="148"/>
      <x:c r="C111" s="148"/>
      <x:c r="D111" s="148"/>
      <x:c r="E111" s="148"/>
      <x:c r="F111" s="148"/>
      <x:c r="G111" s="148"/>
      <x:c r="H111" s="148"/>
      <x:c r="I111" s="148"/>
      <x:c r="J111" s="148"/>
      <x:c r="K111" s="148"/>
      <x:c r="L111" s="148"/>
      <x:c r="M111" s="148"/>
      <x:c r="N111" s="148"/>
      <x:c r="O111" s="125"/>
      <x:c r="P111" s="125"/>
      <x:c r="Q111" s="125"/>
    </x:row>
    <x:row r="112">
      <x:c r="A112" s="148"/>
      <x:c r="B112" s="148"/>
      <x:c r="C112" s="148"/>
      <x:c r="D112" s="148"/>
      <x:c r="E112" s="148"/>
      <x:c r="F112" s="148"/>
      <x:c r="G112" s="148"/>
      <x:c r="H112" s="148"/>
      <x:c r="I112" s="148"/>
      <x:c r="J112" s="148"/>
      <x:c r="K112" s="148"/>
      <x:c r="L112" s="148"/>
      <x:c r="M112" s="148"/>
      <x:c r="N112" s="148"/>
      <x:c r="O112" s="125"/>
      <x:c r="P112" s="125"/>
      <x:c r="Q112" s="125"/>
    </x:row>
    <x:row r="113">
      <x:c r="A113" s="148"/>
      <x:c r="B113" s="148"/>
      <x:c r="C113" s="148"/>
      <x:c r="D113" s="148"/>
      <x:c r="E113" s="148"/>
      <x:c r="F113" s="148"/>
      <x:c r="G113" s="148"/>
      <x:c r="H113" s="148"/>
      <x:c r="I113" s="148"/>
      <x:c r="J113" s="148"/>
      <x:c r="K113" s="148"/>
      <x:c r="L113" s="148"/>
      <x:c r="M113" s="148"/>
      <x:c r="N113" s="148"/>
      <x:c r="O113" s="125"/>
      <x:c r="P113" s="125"/>
      <x:c r="Q113" s="125"/>
    </x:row>
    <x:row r="114">
      <x:c r="A114" s="148"/>
      <x:c r="B114" s="148"/>
      <x:c r="C114" s="148"/>
      <x:c r="D114" s="148"/>
      <x:c r="E114" s="148"/>
      <x:c r="F114" s="148"/>
      <x:c r="G114" s="148"/>
      <x:c r="H114" s="148"/>
      <x:c r="I114" s="148"/>
      <x:c r="J114" s="148"/>
      <x:c r="K114" s="148"/>
      <x:c r="L114" s="148"/>
      <x:c r="M114" s="148"/>
      <x:c r="N114" s="148"/>
      <x:c r="O114" s="125"/>
      <x:c r="P114" s="125"/>
      <x:c r="Q114" s="125"/>
    </x:row>
    <x:row r="115">
      <x:c r="A115" s="148"/>
      <x:c r="B115" s="148"/>
      <x:c r="C115" s="148"/>
      <x:c r="D115" s="148"/>
      <x:c r="E115" s="148"/>
      <x:c r="F115" s="148"/>
      <x:c r="G115" s="148"/>
      <x:c r="H115" s="148"/>
      <x:c r="I115" s="148"/>
      <x:c r="J115" s="148"/>
      <x:c r="K115" s="148"/>
      <x:c r="L115" s="148"/>
      <x:c r="M115" s="148"/>
      <x:c r="N115" s="148"/>
      <x:c r="O115" s="125"/>
      <x:c r="P115" s="125"/>
      <x:c r="Q115" s="125"/>
    </x:row>
    <x:row r="116">
      <x:c r="A116" s="148"/>
      <x:c r="B116" s="148"/>
      <x:c r="C116" s="148"/>
      <x:c r="D116" s="148"/>
      <x:c r="E116" s="148"/>
      <x:c r="F116" s="148"/>
      <x:c r="G116" s="148"/>
      <x:c r="H116" s="148"/>
      <x:c r="I116" s="148"/>
      <x:c r="J116" s="148"/>
      <x:c r="K116" s="148"/>
      <x:c r="L116" s="148"/>
      <x:c r="M116" s="148"/>
      <x:c r="N116" s="148"/>
      <x:c r="O116" s="125"/>
      <x:c r="P116" s="125"/>
      <x:c r="Q116" s="125"/>
    </x:row>
    <x:row r="117">
      <x:c r="A117" s="148"/>
      <x:c r="B117" s="148"/>
      <x:c r="C117" s="148"/>
      <x:c r="D117" s="148"/>
      <x:c r="E117" s="148"/>
      <x:c r="F117" s="148"/>
      <x:c r="G117" s="148"/>
      <x:c r="H117" s="148"/>
      <x:c r="I117" s="148"/>
      <x:c r="J117" s="148"/>
      <x:c r="K117" s="148"/>
      <x:c r="L117" s="148"/>
      <x:c r="M117" s="148"/>
      <x:c r="N117" s="148"/>
      <x:c r="O117" s="125"/>
      <x:c r="P117" s="125"/>
      <x:c r="Q117" s="125"/>
    </x:row>
    <x:row r="118">
      <x:c r="A118" s="148"/>
      <x:c r="B118" s="148"/>
      <x:c r="C118" s="148"/>
      <x:c r="D118" s="148"/>
      <x:c r="E118" s="148"/>
      <x:c r="F118" s="148"/>
      <x:c r="G118" s="148"/>
      <x:c r="H118" s="148"/>
      <x:c r="I118" s="148"/>
      <x:c r="J118" s="148"/>
      <x:c r="K118" s="148"/>
      <x:c r="L118" s="148"/>
      <x:c r="M118" s="148"/>
      <x:c r="N118" s="148"/>
      <x:c r="O118" s="125"/>
      <x:c r="P118" s="125"/>
      <x:c r="Q118" s="125"/>
    </x:row>
    <x:row r="119">
      <x:c r="A119" s="148"/>
      <x:c r="B119" s="148"/>
      <x:c r="C119" s="148"/>
      <x:c r="D119" s="148"/>
      <x:c r="E119" s="148"/>
      <x:c r="F119" s="148"/>
      <x:c r="G119" s="148"/>
      <x:c r="H119" s="148"/>
      <x:c r="I119" s="148"/>
      <x:c r="J119" s="148"/>
      <x:c r="K119" s="148"/>
      <x:c r="L119" s="148"/>
      <x:c r="M119" s="148"/>
      <x:c r="N119" s="148"/>
      <x:c r="O119" s="125"/>
      <x:c r="P119" s="125"/>
      <x:c r="Q119" s="125"/>
    </x:row>
    <x:row r="120">
      <x:c r="A120" s="148"/>
      <x:c r="B120" s="148"/>
      <x:c r="C120" s="148"/>
      <x:c r="D120" s="148"/>
      <x:c r="E120" s="148"/>
      <x:c r="F120" s="148"/>
      <x:c r="G120" s="148"/>
      <x:c r="H120" s="148"/>
      <x:c r="I120" s="148"/>
      <x:c r="J120" s="148"/>
      <x:c r="K120" s="148"/>
      <x:c r="L120" s="148"/>
      <x:c r="M120" s="148"/>
      <x:c r="N120" s="148"/>
      <x:c r="O120" s="125"/>
      <x:c r="P120" s="125"/>
      <x:c r="Q120" s="125"/>
    </x:row>
    <x:row r="121">
      <x:c r="A121" s="148"/>
      <x:c r="B121" s="148"/>
      <x:c r="C121" s="148"/>
      <x:c r="D121" s="148"/>
      <x:c r="E121" s="148"/>
      <x:c r="F121" s="148"/>
      <x:c r="G121" s="148"/>
      <x:c r="H121" s="148"/>
      <x:c r="I121" s="148"/>
      <x:c r="J121" s="148"/>
      <x:c r="K121" s="148"/>
      <x:c r="L121" s="148"/>
      <x:c r="M121" s="148"/>
      <x:c r="N121" s="148"/>
      <x:c r="O121" s="125"/>
      <x:c r="P121" s="125"/>
      <x:c r="Q121" s="125"/>
    </x:row>
    <x:row r="122">
      <x:c r="A122" s="148"/>
      <x:c r="B122" s="148"/>
      <x:c r="C122" s="148"/>
      <x:c r="D122" s="148"/>
      <x:c r="E122" s="148"/>
      <x:c r="F122" s="148"/>
      <x:c r="G122" s="148"/>
      <x:c r="H122" s="148"/>
      <x:c r="I122" s="148"/>
      <x:c r="J122" s="148"/>
      <x:c r="K122" s="148"/>
      <x:c r="L122" s="148"/>
      <x:c r="M122" s="148"/>
      <x:c r="N122" s="148"/>
      <x:c r="O122" s="125"/>
      <x:c r="P122" s="125"/>
      <x:c r="Q122" s="125"/>
    </x:row>
    <x:row r="123">
      <x:c r="A123" s="148"/>
      <x:c r="B123" s="148"/>
      <x:c r="C123" s="148"/>
      <x:c r="D123" s="148"/>
      <x:c r="E123" s="148"/>
      <x:c r="F123" s="148"/>
      <x:c r="G123" s="148"/>
      <x:c r="H123" s="148"/>
      <x:c r="I123" s="148"/>
      <x:c r="J123" s="148"/>
      <x:c r="K123" s="148"/>
      <x:c r="L123" s="148"/>
      <x:c r="M123" s="148"/>
      <x:c r="N123" s="148"/>
      <x:c r="O123" s="125"/>
      <x:c r="P123" s="125"/>
      <x:c r="Q123" s="125"/>
    </x:row>
    <x:row r="124">
      <x:c r="A124" s="148"/>
      <x:c r="B124" s="148"/>
      <x:c r="C124" s="148"/>
      <x:c r="D124" s="148"/>
      <x:c r="E124" s="148"/>
      <x:c r="F124" s="148"/>
      <x:c r="G124" s="148"/>
      <x:c r="H124" s="148"/>
      <x:c r="I124" s="148"/>
      <x:c r="J124" s="148"/>
      <x:c r="K124" s="148"/>
      <x:c r="L124" s="148"/>
      <x:c r="M124" s="148"/>
      <x:c r="N124" s="148"/>
      <x:c r="O124" s="125"/>
      <x:c r="P124" s="125"/>
      <x:c r="Q124" s="125"/>
    </x:row>
    <x:row r="125">
      <x:c r="A125" s="148"/>
      <x:c r="B125" s="148"/>
      <x:c r="C125" s="148"/>
      <x:c r="D125" s="148"/>
      <x:c r="E125" s="148"/>
      <x:c r="F125" s="148"/>
      <x:c r="G125" s="148"/>
      <x:c r="H125" s="148"/>
      <x:c r="I125" s="148"/>
      <x:c r="J125" s="148"/>
      <x:c r="K125" s="148"/>
      <x:c r="L125" s="148"/>
      <x:c r="M125" s="148"/>
      <x:c r="N125" s="148"/>
      <x:c r="O125" s="125"/>
      <x:c r="P125" s="125"/>
      <x:c r="Q125" s="125"/>
    </x:row>
    <x:row r="126">
      <x:c r="A126" s="148"/>
      <x:c r="B126" s="148"/>
      <x:c r="C126" s="148"/>
      <x:c r="D126" s="148"/>
      <x:c r="E126" s="148"/>
      <x:c r="F126" s="148"/>
      <x:c r="G126" s="148"/>
      <x:c r="H126" s="148"/>
      <x:c r="I126" s="148"/>
      <x:c r="J126" s="148"/>
      <x:c r="K126" s="148"/>
      <x:c r="L126" s="148"/>
      <x:c r="M126" s="148"/>
      <x:c r="N126" s="148"/>
      <x:c r="O126" s="125"/>
      <x:c r="P126" s="125"/>
      <x:c r="Q126" s="125"/>
    </x:row>
    <x:row r="127">
      <x:c r="A127" s="148"/>
      <x:c r="B127" s="148"/>
      <x:c r="C127" s="148"/>
      <x:c r="D127" s="148"/>
      <x:c r="E127" s="148"/>
      <x:c r="F127" s="148"/>
      <x:c r="G127" s="148"/>
      <x:c r="H127" s="148"/>
      <x:c r="I127" s="148"/>
      <x:c r="J127" s="148"/>
      <x:c r="K127" s="148"/>
      <x:c r="L127" s="148"/>
      <x:c r="M127" s="148"/>
      <x:c r="N127" s="148"/>
      <x:c r="O127" s="125"/>
      <x:c r="P127" s="125"/>
      <x:c r="Q127" s="125"/>
    </x:row>
    <x:row r="128">
      <x:c r="A128" s="148"/>
      <x:c r="B128" s="148"/>
      <x:c r="C128" s="148"/>
      <x:c r="D128" s="148"/>
      <x:c r="E128" s="148"/>
      <x:c r="F128" s="148"/>
      <x:c r="G128" s="148"/>
      <x:c r="H128" s="148"/>
      <x:c r="I128" s="148"/>
      <x:c r="J128" s="148"/>
      <x:c r="K128" s="148"/>
      <x:c r="L128" s="148"/>
      <x:c r="M128" s="148"/>
      <x:c r="N128" s="148"/>
      <x:c r="O128" s="125"/>
      <x:c r="P128" s="125"/>
      <x:c r="Q128" s="125"/>
    </x:row>
    <x:row r="129">
      <x:c r="A129" s="148"/>
      <x:c r="B129" s="148"/>
      <x:c r="C129" s="148"/>
      <x:c r="D129" s="148"/>
      <x:c r="E129" s="148"/>
      <x:c r="F129" s="148"/>
      <x:c r="G129" s="148"/>
      <x:c r="H129" s="148"/>
      <x:c r="I129" s="148"/>
      <x:c r="J129" s="148"/>
      <x:c r="K129" s="148"/>
      <x:c r="L129" s="148"/>
      <x:c r="M129" s="148"/>
      <x:c r="N129" s="148"/>
      <x:c r="O129" s="125"/>
      <x:c r="P129" s="125"/>
      <x:c r="Q129" s="125"/>
    </x:row>
    <x:row r="130">
      <x:c r="A130" s="148"/>
      <x:c r="B130" s="148"/>
      <x:c r="C130" s="148"/>
      <x:c r="D130" s="148"/>
      <x:c r="E130" s="148"/>
      <x:c r="F130" s="148"/>
      <x:c r="G130" s="148"/>
      <x:c r="H130" s="148"/>
      <x:c r="I130" s="148"/>
      <x:c r="J130" s="148"/>
      <x:c r="K130" s="148"/>
      <x:c r="L130" s="148"/>
      <x:c r="M130" s="148"/>
      <x:c r="N130" s="148"/>
      <x:c r="O130" s="125"/>
      <x:c r="P130" s="125"/>
      <x:c r="Q130" s="125"/>
    </x:row>
    <x:row r="131">
      <x:c r="A131" s="148"/>
      <x:c r="B131" s="148"/>
      <x:c r="C131" s="148"/>
      <x:c r="D131" s="148"/>
      <x:c r="E131" s="148"/>
      <x:c r="F131" s="148"/>
      <x:c r="G131" s="148"/>
      <x:c r="H131" s="148"/>
      <x:c r="I131" s="148"/>
      <x:c r="J131" s="148"/>
      <x:c r="K131" s="148"/>
      <x:c r="L131" s="148"/>
      <x:c r="M131" s="148"/>
      <x:c r="N131" s="148"/>
      <x:c r="O131" s="125"/>
      <x:c r="P131" s="125"/>
      <x:c r="Q131" s="125"/>
    </x:row>
    <x:row r="132">
      <x:c r="A132" s="148"/>
      <x:c r="B132" s="148"/>
      <x:c r="C132" s="148"/>
      <x:c r="D132" s="148"/>
      <x:c r="E132" s="148"/>
      <x:c r="F132" s="148"/>
      <x:c r="G132" s="148"/>
      <x:c r="H132" s="148"/>
      <x:c r="I132" s="148"/>
      <x:c r="J132" s="148"/>
      <x:c r="K132" s="148"/>
      <x:c r="L132" s="148"/>
      <x:c r="M132" s="148"/>
      <x:c r="N132" s="148"/>
      <x:c r="O132" s="125"/>
      <x:c r="P132" s="125"/>
      <x:c r="Q132" s="125"/>
    </x:row>
    <x:row r="133">
      <x:c r="A133" s="148"/>
      <x:c r="B133" s="148"/>
      <x:c r="C133" s="148"/>
      <x:c r="D133" s="148"/>
      <x:c r="E133" s="148"/>
      <x:c r="F133" s="148"/>
      <x:c r="G133" s="148"/>
      <x:c r="H133" s="148"/>
      <x:c r="I133" s="148"/>
      <x:c r="J133" s="148"/>
      <x:c r="K133" s="148"/>
      <x:c r="L133" s="148"/>
      <x:c r="M133" s="148"/>
      <x:c r="N133" s="148"/>
      <x:c r="O133" s="125"/>
      <x:c r="P133" s="125"/>
      <x:c r="Q133" s="125"/>
    </x:row>
    <x:row r="134">
      <x:c r="A134" s="148"/>
      <x:c r="B134" s="148"/>
      <x:c r="C134" s="148"/>
      <x:c r="D134" s="148"/>
      <x:c r="E134" s="148"/>
      <x:c r="F134" s="148"/>
      <x:c r="G134" s="148"/>
      <x:c r="H134" s="148"/>
      <x:c r="I134" s="148"/>
      <x:c r="J134" s="148"/>
      <x:c r="K134" s="148"/>
      <x:c r="L134" s="148"/>
      <x:c r="M134" s="148"/>
      <x:c r="N134" s="148"/>
      <x:c r="O134" s="125"/>
      <x:c r="P134" s="125"/>
      <x:c r="Q134" s="125"/>
    </x:row>
    <x:row r="135">
      <x:c r="A135" s="148"/>
      <x:c r="B135" s="148"/>
      <x:c r="C135" s="148"/>
      <x:c r="D135" s="148"/>
      <x:c r="E135" s="148"/>
      <x:c r="F135" s="148"/>
      <x:c r="G135" s="148"/>
      <x:c r="H135" s="148"/>
      <x:c r="I135" s="148"/>
      <x:c r="J135" s="148"/>
      <x:c r="K135" s="148"/>
      <x:c r="L135" s="148"/>
      <x:c r="M135" s="148"/>
      <x:c r="N135" s="148"/>
      <x:c r="O135" s="125"/>
      <x:c r="P135" s="125"/>
      <x:c r="Q135" s="125"/>
    </x:row>
    <x:row r="136">
      <x:c r="A136" s="148"/>
      <x:c r="B136" s="148"/>
      <x:c r="C136" s="148"/>
      <x:c r="D136" s="148"/>
      <x:c r="E136" s="148"/>
      <x:c r="F136" s="148"/>
      <x:c r="G136" s="148"/>
      <x:c r="H136" s="148"/>
      <x:c r="I136" s="148"/>
      <x:c r="J136" s="148"/>
      <x:c r="K136" s="148"/>
      <x:c r="L136" s="148"/>
      <x:c r="M136" s="148"/>
      <x:c r="N136" s="148"/>
      <x:c r="O136" s="125"/>
      <x:c r="P136" s="125"/>
      <x:c r="Q136" s="125"/>
    </x:row>
    <x:row r="137">
      <x:c r="A137" s="148"/>
      <x:c r="B137" s="148"/>
      <x:c r="C137" s="148"/>
      <x:c r="D137" s="148"/>
      <x:c r="E137" s="148"/>
      <x:c r="F137" s="148"/>
      <x:c r="G137" s="148"/>
      <x:c r="H137" s="148"/>
      <x:c r="I137" s="148"/>
      <x:c r="J137" s="148"/>
      <x:c r="K137" s="148"/>
      <x:c r="L137" s="148"/>
      <x:c r="M137" s="148"/>
      <x:c r="N137" s="148"/>
      <x:c r="O137" s="125"/>
      <x:c r="P137" s="125"/>
      <x:c r="Q137" s="125"/>
    </x:row>
    <x:row r="138">
      <x:c r="A138" s="148"/>
      <x:c r="B138" s="148"/>
      <x:c r="C138" s="148"/>
      <x:c r="D138" s="148"/>
      <x:c r="E138" s="148"/>
      <x:c r="F138" s="148"/>
      <x:c r="G138" s="148"/>
      <x:c r="H138" s="148"/>
      <x:c r="I138" s="148"/>
      <x:c r="J138" s="148"/>
      <x:c r="K138" s="148"/>
      <x:c r="L138" s="148"/>
      <x:c r="M138" s="148"/>
      <x:c r="N138" s="148"/>
      <x:c r="O138" s="125"/>
      <x:c r="P138" s="125"/>
      <x:c r="Q138" s="125"/>
    </x:row>
    <x:row r="139">
      <x:c r="A139" s="148"/>
      <x:c r="B139" s="148"/>
      <x:c r="C139" s="148"/>
      <x:c r="D139" s="148"/>
      <x:c r="E139" s="148"/>
      <x:c r="F139" s="148"/>
      <x:c r="G139" s="148"/>
      <x:c r="H139" s="148"/>
      <x:c r="I139" s="148"/>
      <x:c r="J139" s="148"/>
      <x:c r="K139" s="148"/>
      <x:c r="L139" s="148"/>
      <x:c r="M139" s="148"/>
      <x:c r="N139" s="148"/>
      <x:c r="O139" s="125"/>
      <x:c r="P139" s="125"/>
      <x:c r="Q139" s="125"/>
    </x:row>
    <x:row r="140">
      <x:c r="A140" s="148"/>
      <x:c r="B140" s="148"/>
      <x:c r="C140" s="148"/>
      <x:c r="D140" s="148"/>
      <x:c r="E140" s="148"/>
      <x:c r="F140" s="148"/>
      <x:c r="G140" s="148"/>
      <x:c r="H140" s="148"/>
      <x:c r="I140" s="148"/>
      <x:c r="J140" s="148"/>
      <x:c r="K140" s="148"/>
      <x:c r="L140" s="148"/>
      <x:c r="M140" s="148"/>
      <x:c r="N140" s="148"/>
      <x:c r="O140" s="125"/>
      <x:c r="P140" s="125"/>
      <x:c r="Q140" s="125"/>
    </x:row>
    <x:row r="141">
      <x:c r="A141" s="148"/>
      <x:c r="B141" s="148"/>
      <x:c r="C141" s="148"/>
      <x:c r="D141" s="148"/>
      <x:c r="E141" s="148"/>
      <x:c r="F141" s="148"/>
      <x:c r="G141" s="148"/>
      <x:c r="H141" s="148"/>
      <x:c r="I141" s="148"/>
      <x:c r="J141" s="148"/>
      <x:c r="K141" s="148"/>
      <x:c r="L141" s="148"/>
      <x:c r="M141" s="148"/>
      <x:c r="N141" s="148"/>
      <x:c r="O141" s="125"/>
      <x:c r="P141" s="125"/>
      <x:c r="Q141" s="125"/>
    </x:row>
    <x:row r="142">
      <x:c r="A142" s="148"/>
      <x:c r="B142" s="148"/>
      <x:c r="C142" s="148"/>
      <x:c r="D142" s="148"/>
      <x:c r="E142" s="148"/>
      <x:c r="F142" s="148"/>
      <x:c r="G142" s="148"/>
      <x:c r="H142" s="148"/>
      <x:c r="I142" s="148"/>
      <x:c r="J142" s="148"/>
      <x:c r="K142" s="148"/>
      <x:c r="L142" s="148"/>
      <x:c r="M142" s="148"/>
      <x:c r="N142" s="148"/>
      <x:c r="O142" s="125"/>
      <x:c r="P142" s="125"/>
      <x:c r="Q142" s="125"/>
    </x:row>
    <x:row r="143">
      <x:c r="A143" s="148"/>
      <x:c r="B143" s="148"/>
      <x:c r="C143" s="148"/>
      <x:c r="D143" s="148"/>
      <x:c r="E143" s="148"/>
      <x:c r="F143" s="148"/>
      <x:c r="G143" s="148"/>
      <x:c r="H143" s="148"/>
      <x:c r="I143" s="148"/>
      <x:c r="J143" s="148"/>
      <x:c r="K143" s="148"/>
      <x:c r="L143" s="148"/>
      <x:c r="M143" s="148"/>
      <x:c r="N143" s="148"/>
      <x:c r="O143" s="125"/>
      <x:c r="P143" s="125"/>
      <x:c r="Q143" s="125"/>
    </x:row>
    <x:row r="144">
      <x:c r="A144" s="148"/>
      <x:c r="B144" s="148"/>
      <x:c r="C144" s="148"/>
      <x:c r="D144" s="148"/>
      <x:c r="E144" s="148"/>
      <x:c r="F144" s="148"/>
      <x:c r="G144" s="148"/>
      <x:c r="H144" s="148"/>
      <x:c r="I144" s="148"/>
      <x:c r="J144" s="148"/>
      <x:c r="K144" s="148"/>
      <x:c r="L144" s="148"/>
      <x:c r="M144" s="148"/>
      <x:c r="N144" s="148"/>
      <x:c r="O144" s="125"/>
      <x:c r="P144" s="125"/>
      <x:c r="Q144" s="125"/>
    </x:row>
    <x:row r="145">
      <x:c r="A145" s="148"/>
      <x:c r="B145" s="148"/>
      <x:c r="C145" s="148"/>
      <x:c r="D145" s="148"/>
      <x:c r="E145" s="148"/>
      <x:c r="F145" s="148"/>
      <x:c r="G145" s="148"/>
      <x:c r="H145" s="148"/>
      <x:c r="I145" s="148"/>
      <x:c r="J145" s="148"/>
      <x:c r="K145" s="148"/>
      <x:c r="L145" s="148"/>
      <x:c r="M145" s="148"/>
      <x:c r="N145" s="148"/>
      <x:c r="O145" s="125"/>
      <x:c r="P145" s="125"/>
      <x:c r="Q145" s="125"/>
    </x:row>
    <x:row r="146">
      <x:c r="A146" s="148"/>
      <x:c r="B146" s="148"/>
      <x:c r="C146" s="148"/>
      <x:c r="D146" s="148"/>
      <x:c r="E146" s="148"/>
      <x:c r="F146" s="148"/>
      <x:c r="G146" s="148"/>
      <x:c r="H146" s="148"/>
      <x:c r="I146" s="148"/>
      <x:c r="J146" s="148"/>
      <x:c r="K146" s="148"/>
      <x:c r="L146" s="148"/>
      <x:c r="M146" s="148"/>
      <x:c r="N146" s="148"/>
      <x:c r="O146" s="125"/>
      <x:c r="P146" s="125"/>
      <x:c r="Q146" s="125"/>
    </x:row>
    <x:row r="147">
      <x:c r="A147" s="148"/>
      <x:c r="B147" s="148"/>
      <x:c r="C147" s="148"/>
      <x:c r="D147" s="148"/>
      <x:c r="E147" s="148"/>
      <x:c r="F147" s="148"/>
      <x:c r="G147" s="148"/>
      <x:c r="H147" s="148"/>
      <x:c r="I147" s="148"/>
      <x:c r="J147" s="148"/>
      <x:c r="K147" s="148"/>
      <x:c r="L147" s="148"/>
      <x:c r="M147" s="148"/>
      <x:c r="N147" s="148"/>
      <x:c r="O147" s="125"/>
      <x:c r="P147" s="125"/>
      <x:c r="Q147" s="125"/>
    </x:row>
    <x:row r="148">
      <x:c r="A148" s="148"/>
      <x:c r="B148" s="148"/>
      <x:c r="C148" s="148"/>
      <x:c r="D148" s="148"/>
      <x:c r="E148" s="148"/>
      <x:c r="F148" s="148"/>
      <x:c r="G148" s="148"/>
      <x:c r="H148" s="148"/>
      <x:c r="I148" s="148"/>
      <x:c r="J148" s="148"/>
      <x:c r="K148" s="148"/>
      <x:c r="L148" s="148"/>
      <x:c r="M148" s="148"/>
      <x:c r="N148" s="148"/>
      <x:c r="O148" s="125"/>
      <x:c r="P148" s="125"/>
      <x:c r="Q148" s="125"/>
    </x:row>
    <x:row r="149">
      <x:c r="A149" s="148"/>
      <x:c r="B149" s="148"/>
      <x:c r="C149" s="148"/>
      <x:c r="D149" s="148"/>
      <x:c r="E149" s="148"/>
      <x:c r="F149" s="148"/>
      <x:c r="G149" s="148"/>
      <x:c r="H149" s="148"/>
      <x:c r="I149" s="148"/>
      <x:c r="J149" s="148"/>
      <x:c r="K149" s="148"/>
      <x:c r="L149" s="148"/>
      <x:c r="M149" s="148"/>
      <x:c r="N149" s="148"/>
      <x:c r="O149" s="125"/>
      <x:c r="P149" s="125"/>
      <x:c r="Q149" s="125"/>
    </x:row>
    <x:row r="150">
      <x:c r="A150" s="148"/>
      <x:c r="B150" s="148"/>
      <x:c r="C150" s="148"/>
      <x:c r="D150" s="148"/>
      <x:c r="E150" s="148"/>
      <x:c r="F150" s="148"/>
      <x:c r="G150" s="148"/>
      <x:c r="H150" s="148"/>
      <x:c r="I150" s="148"/>
      <x:c r="J150" s="148"/>
      <x:c r="K150" s="148"/>
      <x:c r="L150" s="148"/>
      <x:c r="M150" s="148"/>
      <x:c r="N150" s="148"/>
      <x:c r="O150" s="125"/>
      <x:c r="P150" s="125"/>
      <x:c r="Q150" s="125"/>
    </x:row>
    <x:row r="151">
      <x:c r="A151" s="148"/>
      <x:c r="B151" s="148"/>
      <x:c r="C151" s="148"/>
      <x:c r="D151" s="148"/>
      <x:c r="E151" s="148"/>
      <x:c r="F151" s="148"/>
      <x:c r="G151" s="148"/>
      <x:c r="H151" s="148"/>
      <x:c r="I151" s="148"/>
      <x:c r="J151" s="148"/>
      <x:c r="K151" s="148"/>
      <x:c r="L151" s="148"/>
      <x:c r="M151" s="148"/>
      <x:c r="N151" s="148"/>
      <x:c r="O151" s="125"/>
      <x:c r="P151" s="125"/>
      <x:c r="Q151" s="125"/>
    </x:row>
    <x:row r="152">
      <x:c r="A152" s="148"/>
      <x:c r="B152" s="148"/>
      <x:c r="C152" s="148"/>
      <x:c r="D152" s="148"/>
      <x:c r="E152" s="148"/>
      <x:c r="F152" s="148"/>
      <x:c r="G152" s="148"/>
      <x:c r="H152" s="148"/>
      <x:c r="I152" s="148"/>
      <x:c r="J152" s="148"/>
      <x:c r="K152" s="148"/>
      <x:c r="L152" s="148"/>
      <x:c r="M152" s="148"/>
      <x:c r="N152" s="148"/>
      <x:c r="O152" s="125"/>
      <x:c r="P152" s="125"/>
      <x:c r="Q152" s="125"/>
    </x:row>
    <x:row r="153">
      <x:c r="A153" s="148"/>
      <x:c r="B153" s="148"/>
      <x:c r="C153" s="148"/>
      <x:c r="D153" s="148"/>
      <x:c r="E153" s="148"/>
      <x:c r="F153" s="148"/>
      <x:c r="G153" s="148"/>
      <x:c r="H153" s="148"/>
      <x:c r="I153" s="148"/>
      <x:c r="J153" s="148"/>
      <x:c r="K153" s="148"/>
      <x:c r="L153" s="148"/>
      <x:c r="M153" s="148"/>
      <x:c r="N153" s="148"/>
      <x:c r="O153" s="125"/>
      <x:c r="P153" s="125"/>
      <x:c r="Q153" s="125"/>
    </x:row>
    <x:row r="154">
      <x:c r="A154" s="148"/>
      <x:c r="B154" s="148"/>
      <x:c r="C154" s="148"/>
      <x:c r="D154" s="148"/>
      <x:c r="E154" s="148"/>
      <x:c r="F154" s="148"/>
      <x:c r="G154" s="148"/>
      <x:c r="H154" s="148"/>
      <x:c r="I154" s="148"/>
      <x:c r="J154" s="148"/>
      <x:c r="K154" s="148"/>
      <x:c r="L154" s="148"/>
      <x:c r="M154" s="148"/>
      <x:c r="N154" s="148"/>
      <x:c r="O154" s="125"/>
      <x:c r="P154" s="125"/>
      <x:c r="Q154" s="125"/>
    </x:row>
    <x:row r="155">
      <x:c r="A155" s="148"/>
      <x:c r="B155" s="148"/>
      <x:c r="C155" s="148"/>
      <x:c r="D155" s="148"/>
      <x:c r="E155" s="148"/>
      <x:c r="F155" s="148"/>
      <x:c r="G155" s="148"/>
      <x:c r="H155" s="148"/>
      <x:c r="I155" s="148"/>
      <x:c r="J155" s="148"/>
      <x:c r="K155" s="148"/>
      <x:c r="L155" s="148"/>
      <x:c r="M155" s="148"/>
      <x:c r="N155" s="148"/>
      <x:c r="O155" s="125"/>
      <x:c r="P155" s="125"/>
      <x:c r="Q155" s="125"/>
    </x:row>
    <x:row r="156">
      <x:c r="A156" s="148"/>
      <x:c r="B156" s="148"/>
      <x:c r="C156" s="148"/>
      <x:c r="D156" s="148"/>
      <x:c r="E156" s="148"/>
      <x:c r="F156" s="148"/>
      <x:c r="G156" s="148"/>
      <x:c r="H156" s="148"/>
      <x:c r="I156" s="148"/>
      <x:c r="J156" s="148"/>
      <x:c r="K156" s="148"/>
      <x:c r="L156" s="148"/>
      <x:c r="M156" s="148"/>
      <x:c r="N156" s="148"/>
      <x:c r="O156" s="125"/>
      <x:c r="P156" s="125"/>
      <x:c r="Q156" s="125"/>
    </x:row>
    <x:row r="157">
      <x:c r="A157" s="148"/>
      <x:c r="B157" s="148"/>
      <x:c r="C157" s="148"/>
      <x:c r="D157" s="148"/>
      <x:c r="E157" s="148"/>
      <x:c r="F157" s="148"/>
      <x:c r="G157" s="148"/>
      <x:c r="H157" s="148"/>
      <x:c r="I157" s="148"/>
      <x:c r="J157" s="148"/>
      <x:c r="K157" s="148"/>
      <x:c r="L157" s="148"/>
      <x:c r="M157" s="148"/>
      <x:c r="N157" s="148"/>
      <x:c r="O157" s="125"/>
      <x:c r="P157" s="125"/>
      <x:c r="Q157" s="125"/>
    </x:row>
    <x:row r="158">
      <x:c r="A158" s="148"/>
      <x:c r="B158" s="148"/>
      <x:c r="C158" s="148"/>
      <x:c r="D158" s="148"/>
      <x:c r="E158" s="148"/>
      <x:c r="F158" s="148"/>
      <x:c r="G158" s="148"/>
      <x:c r="H158" s="148"/>
      <x:c r="I158" s="148"/>
      <x:c r="J158" s="148"/>
      <x:c r="K158" s="148"/>
      <x:c r="L158" s="148"/>
      <x:c r="M158" s="148"/>
      <x:c r="N158" s="148"/>
      <x:c r="O158" s="125"/>
      <x:c r="P158" s="125"/>
      <x:c r="Q158" s="125"/>
    </x:row>
    <x:row r="159">
      <x:c r="A159" s="148"/>
      <x:c r="B159" s="148"/>
      <x:c r="C159" s="148"/>
      <x:c r="D159" s="148"/>
      <x:c r="E159" s="148"/>
      <x:c r="F159" s="148"/>
      <x:c r="G159" s="148"/>
      <x:c r="H159" s="148"/>
      <x:c r="I159" s="148"/>
      <x:c r="J159" s="148"/>
      <x:c r="K159" s="148"/>
      <x:c r="L159" s="148"/>
      <x:c r="M159" s="148"/>
      <x:c r="N159" s="148"/>
      <x:c r="O159" s="125"/>
      <x:c r="P159" s="125"/>
      <x:c r="Q159" s="125"/>
    </x:row>
    <x:row r="160">
      <x:c r="A160" s="148"/>
      <x:c r="B160" s="148"/>
      <x:c r="C160" s="148"/>
      <x:c r="D160" s="148"/>
      <x:c r="E160" s="148"/>
      <x:c r="F160" s="148"/>
      <x:c r="G160" s="148"/>
      <x:c r="H160" s="148"/>
      <x:c r="I160" s="148"/>
      <x:c r="J160" s="148"/>
      <x:c r="K160" s="148"/>
      <x:c r="L160" s="148"/>
      <x:c r="M160" s="148"/>
      <x:c r="N160" s="148"/>
      <x:c r="O160" s="125"/>
      <x:c r="P160" s="125"/>
      <x:c r="Q160" s="125"/>
    </x:row>
    <x:row r="161">
      <x:c r="A161" s="148"/>
      <x:c r="B161" s="148"/>
      <x:c r="C161" s="148"/>
      <x:c r="D161" s="148"/>
      <x:c r="E161" s="148"/>
      <x:c r="F161" s="148"/>
      <x:c r="G161" s="148"/>
      <x:c r="H161" s="148"/>
      <x:c r="I161" s="148"/>
      <x:c r="J161" s="148"/>
      <x:c r="K161" s="148"/>
      <x:c r="L161" s="148"/>
      <x:c r="M161" s="148"/>
      <x:c r="N161" s="148"/>
      <x:c r="O161" s="125"/>
      <x:c r="P161" s="125"/>
      <x:c r="Q161" s="125"/>
    </x:row>
    <x:row r="162">
      <x:c r="A162" s="148"/>
      <x:c r="B162" s="148"/>
      <x:c r="C162" s="148"/>
      <x:c r="D162" s="148"/>
      <x:c r="E162" s="148"/>
      <x:c r="F162" s="148"/>
      <x:c r="G162" s="148"/>
      <x:c r="H162" s="148"/>
      <x:c r="I162" s="148"/>
      <x:c r="J162" s="148"/>
      <x:c r="K162" s="148"/>
      <x:c r="L162" s="148"/>
      <x:c r="M162" s="148"/>
      <x:c r="N162" s="148"/>
      <x:c r="O162" s="125"/>
      <x:c r="P162" s="125"/>
      <x:c r="Q162" s="125"/>
    </x:row>
    <x:row r="163">
      <x:c r="A163" s="148"/>
      <x:c r="B163" s="148"/>
      <x:c r="C163" s="148"/>
      <x:c r="D163" s="148"/>
      <x:c r="E163" s="148"/>
      <x:c r="F163" s="148"/>
      <x:c r="G163" s="148"/>
      <x:c r="H163" s="148"/>
      <x:c r="I163" s="148"/>
      <x:c r="J163" s="148"/>
      <x:c r="K163" s="148"/>
      <x:c r="L163" s="148"/>
      <x:c r="M163" s="148"/>
      <x:c r="N163" s="148"/>
      <x:c r="O163" s="125"/>
      <x:c r="P163" s="125"/>
      <x:c r="Q163" s="125"/>
    </x:row>
    <x:row r="164">
      <x:c r="A164" s="148"/>
      <x:c r="B164" s="148"/>
      <x:c r="C164" s="148"/>
      <x:c r="D164" s="148"/>
      <x:c r="E164" s="148"/>
      <x:c r="F164" s="148"/>
      <x:c r="G164" s="148"/>
      <x:c r="H164" s="148"/>
      <x:c r="I164" s="148"/>
      <x:c r="J164" s="148"/>
      <x:c r="K164" s="148"/>
      <x:c r="L164" s="148"/>
      <x:c r="M164" s="148"/>
      <x:c r="N164" s="148"/>
      <x:c r="O164" s="125"/>
      <x:c r="P164" s="125"/>
      <x:c r="Q164" s="125"/>
    </x:row>
    <x:row r="165">
      <x:c r="A165" s="148"/>
      <x:c r="B165" s="148"/>
      <x:c r="C165" s="148"/>
      <x:c r="D165" s="148"/>
      <x:c r="E165" s="148"/>
      <x:c r="F165" s="148"/>
      <x:c r="G165" s="148"/>
      <x:c r="H165" s="148"/>
      <x:c r="I165" s="148"/>
      <x:c r="J165" s="148"/>
      <x:c r="K165" s="148"/>
      <x:c r="L165" s="148"/>
      <x:c r="M165" s="148"/>
      <x:c r="N165" s="148"/>
      <x:c r="O165" s="125"/>
      <x:c r="P165" s="125"/>
      <x:c r="Q165" s="125"/>
    </x:row>
    <x:row r="166">
      <x:c r="A166" s="148"/>
      <x:c r="B166" s="148"/>
      <x:c r="C166" s="148"/>
      <x:c r="D166" s="148"/>
      <x:c r="E166" s="148"/>
      <x:c r="F166" s="148"/>
      <x:c r="G166" s="148"/>
      <x:c r="H166" s="148"/>
      <x:c r="I166" s="148"/>
      <x:c r="J166" s="148"/>
      <x:c r="K166" s="148"/>
      <x:c r="L166" s="148"/>
      <x:c r="M166" s="148"/>
      <x:c r="N166" s="148"/>
      <x:c r="O166" s="125"/>
      <x:c r="P166" s="125"/>
      <x:c r="Q166" s="125"/>
    </x:row>
    <x:row r="167">
      <x:c r="A167" s="148"/>
      <x:c r="B167" s="148"/>
      <x:c r="C167" s="148"/>
      <x:c r="D167" s="148"/>
      <x:c r="E167" s="148"/>
      <x:c r="F167" s="148"/>
      <x:c r="G167" s="148"/>
      <x:c r="H167" s="148"/>
      <x:c r="I167" s="148"/>
      <x:c r="J167" s="148"/>
      <x:c r="K167" s="148"/>
      <x:c r="L167" s="148"/>
      <x:c r="M167" s="148"/>
      <x:c r="N167" s="148"/>
      <x:c r="O167" s="125"/>
      <x:c r="P167" s="125"/>
      <x:c r="Q167" s="125"/>
    </x:row>
    <x:row r="168">
      <x:c r="A168" s="148"/>
      <x:c r="B168" s="148"/>
      <x:c r="C168" s="148"/>
      <x:c r="D168" s="148"/>
      <x:c r="E168" s="148"/>
      <x:c r="F168" s="148"/>
      <x:c r="G168" s="148"/>
      <x:c r="H168" s="148"/>
      <x:c r="I168" s="148"/>
      <x:c r="J168" s="148"/>
      <x:c r="K168" s="148"/>
      <x:c r="L168" s="148"/>
      <x:c r="M168" s="148"/>
      <x:c r="N168" s="148"/>
      <x:c r="O168" s="125"/>
      <x:c r="P168" s="125"/>
      <x:c r="Q168" s="125"/>
    </x:row>
    <x:row r="169">
      <x:c r="A169" s="148"/>
      <x:c r="B169" s="148"/>
      <x:c r="C169" s="148"/>
      <x:c r="D169" s="148"/>
      <x:c r="E169" s="148"/>
      <x:c r="F169" s="148"/>
      <x:c r="G169" s="148"/>
      <x:c r="H169" s="148"/>
      <x:c r="I169" s="148"/>
      <x:c r="J169" s="148"/>
      <x:c r="K169" s="148"/>
      <x:c r="L169" s="148"/>
      <x:c r="M169" s="148"/>
      <x:c r="N169" s="148"/>
      <x:c r="O169" s="125"/>
      <x:c r="P169" s="125"/>
      <x:c r="Q169" s="125"/>
    </x:row>
    <x:row r="170">
      <x:c r="A170" s="148"/>
      <x:c r="B170" s="148"/>
      <x:c r="C170" s="148"/>
      <x:c r="D170" s="148"/>
      <x:c r="E170" s="148"/>
      <x:c r="F170" s="148"/>
      <x:c r="G170" s="148"/>
      <x:c r="H170" s="148"/>
      <x:c r="I170" s="148"/>
      <x:c r="J170" s="148"/>
      <x:c r="K170" s="148"/>
      <x:c r="L170" s="148"/>
      <x:c r="M170" s="148"/>
      <x:c r="N170" s="148"/>
      <x:c r="O170" s="125"/>
      <x:c r="P170" s="125"/>
      <x:c r="Q170" s="125"/>
    </x:row>
    <x:row r="171">
      <x:c r="A171" s="148"/>
      <x:c r="B171" s="148"/>
      <x:c r="C171" s="148"/>
      <x:c r="D171" s="148"/>
      <x:c r="E171" s="148"/>
      <x:c r="F171" s="148"/>
      <x:c r="G171" s="148"/>
      <x:c r="H171" s="148"/>
      <x:c r="I171" s="148"/>
      <x:c r="J171" s="148"/>
      <x:c r="K171" s="148"/>
      <x:c r="L171" s="148"/>
      <x:c r="M171" s="148"/>
      <x:c r="N171" s="148"/>
      <x:c r="O171" s="125"/>
      <x:c r="P171" s="125"/>
      <x:c r="Q171" s="125"/>
    </x:row>
    <x:row r="172">
      <x:c r="A172" s="148"/>
      <x:c r="B172" s="148"/>
      <x:c r="C172" s="148"/>
      <x:c r="D172" s="148"/>
      <x:c r="E172" s="148"/>
      <x:c r="F172" s="148"/>
      <x:c r="G172" s="148"/>
      <x:c r="H172" s="148"/>
      <x:c r="I172" s="148"/>
      <x:c r="J172" s="148"/>
      <x:c r="K172" s="148"/>
      <x:c r="L172" s="148"/>
      <x:c r="M172" s="148"/>
      <x:c r="N172" s="148"/>
      <x:c r="O172" s="125"/>
      <x:c r="P172" s="125"/>
      <x:c r="Q172" s="125"/>
    </x:row>
    <x:row r="173">
      <x:c r="A173" s="148"/>
      <x:c r="B173" s="148"/>
      <x:c r="C173" s="148"/>
      <x:c r="D173" s="148"/>
      <x:c r="E173" s="148"/>
      <x:c r="F173" s="148"/>
      <x:c r="G173" s="148"/>
      <x:c r="H173" s="148"/>
      <x:c r="I173" s="148"/>
      <x:c r="J173" s="148"/>
      <x:c r="K173" s="148"/>
      <x:c r="L173" s="148"/>
      <x:c r="M173" s="148"/>
      <x:c r="N173" s="148"/>
      <x:c r="O173" s="125"/>
      <x:c r="P173" s="125"/>
      <x:c r="Q173" s="125"/>
    </x:row>
    <x:row r="174">
      <x:c r="A174" s="148"/>
      <x:c r="B174" s="148"/>
      <x:c r="C174" s="148"/>
      <x:c r="D174" s="148"/>
      <x:c r="E174" s="148"/>
      <x:c r="F174" s="148"/>
      <x:c r="G174" s="148"/>
      <x:c r="H174" s="148"/>
      <x:c r="I174" s="148"/>
      <x:c r="J174" s="148"/>
      <x:c r="K174" s="148"/>
      <x:c r="L174" s="148"/>
      <x:c r="M174" s="148"/>
      <x:c r="N174" s="148"/>
      <x:c r="O174" s="125"/>
      <x:c r="P174" s="125"/>
      <x:c r="Q174" s="125"/>
    </x:row>
    <x:row r="175">
      <x:c r="A175" s="148"/>
      <x:c r="B175" s="148"/>
      <x:c r="C175" s="148"/>
      <x:c r="D175" s="148"/>
      <x:c r="E175" s="148"/>
      <x:c r="F175" s="148"/>
      <x:c r="G175" s="148"/>
      <x:c r="H175" s="148"/>
      <x:c r="I175" s="148"/>
      <x:c r="J175" s="148"/>
      <x:c r="K175" s="148"/>
      <x:c r="L175" s="148"/>
      <x:c r="M175" s="148"/>
      <x:c r="N175" s="148"/>
      <x:c r="O175" s="125"/>
      <x:c r="P175" s="125"/>
      <x:c r="Q175" s="125"/>
    </x:row>
    <x:row r="176">
      <x:c r="A176" s="148"/>
      <x:c r="B176" s="148"/>
      <x:c r="C176" s="148"/>
      <x:c r="D176" s="148"/>
      <x:c r="E176" s="148"/>
      <x:c r="F176" s="148"/>
      <x:c r="G176" s="148"/>
      <x:c r="H176" s="148"/>
      <x:c r="I176" s="148"/>
      <x:c r="J176" s="148"/>
      <x:c r="K176" s="148"/>
      <x:c r="L176" s="148"/>
      <x:c r="M176" s="148"/>
      <x:c r="N176" s="148"/>
      <x:c r="O176" s="125"/>
      <x:c r="P176" s="125"/>
      <x:c r="Q176" s="125"/>
    </x:row>
    <x:row r="177">
      <x:c r="A177" s="148"/>
      <x:c r="B177" s="148"/>
      <x:c r="C177" s="148"/>
      <x:c r="D177" s="148"/>
      <x:c r="E177" s="148"/>
      <x:c r="F177" s="148"/>
      <x:c r="G177" s="148"/>
      <x:c r="H177" s="148"/>
      <x:c r="I177" s="148"/>
      <x:c r="J177" s="148"/>
      <x:c r="K177" s="148"/>
      <x:c r="L177" s="148"/>
      <x:c r="M177" s="148"/>
      <x:c r="N177" s="148"/>
      <x:c r="O177" s="125"/>
      <x:c r="P177" s="125"/>
      <x:c r="Q177" s="125"/>
    </x:row>
    <x:row r="178">
      <x:c r="A178" s="148"/>
      <x:c r="B178" s="148"/>
      <x:c r="C178" s="148"/>
      <x:c r="D178" s="148"/>
      <x:c r="E178" s="148"/>
      <x:c r="F178" s="148"/>
      <x:c r="G178" s="148"/>
      <x:c r="H178" s="148"/>
      <x:c r="I178" s="148"/>
      <x:c r="J178" s="148"/>
      <x:c r="K178" s="148"/>
      <x:c r="L178" s="148"/>
      <x:c r="M178" s="148"/>
      <x:c r="N178" s="148"/>
      <x:c r="O178" s="125"/>
      <x:c r="P178" s="125"/>
      <x:c r="Q178" s="125"/>
    </x:row>
    <x:row r="179">
      <x:c r="A179" s="148"/>
      <x:c r="B179" s="148"/>
      <x:c r="C179" s="148"/>
      <x:c r="D179" s="148"/>
      <x:c r="E179" s="148"/>
      <x:c r="F179" s="148"/>
      <x:c r="G179" s="148"/>
      <x:c r="H179" s="148"/>
      <x:c r="I179" s="148"/>
      <x:c r="J179" s="148"/>
      <x:c r="K179" s="148"/>
      <x:c r="L179" s="148"/>
      <x:c r="M179" s="148"/>
      <x:c r="N179" s="148"/>
      <x:c r="O179" s="125"/>
      <x:c r="P179" s="125"/>
      <x:c r="Q179" s="125"/>
    </x:row>
    <x:row r="180">
      <x:c r="A180" s="148"/>
      <x:c r="B180" s="148"/>
      <x:c r="C180" s="148"/>
      <x:c r="D180" s="148"/>
      <x:c r="E180" s="148"/>
      <x:c r="F180" s="148"/>
      <x:c r="G180" s="148"/>
      <x:c r="H180" s="148"/>
      <x:c r="I180" s="148"/>
      <x:c r="J180" s="148"/>
      <x:c r="K180" s="148"/>
      <x:c r="L180" s="148"/>
      <x:c r="M180" s="148"/>
      <x:c r="N180" s="148"/>
      <x:c r="O180" s="125"/>
      <x:c r="P180" s="125"/>
      <x:c r="Q180" s="125"/>
    </x:row>
    <x:row r="181">
      <x:c r="A181" s="148"/>
      <x:c r="B181" s="148"/>
      <x:c r="C181" s="148"/>
      <x:c r="D181" s="148"/>
      <x:c r="E181" s="148"/>
      <x:c r="F181" s="148"/>
      <x:c r="G181" s="148"/>
      <x:c r="H181" s="148"/>
      <x:c r="I181" s="148"/>
      <x:c r="J181" s="148"/>
      <x:c r="K181" s="148"/>
      <x:c r="L181" s="148"/>
      <x:c r="M181" s="148"/>
      <x:c r="N181" s="148"/>
      <x:c r="O181" s="125"/>
      <x:c r="P181" s="125"/>
      <x:c r="Q181" s="125"/>
    </x:row>
    <x:row r="182">
      <x:c r="A182" s="148"/>
      <x:c r="B182" s="148"/>
      <x:c r="C182" s="148"/>
      <x:c r="D182" s="148"/>
      <x:c r="E182" s="148"/>
      <x:c r="F182" s="148"/>
      <x:c r="G182" s="148"/>
      <x:c r="H182" s="148"/>
      <x:c r="I182" s="148"/>
      <x:c r="J182" s="148"/>
      <x:c r="K182" s="148"/>
      <x:c r="L182" s="148"/>
      <x:c r="M182" s="148"/>
      <x:c r="N182" s="148"/>
      <x:c r="O182" s="125"/>
      <x:c r="P182" s="125"/>
      <x:c r="Q182" s="125"/>
    </x:row>
    <x:row r="183">
      <x:c r="A183" s="148"/>
      <x:c r="B183" s="148"/>
      <x:c r="C183" s="148"/>
      <x:c r="D183" s="148"/>
      <x:c r="E183" s="148"/>
      <x:c r="F183" s="148"/>
      <x:c r="G183" s="148"/>
      <x:c r="H183" s="148"/>
      <x:c r="I183" s="148"/>
      <x:c r="J183" s="148"/>
      <x:c r="K183" s="148"/>
      <x:c r="L183" s="148"/>
      <x:c r="M183" s="148"/>
      <x:c r="N183" s="148"/>
      <x:c r="O183" s="125"/>
      <x:c r="P183" s="125"/>
      <x:c r="Q183" s="125"/>
    </x:row>
    <x:row r="184">
      <x:c r="A184" s="148"/>
      <x:c r="B184" s="148"/>
      <x:c r="C184" s="148"/>
      <x:c r="D184" s="148"/>
      <x:c r="E184" s="148"/>
      <x:c r="F184" s="148"/>
      <x:c r="G184" s="148"/>
      <x:c r="H184" s="148"/>
      <x:c r="I184" s="148"/>
      <x:c r="J184" s="148"/>
      <x:c r="K184" s="148"/>
      <x:c r="L184" s="148"/>
      <x:c r="M184" s="148"/>
      <x:c r="N184" s="148"/>
      <x:c r="O184" s="125"/>
      <x:c r="P184" s="125"/>
      <x:c r="Q184" s="125"/>
    </x:row>
    <x:row r="185">
      <x:c r="A185" s="148"/>
      <x:c r="B185" s="148"/>
      <x:c r="C185" s="148"/>
      <x:c r="D185" s="148"/>
      <x:c r="E185" s="148"/>
      <x:c r="F185" s="148"/>
      <x:c r="G185" s="148"/>
      <x:c r="H185" s="148"/>
      <x:c r="I185" s="148"/>
      <x:c r="J185" s="148"/>
      <x:c r="K185" s="148"/>
      <x:c r="L185" s="148"/>
      <x:c r="M185" s="148"/>
      <x:c r="N185" s="148"/>
      <x:c r="O185" s="125"/>
      <x:c r="P185" s="125"/>
      <x:c r="Q185" s="125"/>
    </x:row>
    <x:row r="186">
      <x:c r="A186" s="148"/>
      <x:c r="B186" s="148"/>
      <x:c r="C186" s="148"/>
      <x:c r="D186" s="148"/>
      <x:c r="E186" s="148"/>
      <x:c r="F186" s="148"/>
      <x:c r="G186" s="148"/>
      <x:c r="H186" s="148"/>
      <x:c r="I186" s="148"/>
      <x:c r="J186" s="148"/>
      <x:c r="K186" s="148"/>
      <x:c r="L186" s="148"/>
      <x:c r="M186" s="148"/>
      <x:c r="N186" s="148"/>
      <x:c r="O186" s="125"/>
      <x:c r="P186" s="125"/>
      <x:c r="Q186" s="125"/>
    </x:row>
    <x:row r="187">
      <x:c r="A187" s="148"/>
      <x:c r="B187" s="148"/>
      <x:c r="C187" s="148"/>
      <x:c r="D187" s="148"/>
      <x:c r="E187" s="148"/>
      <x:c r="F187" s="148"/>
      <x:c r="G187" s="148"/>
      <x:c r="H187" s="148"/>
      <x:c r="I187" s="148"/>
      <x:c r="J187" s="148"/>
      <x:c r="K187" s="148"/>
      <x:c r="L187" s="148"/>
      <x:c r="M187" s="148"/>
      <x:c r="N187" s="148"/>
      <x:c r="O187" s="125"/>
      <x:c r="P187" s="125"/>
      <x:c r="Q187" s="125"/>
    </x:row>
    <x:row r="188">
      <x:c r="A188" s="148"/>
      <x:c r="B188" s="148"/>
      <x:c r="C188" s="148"/>
      <x:c r="D188" s="148"/>
      <x:c r="E188" s="148"/>
      <x:c r="F188" s="148"/>
      <x:c r="G188" s="148"/>
      <x:c r="H188" s="148"/>
      <x:c r="I188" s="148"/>
      <x:c r="J188" s="148"/>
      <x:c r="K188" s="148"/>
      <x:c r="L188" s="148"/>
      <x:c r="M188" s="148"/>
      <x:c r="N188" s="148"/>
      <x:c r="O188" s="125"/>
      <x:c r="P188" s="125"/>
      <x:c r="Q188" s="125"/>
    </x:row>
    <x:row r="189">
      <x:c r="A189" s="148"/>
      <x:c r="B189" s="148"/>
      <x:c r="C189" s="148"/>
      <x:c r="D189" s="148"/>
      <x:c r="E189" s="148"/>
      <x:c r="F189" s="148"/>
      <x:c r="G189" s="148"/>
      <x:c r="H189" s="148"/>
      <x:c r="I189" s="148"/>
      <x:c r="J189" s="148"/>
      <x:c r="K189" s="148"/>
      <x:c r="L189" s="148"/>
      <x:c r="M189" s="148"/>
      <x:c r="N189" s="148"/>
      <x:c r="O189" s="125"/>
      <x:c r="P189" s="125"/>
      <x:c r="Q189" s="125"/>
    </x:row>
    <x:row r="190">
      <x:c r="A190" s="148"/>
      <x:c r="B190" s="148"/>
      <x:c r="C190" s="148"/>
      <x:c r="D190" s="148"/>
      <x:c r="E190" s="148"/>
      <x:c r="F190" s="148"/>
      <x:c r="G190" s="148"/>
      <x:c r="H190" s="148"/>
      <x:c r="I190" s="148"/>
      <x:c r="J190" s="148"/>
      <x:c r="K190" s="148"/>
      <x:c r="L190" s="148"/>
      <x:c r="M190" s="148"/>
      <x:c r="N190" s="148"/>
      <x:c r="O190" s="125"/>
      <x:c r="P190" s="125"/>
      <x:c r="Q190" s="125"/>
    </x:row>
    <x:row r="191">
      <x:c r="A191" s="148"/>
      <x:c r="B191" s="148"/>
      <x:c r="C191" s="148"/>
      <x:c r="D191" s="148"/>
      <x:c r="E191" s="148"/>
      <x:c r="F191" s="148"/>
      <x:c r="G191" s="148"/>
      <x:c r="H191" s="148"/>
      <x:c r="I191" s="148"/>
      <x:c r="J191" s="148"/>
      <x:c r="K191" s="148"/>
      <x:c r="L191" s="148"/>
      <x:c r="M191" s="148"/>
      <x:c r="N191" s="148"/>
      <x:c r="O191" s="125"/>
      <x:c r="P191" s="125"/>
      <x:c r="Q191" s="125"/>
    </x:row>
    <x:row r="192">
      <x:c r="A192" s="148"/>
      <x:c r="B192" s="148"/>
      <x:c r="C192" s="148"/>
      <x:c r="D192" s="148"/>
      <x:c r="E192" s="148"/>
      <x:c r="F192" s="148"/>
      <x:c r="G192" s="148"/>
      <x:c r="H192" s="148"/>
      <x:c r="I192" s="148"/>
      <x:c r="J192" s="148"/>
      <x:c r="K192" s="148"/>
      <x:c r="L192" s="148"/>
      <x:c r="M192" s="148"/>
      <x:c r="N192" s="148"/>
      <x:c r="O192" s="125"/>
      <x:c r="P192" s="125"/>
      <x:c r="Q192" s="125"/>
    </x:row>
    <x:row r="193">
      <x:c r="A193" s="148"/>
      <x:c r="B193" s="148"/>
      <x:c r="C193" s="148"/>
      <x:c r="D193" s="148"/>
      <x:c r="E193" s="148"/>
      <x:c r="F193" s="148"/>
      <x:c r="G193" s="148"/>
      <x:c r="H193" s="148"/>
      <x:c r="I193" s="148"/>
      <x:c r="J193" s="148"/>
      <x:c r="K193" s="148"/>
      <x:c r="L193" s="148"/>
      <x:c r="M193" s="148"/>
      <x:c r="N193" s="148"/>
      <x:c r="O193" s="125"/>
      <x:c r="P193" s="125"/>
      <x:c r="Q193" s="125"/>
    </x:row>
    <x:row r="194">
      <x:c r="A194" s="148"/>
      <x:c r="B194" s="148"/>
      <x:c r="C194" s="148"/>
      <x:c r="D194" s="148"/>
      <x:c r="E194" s="148"/>
      <x:c r="F194" s="148"/>
      <x:c r="G194" s="148"/>
      <x:c r="H194" s="148"/>
      <x:c r="I194" s="148"/>
      <x:c r="J194" s="148"/>
      <x:c r="K194" s="148"/>
      <x:c r="L194" s="148"/>
      <x:c r="M194" s="148"/>
      <x:c r="N194" s="148"/>
      <x:c r="O194" s="125"/>
      <x:c r="P194" s="125"/>
      <x:c r="Q194" s="125"/>
    </x:row>
    <x:row r="195">
      <x:c r="A195" s="148"/>
      <x:c r="B195" s="148"/>
      <x:c r="C195" s="148"/>
      <x:c r="D195" s="148"/>
      <x:c r="E195" s="148"/>
      <x:c r="F195" s="148"/>
      <x:c r="G195" s="148"/>
      <x:c r="H195" s="148"/>
      <x:c r="I195" s="148"/>
      <x:c r="J195" s="148"/>
      <x:c r="K195" s="148"/>
      <x:c r="L195" s="148"/>
      <x:c r="M195" s="148"/>
      <x:c r="N195" s="148"/>
      <x:c r="O195" s="125"/>
      <x:c r="P195" s="125"/>
      <x:c r="Q195" s="125"/>
    </x:row>
    <x:row r="196">
      <x:c r="A196" s="148"/>
      <x:c r="B196" s="148"/>
      <x:c r="C196" s="148"/>
      <x:c r="D196" s="148"/>
      <x:c r="E196" s="148"/>
      <x:c r="F196" s="148"/>
      <x:c r="G196" s="148"/>
      <x:c r="H196" s="148"/>
      <x:c r="I196" s="148"/>
      <x:c r="J196" s="148"/>
      <x:c r="K196" s="148"/>
      <x:c r="L196" s="148"/>
      <x:c r="M196" s="148"/>
      <x:c r="N196" s="148"/>
      <x:c r="O196" s="125"/>
      <x:c r="P196" s="125"/>
      <x:c r="Q196" s="125"/>
    </x:row>
    <x:row r="197">
      <x:c r="A197" s="148"/>
      <x:c r="B197" s="148"/>
      <x:c r="C197" s="148"/>
      <x:c r="D197" s="148"/>
      <x:c r="E197" s="148"/>
      <x:c r="F197" s="148"/>
      <x:c r="G197" s="148"/>
      <x:c r="H197" s="148"/>
      <x:c r="I197" s="148"/>
      <x:c r="J197" s="148"/>
      <x:c r="K197" s="148"/>
      <x:c r="L197" s="148"/>
      <x:c r="M197" s="148"/>
      <x:c r="N197" s="148"/>
      <x:c r="O197" s="125"/>
      <x:c r="P197" s="125"/>
      <x:c r="Q197" s="125"/>
    </x:row>
    <x:row r="198">
      <x:c r="A198" s="148"/>
      <x:c r="B198" s="148"/>
      <x:c r="C198" s="148"/>
      <x:c r="D198" s="148"/>
      <x:c r="E198" s="148"/>
      <x:c r="F198" s="148"/>
      <x:c r="G198" s="148"/>
      <x:c r="H198" s="148"/>
      <x:c r="I198" s="148"/>
      <x:c r="J198" s="148"/>
      <x:c r="K198" s="148"/>
      <x:c r="L198" s="148"/>
      <x:c r="M198" s="148"/>
      <x:c r="N198" s="148"/>
      <x:c r="O198" s="125"/>
      <x:c r="P198" s="125"/>
      <x:c r="Q198" s="125"/>
    </x:row>
    <x:row r="199">
      <x:c r="A199" s="148"/>
      <x:c r="B199" s="148"/>
      <x:c r="C199" s="148"/>
      <x:c r="D199" s="148"/>
      <x:c r="E199" s="148"/>
      <x:c r="F199" s="148"/>
      <x:c r="G199" s="148"/>
      <x:c r="H199" s="148"/>
      <x:c r="I199" s="148"/>
      <x:c r="J199" s="148"/>
      <x:c r="K199" s="148"/>
      <x:c r="L199" s="148"/>
      <x:c r="M199" s="148"/>
      <x:c r="N199" s="148"/>
      <x:c r="O199" s="125"/>
      <x:c r="P199" s="125"/>
      <x:c r="Q199" s="125"/>
    </x:row>
    <x:row r="200">
      <x:c r="A200" s="148"/>
      <x:c r="B200" s="148"/>
      <x:c r="C200" s="148"/>
      <x:c r="D200" s="148"/>
      <x:c r="E200" s="148"/>
      <x:c r="F200" s="148"/>
      <x:c r="G200" s="148"/>
      <x:c r="H200" s="148"/>
      <x:c r="I200" s="148"/>
      <x:c r="J200" s="148"/>
      <x:c r="K200" s="148"/>
      <x:c r="L200" s="148"/>
      <x:c r="M200" s="148"/>
      <x:c r="N200" s="148"/>
      <x:c r="O200" s="125"/>
      <x:c r="P200" s="125"/>
      <x:c r="Q200" s="125"/>
    </x:row>
    <x:row r="201">
      <x:c r="A201" s="148"/>
      <x:c r="B201" s="148"/>
      <x:c r="C201" s="148"/>
      <x:c r="D201" s="148"/>
      <x:c r="E201" s="148"/>
      <x:c r="F201" s="148"/>
      <x:c r="G201" s="148"/>
      <x:c r="H201" s="148"/>
      <x:c r="I201" s="148"/>
      <x:c r="J201" s="148"/>
      <x:c r="K201" s="148"/>
      <x:c r="L201" s="148"/>
      <x:c r="M201" s="148"/>
      <x:c r="N201" s="148"/>
      <x:c r="O201" s="125"/>
      <x:c r="P201" s="125"/>
      <x:c r="Q201" s="125"/>
    </x:row>
    <x:row r="202">
      <x:c r="A202" s="148"/>
      <x:c r="B202" s="148"/>
      <x:c r="C202" s="148"/>
      <x:c r="D202" s="148"/>
      <x:c r="E202" s="148"/>
      <x:c r="F202" s="148"/>
      <x:c r="G202" s="148"/>
      <x:c r="H202" s="148"/>
      <x:c r="I202" s="148"/>
      <x:c r="J202" s="148"/>
      <x:c r="K202" s="148"/>
      <x:c r="L202" s="148"/>
      <x:c r="M202" s="148"/>
      <x:c r="N202" s="148"/>
      <x:c r="O202" s="125"/>
      <x:c r="P202" s="125"/>
      <x:c r="Q202" s="125"/>
    </x:row>
    <x:row r="203">
      <x:c r="A203" s="148"/>
      <x:c r="B203" s="148"/>
      <x:c r="C203" s="148"/>
      <x:c r="D203" s="148"/>
      <x:c r="E203" s="148"/>
      <x:c r="F203" s="148"/>
      <x:c r="G203" s="148"/>
      <x:c r="H203" s="148"/>
      <x:c r="I203" s="148"/>
      <x:c r="J203" s="148"/>
      <x:c r="K203" s="148"/>
      <x:c r="L203" s="148"/>
      <x:c r="M203" s="148"/>
      <x:c r="N203" s="148"/>
      <x:c r="O203" s="125"/>
      <x:c r="P203" s="125"/>
      <x:c r="Q203" s="125"/>
    </x:row>
    <x:row r="204">
      <x:c r="A204" s="148"/>
      <x:c r="B204" s="148"/>
      <x:c r="C204" s="148"/>
      <x:c r="D204" s="148"/>
      <x:c r="E204" s="148"/>
      <x:c r="F204" s="148"/>
      <x:c r="G204" s="148"/>
      <x:c r="H204" s="148"/>
      <x:c r="I204" s="148"/>
      <x:c r="J204" s="148"/>
      <x:c r="K204" s="148"/>
      <x:c r="L204" s="148"/>
      <x:c r="M204" s="148"/>
      <x:c r="N204" s="148"/>
      <x:c r="O204" s="125"/>
      <x:c r="P204" s="125"/>
      <x:c r="Q204" s="125"/>
    </x:row>
    <x:row r="205">
      <x:c r="A205" s="148"/>
      <x:c r="B205" s="148"/>
      <x:c r="C205" s="148"/>
      <x:c r="D205" s="148"/>
      <x:c r="E205" s="148"/>
      <x:c r="F205" s="148"/>
      <x:c r="G205" s="148"/>
      <x:c r="H205" s="148"/>
      <x:c r="I205" s="148"/>
      <x:c r="J205" s="148"/>
      <x:c r="K205" s="148"/>
      <x:c r="L205" s="148"/>
      <x:c r="M205" s="148"/>
      <x:c r="N205" s="148"/>
      <x:c r="O205" s="125"/>
      <x:c r="P205" s="125"/>
      <x:c r="Q205" s="125"/>
    </x:row>
    <x:row r="206">
      <x:c r="A206" s="148"/>
      <x:c r="B206" s="148"/>
      <x:c r="C206" s="148"/>
      <x:c r="D206" s="148"/>
      <x:c r="E206" s="148"/>
      <x:c r="F206" s="148"/>
      <x:c r="G206" s="148"/>
      <x:c r="H206" s="148"/>
      <x:c r="I206" s="148"/>
      <x:c r="J206" s="148"/>
      <x:c r="K206" s="148"/>
      <x:c r="L206" s="148"/>
      <x:c r="M206" s="148"/>
      <x:c r="N206" s="148"/>
      <x:c r="O206" s="125"/>
      <x:c r="P206" s="125"/>
      <x:c r="Q206" s="125"/>
    </x:row>
    <x:row r="207">
      <x:c r="A207" s="125"/>
      <x:c r="B207" s="125"/>
      <x:c r="C207" s="125"/>
      <x:c r="D207" s="125"/>
      <x:c r="E207" s="125"/>
      <x:c r="F207" s="125"/>
      <x:c r="G207" s="125"/>
      <x:c r="H207" s="125"/>
      <x:c r="I207" s="125"/>
      <x:c r="J207" s="125"/>
      <x:c r="K207" s="125"/>
      <x:c r="L207" s="125"/>
      <x:c r="M207" s="125"/>
      <x:c r="N207" s="125"/>
      <x:c r="O207" s="125"/>
      <x:c r="P207" s="125"/>
      <x:c r="Q207" s="125"/>
    </x:row>
    <x:row r="208">
      <x:c r="A208" s="125"/>
      <x:c r="B208" s="125"/>
      <x:c r="C208" s="125"/>
      <x:c r="D208" s="125"/>
      <x:c r="E208" s="125"/>
      <x:c r="F208" s="125"/>
      <x:c r="G208" s="125"/>
      <x:c r="H208" s="125"/>
      <x:c r="I208" s="125"/>
      <x:c r="J208" s="125"/>
      <x:c r="K208" s="125"/>
      <x:c r="L208" s="125"/>
      <x:c r="M208" s="125"/>
      <x:c r="N208" s="125"/>
      <x:c r="O208" s="125"/>
      <x:c r="P208" s="125"/>
      <x:c r="Q208" s="125"/>
    </x:row>
    <x:row r="209">
      <x:c r="A209" s="125"/>
      <x:c r="B209" s="125"/>
      <x:c r="C209" s="125"/>
      <x:c r="D209" s="125"/>
      <x:c r="E209" s="125"/>
      <x:c r="F209" s="125"/>
      <x:c r="G209" s="125"/>
      <x:c r="H209" s="125"/>
      <x:c r="I209" s="125"/>
      <x:c r="J209" s="125"/>
      <x:c r="K209" s="125"/>
      <x:c r="L209" s="125"/>
      <x:c r="M209" s="125"/>
      <x:c r="N209" s="125"/>
      <x:c r="O209" s="125"/>
      <x:c r="P209" s="125"/>
      <x:c r="Q209" s="125"/>
    </x:row>
    <x:row r="210">
      <x:c r="A210" s="125"/>
      <x:c r="B210" s="125"/>
      <x:c r="C210" s="125"/>
      <x:c r="D210" s="125"/>
      <x:c r="E210" s="125"/>
      <x:c r="F210" s="125"/>
      <x:c r="G210" s="125"/>
      <x:c r="H210" s="125"/>
      <x:c r="I210" s="125"/>
      <x:c r="J210" s="125"/>
      <x:c r="K210" s="125"/>
      <x:c r="L210" s="125"/>
      <x:c r="M210" s="125"/>
      <x:c r="N210" s="125"/>
      <x:c r="O210" s="125"/>
      <x:c r="P210" s="125"/>
      <x:c r="Q210" s="125"/>
    </x:row>
    <x:row r="211">
      <x:c r="A211" s="125"/>
      <x:c r="B211" s="125"/>
      <x:c r="C211" s="125"/>
      <x:c r="D211" s="125"/>
      <x:c r="E211" s="125"/>
      <x:c r="F211" s="125"/>
      <x:c r="G211" s="125"/>
      <x:c r="H211" s="125"/>
      <x:c r="I211" s="125"/>
      <x:c r="J211" s="125"/>
      <x:c r="K211" s="125"/>
      <x:c r="L211" s="125"/>
      <x:c r="M211" s="125"/>
      <x:c r="N211" s="125"/>
      <x:c r="O211" s="125"/>
      <x:c r="P211" s="125"/>
      <x:c r="Q211" s="125"/>
    </x:row>
    <x:row r="212">
      <x:c r="A212" s="125"/>
      <x:c r="B212" s="125"/>
      <x:c r="C212" s="125"/>
      <x:c r="D212" s="125"/>
      <x:c r="E212" s="125"/>
      <x:c r="F212" s="125"/>
      <x:c r="G212" s="125"/>
      <x:c r="H212" s="125"/>
      <x:c r="I212" s="125"/>
      <x:c r="J212" s="125"/>
      <x:c r="K212" s="125"/>
      <x:c r="L212" s="125"/>
      <x:c r="M212" s="125"/>
      <x:c r="N212" s="125"/>
      <x:c r="O212" s="125"/>
      <x:c r="P212" s="125"/>
      <x:c r="Q212" s="125"/>
    </x:row>
    <x:row r="213">
      <x:c r="A213" s="125"/>
      <x:c r="B213" s="125"/>
      <x:c r="C213" s="125"/>
      <x:c r="D213" s="125"/>
      <x:c r="E213" s="125"/>
      <x:c r="F213" s="125"/>
      <x:c r="G213" s="125"/>
      <x:c r="H213" s="125"/>
      <x:c r="I213" s="125"/>
      <x:c r="J213" s="125"/>
      <x:c r="K213" s="125"/>
      <x:c r="L213" s="125"/>
      <x:c r="M213" s="125"/>
      <x:c r="N213" s="125"/>
      <x:c r="O213" s="125"/>
      <x:c r="P213" s="125"/>
      <x:c r="Q213" s="125"/>
    </x:row>
    <x:row r="214">
      <x:c r="A214" s="125"/>
      <x:c r="B214" s="125"/>
      <x:c r="C214" s="125"/>
      <x:c r="D214" s="125"/>
      <x:c r="E214" s="125"/>
      <x:c r="F214" s="125"/>
      <x:c r="G214" s="125"/>
      <x:c r="H214" s="125"/>
      <x:c r="I214" s="125"/>
      <x:c r="J214" s="125"/>
      <x:c r="K214" s="125"/>
      <x:c r="L214" s="125"/>
      <x:c r="M214" s="125"/>
      <x:c r="N214" s="125"/>
      <x:c r="O214" s="125"/>
      <x:c r="P214" s="125"/>
      <x:c r="Q214" s="125"/>
    </x:row>
    <x:row r="215">
      <x:c r="A215" s="125"/>
      <x:c r="B215" s="125"/>
      <x:c r="C215" s="125"/>
      <x:c r="D215" s="125"/>
      <x:c r="E215" s="125"/>
      <x:c r="F215" s="125"/>
      <x:c r="G215" s="125"/>
      <x:c r="H215" s="125"/>
      <x:c r="I215" s="125"/>
      <x:c r="J215" s="125"/>
      <x:c r="K215" s="125"/>
      <x:c r="L215" s="125"/>
      <x:c r="M215" s="125"/>
      <x:c r="N215" s="125"/>
      <x:c r="O215" s="125"/>
      <x:c r="P215" s="125"/>
      <x:c r="Q215" s="125"/>
    </x:row>
    <x:row r="216">
      <x:c r="A216" s="125"/>
      <x:c r="B216" s="125"/>
      <x:c r="C216" s="125"/>
      <x:c r="D216" s="125"/>
      <x:c r="E216" s="125"/>
      <x:c r="F216" s="125"/>
      <x:c r="G216" s="125"/>
      <x:c r="H216" s="125"/>
      <x:c r="I216" s="125"/>
      <x:c r="J216" s="125"/>
      <x:c r="K216" s="125"/>
      <x:c r="L216" s="125"/>
      <x:c r="M216" s="125"/>
      <x:c r="N216" s="125"/>
      <x:c r="O216" s="125"/>
      <x:c r="P216" s="125"/>
      <x:c r="Q216" s="125"/>
    </x:row>
    <x:row r="217">
      <x:c r="A217" s="125"/>
      <x:c r="B217" s="125"/>
      <x:c r="C217" s="125"/>
      <x:c r="D217" s="125"/>
      <x:c r="E217" s="125"/>
      <x:c r="F217" s="125"/>
      <x:c r="G217" s="125"/>
      <x:c r="H217" s="125"/>
      <x:c r="I217" s="125"/>
      <x:c r="J217" s="125"/>
      <x:c r="K217" s="125"/>
      <x:c r="L217" s="125"/>
      <x:c r="M217" s="125"/>
      <x:c r="N217" s="125"/>
      <x:c r="O217" s="125"/>
      <x:c r="P217" s="125"/>
      <x:c r="Q217" s="125"/>
    </x:row>
    <x:row r="218">
      <x:c r="A218" s="125"/>
      <x:c r="B218" s="125"/>
      <x:c r="C218" s="125"/>
      <x:c r="D218" s="125"/>
      <x:c r="E218" s="125"/>
      <x:c r="F218" s="125"/>
      <x:c r="G218" s="125"/>
      <x:c r="H218" s="125"/>
      <x:c r="I218" s="125"/>
      <x:c r="J218" s="125"/>
      <x:c r="K218" s="125"/>
      <x:c r="L218" s="125"/>
      <x:c r="M218" s="125"/>
      <x:c r="N218" s="125"/>
      <x:c r="O218" s="125"/>
      <x:c r="P218" s="125"/>
      <x:c r="Q218" s="125"/>
    </x:row>
    <x:row r="219">
      <x:c r="A219" s="125"/>
      <x:c r="B219" s="125"/>
      <x:c r="C219" s="125"/>
      <x:c r="D219" s="125"/>
      <x:c r="E219" s="125"/>
      <x:c r="F219" s="125"/>
      <x:c r="G219" s="125"/>
      <x:c r="H219" s="125"/>
      <x:c r="I219" s="125"/>
      <x:c r="J219" s="125"/>
      <x:c r="K219" s="125"/>
      <x:c r="L219" s="125"/>
      <x:c r="M219" s="125"/>
      <x:c r="N219" s="125"/>
      <x:c r="O219" s="125"/>
      <x:c r="P219" s="125"/>
      <x:c r="Q219" s="125"/>
    </x:row>
    <x:row r="220">
      <x:c r="A220" s="125"/>
      <x:c r="B220" s="125"/>
      <x:c r="C220" s="125"/>
      <x:c r="D220" s="125"/>
      <x:c r="E220" s="125"/>
      <x:c r="F220" s="125"/>
      <x:c r="G220" s="125"/>
      <x:c r="H220" s="125"/>
      <x:c r="I220" s="125"/>
      <x:c r="J220" s="125"/>
      <x:c r="K220" s="125"/>
      <x:c r="L220" s="125"/>
      <x:c r="M220" s="125"/>
      <x:c r="N220" s="125"/>
      <x:c r="O220" s="125"/>
      <x:c r="P220" s="125"/>
      <x:c r="Q220" s="125"/>
    </x:row>
    <x:row r="221">
      <x:c r="A221" s="125"/>
      <x:c r="B221" s="125"/>
      <x:c r="C221" s="125"/>
      <x:c r="D221" s="125"/>
      <x:c r="E221" s="125"/>
      <x:c r="F221" s="125"/>
      <x:c r="G221" s="125"/>
      <x:c r="H221" s="125"/>
      <x:c r="I221" s="125"/>
      <x:c r="J221" s="125"/>
      <x:c r="K221" s="125"/>
      <x:c r="L221" s="125"/>
      <x:c r="M221" s="125"/>
      <x:c r="N221" s="125"/>
      <x:c r="O221" s="125"/>
      <x:c r="P221" s="125"/>
      <x:c r="Q221" s="125"/>
    </x:row>
    <x:row r="222">
      <x:c r="A222" s="125"/>
      <x:c r="B222" s="125"/>
      <x:c r="C222" s="125"/>
      <x:c r="D222" s="125"/>
      <x:c r="E222" s="125"/>
      <x:c r="F222" s="125"/>
      <x:c r="G222" s="125"/>
      <x:c r="H222" s="125"/>
      <x:c r="I222" s="125"/>
      <x:c r="J222" s="125"/>
      <x:c r="K222" s="125"/>
      <x:c r="L222" s="125"/>
      <x:c r="M222" s="125"/>
      <x:c r="N222" s="125"/>
      <x:c r="O222" s="125"/>
      <x:c r="P222" s="125"/>
      <x:c r="Q222" s="125"/>
    </x:row>
    <x:row r="223">
      <x:c r="A223" s="125"/>
      <x:c r="B223" s="125"/>
      <x:c r="C223" s="125"/>
      <x:c r="D223" s="125"/>
      <x:c r="E223" s="125"/>
      <x:c r="F223" s="125"/>
      <x:c r="G223" s="125"/>
      <x:c r="H223" s="125"/>
      <x:c r="I223" s="125"/>
      <x:c r="J223" s="125"/>
      <x:c r="K223" s="125"/>
      <x:c r="L223" s="125"/>
      <x:c r="M223" s="125"/>
      <x:c r="N223" s="125"/>
      <x:c r="O223" s="125"/>
      <x:c r="P223" s="125"/>
      <x:c r="Q223" s="125"/>
    </x:row>
    <x:row r="224">
      <x:c r="A224" s="125"/>
      <x:c r="B224" s="125"/>
      <x:c r="C224" s="125"/>
      <x:c r="D224" s="125"/>
      <x:c r="E224" s="125"/>
      <x:c r="F224" s="125"/>
      <x:c r="G224" s="125"/>
      <x:c r="H224" s="125"/>
      <x:c r="I224" s="125"/>
      <x:c r="J224" s="125"/>
      <x:c r="K224" s="125"/>
      <x:c r="L224" s="125"/>
      <x:c r="M224" s="125"/>
      <x:c r="N224" s="125"/>
      <x:c r="O224" s="125"/>
      <x:c r="P224" s="125"/>
      <x:c r="Q224" s="125"/>
    </x:row>
    <x:row r="225">
      <x:c r="A225" s="125"/>
      <x:c r="B225" s="125"/>
      <x:c r="C225" s="125"/>
      <x:c r="D225" s="125"/>
      <x:c r="E225" s="125"/>
      <x:c r="F225" s="125"/>
      <x:c r="G225" s="125"/>
      <x:c r="H225" s="125"/>
      <x:c r="I225" s="125"/>
      <x:c r="J225" s="125"/>
      <x:c r="K225" s="125"/>
      <x:c r="L225" s="125"/>
      <x:c r="M225" s="125"/>
      <x:c r="N225" s="125"/>
      <x:c r="O225" s="125"/>
      <x:c r="P225" s="125"/>
      <x:c r="Q225" s="125"/>
    </x:row>
    <x:row r="226">
      <x:c r="A226" s="125"/>
      <x:c r="B226" s="125"/>
      <x:c r="C226" s="125"/>
      <x:c r="D226" s="125"/>
      <x:c r="E226" s="125"/>
      <x:c r="F226" s="125"/>
      <x:c r="G226" s="125"/>
      <x:c r="H226" s="125"/>
      <x:c r="I226" s="125"/>
      <x:c r="J226" s="125"/>
      <x:c r="K226" s="125"/>
      <x:c r="L226" s="125"/>
      <x:c r="M226" s="125"/>
      <x:c r="N226" s="125"/>
      <x:c r="O226" s="125"/>
      <x:c r="P226" s="125"/>
      <x:c r="Q226" s="125"/>
    </x:row>
    <x:row r="227">
      <x:c r="A227" s="125"/>
      <x:c r="B227" s="125"/>
      <x:c r="C227" s="125"/>
      <x:c r="D227" s="125"/>
      <x:c r="E227" s="125"/>
      <x:c r="F227" s="125"/>
      <x:c r="G227" s="125"/>
      <x:c r="H227" s="125"/>
      <x:c r="I227" s="125"/>
      <x:c r="J227" s="125"/>
      <x:c r="K227" s="125"/>
      <x:c r="L227" s="125"/>
      <x:c r="M227" s="125"/>
      <x:c r="N227" s="125"/>
      <x:c r="O227" s="125"/>
      <x:c r="P227" s="125"/>
      <x:c r="Q227" s="125"/>
    </x:row>
    <x:row r="228">
      <x:c r="A228" s="125"/>
      <x:c r="B228" s="125"/>
      <x:c r="C228" s="125"/>
      <x:c r="D228" s="125"/>
      <x:c r="E228" s="125"/>
      <x:c r="F228" s="125"/>
      <x:c r="G228" s="125"/>
      <x:c r="H228" s="125"/>
      <x:c r="I228" s="125"/>
      <x:c r="J228" s="125"/>
      <x:c r="K228" s="125"/>
      <x:c r="L228" s="125"/>
      <x:c r="M228" s="125"/>
      <x:c r="N228" s="125"/>
      <x:c r="O228" s="125"/>
      <x:c r="P228" s="125"/>
      <x:c r="Q228" s="125"/>
    </x:row>
    <x:row r="229">
      <x:c r="A229" s="125"/>
      <x:c r="B229" s="125"/>
      <x:c r="C229" s="125"/>
      <x:c r="D229" s="125"/>
      <x:c r="E229" s="125"/>
      <x:c r="F229" s="125"/>
      <x:c r="G229" s="125"/>
      <x:c r="H229" s="125"/>
      <x:c r="I229" s="125"/>
      <x:c r="J229" s="125"/>
      <x:c r="K229" s="125"/>
      <x:c r="L229" s="125"/>
      <x:c r="M229" s="125"/>
      <x:c r="N229" s="125"/>
      <x:c r="O229" s="125"/>
      <x:c r="P229" s="125"/>
      <x:c r="Q229" s="125"/>
    </x:row>
    <x:row r="230">
      <x:c r="A230" s="125"/>
      <x:c r="B230" s="125"/>
      <x:c r="C230" s="125"/>
      <x:c r="D230" s="125"/>
      <x:c r="E230" s="125"/>
      <x:c r="F230" s="125"/>
      <x:c r="G230" s="125"/>
      <x:c r="H230" s="125"/>
      <x:c r="I230" s="125"/>
      <x:c r="J230" s="125"/>
      <x:c r="K230" s="125"/>
      <x:c r="L230" s="125"/>
      <x:c r="M230" s="125"/>
      <x:c r="N230" s="125"/>
      <x:c r="O230" s="125"/>
      <x:c r="P230" s="125"/>
      <x:c r="Q230" s="125"/>
    </x:row>
    <x:row r="231">
      <x:c r="A231" s="125"/>
      <x:c r="B231" s="125"/>
      <x:c r="C231" s="125"/>
      <x:c r="D231" s="125"/>
      <x:c r="E231" s="125"/>
      <x:c r="F231" s="125"/>
      <x:c r="G231" s="125"/>
      <x:c r="H231" s="125"/>
      <x:c r="I231" s="125"/>
      <x:c r="J231" s="125"/>
      <x:c r="K231" s="125"/>
      <x:c r="L231" s="125"/>
      <x:c r="M231" s="125"/>
      <x:c r="N231" s="125"/>
      <x:c r="O231" s="125"/>
      <x:c r="P231" s="125"/>
      <x:c r="Q231" s="125"/>
    </x:row>
    <x:row r="232">
      <x:c r="A232" s="125"/>
      <x:c r="B232" s="125"/>
      <x:c r="C232" s="125"/>
      <x:c r="D232" s="125"/>
      <x:c r="E232" s="125"/>
      <x:c r="F232" s="125"/>
      <x:c r="G232" s="125"/>
      <x:c r="H232" s="125"/>
      <x:c r="I232" s="125"/>
      <x:c r="J232" s="125"/>
      <x:c r="K232" s="125"/>
      <x:c r="L232" s="125"/>
      <x:c r="M232" s="125"/>
      <x:c r="N232" s="125"/>
      <x:c r="O232" s="125"/>
      <x:c r="P232" s="125"/>
      <x:c r="Q232" s="125"/>
    </x:row>
    <x:row r="233">
      <x:c r="A233" s="125"/>
      <x:c r="B233" s="125"/>
      <x:c r="C233" s="125"/>
      <x:c r="D233" s="125"/>
      <x:c r="E233" s="125"/>
      <x:c r="F233" s="125"/>
      <x:c r="G233" s="125"/>
      <x:c r="H233" s="125"/>
      <x:c r="I233" s="125"/>
      <x:c r="J233" s="125"/>
      <x:c r="K233" s="125"/>
      <x:c r="L233" s="125"/>
      <x:c r="M233" s="125"/>
      <x:c r="N233" s="125"/>
      <x:c r="O233" s="125"/>
      <x:c r="P233" s="125"/>
      <x:c r="Q233" s="125"/>
    </x:row>
    <x:row r="234">
      <x:c r="A234" s="125"/>
      <x:c r="B234" s="125"/>
      <x:c r="C234" s="125"/>
      <x:c r="D234" s="125"/>
      <x:c r="E234" s="125"/>
      <x:c r="F234" s="125"/>
      <x:c r="G234" s="125"/>
      <x:c r="H234" s="125"/>
      <x:c r="I234" s="125"/>
      <x:c r="J234" s="125"/>
      <x:c r="K234" s="125"/>
      <x:c r="L234" s="125"/>
      <x:c r="M234" s="125"/>
      <x:c r="N234" s="125"/>
      <x:c r="O234" s="125"/>
      <x:c r="P234" s="125"/>
      <x:c r="Q234" s="125"/>
    </x:row>
    <x:row r="235">
      <x:c r="A235" s="125"/>
      <x:c r="B235" s="125"/>
      <x:c r="C235" s="125"/>
      <x:c r="D235" s="125"/>
      <x:c r="E235" s="125"/>
      <x:c r="F235" s="125"/>
      <x:c r="G235" s="125"/>
      <x:c r="H235" s="125"/>
      <x:c r="I235" s="125"/>
      <x:c r="J235" s="125"/>
      <x:c r="K235" s="125"/>
      <x:c r="L235" s="125"/>
      <x:c r="M235" s="125"/>
      <x:c r="N235" s="125"/>
      <x:c r="O235" s="125"/>
      <x:c r="P235" s="125"/>
      <x:c r="Q235" s="125"/>
    </x:row>
    <x:row r="236">
      <x:c r="A236" s="125"/>
      <x:c r="B236" s="125"/>
      <x:c r="C236" s="125"/>
      <x:c r="D236" s="125"/>
      <x:c r="E236" s="125"/>
      <x:c r="F236" s="125"/>
      <x:c r="G236" s="125"/>
      <x:c r="H236" s="125"/>
      <x:c r="I236" s="125"/>
      <x:c r="J236" s="125"/>
      <x:c r="K236" s="125"/>
      <x:c r="L236" s="125"/>
      <x:c r="M236" s="125"/>
      <x:c r="N236" s="125"/>
      <x:c r="O236" s="125"/>
      <x:c r="P236" s="125"/>
      <x:c r="Q236" s="125"/>
    </x:row>
    <x:row r="237">
      <x:c r="A237" s="125"/>
      <x:c r="B237" s="125"/>
      <x:c r="C237" s="125"/>
      <x:c r="D237" s="125"/>
      <x:c r="E237" s="125"/>
      <x:c r="F237" s="125"/>
      <x:c r="G237" s="125"/>
      <x:c r="H237" s="125"/>
      <x:c r="I237" s="125"/>
      <x:c r="J237" s="125"/>
      <x:c r="K237" s="125"/>
      <x:c r="L237" s="125"/>
      <x:c r="M237" s="125"/>
      <x:c r="N237" s="125"/>
      <x:c r="O237" s="125"/>
      <x:c r="P237" s="125"/>
      <x:c r="Q237" s="125"/>
    </x:row>
    <x:row r="238">
      <x:c r="A238" s="125"/>
      <x:c r="B238" s="125"/>
      <x:c r="C238" s="125"/>
      <x:c r="D238" s="125"/>
      <x:c r="E238" s="125"/>
      <x:c r="F238" s="125"/>
      <x:c r="G238" s="125"/>
      <x:c r="H238" s="125"/>
      <x:c r="I238" s="125"/>
      <x:c r="J238" s="125"/>
      <x:c r="K238" s="125"/>
      <x:c r="L238" s="125"/>
      <x:c r="M238" s="125"/>
      <x:c r="N238" s="125"/>
      <x:c r="O238" s="125"/>
      <x:c r="P238" s="125"/>
      <x:c r="Q238" s="125"/>
    </x:row>
    <x:row r="239">
      <x:c r="A239" s="125"/>
      <x:c r="B239" s="125"/>
      <x:c r="C239" s="125"/>
      <x:c r="D239" s="125"/>
      <x:c r="E239" s="125"/>
      <x:c r="F239" s="125"/>
      <x:c r="G239" s="125"/>
      <x:c r="H239" s="125"/>
      <x:c r="I239" s="125"/>
      <x:c r="J239" s="125"/>
      <x:c r="K239" s="125"/>
      <x:c r="L239" s="125"/>
      <x:c r="M239" s="125"/>
      <x:c r="N239" s="125"/>
      <x:c r="O239" s="125"/>
      <x:c r="P239" s="125"/>
      <x:c r="Q239" s="125"/>
    </x:row>
    <x:row r="240">
      <x:c r="A240" s="125"/>
      <x:c r="B240" s="125"/>
      <x:c r="C240" s="125"/>
      <x:c r="D240" s="125"/>
      <x:c r="E240" s="125"/>
      <x:c r="F240" s="125"/>
      <x:c r="G240" s="125"/>
      <x:c r="H240" s="125"/>
      <x:c r="I240" s="125"/>
      <x:c r="J240" s="125"/>
      <x:c r="K240" s="125"/>
      <x:c r="L240" s="125"/>
      <x:c r="M240" s="125"/>
      <x:c r="N240" s="125"/>
      <x:c r="O240" s="125"/>
      <x:c r="P240" s="125"/>
      <x:c r="Q240" s="125"/>
    </x:row>
    <x:row r="241">
      <x:c r="A241" s="125"/>
      <x:c r="B241" s="125"/>
      <x:c r="C241" s="125"/>
      <x:c r="D241" s="125"/>
      <x:c r="E241" s="125"/>
      <x:c r="F241" s="125"/>
      <x:c r="G241" s="125"/>
      <x:c r="H241" s="125"/>
      <x:c r="I241" s="125"/>
      <x:c r="J241" s="125"/>
      <x:c r="K241" s="125"/>
      <x:c r="L241" s="125"/>
      <x:c r="M241" s="125"/>
      <x:c r="N241" s="125"/>
      <x:c r="O241" s="125"/>
      <x:c r="P241" s="125"/>
      <x:c r="Q241" s="125"/>
    </x:row>
    <x:row r="242">
      <x:c r="A242" s="125"/>
      <x:c r="B242" s="125"/>
      <x:c r="C242" s="125"/>
      <x:c r="D242" s="125"/>
      <x:c r="E242" s="125"/>
      <x:c r="F242" s="125"/>
      <x:c r="G242" s="125"/>
      <x:c r="H242" s="125"/>
      <x:c r="I242" s="125"/>
      <x:c r="J242" s="125"/>
      <x:c r="K242" s="125"/>
      <x:c r="L242" s="125"/>
      <x:c r="M242" s="125"/>
      <x:c r="N242" s="125"/>
      <x:c r="O242" s="125"/>
      <x:c r="P242" s="125"/>
      <x:c r="Q242" s="125"/>
    </x:row>
    <x:row r="243">
      <x:c r="A243" s="125"/>
      <x:c r="B243" s="125"/>
      <x:c r="C243" s="125"/>
      <x:c r="D243" s="125"/>
      <x:c r="E243" s="125"/>
      <x:c r="F243" s="125"/>
      <x:c r="G243" s="125"/>
      <x:c r="H243" s="125"/>
      <x:c r="I243" s="125"/>
      <x:c r="J243" s="125"/>
      <x:c r="K243" s="125"/>
      <x:c r="L243" s="125"/>
      <x:c r="M243" s="125"/>
      <x:c r="N243" s="125"/>
      <x:c r="O243" s="125"/>
      <x:c r="P243" s="125"/>
      <x:c r="Q243" s="125"/>
    </x:row>
    <x:row r="244">
      <x:c r="A244" s="125"/>
      <x:c r="B244" s="125"/>
      <x:c r="C244" s="125"/>
      <x:c r="D244" s="125"/>
      <x:c r="E244" s="125"/>
      <x:c r="F244" s="125"/>
      <x:c r="G244" s="125"/>
      <x:c r="H244" s="125"/>
      <x:c r="I244" s="125"/>
      <x:c r="J244" s="125"/>
      <x:c r="K244" s="125"/>
      <x:c r="L244" s="125"/>
      <x:c r="M244" s="125"/>
      <x:c r="N244" s="125"/>
      <x:c r="O244" s="125"/>
      <x:c r="P244" s="125"/>
      <x:c r="Q244" s="125"/>
    </x:row>
    <x:row r="245">
      <x:c r="A245" s="125"/>
      <x:c r="B245" s="125"/>
      <x:c r="C245" s="125"/>
      <x:c r="D245" s="125"/>
      <x:c r="E245" s="125"/>
      <x:c r="F245" s="125"/>
      <x:c r="G245" s="125"/>
      <x:c r="H245" s="125"/>
      <x:c r="I245" s="125"/>
      <x:c r="J245" s="125"/>
      <x:c r="K245" s="125"/>
      <x:c r="L245" s="125"/>
      <x:c r="M245" s="125"/>
      <x:c r="N245" s="125"/>
      <x:c r="O245" s="125"/>
      <x:c r="P245" s="125"/>
      <x:c r="Q245" s="125"/>
    </x:row>
    <x:row r="246">
      <x:c r="A246" s="125"/>
      <x:c r="B246" s="125"/>
      <x:c r="C246" s="125"/>
      <x:c r="D246" s="125"/>
      <x:c r="E246" s="125"/>
      <x:c r="F246" s="125"/>
      <x:c r="G246" s="125"/>
      <x:c r="H246" s="125"/>
      <x:c r="I246" s="125"/>
      <x:c r="J246" s="125"/>
      <x:c r="K246" s="125"/>
      <x:c r="L246" s="125"/>
      <x:c r="M246" s="125"/>
      <x:c r="N246" s="125"/>
      <x:c r="O246" s="125"/>
      <x:c r="P246" s="125"/>
      <x:c r="Q246" s="125"/>
    </x:row>
    <x:row r="247">
      <x:c r="A247" s="125"/>
      <x:c r="B247" s="125"/>
      <x:c r="C247" s="125"/>
      <x:c r="D247" s="125"/>
      <x:c r="E247" s="125"/>
      <x:c r="F247" s="125"/>
      <x:c r="G247" s="125"/>
      <x:c r="H247" s="125"/>
      <x:c r="I247" s="125"/>
      <x:c r="J247" s="125"/>
      <x:c r="K247" s="125"/>
      <x:c r="L247" s="125"/>
      <x:c r="M247" s="125"/>
      <x:c r="N247" s="125"/>
      <x:c r="O247" s="125"/>
      <x:c r="P247" s="125"/>
      <x:c r="Q247" s="125"/>
    </x:row>
    <x:row r="248">
      <x:c r="A248" s="125"/>
      <x:c r="B248" s="125"/>
      <x:c r="C248" s="125"/>
      <x:c r="D248" s="125"/>
      <x:c r="E248" s="125"/>
      <x:c r="F248" s="125"/>
      <x:c r="G248" s="125"/>
      <x:c r="H248" s="125"/>
      <x:c r="I248" s="125"/>
      <x:c r="J248" s="125"/>
      <x:c r="K248" s="125"/>
      <x:c r="L248" s="125"/>
      <x:c r="M248" s="125"/>
      <x:c r="N248" s="125"/>
      <x:c r="O248" s="125"/>
      <x:c r="P248" s="125"/>
      <x:c r="Q248" s="125"/>
    </x:row>
    <x:row r="249">
      <x:c r="A249" s="125"/>
      <x:c r="B249" s="125"/>
      <x:c r="C249" s="125"/>
      <x:c r="D249" s="125"/>
      <x:c r="E249" s="125"/>
      <x:c r="F249" s="125"/>
      <x:c r="G249" s="125"/>
      <x:c r="H249" s="125"/>
      <x:c r="I249" s="125"/>
      <x:c r="J249" s="125"/>
      <x:c r="K249" s="125"/>
      <x:c r="L249" s="125"/>
      <x:c r="M249" s="125"/>
      <x:c r="N249" s="125"/>
      <x:c r="O249" s="125"/>
      <x:c r="P249" s="125"/>
      <x:c r="Q249" s="125"/>
    </x:row>
    <x:row r="250">
      <x:c r="A250" s="125"/>
      <x:c r="B250" s="125"/>
      <x:c r="C250" s="125"/>
      <x:c r="D250" s="125"/>
      <x:c r="E250" s="125"/>
      <x:c r="F250" s="125"/>
      <x:c r="G250" s="125"/>
      <x:c r="H250" s="125"/>
      <x:c r="I250" s="125"/>
      <x:c r="J250" s="125"/>
      <x:c r="K250" s="125"/>
      <x:c r="L250" s="125"/>
      <x:c r="M250" s="125"/>
      <x:c r="N250" s="125"/>
      <x:c r="O250" s="125"/>
      <x:c r="P250" s="125"/>
      <x:c r="Q250" s="125"/>
    </x:row>
  </x:sheetData>
  <x:mergeCells>
    <x:mergeCell ref="A1:N1"/>
    <x:mergeCell ref="A2:N2"/>
  </x:mergeCells>
  <x:pageMargins left="0.7" right="0.7" top="0.75" bottom="0.75" header="0.3" footer="0.3"/>
</x:worksheet>
</file>

<file path=xl/worksheets/sheet14.xml><?xml version="1.0" encoding="utf-8"?>
<x:worksheet xmlns:x="http://schemas.openxmlformats.org/spreadsheetml/2006/main">
  <x:sheetFormatPr defaultRowHeight="15"/>
  <x:cols>
    <x:col min="1" max="1" width="14" hidden="0" customWidth="1"/>
    <x:col min="2" max="2" width="12" hidden="0" customWidth="1"/>
    <x:col min="3" max="3" width="28" hidden="0" customWidth="1"/>
    <x:col min="4" max="4" width="34" hidden="0" customWidth="1"/>
    <x:col min="5" max="5" width="18" hidden="0" customWidth="1"/>
    <x:col min="6" max="6" width="24" hidden="0" customWidth="1"/>
    <x:col min="7" max="7" width="12" hidden="0" customWidth="1"/>
    <x:col min="8" max="8" width="16" hidden="0" customWidth="1"/>
    <x:col min="9" max="9" width="16" hidden="0" customWidth="1"/>
    <x:col min="10" max="10" width="18" hidden="0" customWidth="1"/>
    <x:col min="11" max="11" width="18" hidden="0" customWidth="1"/>
    <x:col min="12" max="12" width="24" hidden="0" customWidth="1"/>
    <x:col min="13" max="13" width="14" hidden="0" customWidth="1"/>
    <x:col min="14" max="14" width="18" hidden="0" customWidth="1"/>
  </x:cols>
  <x:sheetData>
    <x:row r="1" ht="24" customHeight="1">
      <x:c r="A1" s="200" t="str">
        <x:v>DATA_CAPITAL_NEEDS — Capital Needs / Deferred Maintenance Inputs</x:v>
      </x:c>
      <x:c r="B1" s="198"/>
      <x:c r="C1" s="198"/>
      <x:c r="D1" s="198"/>
      <x:c r="E1" s="198"/>
      <x:c r="F1" s="198"/>
      <x:c r="G1" s="198"/>
      <x:c r="H1" s="198"/>
      <x:c r="I1" s="198"/>
      <x:c r="J1" s="198"/>
      <x:c r="K1" s="198"/>
      <x:c r="L1" s="125"/>
      <x:c r="M1" s="125"/>
      <x:c r="N1" s="125"/>
      <x:c r="O1" s="125"/>
      <x:c r="P1" s="125"/>
      <x:c r="Q1" s="125"/>
    </x:row>
    <x:row r="2" ht="34" customHeight="1">
      <x:c r="A2" s="126" t="str">
        <x:v>Blue cells are writable. Purple unfunded amount formula remains live. Missing capital plan should be flagged, not hidden. Blank template: populate blue/orange cells for a new organization; formulas remain live.</x:v>
      </x:c>
      <x:c r="B2" s="125"/>
      <x:c r="C2" s="125"/>
      <x:c r="D2" s="125"/>
      <x:c r="E2" s="125"/>
      <x:c r="F2" s="125"/>
      <x:c r="G2" s="125"/>
      <x:c r="H2" s="125"/>
      <x:c r="I2" s="125"/>
      <x:c r="J2" s="125"/>
      <x:c r="K2" s="125"/>
      <x:c r="L2" s="125"/>
      <x:c r="M2" s="125"/>
      <x:c r="N2" s="125"/>
      <x:c r="O2" s="125"/>
      <x:c r="P2" s="125"/>
      <x:c r="Q2" s="125"/>
    </x:row>
    <x:row r="3">
      <x:c r="A3" s="125"/>
      <x:c r="B3" s="125"/>
      <x:c r="C3" s="125"/>
      <x:c r="D3" s="125"/>
      <x:c r="E3" s="125"/>
      <x:c r="F3" s="125"/>
      <x:c r="G3" s="125"/>
      <x:c r="H3" s="125"/>
      <x:c r="I3" s="125"/>
      <x:c r="J3" s="125"/>
      <x:c r="K3" s="125"/>
      <x:c r="L3" s="125"/>
      <x:c r="M3" s="125"/>
      <x:c r="N3" s="125"/>
      <x:c r="O3" s="125"/>
      <x:c r="P3" s="125"/>
      <x:c r="Q3" s="125"/>
    </x:row>
    <x:row r="4">
      <x:c r="A4" s="125"/>
      <x:c r="B4" s="125"/>
      <x:c r="C4" s="125"/>
      <x:c r="D4" s="125"/>
      <x:c r="E4" s="125"/>
      <x:c r="F4" s="125"/>
      <x:c r="G4" s="125"/>
      <x:c r="H4" s="125"/>
      <x:c r="I4" s="125"/>
      <x:c r="J4" s="125"/>
      <x:c r="K4" s="125"/>
      <x:c r="L4" s="125"/>
      <x:c r="M4" s="125"/>
      <x:c r="N4" s="125"/>
      <x:c r="O4" s="125"/>
      <x:c r="P4" s="125"/>
      <x:c r="Q4" s="125"/>
    </x:row>
    <x:row r="5">
      <x:c r="A5" s="125"/>
      <x:c r="B5" s="125"/>
      <x:c r="C5" s="125"/>
      <x:c r="D5" s="125"/>
      <x:c r="E5" s="125"/>
      <x:c r="F5" s="125"/>
      <x:c r="G5" s="125"/>
      <x:c r="H5" s="125"/>
      <x:c r="I5" s="125"/>
      <x:c r="J5" s="125"/>
      <x:c r="K5" s="125"/>
      <x:c r="L5" s="125"/>
      <x:c r="M5" s="125"/>
      <x:c r="N5" s="125"/>
      <x:c r="O5" s="125"/>
      <x:c r="P5" s="125"/>
      <x:c r="Q5" s="125"/>
    </x:row>
    <x:row r="6" ht="26" customHeight="1">
      <x:c r="A6" s="127" t="str">
        <x:v>Capital_Item_ID</x:v>
      </x:c>
      <x:c r="B6" s="127" t="str">
        <x:v>Property_ID</x:v>
      </x:c>
      <x:c r="C6" s="127" t="str">
        <x:v>Property_Name</x:v>
      </x:c>
      <x:c r="D6" s="127" t="str">
        <x:v>Capital_Item</x:v>
      </x:c>
      <x:c r="E6" s="127" t="str">
        <x:v>Capital_Category</x:v>
      </x:c>
      <x:c r="F6" s="127" t="str">
        <x:v>Required_or_Discretionary</x:v>
      </x:c>
      <x:c r="G6" s="127" t="str">
        <x:v>Year_Needed</x:v>
      </x:c>
      <x:c r="H6" s="127" t="str">
        <x:v>Estimated_Cost</x:v>
      </x:c>
      <x:c r="I6" s="127" t="str">
        <x:v>Funded_Amount</x:v>
      </x:c>
      <x:c r="J6" s="127" t="str">
        <x:v>Unfunded_Amount</x:v>
      </x:c>
      <x:c r="K6" s="127" t="str">
        <x:v>Funding_Source</x:v>
      </x:c>
      <x:c r="L6" s="127" t="str">
        <x:v>Deferred_Maintenance_Flag</x:v>
      </x:c>
      <x:c r="M6" s="127" t="str">
        <x:v>Source_File_ID</x:v>
      </x:c>
      <x:c r="N6" s="127" t="str">
        <x:v>Review_Status</x:v>
      </x:c>
      <x:c r="O6" s="125"/>
      <x:c r="P6" s="125"/>
      <x:c r="Q6" s="125"/>
    </x:row>
    <x:row r="7">
      <x:c r="A7" s="148"/>
      <x:c r="B7" s="148"/>
      <x:c r="C7" s="148"/>
      <x:c r="D7" s="148"/>
      <x:c r="E7" s="148"/>
      <x:c r="F7" s="148"/>
      <x:c r="G7" s="148"/>
      <x:c r="H7" s="160"/>
      <x:c r="I7" s="160"/>
      <x:c r="J7" s="162" t="str">
        <x:f>IF(H7="","",MAX(H7-I7,0))</x:f>
      </x:c>
      <x:c r="K7" s="148"/>
      <x:c r="L7" s="148"/>
      <x:c r="M7" s="148"/>
      <x:c r="N7" s="148"/>
      <x:c r="O7" s="125"/>
      <x:c r="P7" s="125"/>
      <x:c r="Q7" s="125"/>
    </x:row>
    <x:row r="8">
      <x:c r="A8" s="148"/>
      <x:c r="B8" s="148"/>
      <x:c r="C8" s="148"/>
      <x:c r="D8" s="148"/>
      <x:c r="E8" s="148"/>
      <x:c r="F8" s="148"/>
      <x:c r="G8" s="148"/>
      <x:c r="H8" s="160"/>
      <x:c r="I8" s="160"/>
      <x:c r="J8" s="162" t="str">
        <x:f>IF(H8="","",MAX(H8-I8,0))</x:f>
      </x:c>
      <x:c r="K8" s="148"/>
      <x:c r="L8" s="148"/>
      <x:c r="M8" s="148"/>
      <x:c r="N8" s="148"/>
      <x:c r="O8" s="125"/>
      <x:c r="P8" s="125"/>
      <x:c r="Q8" s="125"/>
    </x:row>
    <x:row r="9">
      <x:c r="A9" s="148"/>
      <x:c r="B9" s="148"/>
      <x:c r="C9" s="148"/>
      <x:c r="D9" s="148"/>
      <x:c r="E9" s="148"/>
      <x:c r="F9" s="148"/>
      <x:c r="G9" s="148"/>
      <x:c r="H9" s="160"/>
      <x:c r="I9" s="160"/>
      <x:c r="J9" s="162" t="str">
        <x:f>IF(H9="","",MAX(H9-I9,0))</x:f>
      </x:c>
      <x:c r="K9" s="148"/>
      <x:c r="L9" s="148"/>
      <x:c r="M9" s="148"/>
      <x:c r="N9" s="148"/>
      <x:c r="O9" s="125"/>
      <x:c r="P9" s="125"/>
      <x:c r="Q9" s="125"/>
    </x:row>
    <x:row r="10">
      <x:c r="A10" s="148"/>
      <x:c r="B10" s="148"/>
      <x:c r="C10" s="148"/>
      <x:c r="D10" s="148"/>
      <x:c r="E10" s="148"/>
      <x:c r="F10" s="148"/>
      <x:c r="G10" s="148"/>
      <x:c r="H10" s="160"/>
      <x:c r="I10" s="160"/>
      <x:c r="J10" s="162" t="str">
        <x:f>IF(H10="","",MAX(H10-I10,0))</x:f>
      </x:c>
      <x:c r="K10" s="148"/>
      <x:c r="L10" s="148"/>
      <x:c r="M10" s="148"/>
      <x:c r="N10" s="148"/>
      <x:c r="O10" s="125"/>
      <x:c r="P10" s="125"/>
      <x:c r="Q10" s="125"/>
    </x:row>
    <x:row r="11">
      <x:c r="A11" s="148"/>
      <x:c r="B11" s="148"/>
      <x:c r="C11" s="148"/>
      <x:c r="D11" s="148"/>
      <x:c r="E11" s="148"/>
      <x:c r="F11" s="148"/>
      <x:c r="G11" s="148"/>
      <x:c r="H11" s="160"/>
      <x:c r="I11" s="160"/>
      <x:c r="J11" s="162" t="str">
        <x:f>IF(H11="","",MAX(H11-I11,0))</x:f>
      </x:c>
      <x:c r="K11" s="148"/>
      <x:c r="L11" s="148"/>
      <x:c r="M11" s="148"/>
      <x:c r="N11" s="148"/>
      <x:c r="O11" s="125"/>
      <x:c r="P11" s="125"/>
      <x:c r="Q11" s="125"/>
    </x:row>
    <x:row r="12">
      <x:c r="A12" s="148"/>
      <x:c r="B12" s="148"/>
      <x:c r="C12" s="148"/>
      <x:c r="D12" s="148"/>
      <x:c r="E12" s="148"/>
      <x:c r="F12" s="148"/>
      <x:c r="G12" s="148"/>
      <x:c r="H12" s="160"/>
      <x:c r="I12" s="160"/>
      <x:c r="J12" s="162" t="str">
        <x:f>IF(H12="","",MAX(H12-I12,0))</x:f>
      </x:c>
      <x:c r="K12" s="148"/>
      <x:c r="L12" s="148"/>
      <x:c r="M12" s="148"/>
      <x:c r="N12" s="148"/>
      <x:c r="O12" s="125"/>
      <x:c r="P12" s="125"/>
      <x:c r="Q12" s="125"/>
    </x:row>
    <x:row r="13">
      <x:c r="A13" s="148"/>
      <x:c r="B13" s="148"/>
      <x:c r="C13" s="148"/>
      <x:c r="D13" s="148"/>
      <x:c r="E13" s="148"/>
      <x:c r="F13" s="148"/>
      <x:c r="G13" s="148"/>
      <x:c r="H13" s="160"/>
      <x:c r="I13" s="160"/>
      <x:c r="J13" s="162" t="str">
        <x:f>IF(H13="","",MAX(H13-I13,0))</x:f>
      </x:c>
      <x:c r="K13" s="148"/>
      <x:c r="L13" s="148"/>
      <x:c r="M13" s="148"/>
      <x:c r="N13" s="148"/>
      <x:c r="O13" s="125"/>
      <x:c r="P13" s="125"/>
      <x:c r="Q13" s="125"/>
    </x:row>
    <x:row r="14">
      <x:c r="A14" s="148"/>
      <x:c r="B14" s="148"/>
      <x:c r="C14" s="148"/>
      <x:c r="D14" s="148"/>
      <x:c r="E14" s="148"/>
      <x:c r="F14" s="148"/>
      <x:c r="G14" s="148"/>
      <x:c r="H14" s="160"/>
      <x:c r="I14" s="160"/>
      <x:c r="J14" s="162" t="str">
        <x:f>IF(H14="","",MAX(H14-I14,0))</x:f>
      </x:c>
      <x:c r="K14" s="148"/>
      <x:c r="L14" s="148"/>
      <x:c r="M14" s="148"/>
      <x:c r="N14" s="148"/>
      <x:c r="O14" s="125"/>
      <x:c r="P14" s="125"/>
      <x:c r="Q14" s="125"/>
    </x:row>
    <x:row r="15">
      <x:c r="A15" s="148"/>
      <x:c r="B15" s="148"/>
      <x:c r="C15" s="148"/>
      <x:c r="D15" s="148"/>
      <x:c r="E15" s="148"/>
      <x:c r="F15" s="148"/>
      <x:c r="G15" s="148"/>
      <x:c r="H15" s="160"/>
      <x:c r="I15" s="160"/>
      <x:c r="J15" s="162" t="str">
        <x:f>IF(H15="","",MAX(H15-I15,0))</x:f>
      </x:c>
      <x:c r="K15" s="148"/>
      <x:c r="L15" s="148"/>
      <x:c r="M15" s="148"/>
      <x:c r="N15" s="148"/>
      <x:c r="O15" s="125"/>
      <x:c r="P15" s="125"/>
      <x:c r="Q15" s="125"/>
    </x:row>
    <x:row r="16">
      <x:c r="A16" s="148"/>
      <x:c r="B16" s="148"/>
      <x:c r="C16" s="148"/>
      <x:c r="D16" s="148"/>
      <x:c r="E16" s="148"/>
      <x:c r="F16" s="148"/>
      <x:c r="G16" s="148"/>
      <x:c r="H16" s="160"/>
      <x:c r="I16" s="160"/>
      <x:c r="J16" s="162" t="str">
        <x:f>IF(H16="","",MAX(H16-I16,0))</x:f>
      </x:c>
      <x:c r="K16" s="148"/>
      <x:c r="L16" s="148"/>
      <x:c r="M16" s="148"/>
      <x:c r="N16" s="148"/>
      <x:c r="O16" s="125"/>
      <x:c r="P16" s="125"/>
      <x:c r="Q16" s="125"/>
    </x:row>
    <x:row r="17">
      <x:c r="A17" s="148"/>
      <x:c r="B17" s="148"/>
      <x:c r="C17" s="148"/>
      <x:c r="D17" s="148"/>
      <x:c r="E17" s="148"/>
      <x:c r="F17" s="148"/>
      <x:c r="G17" s="148"/>
      <x:c r="H17" s="160"/>
      <x:c r="I17" s="160"/>
      <x:c r="J17" s="162" t="str">
        <x:f>IF(H17="","",MAX(H17-I17,0))</x:f>
      </x:c>
      <x:c r="K17" s="148"/>
      <x:c r="L17" s="148"/>
      <x:c r="M17" s="148"/>
      <x:c r="N17" s="148"/>
      <x:c r="O17" s="125"/>
      <x:c r="P17" s="125"/>
      <x:c r="Q17" s="125"/>
    </x:row>
    <x:row r="18">
      <x:c r="A18" s="148"/>
      <x:c r="B18" s="148"/>
      <x:c r="C18" s="148"/>
      <x:c r="D18" s="148"/>
      <x:c r="E18" s="148"/>
      <x:c r="F18" s="148"/>
      <x:c r="G18" s="148"/>
      <x:c r="H18" s="160"/>
      <x:c r="I18" s="160"/>
      <x:c r="J18" s="162" t="str">
        <x:f>IF(H18="","",MAX(H18-I18,0))</x:f>
      </x:c>
      <x:c r="K18" s="148"/>
      <x:c r="L18" s="148"/>
      <x:c r="M18" s="148"/>
      <x:c r="N18" s="148"/>
      <x:c r="O18" s="125"/>
      <x:c r="P18" s="125"/>
      <x:c r="Q18" s="125"/>
    </x:row>
    <x:row r="19">
      <x:c r="A19" s="148"/>
      <x:c r="B19" s="148"/>
      <x:c r="C19" s="148"/>
      <x:c r="D19" s="148"/>
      <x:c r="E19" s="148"/>
      <x:c r="F19" s="148"/>
      <x:c r="G19" s="148"/>
      <x:c r="H19" s="160"/>
      <x:c r="I19" s="160"/>
      <x:c r="J19" s="162" t="str">
        <x:f>IF(H19="","",MAX(H19-I19,0))</x:f>
      </x:c>
      <x:c r="K19" s="148"/>
      <x:c r="L19" s="148"/>
      <x:c r="M19" s="148"/>
      <x:c r="N19" s="148"/>
      <x:c r="O19" s="125"/>
      <x:c r="P19" s="125"/>
      <x:c r="Q19" s="125"/>
    </x:row>
    <x:row r="20">
      <x:c r="A20" s="148"/>
      <x:c r="B20" s="148"/>
      <x:c r="C20" s="148"/>
      <x:c r="D20" s="148"/>
      <x:c r="E20" s="148"/>
      <x:c r="F20" s="148"/>
      <x:c r="G20" s="148"/>
      <x:c r="H20" s="160"/>
      <x:c r="I20" s="160"/>
      <x:c r="J20" s="162" t="str">
        <x:f>IF(H20="","",MAX(H20-I20,0))</x:f>
      </x:c>
      <x:c r="K20" s="148"/>
      <x:c r="L20" s="148"/>
      <x:c r="M20" s="148"/>
      <x:c r="N20" s="148"/>
      <x:c r="O20" s="125"/>
      <x:c r="P20" s="125"/>
      <x:c r="Q20" s="125"/>
    </x:row>
    <x:row r="21">
      <x:c r="A21" s="148"/>
      <x:c r="B21" s="148"/>
      <x:c r="C21" s="148"/>
      <x:c r="D21" s="148"/>
      <x:c r="E21" s="148"/>
      <x:c r="F21" s="148"/>
      <x:c r="G21" s="148"/>
      <x:c r="H21" s="160"/>
      <x:c r="I21" s="160"/>
      <x:c r="J21" s="162" t="str">
        <x:f>IF(H21="","",MAX(H21-I21,0))</x:f>
      </x:c>
      <x:c r="K21" s="148"/>
      <x:c r="L21" s="148"/>
      <x:c r="M21" s="148"/>
      <x:c r="N21" s="148"/>
      <x:c r="O21" s="125"/>
      <x:c r="P21" s="125"/>
      <x:c r="Q21" s="125"/>
    </x:row>
    <x:row r="22">
      <x:c r="A22" s="148"/>
      <x:c r="B22" s="148"/>
      <x:c r="C22" s="148"/>
      <x:c r="D22" s="148"/>
      <x:c r="E22" s="148"/>
      <x:c r="F22" s="148"/>
      <x:c r="G22" s="148"/>
      <x:c r="H22" s="160"/>
      <x:c r="I22" s="160"/>
      <x:c r="J22" s="162" t="str">
        <x:f>IF(H22="","",MAX(H22-I22,0))</x:f>
      </x:c>
      <x:c r="K22" s="148"/>
      <x:c r="L22" s="148"/>
      <x:c r="M22" s="148"/>
      <x:c r="N22" s="148"/>
      <x:c r="O22" s="125"/>
      <x:c r="P22" s="125"/>
      <x:c r="Q22" s="125"/>
    </x:row>
    <x:row r="23">
      <x:c r="A23" s="148"/>
      <x:c r="B23" s="148"/>
      <x:c r="C23" s="148"/>
      <x:c r="D23" s="148"/>
      <x:c r="E23" s="148"/>
      <x:c r="F23" s="148"/>
      <x:c r="G23" s="148"/>
      <x:c r="H23" s="160"/>
      <x:c r="I23" s="160"/>
      <x:c r="J23" s="162" t="str">
        <x:f>IF(H23="","",MAX(H23-I23,0))</x:f>
      </x:c>
      <x:c r="K23" s="148"/>
      <x:c r="L23" s="148"/>
      <x:c r="M23" s="148"/>
      <x:c r="N23" s="148"/>
      <x:c r="O23" s="125"/>
      <x:c r="P23" s="125"/>
      <x:c r="Q23" s="125"/>
    </x:row>
    <x:row r="24">
      <x:c r="A24" s="148"/>
      <x:c r="B24" s="148"/>
      <x:c r="C24" s="148"/>
      <x:c r="D24" s="148"/>
      <x:c r="E24" s="148"/>
      <x:c r="F24" s="148"/>
      <x:c r="G24" s="148"/>
      <x:c r="H24" s="160"/>
      <x:c r="I24" s="160"/>
      <x:c r="J24" s="162" t="str">
        <x:f>IF(H24="","",MAX(H24-I24,0))</x:f>
      </x:c>
      <x:c r="K24" s="148"/>
      <x:c r="L24" s="148"/>
      <x:c r="M24" s="148"/>
      <x:c r="N24" s="148"/>
      <x:c r="O24" s="125"/>
      <x:c r="P24" s="125"/>
      <x:c r="Q24" s="125"/>
    </x:row>
    <x:row r="25">
      <x:c r="A25" s="148"/>
      <x:c r="B25" s="148"/>
      <x:c r="C25" s="148"/>
      <x:c r="D25" s="148"/>
      <x:c r="E25" s="148"/>
      <x:c r="F25" s="148"/>
      <x:c r="G25" s="148"/>
      <x:c r="H25" s="160"/>
      <x:c r="I25" s="160"/>
      <x:c r="J25" s="162" t="str">
        <x:f>IF(H25="","",MAX(H25-I25,0))</x:f>
      </x:c>
      <x:c r="K25" s="148"/>
      <x:c r="L25" s="148"/>
      <x:c r="M25" s="148"/>
      <x:c r="N25" s="148"/>
      <x:c r="O25" s="125"/>
      <x:c r="P25" s="125"/>
      <x:c r="Q25" s="125"/>
    </x:row>
    <x:row r="26">
      <x:c r="A26" s="148"/>
      <x:c r="B26" s="148"/>
      <x:c r="C26" s="148"/>
      <x:c r="D26" s="148"/>
      <x:c r="E26" s="148"/>
      <x:c r="F26" s="148"/>
      <x:c r="G26" s="148"/>
      <x:c r="H26" s="160"/>
      <x:c r="I26" s="160"/>
      <x:c r="J26" s="162" t="str">
        <x:f>IF(H26="","",MAX(H26-I26,0))</x:f>
      </x:c>
      <x:c r="K26" s="148"/>
      <x:c r="L26" s="148"/>
      <x:c r="M26" s="148"/>
      <x:c r="N26" s="148"/>
      <x:c r="O26" s="125"/>
      <x:c r="P26" s="125"/>
      <x:c r="Q26" s="125"/>
    </x:row>
    <x:row r="27">
      <x:c r="A27" s="148"/>
      <x:c r="B27" s="148"/>
      <x:c r="C27" s="148"/>
      <x:c r="D27" s="148"/>
      <x:c r="E27" s="148"/>
      <x:c r="F27" s="148"/>
      <x:c r="G27" s="148"/>
      <x:c r="H27" s="160"/>
      <x:c r="I27" s="160"/>
      <x:c r="J27" s="162" t="str">
        <x:f>IF(H27="","",MAX(H27-I27,0))</x:f>
      </x:c>
      <x:c r="K27" s="148"/>
      <x:c r="L27" s="148"/>
      <x:c r="M27" s="148"/>
      <x:c r="N27" s="148"/>
      <x:c r="O27" s="125"/>
      <x:c r="P27" s="125"/>
      <x:c r="Q27" s="125"/>
    </x:row>
    <x:row r="28">
      <x:c r="A28" s="148"/>
      <x:c r="B28" s="148"/>
      <x:c r="C28" s="148"/>
      <x:c r="D28" s="148"/>
      <x:c r="E28" s="148"/>
      <x:c r="F28" s="148"/>
      <x:c r="G28" s="148"/>
      <x:c r="H28" s="160"/>
      <x:c r="I28" s="160"/>
      <x:c r="J28" s="162" t="str">
        <x:f>IF(H28="","",MAX(H28-I28,0))</x:f>
      </x:c>
      <x:c r="K28" s="148"/>
      <x:c r="L28" s="148"/>
      <x:c r="M28" s="148"/>
      <x:c r="N28" s="148"/>
      <x:c r="O28" s="125"/>
      <x:c r="P28" s="125"/>
      <x:c r="Q28" s="125"/>
    </x:row>
    <x:row r="29">
      <x:c r="A29" s="148"/>
      <x:c r="B29" s="148"/>
      <x:c r="C29" s="148"/>
      <x:c r="D29" s="148"/>
      <x:c r="E29" s="148"/>
      <x:c r="F29" s="148"/>
      <x:c r="G29" s="148"/>
      <x:c r="H29" s="160"/>
      <x:c r="I29" s="160"/>
      <x:c r="J29" s="162" t="str">
        <x:f>IF(H29="","",MAX(H29-I29,0))</x:f>
      </x:c>
      <x:c r="K29" s="148"/>
      <x:c r="L29" s="148"/>
      <x:c r="M29" s="148"/>
      <x:c r="N29" s="148"/>
      <x:c r="O29" s="125"/>
      <x:c r="P29" s="125"/>
      <x:c r="Q29" s="125"/>
    </x:row>
    <x:row r="30">
      <x:c r="A30" s="148"/>
      <x:c r="B30" s="148"/>
      <x:c r="C30" s="148"/>
      <x:c r="D30" s="148"/>
      <x:c r="E30" s="148"/>
      <x:c r="F30" s="148"/>
      <x:c r="G30" s="148"/>
      <x:c r="H30" s="160"/>
      <x:c r="I30" s="160"/>
      <x:c r="J30" s="162" t="str">
        <x:f>IF(H30="","",MAX(H30-I30,0))</x:f>
      </x:c>
      <x:c r="K30" s="148"/>
      <x:c r="L30" s="148"/>
      <x:c r="M30" s="148"/>
      <x:c r="N30" s="148"/>
      <x:c r="O30" s="125"/>
      <x:c r="P30" s="125"/>
      <x:c r="Q30" s="125"/>
    </x:row>
    <x:row r="31">
      <x:c r="A31" s="148"/>
      <x:c r="B31" s="148"/>
      <x:c r="C31" s="148"/>
      <x:c r="D31" s="148"/>
      <x:c r="E31" s="148"/>
      <x:c r="F31" s="148"/>
      <x:c r="G31" s="148"/>
      <x:c r="H31" s="160"/>
      <x:c r="I31" s="160"/>
      <x:c r="J31" s="162" t="str">
        <x:f>IF(H31="","",MAX(H31-I31,0))</x:f>
      </x:c>
      <x:c r="K31" s="148"/>
      <x:c r="L31" s="148"/>
      <x:c r="M31" s="148"/>
      <x:c r="N31" s="148"/>
      <x:c r="O31" s="125"/>
      <x:c r="P31" s="125"/>
      <x:c r="Q31" s="125"/>
    </x:row>
    <x:row r="32">
      <x:c r="A32" s="148"/>
      <x:c r="B32" s="148"/>
      <x:c r="C32" s="148"/>
      <x:c r="D32" s="148"/>
      <x:c r="E32" s="148"/>
      <x:c r="F32" s="148"/>
      <x:c r="G32" s="148"/>
      <x:c r="H32" s="160"/>
      <x:c r="I32" s="160"/>
      <x:c r="J32" s="162" t="str">
        <x:f>IF(H32="","",MAX(H32-I32,0))</x:f>
      </x:c>
      <x:c r="K32" s="148"/>
      <x:c r="L32" s="148"/>
      <x:c r="M32" s="148"/>
      <x:c r="N32" s="148"/>
      <x:c r="O32" s="125"/>
      <x:c r="P32" s="125"/>
      <x:c r="Q32" s="125"/>
    </x:row>
    <x:row r="33">
      <x:c r="A33" s="148"/>
      <x:c r="B33" s="148"/>
      <x:c r="C33" s="148"/>
      <x:c r="D33" s="148"/>
      <x:c r="E33" s="148"/>
      <x:c r="F33" s="148"/>
      <x:c r="G33" s="148"/>
      <x:c r="H33" s="160"/>
      <x:c r="I33" s="160"/>
      <x:c r="J33" s="162" t="str">
        <x:f>IF(H33="","",MAX(H33-I33,0))</x:f>
      </x:c>
      <x:c r="K33" s="148"/>
      <x:c r="L33" s="148"/>
      <x:c r="M33" s="148"/>
      <x:c r="N33" s="148"/>
      <x:c r="O33" s="125"/>
      <x:c r="P33" s="125"/>
      <x:c r="Q33" s="125"/>
    </x:row>
    <x:row r="34">
      <x:c r="A34" s="148"/>
      <x:c r="B34" s="148"/>
      <x:c r="C34" s="148"/>
      <x:c r="D34" s="148"/>
      <x:c r="E34" s="148"/>
      <x:c r="F34" s="148"/>
      <x:c r="G34" s="148"/>
      <x:c r="H34" s="160"/>
      <x:c r="I34" s="160"/>
      <x:c r="J34" s="162" t="str">
        <x:f>IF(H34="","",MAX(H34-I34,0))</x:f>
      </x:c>
      <x:c r="K34" s="148"/>
      <x:c r="L34" s="148"/>
      <x:c r="M34" s="148"/>
      <x:c r="N34" s="148"/>
      <x:c r="O34" s="125"/>
      <x:c r="P34" s="125"/>
      <x:c r="Q34" s="125"/>
    </x:row>
    <x:row r="35">
      <x:c r="A35" s="148"/>
      <x:c r="B35" s="148"/>
      <x:c r="C35" s="148"/>
      <x:c r="D35" s="148"/>
      <x:c r="E35" s="148"/>
      <x:c r="F35" s="148"/>
      <x:c r="G35" s="148"/>
      <x:c r="H35" s="160"/>
      <x:c r="I35" s="160"/>
      <x:c r="J35" s="162" t="str">
        <x:f>IF(H35="","",MAX(H35-I35,0))</x:f>
      </x:c>
      <x:c r="K35" s="148"/>
      <x:c r="L35" s="148"/>
      <x:c r="M35" s="148"/>
      <x:c r="N35" s="148"/>
      <x:c r="O35" s="125"/>
      <x:c r="P35" s="125"/>
      <x:c r="Q35" s="125"/>
    </x:row>
    <x:row r="36">
      <x:c r="A36" s="148"/>
      <x:c r="B36" s="148"/>
      <x:c r="C36" s="148"/>
      <x:c r="D36" s="148"/>
      <x:c r="E36" s="148"/>
      <x:c r="F36" s="148"/>
      <x:c r="G36" s="148"/>
      <x:c r="H36" s="160"/>
      <x:c r="I36" s="160"/>
      <x:c r="J36" s="162" t="str">
        <x:f>IF(H36="","",MAX(H36-I36,0))</x:f>
      </x:c>
      <x:c r="K36" s="148"/>
      <x:c r="L36" s="148"/>
      <x:c r="M36" s="148"/>
      <x:c r="N36" s="148"/>
      <x:c r="O36" s="125"/>
      <x:c r="P36" s="125"/>
      <x:c r="Q36" s="125"/>
    </x:row>
    <x:row r="37">
      <x:c r="A37" s="148"/>
      <x:c r="B37" s="148"/>
      <x:c r="C37" s="148"/>
      <x:c r="D37" s="148"/>
      <x:c r="E37" s="148"/>
      <x:c r="F37" s="148"/>
      <x:c r="G37" s="148"/>
      <x:c r="H37" s="160"/>
      <x:c r="I37" s="160"/>
      <x:c r="J37" s="162" t="str">
        <x:f>IF(H37="","",MAX(H37-I37,0))</x:f>
      </x:c>
      <x:c r="K37" s="148"/>
      <x:c r="L37" s="148"/>
      <x:c r="M37" s="148"/>
      <x:c r="N37" s="148"/>
      <x:c r="O37" s="125"/>
      <x:c r="P37" s="125"/>
      <x:c r="Q37" s="125"/>
    </x:row>
    <x:row r="38">
      <x:c r="A38" s="148"/>
      <x:c r="B38" s="148"/>
      <x:c r="C38" s="148"/>
      <x:c r="D38" s="148"/>
      <x:c r="E38" s="148"/>
      <x:c r="F38" s="148"/>
      <x:c r="G38" s="148"/>
      <x:c r="H38" s="160"/>
      <x:c r="I38" s="160"/>
      <x:c r="J38" s="162" t="str">
        <x:f>IF(H38="","",MAX(H38-I38,0))</x:f>
      </x:c>
      <x:c r="K38" s="148"/>
      <x:c r="L38" s="148"/>
      <x:c r="M38" s="148"/>
      <x:c r="N38" s="148"/>
      <x:c r="O38" s="125"/>
      <x:c r="P38" s="125"/>
      <x:c r="Q38" s="125"/>
    </x:row>
    <x:row r="39">
      <x:c r="A39" s="148"/>
      <x:c r="B39" s="148"/>
      <x:c r="C39" s="148"/>
      <x:c r="D39" s="148"/>
      <x:c r="E39" s="148"/>
      <x:c r="F39" s="148"/>
      <x:c r="G39" s="148"/>
      <x:c r="H39" s="160"/>
      <x:c r="I39" s="160"/>
      <x:c r="J39" s="162" t="str">
        <x:f>IF(H39="","",MAX(H39-I39,0))</x:f>
      </x:c>
      <x:c r="K39" s="148"/>
      <x:c r="L39" s="148"/>
      <x:c r="M39" s="148"/>
      <x:c r="N39" s="148"/>
      <x:c r="O39" s="125"/>
      <x:c r="P39" s="125"/>
      <x:c r="Q39" s="125"/>
    </x:row>
    <x:row r="40">
      <x:c r="A40" s="148"/>
      <x:c r="B40" s="148"/>
      <x:c r="C40" s="148"/>
      <x:c r="D40" s="148"/>
      <x:c r="E40" s="148"/>
      <x:c r="F40" s="148"/>
      <x:c r="G40" s="148"/>
      <x:c r="H40" s="160"/>
      <x:c r="I40" s="160"/>
      <x:c r="J40" s="162" t="str">
        <x:f>IF(H40="","",MAX(H40-I40,0))</x:f>
      </x:c>
      <x:c r="K40" s="148"/>
      <x:c r="L40" s="148"/>
      <x:c r="M40" s="148"/>
      <x:c r="N40" s="148"/>
      <x:c r="O40" s="125"/>
      <x:c r="P40" s="125"/>
      <x:c r="Q40" s="125"/>
    </x:row>
    <x:row r="41">
      <x:c r="A41" s="148"/>
      <x:c r="B41" s="148"/>
      <x:c r="C41" s="148"/>
      <x:c r="D41" s="148"/>
      <x:c r="E41" s="148"/>
      <x:c r="F41" s="148"/>
      <x:c r="G41" s="148"/>
      <x:c r="H41" s="160"/>
      <x:c r="I41" s="160"/>
      <x:c r="J41" s="162" t="str">
        <x:f>IF(H41="","",MAX(H41-I41,0))</x:f>
      </x:c>
      <x:c r="K41" s="148"/>
      <x:c r="L41" s="148"/>
      <x:c r="M41" s="148"/>
      <x:c r="N41" s="148"/>
      <x:c r="O41" s="125"/>
      <x:c r="P41" s="125"/>
      <x:c r="Q41" s="125"/>
    </x:row>
    <x:row r="42">
      <x:c r="A42" s="148"/>
      <x:c r="B42" s="148"/>
      <x:c r="C42" s="148"/>
      <x:c r="D42" s="148"/>
      <x:c r="E42" s="148"/>
      <x:c r="F42" s="148"/>
      <x:c r="G42" s="148"/>
      <x:c r="H42" s="160"/>
      <x:c r="I42" s="160"/>
      <x:c r="J42" s="162" t="str">
        <x:f>IF(H42="","",MAX(H42-I42,0))</x:f>
      </x:c>
      <x:c r="K42" s="148"/>
      <x:c r="L42" s="148"/>
      <x:c r="M42" s="148"/>
      <x:c r="N42" s="148"/>
      <x:c r="O42" s="125"/>
      <x:c r="P42" s="125"/>
      <x:c r="Q42" s="125"/>
    </x:row>
    <x:row r="43">
      <x:c r="A43" s="148"/>
      <x:c r="B43" s="148"/>
      <x:c r="C43" s="148"/>
      <x:c r="D43" s="148"/>
      <x:c r="E43" s="148"/>
      <x:c r="F43" s="148"/>
      <x:c r="G43" s="148"/>
      <x:c r="H43" s="160"/>
      <x:c r="I43" s="160"/>
      <x:c r="J43" s="162" t="str">
        <x:f>IF(H43="","",MAX(H43-I43,0))</x:f>
      </x:c>
      <x:c r="K43" s="148"/>
      <x:c r="L43" s="148"/>
      <x:c r="M43" s="148"/>
      <x:c r="N43" s="148"/>
      <x:c r="O43" s="125"/>
      <x:c r="P43" s="125"/>
      <x:c r="Q43" s="125"/>
    </x:row>
    <x:row r="44">
      <x:c r="A44" s="148"/>
      <x:c r="B44" s="148"/>
      <x:c r="C44" s="148"/>
      <x:c r="D44" s="148"/>
      <x:c r="E44" s="148"/>
      <x:c r="F44" s="148"/>
      <x:c r="G44" s="148"/>
      <x:c r="H44" s="160"/>
      <x:c r="I44" s="160"/>
      <x:c r="J44" s="162" t="str">
        <x:f>IF(H44="","",MAX(H44-I44,0))</x:f>
      </x:c>
      <x:c r="K44" s="148"/>
      <x:c r="L44" s="148"/>
      <x:c r="M44" s="148"/>
      <x:c r="N44" s="148"/>
      <x:c r="O44" s="125"/>
      <x:c r="P44" s="125"/>
      <x:c r="Q44" s="125"/>
    </x:row>
    <x:row r="45">
      <x:c r="A45" s="148"/>
      <x:c r="B45" s="148"/>
      <x:c r="C45" s="148"/>
      <x:c r="D45" s="148"/>
      <x:c r="E45" s="148"/>
      <x:c r="F45" s="148"/>
      <x:c r="G45" s="148"/>
      <x:c r="H45" s="160"/>
      <x:c r="I45" s="160"/>
      <x:c r="J45" s="162" t="str">
        <x:f>IF(H45="","",MAX(H45-I45,0))</x:f>
      </x:c>
      <x:c r="K45" s="148"/>
      <x:c r="L45" s="148"/>
      <x:c r="M45" s="148"/>
      <x:c r="N45" s="148"/>
      <x:c r="O45" s="125"/>
      <x:c r="P45" s="125"/>
      <x:c r="Q45" s="125"/>
    </x:row>
    <x:row r="46">
      <x:c r="A46" s="148"/>
      <x:c r="B46" s="148"/>
      <x:c r="C46" s="148"/>
      <x:c r="D46" s="148"/>
      <x:c r="E46" s="148"/>
      <x:c r="F46" s="148"/>
      <x:c r="G46" s="148"/>
      <x:c r="H46" s="160"/>
      <x:c r="I46" s="160"/>
      <x:c r="J46" s="162" t="str">
        <x:f>IF(H46="","",MAX(H46-I46,0))</x:f>
      </x:c>
      <x:c r="K46" s="148"/>
      <x:c r="L46" s="148"/>
      <x:c r="M46" s="148"/>
      <x:c r="N46" s="148"/>
      <x:c r="O46" s="125"/>
      <x:c r="P46" s="125"/>
      <x:c r="Q46" s="125"/>
    </x:row>
    <x:row r="47">
      <x:c r="A47" s="148"/>
      <x:c r="B47" s="148"/>
      <x:c r="C47" s="148"/>
      <x:c r="D47" s="148"/>
      <x:c r="E47" s="148"/>
      <x:c r="F47" s="148"/>
      <x:c r="G47" s="148"/>
      <x:c r="H47" s="160"/>
      <x:c r="I47" s="160"/>
      <x:c r="J47" s="162" t="str">
        <x:f>IF(H47="","",MAX(H47-I47,0))</x:f>
      </x:c>
      <x:c r="K47" s="148"/>
      <x:c r="L47" s="148"/>
      <x:c r="M47" s="148"/>
      <x:c r="N47" s="148"/>
      <x:c r="O47" s="125"/>
      <x:c r="P47" s="125"/>
      <x:c r="Q47" s="125"/>
    </x:row>
    <x:row r="48">
      <x:c r="A48" s="148"/>
      <x:c r="B48" s="148"/>
      <x:c r="C48" s="148"/>
      <x:c r="D48" s="148"/>
      <x:c r="E48" s="148"/>
      <x:c r="F48" s="148"/>
      <x:c r="G48" s="148"/>
      <x:c r="H48" s="160"/>
      <x:c r="I48" s="160"/>
      <x:c r="J48" s="162" t="str">
        <x:f>IF(H48="","",MAX(H48-I48,0))</x:f>
      </x:c>
      <x:c r="K48" s="148"/>
      <x:c r="L48" s="148"/>
      <x:c r="M48" s="148"/>
      <x:c r="N48" s="148"/>
      <x:c r="O48" s="125"/>
      <x:c r="P48" s="125"/>
      <x:c r="Q48" s="125"/>
    </x:row>
    <x:row r="49">
      <x:c r="A49" s="148"/>
      <x:c r="B49" s="148"/>
      <x:c r="C49" s="148"/>
      <x:c r="D49" s="148"/>
      <x:c r="E49" s="148"/>
      <x:c r="F49" s="148"/>
      <x:c r="G49" s="148"/>
      <x:c r="H49" s="160"/>
      <x:c r="I49" s="160"/>
      <x:c r="J49" s="162" t="str">
        <x:f>IF(H49="","",MAX(H49-I49,0))</x:f>
      </x:c>
      <x:c r="K49" s="148"/>
      <x:c r="L49" s="148"/>
      <x:c r="M49" s="148"/>
      <x:c r="N49" s="148"/>
      <x:c r="O49" s="125"/>
      <x:c r="P49" s="125"/>
      <x:c r="Q49" s="125"/>
    </x:row>
    <x:row r="50">
      <x:c r="A50" s="148"/>
      <x:c r="B50" s="148"/>
      <x:c r="C50" s="148"/>
      <x:c r="D50" s="148"/>
      <x:c r="E50" s="148"/>
      <x:c r="F50" s="148"/>
      <x:c r="G50" s="148"/>
      <x:c r="H50" s="160"/>
      <x:c r="I50" s="160"/>
      <x:c r="J50" s="162" t="str">
        <x:f>IF(H50="","",MAX(H50-I50,0))</x:f>
      </x:c>
      <x:c r="K50" s="148"/>
      <x:c r="L50" s="148"/>
      <x:c r="M50" s="148"/>
      <x:c r="N50" s="148"/>
      <x:c r="O50" s="125"/>
      <x:c r="P50" s="125"/>
      <x:c r="Q50" s="125"/>
    </x:row>
    <x:row r="51">
      <x:c r="A51" s="148"/>
      <x:c r="B51" s="148"/>
      <x:c r="C51" s="148"/>
      <x:c r="D51" s="148"/>
      <x:c r="E51" s="148"/>
      <x:c r="F51" s="148"/>
      <x:c r="G51" s="148"/>
      <x:c r="H51" s="160"/>
      <x:c r="I51" s="160"/>
      <x:c r="J51" s="162" t="str">
        <x:f>IF(H51="","",MAX(H51-I51,0))</x:f>
      </x:c>
      <x:c r="K51" s="148"/>
      <x:c r="L51" s="148"/>
      <x:c r="M51" s="148"/>
      <x:c r="N51" s="148"/>
      <x:c r="O51" s="125"/>
      <x:c r="P51" s="125"/>
      <x:c r="Q51" s="125"/>
    </x:row>
    <x:row r="52">
      <x:c r="A52" s="148"/>
      <x:c r="B52" s="148"/>
      <x:c r="C52" s="148"/>
      <x:c r="D52" s="148"/>
      <x:c r="E52" s="148"/>
      <x:c r="F52" s="148"/>
      <x:c r="G52" s="148"/>
      <x:c r="H52" s="160"/>
      <x:c r="I52" s="160"/>
      <x:c r="J52" s="162" t="str">
        <x:f>IF(H52="","",MAX(H52-I52,0))</x:f>
      </x:c>
      <x:c r="K52" s="148"/>
      <x:c r="L52" s="148"/>
      <x:c r="M52" s="148"/>
      <x:c r="N52" s="148"/>
      <x:c r="O52" s="125"/>
      <x:c r="P52" s="125"/>
      <x:c r="Q52" s="125"/>
    </x:row>
    <x:row r="53">
      <x:c r="A53" s="148"/>
      <x:c r="B53" s="148"/>
      <x:c r="C53" s="148"/>
      <x:c r="D53" s="148"/>
      <x:c r="E53" s="148"/>
      <x:c r="F53" s="148"/>
      <x:c r="G53" s="148"/>
      <x:c r="H53" s="160"/>
      <x:c r="I53" s="160"/>
      <x:c r="J53" s="162" t="str">
        <x:f>IF(H53="","",MAX(H53-I53,0))</x:f>
      </x:c>
      <x:c r="K53" s="148"/>
      <x:c r="L53" s="148"/>
      <x:c r="M53" s="148"/>
      <x:c r="N53" s="148"/>
      <x:c r="O53" s="125"/>
      <x:c r="P53" s="125"/>
      <x:c r="Q53" s="125"/>
    </x:row>
    <x:row r="54">
      <x:c r="A54" s="148"/>
      <x:c r="B54" s="148"/>
      <x:c r="C54" s="148"/>
      <x:c r="D54" s="148"/>
      <x:c r="E54" s="148"/>
      <x:c r="F54" s="148"/>
      <x:c r="G54" s="148"/>
      <x:c r="H54" s="160"/>
      <x:c r="I54" s="160"/>
      <x:c r="J54" s="162" t="str">
        <x:f>IF(H54="","",MAX(H54-I54,0))</x:f>
      </x:c>
      <x:c r="K54" s="148"/>
      <x:c r="L54" s="148"/>
      <x:c r="M54" s="148"/>
      <x:c r="N54" s="148"/>
      <x:c r="O54" s="125"/>
      <x:c r="P54" s="125"/>
      <x:c r="Q54" s="125"/>
    </x:row>
    <x:row r="55">
      <x:c r="A55" s="148"/>
      <x:c r="B55" s="148"/>
      <x:c r="C55" s="148"/>
      <x:c r="D55" s="148"/>
      <x:c r="E55" s="148"/>
      <x:c r="F55" s="148"/>
      <x:c r="G55" s="148"/>
      <x:c r="H55" s="160"/>
      <x:c r="I55" s="160"/>
      <x:c r="J55" s="162" t="str">
        <x:f>IF(H55="","",MAX(H55-I55,0))</x:f>
      </x:c>
      <x:c r="K55" s="148"/>
      <x:c r="L55" s="148"/>
      <x:c r="M55" s="148"/>
      <x:c r="N55" s="148"/>
      <x:c r="O55" s="125"/>
      <x:c r="P55" s="125"/>
      <x:c r="Q55" s="125"/>
    </x:row>
    <x:row r="56">
      <x:c r="A56" s="148"/>
      <x:c r="B56" s="148"/>
      <x:c r="C56" s="148"/>
      <x:c r="D56" s="148"/>
      <x:c r="E56" s="148"/>
      <x:c r="F56" s="148"/>
      <x:c r="G56" s="148"/>
      <x:c r="H56" s="160"/>
      <x:c r="I56" s="160"/>
      <x:c r="J56" s="162" t="str">
        <x:f>IF(H56="","",MAX(H56-I56,0))</x:f>
      </x:c>
      <x:c r="K56" s="148"/>
      <x:c r="L56" s="148"/>
      <x:c r="M56" s="148"/>
      <x:c r="N56" s="148"/>
      <x:c r="O56" s="125"/>
      <x:c r="P56" s="125"/>
      <x:c r="Q56" s="125"/>
    </x:row>
    <x:row r="57">
      <x:c r="A57" s="148"/>
      <x:c r="B57" s="148"/>
      <x:c r="C57" s="148"/>
      <x:c r="D57" s="148"/>
      <x:c r="E57" s="148"/>
      <x:c r="F57" s="148"/>
      <x:c r="G57" s="148"/>
      <x:c r="H57" s="160"/>
      <x:c r="I57" s="160"/>
      <x:c r="J57" s="162" t="str">
        <x:f>IF(H57="","",MAX(H57-I57,0))</x:f>
      </x:c>
      <x:c r="K57" s="148"/>
      <x:c r="L57" s="148"/>
      <x:c r="M57" s="148"/>
      <x:c r="N57" s="148"/>
      <x:c r="O57" s="125"/>
      <x:c r="P57" s="125"/>
      <x:c r="Q57" s="125"/>
    </x:row>
    <x:row r="58">
      <x:c r="A58" s="148"/>
      <x:c r="B58" s="148"/>
      <x:c r="C58" s="148"/>
      <x:c r="D58" s="148"/>
      <x:c r="E58" s="148"/>
      <x:c r="F58" s="148"/>
      <x:c r="G58" s="148"/>
      <x:c r="H58" s="160"/>
      <x:c r="I58" s="160"/>
      <x:c r="J58" s="162" t="str">
        <x:f>IF(H58="","",MAX(H58-I58,0))</x:f>
      </x:c>
      <x:c r="K58" s="148"/>
      <x:c r="L58" s="148"/>
      <x:c r="M58" s="148"/>
      <x:c r="N58" s="148"/>
      <x:c r="O58" s="125"/>
      <x:c r="P58" s="125"/>
      <x:c r="Q58" s="125"/>
    </x:row>
    <x:row r="59">
      <x:c r="A59" s="148"/>
      <x:c r="B59" s="148"/>
      <x:c r="C59" s="148"/>
      <x:c r="D59" s="148"/>
      <x:c r="E59" s="148"/>
      <x:c r="F59" s="148"/>
      <x:c r="G59" s="148"/>
      <x:c r="H59" s="160"/>
      <x:c r="I59" s="160"/>
      <x:c r="J59" s="162" t="str">
        <x:f>IF(H59="","",MAX(H59-I59,0))</x:f>
      </x:c>
      <x:c r="K59" s="148"/>
      <x:c r="L59" s="148"/>
      <x:c r="M59" s="148"/>
      <x:c r="N59" s="148"/>
      <x:c r="O59" s="125"/>
      <x:c r="P59" s="125"/>
      <x:c r="Q59" s="125"/>
    </x:row>
    <x:row r="60">
      <x:c r="A60" s="148"/>
      <x:c r="B60" s="148"/>
      <x:c r="C60" s="148"/>
      <x:c r="D60" s="148"/>
      <x:c r="E60" s="148"/>
      <x:c r="F60" s="148"/>
      <x:c r="G60" s="148"/>
      <x:c r="H60" s="160"/>
      <x:c r="I60" s="160"/>
      <x:c r="J60" s="162" t="str">
        <x:f>IF(H60="","",MAX(H60-I60,0))</x:f>
      </x:c>
      <x:c r="K60" s="148"/>
      <x:c r="L60" s="148"/>
      <x:c r="M60" s="148"/>
      <x:c r="N60" s="148"/>
      <x:c r="O60" s="125"/>
      <x:c r="P60" s="125"/>
      <x:c r="Q60" s="125"/>
    </x:row>
    <x:row r="61">
      <x:c r="A61" s="148"/>
      <x:c r="B61" s="148"/>
      <x:c r="C61" s="148"/>
      <x:c r="D61" s="148"/>
      <x:c r="E61" s="148"/>
      <x:c r="F61" s="148"/>
      <x:c r="G61" s="148"/>
      <x:c r="H61" s="160"/>
      <x:c r="I61" s="160"/>
      <x:c r="J61" s="162" t="str">
        <x:f>IF(H61="","",MAX(H61-I61,0))</x:f>
      </x:c>
      <x:c r="K61" s="148"/>
      <x:c r="L61" s="148"/>
      <x:c r="M61" s="148"/>
      <x:c r="N61" s="148"/>
      <x:c r="O61" s="125"/>
      <x:c r="P61" s="125"/>
      <x:c r="Q61" s="125"/>
    </x:row>
    <x:row r="62">
      <x:c r="A62" s="148"/>
      <x:c r="B62" s="148"/>
      <x:c r="C62" s="148"/>
      <x:c r="D62" s="148"/>
      <x:c r="E62" s="148"/>
      <x:c r="F62" s="148"/>
      <x:c r="G62" s="148"/>
      <x:c r="H62" s="160"/>
      <x:c r="I62" s="160"/>
      <x:c r="J62" s="162" t="str">
        <x:f>IF(H62="","",MAX(H62-I62,0))</x:f>
      </x:c>
      <x:c r="K62" s="148"/>
      <x:c r="L62" s="148"/>
      <x:c r="M62" s="148"/>
      <x:c r="N62" s="148"/>
      <x:c r="O62" s="125"/>
      <x:c r="P62" s="125"/>
      <x:c r="Q62" s="125"/>
    </x:row>
    <x:row r="63">
      <x:c r="A63" s="148"/>
      <x:c r="B63" s="148"/>
      <x:c r="C63" s="148"/>
      <x:c r="D63" s="148"/>
      <x:c r="E63" s="148"/>
      <x:c r="F63" s="148"/>
      <x:c r="G63" s="148"/>
      <x:c r="H63" s="160"/>
      <x:c r="I63" s="160"/>
      <x:c r="J63" s="162" t="str">
        <x:f>IF(H63="","",MAX(H63-I63,0))</x:f>
      </x:c>
      <x:c r="K63" s="148"/>
      <x:c r="L63" s="148"/>
      <x:c r="M63" s="148"/>
      <x:c r="N63" s="148"/>
      <x:c r="O63" s="125"/>
      <x:c r="P63" s="125"/>
      <x:c r="Q63" s="125"/>
    </x:row>
    <x:row r="64">
      <x:c r="A64" s="148"/>
      <x:c r="B64" s="148"/>
      <x:c r="C64" s="148"/>
      <x:c r="D64" s="148"/>
      <x:c r="E64" s="148"/>
      <x:c r="F64" s="148"/>
      <x:c r="G64" s="148"/>
      <x:c r="H64" s="160"/>
      <x:c r="I64" s="160"/>
      <x:c r="J64" s="162" t="str">
        <x:f>IF(H64="","",MAX(H64-I64,0))</x:f>
      </x:c>
      <x:c r="K64" s="148"/>
      <x:c r="L64" s="148"/>
      <x:c r="M64" s="148"/>
      <x:c r="N64" s="148"/>
      <x:c r="O64" s="125"/>
      <x:c r="P64" s="125"/>
      <x:c r="Q64" s="125"/>
    </x:row>
    <x:row r="65">
      <x:c r="A65" s="148"/>
      <x:c r="B65" s="148"/>
      <x:c r="C65" s="148"/>
      <x:c r="D65" s="148"/>
      <x:c r="E65" s="148"/>
      <x:c r="F65" s="148"/>
      <x:c r="G65" s="148"/>
      <x:c r="H65" s="160"/>
      <x:c r="I65" s="160"/>
      <x:c r="J65" s="162" t="str">
        <x:f>IF(H65="","",MAX(H65-I65,0))</x:f>
      </x:c>
      <x:c r="K65" s="148"/>
      <x:c r="L65" s="148"/>
      <x:c r="M65" s="148"/>
      <x:c r="N65" s="148"/>
      <x:c r="O65" s="125"/>
      <x:c r="P65" s="125"/>
      <x:c r="Q65" s="125"/>
    </x:row>
    <x:row r="66">
      <x:c r="A66" s="148"/>
      <x:c r="B66" s="148"/>
      <x:c r="C66" s="148"/>
      <x:c r="D66" s="148"/>
      <x:c r="E66" s="148"/>
      <x:c r="F66" s="148"/>
      <x:c r="G66" s="148"/>
      <x:c r="H66" s="160"/>
      <x:c r="I66" s="160"/>
      <x:c r="J66" s="162" t="str">
        <x:f>IF(H66="","",MAX(H66-I66,0))</x:f>
      </x:c>
      <x:c r="K66" s="148"/>
      <x:c r="L66" s="148"/>
      <x:c r="M66" s="148"/>
      <x:c r="N66" s="148"/>
      <x:c r="O66" s="125"/>
      <x:c r="P66" s="125"/>
      <x:c r="Q66" s="125"/>
    </x:row>
    <x:row r="67">
      <x:c r="A67" s="148"/>
      <x:c r="B67" s="148"/>
      <x:c r="C67" s="148"/>
      <x:c r="D67" s="148"/>
      <x:c r="E67" s="148"/>
      <x:c r="F67" s="148"/>
      <x:c r="G67" s="148"/>
      <x:c r="H67" s="160"/>
      <x:c r="I67" s="160"/>
      <x:c r="J67" s="162" t="str">
        <x:f>IF(H67="","",MAX(H67-I67,0))</x:f>
      </x:c>
      <x:c r="K67" s="148"/>
      <x:c r="L67" s="148"/>
      <x:c r="M67" s="148"/>
      <x:c r="N67" s="148"/>
      <x:c r="O67" s="125"/>
      <x:c r="P67" s="125"/>
      <x:c r="Q67" s="125"/>
    </x:row>
    <x:row r="68">
      <x:c r="A68" s="148"/>
      <x:c r="B68" s="148"/>
      <x:c r="C68" s="148"/>
      <x:c r="D68" s="148"/>
      <x:c r="E68" s="148"/>
      <x:c r="F68" s="148"/>
      <x:c r="G68" s="148"/>
      <x:c r="H68" s="160"/>
      <x:c r="I68" s="160"/>
      <x:c r="J68" s="162" t="str">
        <x:f>IF(H68="","",MAX(H68-I68,0))</x:f>
      </x:c>
      <x:c r="K68" s="148"/>
      <x:c r="L68" s="148"/>
      <x:c r="M68" s="148"/>
      <x:c r="N68" s="148"/>
      <x:c r="O68" s="125"/>
      <x:c r="P68" s="125"/>
      <x:c r="Q68" s="125"/>
    </x:row>
    <x:row r="69">
      <x:c r="A69" s="148"/>
      <x:c r="B69" s="148"/>
      <x:c r="C69" s="148"/>
      <x:c r="D69" s="148"/>
      <x:c r="E69" s="148"/>
      <x:c r="F69" s="148"/>
      <x:c r="G69" s="148"/>
      <x:c r="H69" s="160"/>
      <x:c r="I69" s="160"/>
      <x:c r="J69" s="162" t="str">
        <x:f>IF(H69="","",MAX(H69-I69,0))</x:f>
      </x:c>
      <x:c r="K69" s="148"/>
      <x:c r="L69" s="148"/>
      <x:c r="M69" s="148"/>
      <x:c r="N69" s="148"/>
      <x:c r="O69" s="125"/>
      <x:c r="P69" s="125"/>
      <x:c r="Q69" s="125"/>
    </x:row>
    <x:row r="70">
      <x:c r="A70" s="148"/>
      <x:c r="B70" s="148"/>
      <x:c r="C70" s="148"/>
      <x:c r="D70" s="148"/>
      <x:c r="E70" s="148"/>
      <x:c r="F70" s="148"/>
      <x:c r="G70" s="148"/>
      <x:c r="H70" s="160"/>
      <x:c r="I70" s="160"/>
      <x:c r="J70" s="162" t="str">
        <x:f>IF(H70="","",MAX(H70-I70,0))</x:f>
      </x:c>
      <x:c r="K70" s="148"/>
      <x:c r="L70" s="148"/>
      <x:c r="M70" s="148"/>
      <x:c r="N70" s="148"/>
      <x:c r="O70" s="125"/>
      <x:c r="P70" s="125"/>
      <x:c r="Q70" s="125"/>
    </x:row>
    <x:row r="71">
      <x:c r="A71" s="148"/>
      <x:c r="B71" s="148"/>
      <x:c r="C71" s="148"/>
      <x:c r="D71" s="148"/>
      <x:c r="E71" s="148"/>
      <x:c r="F71" s="148"/>
      <x:c r="G71" s="148"/>
      <x:c r="H71" s="160"/>
      <x:c r="I71" s="160"/>
      <x:c r="J71" s="162" t="str">
        <x:f>IF(H71="","",MAX(H71-I71,0))</x:f>
      </x:c>
      <x:c r="K71" s="148"/>
      <x:c r="L71" s="148"/>
      <x:c r="M71" s="148"/>
      <x:c r="N71" s="148"/>
      <x:c r="O71" s="125"/>
      <x:c r="P71" s="125"/>
      <x:c r="Q71" s="125"/>
    </x:row>
    <x:row r="72">
      <x:c r="A72" s="148"/>
      <x:c r="B72" s="148"/>
      <x:c r="C72" s="148"/>
      <x:c r="D72" s="148"/>
      <x:c r="E72" s="148"/>
      <x:c r="F72" s="148"/>
      <x:c r="G72" s="148"/>
      <x:c r="H72" s="160"/>
      <x:c r="I72" s="160"/>
      <x:c r="J72" s="162" t="str">
        <x:f>IF(H72="","",MAX(H72-I72,0))</x:f>
      </x:c>
      <x:c r="K72" s="148"/>
      <x:c r="L72" s="148"/>
      <x:c r="M72" s="148"/>
      <x:c r="N72" s="148"/>
      <x:c r="O72" s="125"/>
      <x:c r="P72" s="125"/>
      <x:c r="Q72" s="125"/>
    </x:row>
    <x:row r="73">
      <x:c r="A73" s="148"/>
      <x:c r="B73" s="148"/>
      <x:c r="C73" s="148"/>
      <x:c r="D73" s="148"/>
      <x:c r="E73" s="148"/>
      <x:c r="F73" s="148"/>
      <x:c r="G73" s="148"/>
      <x:c r="H73" s="160"/>
      <x:c r="I73" s="160"/>
      <x:c r="J73" s="162" t="str">
        <x:f>IF(H73="","",MAX(H73-I73,0))</x:f>
      </x:c>
      <x:c r="K73" s="148"/>
      <x:c r="L73" s="148"/>
      <x:c r="M73" s="148"/>
      <x:c r="N73" s="148"/>
      <x:c r="O73" s="125"/>
      <x:c r="P73" s="125"/>
      <x:c r="Q73" s="125"/>
    </x:row>
    <x:row r="74">
      <x:c r="A74" s="148"/>
      <x:c r="B74" s="148"/>
      <x:c r="C74" s="148"/>
      <x:c r="D74" s="148"/>
      <x:c r="E74" s="148"/>
      <x:c r="F74" s="148"/>
      <x:c r="G74" s="148"/>
      <x:c r="H74" s="160"/>
      <x:c r="I74" s="160"/>
      <x:c r="J74" s="162" t="str">
        <x:f>IF(H74="","",MAX(H74-I74,0))</x:f>
      </x:c>
      <x:c r="K74" s="148"/>
      <x:c r="L74" s="148"/>
      <x:c r="M74" s="148"/>
      <x:c r="N74" s="148"/>
      <x:c r="O74" s="125"/>
      <x:c r="P74" s="125"/>
      <x:c r="Q74" s="125"/>
    </x:row>
    <x:row r="75">
      <x:c r="A75" s="148"/>
      <x:c r="B75" s="148"/>
      <x:c r="C75" s="148"/>
      <x:c r="D75" s="148"/>
      <x:c r="E75" s="148"/>
      <x:c r="F75" s="148"/>
      <x:c r="G75" s="148"/>
      <x:c r="H75" s="160"/>
      <x:c r="I75" s="160"/>
      <x:c r="J75" s="162" t="str">
        <x:f>IF(H75="","",MAX(H75-I75,0))</x:f>
      </x:c>
      <x:c r="K75" s="148"/>
      <x:c r="L75" s="148"/>
      <x:c r="M75" s="148"/>
      <x:c r="N75" s="148"/>
      <x:c r="O75" s="125"/>
      <x:c r="P75" s="125"/>
      <x:c r="Q75" s="125"/>
    </x:row>
    <x:row r="76">
      <x:c r="A76" s="148"/>
      <x:c r="B76" s="148"/>
      <x:c r="C76" s="148"/>
      <x:c r="D76" s="148"/>
      <x:c r="E76" s="148"/>
      <x:c r="F76" s="148"/>
      <x:c r="G76" s="148"/>
      <x:c r="H76" s="160"/>
      <x:c r="I76" s="160"/>
      <x:c r="J76" s="162" t="str">
        <x:f>IF(H76="","",MAX(H76-I76,0))</x:f>
      </x:c>
      <x:c r="K76" s="148"/>
      <x:c r="L76" s="148"/>
      <x:c r="M76" s="148"/>
      <x:c r="N76" s="148"/>
      <x:c r="O76" s="125"/>
      <x:c r="P76" s="125"/>
      <x:c r="Q76" s="125"/>
    </x:row>
    <x:row r="77">
      <x:c r="A77" s="148"/>
      <x:c r="B77" s="148"/>
      <x:c r="C77" s="148"/>
      <x:c r="D77" s="148"/>
      <x:c r="E77" s="148"/>
      <x:c r="F77" s="148"/>
      <x:c r="G77" s="148"/>
      <x:c r="H77" s="160"/>
      <x:c r="I77" s="160"/>
      <x:c r="J77" s="162" t="str">
        <x:f>IF(H77="","",MAX(H77-I77,0))</x:f>
      </x:c>
      <x:c r="K77" s="148"/>
      <x:c r="L77" s="148"/>
      <x:c r="M77" s="148"/>
      <x:c r="N77" s="148"/>
      <x:c r="O77" s="125"/>
      <x:c r="P77" s="125"/>
      <x:c r="Q77" s="125"/>
    </x:row>
    <x:row r="78">
      <x:c r="A78" s="148"/>
      <x:c r="B78" s="148"/>
      <x:c r="C78" s="148"/>
      <x:c r="D78" s="148"/>
      <x:c r="E78" s="148"/>
      <x:c r="F78" s="148"/>
      <x:c r="G78" s="148"/>
      <x:c r="H78" s="160"/>
      <x:c r="I78" s="160"/>
      <x:c r="J78" s="162" t="str">
        <x:f>IF(H78="","",MAX(H78-I78,0))</x:f>
      </x:c>
      <x:c r="K78" s="148"/>
      <x:c r="L78" s="148"/>
      <x:c r="M78" s="148"/>
      <x:c r="N78" s="148"/>
      <x:c r="O78" s="125"/>
      <x:c r="P78" s="125"/>
      <x:c r="Q78" s="125"/>
    </x:row>
    <x:row r="79">
      <x:c r="A79" s="148"/>
      <x:c r="B79" s="148"/>
      <x:c r="C79" s="148"/>
      <x:c r="D79" s="148"/>
      <x:c r="E79" s="148"/>
      <x:c r="F79" s="148"/>
      <x:c r="G79" s="148"/>
      <x:c r="H79" s="160"/>
      <x:c r="I79" s="160"/>
      <x:c r="J79" s="162" t="str">
        <x:f>IF(H79="","",MAX(H79-I79,0))</x:f>
      </x:c>
      <x:c r="K79" s="148"/>
      <x:c r="L79" s="148"/>
      <x:c r="M79" s="148"/>
      <x:c r="N79" s="148"/>
      <x:c r="O79" s="125"/>
      <x:c r="P79" s="125"/>
      <x:c r="Q79" s="125"/>
    </x:row>
    <x:row r="80">
      <x:c r="A80" s="148"/>
      <x:c r="B80" s="148"/>
      <x:c r="C80" s="148"/>
      <x:c r="D80" s="148"/>
      <x:c r="E80" s="148"/>
      <x:c r="F80" s="148"/>
      <x:c r="G80" s="148"/>
      <x:c r="H80" s="160"/>
      <x:c r="I80" s="160"/>
      <x:c r="J80" s="162" t="str">
        <x:f>IF(H80="","",MAX(H80-I80,0))</x:f>
      </x:c>
      <x:c r="K80" s="148"/>
      <x:c r="L80" s="148"/>
      <x:c r="M80" s="148"/>
      <x:c r="N80" s="148"/>
      <x:c r="O80" s="125"/>
      <x:c r="P80" s="125"/>
      <x:c r="Q80" s="125"/>
    </x:row>
    <x:row r="81">
      <x:c r="A81" s="148"/>
      <x:c r="B81" s="148"/>
      <x:c r="C81" s="148"/>
      <x:c r="D81" s="148"/>
      <x:c r="E81" s="148"/>
      <x:c r="F81" s="148"/>
      <x:c r="G81" s="148"/>
      <x:c r="H81" s="160"/>
      <x:c r="I81" s="160"/>
      <x:c r="J81" s="162" t="str">
        <x:f>IF(H81="","",MAX(H81-I81,0))</x:f>
      </x:c>
      <x:c r="K81" s="148"/>
      <x:c r="L81" s="148"/>
      <x:c r="M81" s="148"/>
      <x:c r="N81" s="148"/>
      <x:c r="O81" s="125"/>
      <x:c r="P81" s="125"/>
      <x:c r="Q81" s="125"/>
    </x:row>
    <x:row r="82">
      <x:c r="A82" s="148"/>
      <x:c r="B82" s="148"/>
      <x:c r="C82" s="148"/>
      <x:c r="D82" s="148"/>
      <x:c r="E82" s="148"/>
      <x:c r="F82" s="148"/>
      <x:c r="G82" s="148"/>
      <x:c r="H82" s="160"/>
      <x:c r="I82" s="160"/>
      <x:c r="J82" s="162" t="str">
        <x:f>IF(H82="","",MAX(H82-I82,0))</x:f>
      </x:c>
      <x:c r="K82" s="148"/>
      <x:c r="L82" s="148"/>
      <x:c r="M82" s="148"/>
      <x:c r="N82" s="148"/>
      <x:c r="O82" s="125"/>
      <x:c r="P82" s="125"/>
      <x:c r="Q82" s="125"/>
    </x:row>
    <x:row r="83">
      <x:c r="A83" s="148"/>
      <x:c r="B83" s="148"/>
      <x:c r="C83" s="148"/>
      <x:c r="D83" s="148"/>
      <x:c r="E83" s="148"/>
      <x:c r="F83" s="148"/>
      <x:c r="G83" s="148"/>
      <x:c r="H83" s="160"/>
      <x:c r="I83" s="160"/>
      <x:c r="J83" s="162" t="str">
        <x:f>IF(H83="","",MAX(H83-I83,0))</x:f>
      </x:c>
      <x:c r="K83" s="148"/>
      <x:c r="L83" s="148"/>
      <x:c r="M83" s="148"/>
      <x:c r="N83" s="148"/>
      <x:c r="O83" s="125"/>
      <x:c r="P83" s="125"/>
      <x:c r="Q83" s="125"/>
    </x:row>
    <x:row r="84">
      <x:c r="A84" s="148"/>
      <x:c r="B84" s="148"/>
      <x:c r="C84" s="148"/>
      <x:c r="D84" s="148"/>
      <x:c r="E84" s="148"/>
      <x:c r="F84" s="148"/>
      <x:c r="G84" s="148"/>
      <x:c r="H84" s="160"/>
      <x:c r="I84" s="160"/>
      <x:c r="J84" s="162" t="str">
        <x:f>IF(H84="","",MAX(H84-I84,0))</x:f>
      </x:c>
      <x:c r="K84" s="148"/>
      <x:c r="L84" s="148"/>
      <x:c r="M84" s="148"/>
      <x:c r="N84" s="148"/>
      <x:c r="O84" s="125"/>
      <x:c r="P84" s="125"/>
      <x:c r="Q84" s="125"/>
    </x:row>
    <x:row r="85">
      <x:c r="A85" s="148"/>
      <x:c r="B85" s="148"/>
      <x:c r="C85" s="148"/>
      <x:c r="D85" s="148"/>
      <x:c r="E85" s="148"/>
      <x:c r="F85" s="148"/>
      <x:c r="G85" s="148"/>
      <x:c r="H85" s="160"/>
      <x:c r="I85" s="160"/>
      <x:c r="J85" s="162" t="str">
        <x:f>IF(H85="","",MAX(H85-I85,0))</x:f>
      </x:c>
      <x:c r="K85" s="148"/>
      <x:c r="L85" s="148"/>
      <x:c r="M85" s="148"/>
      <x:c r="N85" s="148"/>
      <x:c r="O85" s="125"/>
      <x:c r="P85" s="125"/>
      <x:c r="Q85" s="125"/>
    </x:row>
    <x:row r="86">
      <x:c r="A86" s="148"/>
      <x:c r="B86" s="148"/>
      <x:c r="C86" s="148"/>
      <x:c r="D86" s="148"/>
      <x:c r="E86" s="148"/>
      <x:c r="F86" s="148"/>
      <x:c r="G86" s="148"/>
      <x:c r="H86" s="160"/>
      <x:c r="I86" s="160"/>
      <x:c r="J86" s="162" t="str">
        <x:f>IF(H86="","",MAX(H86-I86,0))</x:f>
      </x:c>
      <x:c r="K86" s="148"/>
      <x:c r="L86" s="148"/>
      <x:c r="M86" s="148"/>
      <x:c r="N86" s="148"/>
      <x:c r="O86" s="125"/>
      <x:c r="P86" s="125"/>
      <x:c r="Q86" s="125"/>
    </x:row>
    <x:row r="87">
      <x:c r="A87" s="148"/>
      <x:c r="B87" s="148"/>
      <x:c r="C87" s="148"/>
      <x:c r="D87" s="148"/>
      <x:c r="E87" s="148"/>
      <x:c r="F87" s="148"/>
      <x:c r="G87" s="148"/>
      <x:c r="H87" s="160"/>
      <x:c r="I87" s="160"/>
      <x:c r="J87" s="162" t="str">
        <x:f>IF(H87="","",MAX(H87-I87,0))</x:f>
      </x:c>
      <x:c r="K87" s="148"/>
      <x:c r="L87" s="148"/>
      <x:c r="M87" s="148"/>
      <x:c r="N87" s="148"/>
      <x:c r="O87" s="125"/>
      <x:c r="P87" s="125"/>
      <x:c r="Q87" s="125"/>
    </x:row>
    <x:row r="88">
      <x:c r="A88" s="148"/>
      <x:c r="B88" s="148"/>
      <x:c r="C88" s="148"/>
      <x:c r="D88" s="148"/>
      <x:c r="E88" s="148"/>
      <x:c r="F88" s="148"/>
      <x:c r="G88" s="148"/>
      <x:c r="H88" s="160"/>
      <x:c r="I88" s="160"/>
      <x:c r="J88" s="162" t="str">
        <x:f>IF(H88="","",MAX(H88-I88,0))</x:f>
      </x:c>
      <x:c r="K88" s="148"/>
      <x:c r="L88" s="148"/>
      <x:c r="M88" s="148"/>
      <x:c r="N88" s="148"/>
      <x:c r="O88" s="125"/>
      <x:c r="P88" s="125"/>
      <x:c r="Q88" s="125"/>
    </x:row>
    <x:row r="89">
      <x:c r="A89" s="148"/>
      <x:c r="B89" s="148"/>
      <x:c r="C89" s="148"/>
      <x:c r="D89" s="148"/>
      <x:c r="E89" s="148"/>
      <x:c r="F89" s="148"/>
      <x:c r="G89" s="148"/>
      <x:c r="H89" s="160"/>
      <x:c r="I89" s="160"/>
      <x:c r="J89" s="162" t="str">
        <x:f>IF(H89="","",MAX(H89-I89,0))</x:f>
      </x:c>
      <x:c r="K89" s="148"/>
      <x:c r="L89" s="148"/>
      <x:c r="M89" s="148"/>
      <x:c r="N89" s="148"/>
      <x:c r="O89" s="125"/>
      <x:c r="P89" s="125"/>
      <x:c r="Q89" s="125"/>
    </x:row>
    <x:row r="90">
      <x:c r="A90" s="148"/>
      <x:c r="B90" s="148"/>
      <x:c r="C90" s="148"/>
      <x:c r="D90" s="148"/>
      <x:c r="E90" s="148"/>
      <x:c r="F90" s="148"/>
      <x:c r="G90" s="148"/>
      <x:c r="H90" s="160"/>
      <x:c r="I90" s="160"/>
      <x:c r="J90" s="162" t="str">
        <x:f>IF(H90="","",MAX(H90-I90,0))</x:f>
      </x:c>
      <x:c r="K90" s="148"/>
      <x:c r="L90" s="148"/>
      <x:c r="M90" s="148"/>
      <x:c r="N90" s="148"/>
      <x:c r="O90" s="125"/>
      <x:c r="P90" s="125"/>
      <x:c r="Q90" s="125"/>
    </x:row>
    <x:row r="91">
      <x:c r="A91" s="148"/>
      <x:c r="B91" s="148"/>
      <x:c r="C91" s="148"/>
      <x:c r="D91" s="148"/>
      <x:c r="E91" s="148"/>
      <x:c r="F91" s="148"/>
      <x:c r="G91" s="148"/>
      <x:c r="H91" s="160"/>
      <x:c r="I91" s="160"/>
      <x:c r="J91" s="162" t="str">
        <x:f>IF(H91="","",MAX(H91-I91,0))</x:f>
      </x:c>
      <x:c r="K91" s="148"/>
      <x:c r="L91" s="148"/>
      <x:c r="M91" s="148"/>
      <x:c r="N91" s="148"/>
      <x:c r="O91" s="125"/>
      <x:c r="P91" s="125"/>
      <x:c r="Q91" s="125"/>
    </x:row>
    <x:row r="92">
      <x:c r="A92" s="148"/>
      <x:c r="B92" s="148"/>
      <x:c r="C92" s="148"/>
      <x:c r="D92" s="148"/>
      <x:c r="E92" s="148"/>
      <x:c r="F92" s="148"/>
      <x:c r="G92" s="148"/>
      <x:c r="H92" s="160"/>
      <x:c r="I92" s="160"/>
      <x:c r="J92" s="162" t="str">
        <x:f>IF(H92="","",MAX(H92-I92,0))</x:f>
      </x:c>
      <x:c r="K92" s="148"/>
      <x:c r="L92" s="148"/>
      <x:c r="M92" s="148"/>
      <x:c r="N92" s="148"/>
      <x:c r="O92" s="125"/>
      <x:c r="P92" s="125"/>
      <x:c r="Q92" s="125"/>
    </x:row>
    <x:row r="93">
      <x:c r="A93" s="148"/>
      <x:c r="B93" s="148"/>
      <x:c r="C93" s="148"/>
      <x:c r="D93" s="148"/>
      <x:c r="E93" s="148"/>
      <x:c r="F93" s="148"/>
      <x:c r="G93" s="148"/>
      <x:c r="H93" s="160"/>
      <x:c r="I93" s="160"/>
      <x:c r="J93" s="162" t="str">
        <x:f>IF(H93="","",MAX(H93-I93,0))</x:f>
      </x:c>
      <x:c r="K93" s="148"/>
      <x:c r="L93" s="148"/>
      <x:c r="M93" s="148"/>
      <x:c r="N93" s="148"/>
      <x:c r="O93" s="125"/>
      <x:c r="P93" s="125"/>
      <x:c r="Q93" s="125"/>
    </x:row>
    <x:row r="94">
      <x:c r="A94" s="148"/>
      <x:c r="B94" s="148"/>
      <x:c r="C94" s="148"/>
      <x:c r="D94" s="148"/>
      <x:c r="E94" s="148"/>
      <x:c r="F94" s="148"/>
      <x:c r="G94" s="148"/>
      <x:c r="H94" s="160"/>
      <x:c r="I94" s="160"/>
      <x:c r="J94" s="162" t="str">
        <x:f>IF(H94="","",MAX(H94-I94,0))</x:f>
      </x:c>
      <x:c r="K94" s="148"/>
      <x:c r="L94" s="148"/>
      <x:c r="M94" s="148"/>
      <x:c r="N94" s="148"/>
      <x:c r="O94" s="125"/>
      <x:c r="P94" s="125"/>
      <x:c r="Q94" s="125"/>
    </x:row>
    <x:row r="95">
      <x:c r="A95" s="148"/>
      <x:c r="B95" s="148"/>
      <x:c r="C95" s="148"/>
      <x:c r="D95" s="148"/>
      <x:c r="E95" s="148"/>
      <x:c r="F95" s="148"/>
      <x:c r="G95" s="148"/>
      <x:c r="H95" s="160"/>
      <x:c r="I95" s="160"/>
      <x:c r="J95" s="162" t="str">
        <x:f>IF(H95="","",MAX(H95-I95,0))</x:f>
      </x:c>
      <x:c r="K95" s="148"/>
      <x:c r="L95" s="148"/>
      <x:c r="M95" s="148"/>
      <x:c r="N95" s="148"/>
      <x:c r="O95" s="125"/>
      <x:c r="P95" s="125"/>
      <x:c r="Q95" s="125"/>
    </x:row>
    <x:row r="96">
      <x:c r="A96" s="148"/>
      <x:c r="B96" s="148"/>
      <x:c r="C96" s="148"/>
      <x:c r="D96" s="148"/>
      <x:c r="E96" s="148"/>
      <x:c r="F96" s="148"/>
      <x:c r="G96" s="148"/>
      <x:c r="H96" s="160"/>
      <x:c r="I96" s="160"/>
      <x:c r="J96" s="162" t="str">
        <x:f>IF(H96="","",MAX(H96-I96,0))</x:f>
      </x:c>
      <x:c r="K96" s="148"/>
      <x:c r="L96" s="148"/>
      <x:c r="M96" s="148"/>
      <x:c r="N96" s="148"/>
      <x:c r="O96" s="125"/>
      <x:c r="P96" s="125"/>
      <x:c r="Q96" s="125"/>
    </x:row>
    <x:row r="97">
      <x:c r="A97" s="148"/>
      <x:c r="B97" s="148"/>
      <x:c r="C97" s="148"/>
      <x:c r="D97" s="148"/>
      <x:c r="E97" s="148"/>
      <x:c r="F97" s="148"/>
      <x:c r="G97" s="148"/>
      <x:c r="H97" s="160"/>
      <x:c r="I97" s="160"/>
      <x:c r="J97" s="162" t="str">
        <x:f>IF(H97="","",MAX(H97-I97,0))</x:f>
      </x:c>
      <x:c r="K97" s="148"/>
      <x:c r="L97" s="148"/>
      <x:c r="M97" s="148"/>
      <x:c r="N97" s="148"/>
      <x:c r="O97" s="125"/>
      <x:c r="P97" s="125"/>
      <x:c r="Q97" s="125"/>
    </x:row>
    <x:row r="98">
      <x:c r="A98" s="148"/>
      <x:c r="B98" s="148"/>
      <x:c r="C98" s="148"/>
      <x:c r="D98" s="148"/>
      <x:c r="E98" s="148"/>
      <x:c r="F98" s="148"/>
      <x:c r="G98" s="148"/>
      <x:c r="H98" s="160"/>
      <x:c r="I98" s="160"/>
      <x:c r="J98" s="162" t="str">
        <x:f>IF(H98="","",MAX(H98-I98,0))</x:f>
      </x:c>
      <x:c r="K98" s="148"/>
      <x:c r="L98" s="148"/>
      <x:c r="M98" s="148"/>
      <x:c r="N98" s="148"/>
      <x:c r="O98" s="125"/>
      <x:c r="P98" s="125"/>
      <x:c r="Q98" s="125"/>
    </x:row>
    <x:row r="99">
      <x:c r="A99" s="148"/>
      <x:c r="B99" s="148"/>
      <x:c r="C99" s="148"/>
      <x:c r="D99" s="148"/>
      <x:c r="E99" s="148"/>
      <x:c r="F99" s="148"/>
      <x:c r="G99" s="148"/>
      <x:c r="H99" s="160"/>
      <x:c r="I99" s="160"/>
      <x:c r="J99" s="162" t="str">
        <x:f>IF(H99="","",MAX(H99-I99,0))</x:f>
      </x:c>
      <x:c r="K99" s="148"/>
      <x:c r="L99" s="148"/>
      <x:c r="M99" s="148"/>
      <x:c r="N99" s="148"/>
      <x:c r="O99" s="125"/>
      <x:c r="P99" s="125"/>
      <x:c r="Q99" s="125"/>
    </x:row>
    <x:row r="100">
      <x:c r="A100" s="148"/>
      <x:c r="B100" s="148"/>
      <x:c r="C100" s="148"/>
      <x:c r="D100" s="148"/>
      <x:c r="E100" s="148"/>
      <x:c r="F100" s="148"/>
      <x:c r="G100" s="148"/>
      <x:c r="H100" s="160"/>
      <x:c r="I100" s="160"/>
      <x:c r="J100" s="162" t="str">
        <x:f>IF(H100="","",MAX(H100-I100,0))</x:f>
      </x:c>
      <x:c r="K100" s="148"/>
      <x:c r="L100" s="148"/>
      <x:c r="M100" s="148"/>
      <x:c r="N100" s="148"/>
      <x:c r="O100" s="125"/>
      <x:c r="P100" s="125"/>
      <x:c r="Q100" s="125"/>
    </x:row>
    <x:row r="101">
      <x:c r="A101" s="148"/>
      <x:c r="B101" s="148"/>
      <x:c r="C101" s="148"/>
      <x:c r="D101" s="148"/>
      <x:c r="E101" s="148"/>
      <x:c r="F101" s="148"/>
      <x:c r="G101" s="148"/>
      <x:c r="H101" s="160"/>
      <x:c r="I101" s="160"/>
      <x:c r="J101" s="162" t="str">
        <x:f>IF(H101="","",MAX(H101-I101,0))</x:f>
      </x:c>
      <x:c r="K101" s="148"/>
      <x:c r="L101" s="148"/>
      <x:c r="M101" s="148"/>
      <x:c r="N101" s="148"/>
      <x:c r="O101" s="125"/>
      <x:c r="P101" s="125"/>
      <x:c r="Q101" s="125"/>
    </x:row>
    <x:row r="102">
      <x:c r="A102" s="148"/>
      <x:c r="B102" s="148"/>
      <x:c r="C102" s="148"/>
      <x:c r="D102" s="148"/>
      <x:c r="E102" s="148"/>
      <x:c r="F102" s="148"/>
      <x:c r="G102" s="148"/>
      <x:c r="H102" s="160"/>
      <x:c r="I102" s="160"/>
      <x:c r="J102" s="162" t="str">
        <x:f>IF(H102="","",MAX(H102-I102,0))</x:f>
      </x:c>
      <x:c r="K102" s="148"/>
      <x:c r="L102" s="148"/>
      <x:c r="M102" s="148"/>
      <x:c r="N102" s="148"/>
      <x:c r="O102" s="125"/>
      <x:c r="P102" s="125"/>
      <x:c r="Q102" s="125"/>
    </x:row>
    <x:row r="103">
      <x:c r="A103" s="148"/>
      <x:c r="B103" s="148"/>
      <x:c r="C103" s="148"/>
      <x:c r="D103" s="148"/>
      <x:c r="E103" s="148"/>
      <x:c r="F103" s="148"/>
      <x:c r="G103" s="148"/>
      <x:c r="H103" s="160"/>
      <x:c r="I103" s="160"/>
      <x:c r="J103" s="162" t="str">
        <x:f>IF(H103="","",MAX(H103-I103,0))</x:f>
      </x:c>
      <x:c r="K103" s="148"/>
      <x:c r="L103" s="148"/>
      <x:c r="M103" s="148"/>
      <x:c r="N103" s="148"/>
      <x:c r="O103" s="125"/>
      <x:c r="P103" s="125"/>
      <x:c r="Q103" s="125"/>
    </x:row>
    <x:row r="104">
      <x:c r="A104" s="148"/>
      <x:c r="B104" s="148"/>
      <x:c r="C104" s="148"/>
      <x:c r="D104" s="148"/>
      <x:c r="E104" s="148"/>
      <x:c r="F104" s="148"/>
      <x:c r="G104" s="148"/>
      <x:c r="H104" s="160"/>
      <x:c r="I104" s="160"/>
      <x:c r="J104" s="162" t="str">
        <x:f>IF(H104="","",MAX(H104-I104,0))</x:f>
      </x:c>
      <x:c r="K104" s="148"/>
      <x:c r="L104" s="148"/>
      <x:c r="M104" s="148"/>
      <x:c r="N104" s="148"/>
      <x:c r="O104" s="125"/>
      <x:c r="P104" s="125"/>
      <x:c r="Q104" s="125"/>
    </x:row>
    <x:row r="105">
      <x:c r="A105" s="148"/>
      <x:c r="B105" s="148"/>
      <x:c r="C105" s="148"/>
      <x:c r="D105" s="148"/>
      <x:c r="E105" s="148"/>
      <x:c r="F105" s="148"/>
      <x:c r="G105" s="148"/>
      <x:c r="H105" s="160"/>
      <x:c r="I105" s="160"/>
      <x:c r="J105" s="162" t="str">
        <x:f>IF(H105="","",MAX(H105-I105,0))</x:f>
      </x:c>
      <x:c r="K105" s="148"/>
      <x:c r="L105" s="148"/>
      <x:c r="M105" s="148"/>
      <x:c r="N105" s="148"/>
      <x:c r="O105" s="125"/>
      <x:c r="P105" s="125"/>
      <x:c r="Q105" s="125"/>
    </x:row>
    <x:row r="106">
      <x:c r="A106" s="148"/>
      <x:c r="B106" s="148"/>
      <x:c r="C106" s="148"/>
      <x:c r="D106" s="148"/>
      <x:c r="E106" s="148"/>
      <x:c r="F106" s="148"/>
      <x:c r="G106" s="148"/>
      <x:c r="H106" s="160"/>
      <x:c r="I106" s="160"/>
      <x:c r="J106" s="162" t="str">
        <x:f>IF(H106="","",MAX(H106-I106,0))</x:f>
      </x:c>
      <x:c r="K106" s="148"/>
      <x:c r="L106" s="148"/>
      <x:c r="M106" s="148"/>
      <x:c r="N106" s="148"/>
      <x:c r="O106" s="125"/>
      <x:c r="P106" s="125"/>
      <x:c r="Q106" s="125"/>
    </x:row>
    <x:row r="107">
      <x:c r="A107" s="148"/>
      <x:c r="B107" s="148"/>
      <x:c r="C107" s="148"/>
      <x:c r="D107" s="148"/>
      <x:c r="E107" s="148"/>
      <x:c r="F107" s="148"/>
      <x:c r="G107" s="148"/>
      <x:c r="H107" s="160"/>
      <x:c r="I107" s="160"/>
      <x:c r="J107" s="162" t="str">
        <x:f>IF(H107="","",MAX(H107-I107,0))</x:f>
      </x:c>
      <x:c r="K107" s="148"/>
      <x:c r="L107" s="148"/>
      <x:c r="M107" s="148"/>
      <x:c r="N107" s="148"/>
      <x:c r="O107" s="125"/>
      <x:c r="P107" s="125"/>
      <x:c r="Q107" s="125"/>
    </x:row>
    <x:row r="108">
      <x:c r="A108" s="148"/>
      <x:c r="B108" s="148"/>
      <x:c r="C108" s="148"/>
      <x:c r="D108" s="148"/>
      <x:c r="E108" s="148"/>
      <x:c r="F108" s="148"/>
      <x:c r="G108" s="148"/>
      <x:c r="H108" s="160"/>
      <x:c r="I108" s="160"/>
      <x:c r="J108" s="162" t="str">
        <x:f>IF(H108="","",MAX(H108-I108,0))</x:f>
      </x:c>
      <x:c r="K108" s="148"/>
      <x:c r="L108" s="148"/>
      <x:c r="M108" s="148"/>
      <x:c r="N108" s="148"/>
      <x:c r="O108" s="125"/>
      <x:c r="P108" s="125"/>
      <x:c r="Q108" s="125"/>
    </x:row>
    <x:row r="109">
      <x:c r="A109" s="148"/>
      <x:c r="B109" s="148"/>
      <x:c r="C109" s="148"/>
      <x:c r="D109" s="148"/>
      <x:c r="E109" s="148"/>
      <x:c r="F109" s="148"/>
      <x:c r="G109" s="148"/>
      <x:c r="H109" s="160"/>
      <x:c r="I109" s="160"/>
      <x:c r="J109" s="162" t="str">
        <x:f>IF(H109="","",MAX(H109-I109,0))</x:f>
      </x:c>
      <x:c r="K109" s="148"/>
      <x:c r="L109" s="148"/>
      <x:c r="M109" s="148"/>
      <x:c r="N109" s="148"/>
      <x:c r="O109" s="125"/>
      <x:c r="P109" s="125"/>
      <x:c r="Q109" s="125"/>
    </x:row>
    <x:row r="110">
      <x:c r="A110" s="148"/>
      <x:c r="B110" s="148"/>
      <x:c r="C110" s="148"/>
      <x:c r="D110" s="148"/>
      <x:c r="E110" s="148"/>
      <x:c r="F110" s="148"/>
      <x:c r="G110" s="148"/>
      <x:c r="H110" s="160"/>
      <x:c r="I110" s="160"/>
      <x:c r="J110" s="162" t="str">
        <x:f>IF(H110="","",MAX(H110-I110,0))</x:f>
      </x:c>
      <x:c r="K110" s="148"/>
      <x:c r="L110" s="148"/>
      <x:c r="M110" s="148"/>
      <x:c r="N110" s="148"/>
      <x:c r="O110" s="125"/>
      <x:c r="P110" s="125"/>
      <x:c r="Q110" s="125"/>
    </x:row>
    <x:row r="111">
      <x:c r="A111" s="148"/>
      <x:c r="B111" s="148"/>
      <x:c r="C111" s="148"/>
      <x:c r="D111" s="148"/>
      <x:c r="E111" s="148"/>
      <x:c r="F111" s="148"/>
      <x:c r="G111" s="148"/>
      <x:c r="H111" s="160"/>
      <x:c r="I111" s="160"/>
      <x:c r="J111" s="162" t="str">
        <x:f>IF(H111="","",MAX(H111-I111,0))</x:f>
      </x:c>
      <x:c r="K111" s="148"/>
      <x:c r="L111" s="148"/>
      <x:c r="M111" s="148"/>
      <x:c r="N111" s="148"/>
      <x:c r="O111" s="125"/>
      <x:c r="P111" s="125"/>
      <x:c r="Q111" s="125"/>
    </x:row>
    <x:row r="112">
      <x:c r="A112" s="148"/>
      <x:c r="B112" s="148"/>
      <x:c r="C112" s="148"/>
      <x:c r="D112" s="148"/>
      <x:c r="E112" s="148"/>
      <x:c r="F112" s="148"/>
      <x:c r="G112" s="148"/>
      <x:c r="H112" s="160"/>
      <x:c r="I112" s="160"/>
      <x:c r="J112" s="162" t="str">
        <x:f>IF(H112="","",MAX(H112-I112,0))</x:f>
      </x:c>
      <x:c r="K112" s="148"/>
      <x:c r="L112" s="148"/>
      <x:c r="M112" s="148"/>
      <x:c r="N112" s="148"/>
      <x:c r="O112" s="125"/>
      <x:c r="P112" s="125"/>
      <x:c r="Q112" s="125"/>
    </x:row>
    <x:row r="113">
      <x:c r="A113" s="148"/>
      <x:c r="B113" s="148"/>
      <x:c r="C113" s="148"/>
      <x:c r="D113" s="148"/>
      <x:c r="E113" s="148"/>
      <x:c r="F113" s="148"/>
      <x:c r="G113" s="148"/>
      <x:c r="H113" s="160"/>
      <x:c r="I113" s="160"/>
      <x:c r="J113" s="162" t="str">
        <x:f>IF(H113="","",MAX(H113-I113,0))</x:f>
      </x:c>
      <x:c r="K113" s="148"/>
      <x:c r="L113" s="148"/>
      <x:c r="M113" s="148"/>
      <x:c r="N113" s="148"/>
      <x:c r="O113" s="125"/>
      <x:c r="P113" s="125"/>
      <x:c r="Q113" s="125"/>
    </x:row>
    <x:row r="114">
      <x:c r="A114" s="148"/>
      <x:c r="B114" s="148"/>
      <x:c r="C114" s="148"/>
      <x:c r="D114" s="148"/>
      <x:c r="E114" s="148"/>
      <x:c r="F114" s="148"/>
      <x:c r="G114" s="148"/>
      <x:c r="H114" s="160"/>
      <x:c r="I114" s="160"/>
      <x:c r="J114" s="162" t="str">
        <x:f>IF(H114="","",MAX(H114-I114,0))</x:f>
      </x:c>
      <x:c r="K114" s="148"/>
      <x:c r="L114" s="148"/>
      <x:c r="M114" s="148"/>
      <x:c r="N114" s="148"/>
      <x:c r="O114" s="125"/>
      <x:c r="P114" s="125"/>
      <x:c r="Q114" s="125"/>
    </x:row>
    <x:row r="115">
      <x:c r="A115" s="148"/>
      <x:c r="B115" s="148"/>
      <x:c r="C115" s="148"/>
      <x:c r="D115" s="148"/>
      <x:c r="E115" s="148"/>
      <x:c r="F115" s="148"/>
      <x:c r="G115" s="148"/>
      <x:c r="H115" s="160"/>
      <x:c r="I115" s="160"/>
      <x:c r="J115" s="162" t="str">
        <x:f>IF(H115="","",MAX(H115-I115,0))</x:f>
      </x:c>
      <x:c r="K115" s="148"/>
      <x:c r="L115" s="148"/>
      <x:c r="M115" s="148"/>
      <x:c r="N115" s="148"/>
      <x:c r="O115" s="125"/>
      <x:c r="P115" s="125"/>
      <x:c r="Q115" s="125"/>
    </x:row>
    <x:row r="116">
      <x:c r="A116" s="148"/>
      <x:c r="B116" s="148"/>
      <x:c r="C116" s="148"/>
      <x:c r="D116" s="148"/>
      <x:c r="E116" s="148"/>
      <x:c r="F116" s="148"/>
      <x:c r="G116" s="148"/>
      <x:c r="H116" s="160"/>
      <x:c r="I116" s="160"/>
      <x:c r="J116" s="162" t="str">
        <x:f>IF(H116="","",MAX(H116-I116,0))</x:f>
      </x:c>
      <x:c r="K116" s="148"/>
      <x:c r="L116" s="148"/>
      <x:c r="M116" s="148"/>
      <x:c r="N116" s="148"/>
      <x:c r="O116" s="125"/>
      <x:c r="P116" s="125"/>
      <x:c r="Q116" s="125"/>
    </x:row>
    <x:row r="117">
      <x:c r="A117" s="148"/>
      <x:c r="B117" s="148"/>
      <x:c r="C117" s="148"/>
      <x:c r="D117" s="148"/>
      <x:c r="E117" s="148"/>
      <x:c r="F117" s="148"/>
      <x:c r="G117" s="148"/>
      <x:c r="H117" s="160"/>
      <x:c r="I117" s="160"/>
      <x:c r="J117" s="162" t="str">
        <x:f>IF(H117="","",MAX(H117-I117,0))</x:f>
      </x:c>
      <x:c r="K117" s="148"/>
      <x:c r="L117" s="148"/>
      <x:c r="M117" s="148"/>
      <x:c r="N117" s="148"/>
      <x:c r="O117" s="125"/>
      <x:c r="P117" s="125"/>
      <x:c r="Q117" s="125"/>
    </x:row>
    <x:row r="118">
      <x:c r="A118" s="148"/>
      <x:c r="B118" s="148"/>
      <x:c r="C118" s="148"/>
      <x:c r="D118" s="148"/>
      <x:c r="E118" s="148"/>
      <x:c r="F118" s="148"/>
      <x:c r="G118" s="148"/>
      <x:c r="H118" s="160"/>
      <x:c r="I118" s="160"/>
      <x:c r="J118" s="162" t="str">
        <x:f>IF(H118="","",MAX(H118-I118,0))</x:f>
      </x:c>
      <x:c r="K118" s="148"/>
      <x:c r="L118" s="148"/>
      <x:c r="M118" s="148"/>
      <x:c r="N118" s="148"/>
      <x:c r="O118" s="125"/>
      <x:c r="P118" s="125"/>
      <x:c r="Q118" s="125"/>
    </x:row>
    <x:row r="119">
      <x:c r="A119" s="148"/>
      <x:c r="B119" s="148"/>
      <x:c r="C119" s="148"/>
      <x:c r="D119" s="148"/>
      <x:c r="E119" s="148"/>
      <x:c r="F119" s="148"/>
      <x:c r="G119" s="148"/>
      <x:c r="H119" s="160"/>
      <x:c r="I119" s="160"/>
      <x:c r="J119" s="162" t="str">
        <x:f>IF(H119="","",MAX(H119-I119,0))</x:f>
      </x:c>
      <x:c r="K119" s="148"/>
      <x:c r="L119" s="148"/>
      <x:c r="M119" s="148"/>
      <x:c r="N119" s="148"/>
      <x:c r="O119" s="125"/>
      <x:c r="P119" s="125"/>
      <x:c r="Q119" s="125"/>
    </x:row>
    <x:row r="120">
      <x:c r="A120" s="148"/>
      <x:c r="B120" s="148"/>
      <x:c r="C120" s="148"/>
      <x:c r="D120" s="148"/>
      <x:c r="E120" s="148"/>
      <x:c r="F120" s="148"/>
      <x:c r="G120" s="148"/>
      <x:c r="H120" s="160"/>
      <x:c r="I120" s="160"/>
      <x:c r="J120" s="162" t="str">
        <x:f>IF(H120="","",MAX(H120-I120,0))</x:f>
      </x:c>
      <x:c r="K120" s="148"/>
      <x:c r="L120" s="148"/>
      <x:c r="M120" s="148"/>
      <x:c r="N120" s="148"/>
      <x:c r="O120" s="125"/>
      <x:c r="P120" s="125"/>
      <x:c r="Q120" s="125"/>
    </x:row>
    <x:row r="121">
      <x:c r="A121" s="148"/>
      <x:c r="B121" s="148"/>
      <x:c r="C121" s="148"/>
      <x:c r="D121" s="148"/>
      <x:c r="E121" s="148"/>
      <x:c r="F121" s="148"/>
      <x:c r="G121" s="148"/>
      <x:c r="H121" s="160"/>
      <x:c r="I121" s="160"/>
      <x:c r="J121" s="162" t="str">
        <x:f>IF(H121="","",MAX(H121-I121,0))</x:f>
      </x:c>
      <x:c r="K121" s="148"/>
      <x:c r="L121" s="148"/>
      <x:c r="M121" s="148"/>
      <x:c r="N121" s="148"/>
      <x:c r="O121" s="125"/>
      <x:c r="P121" s="125"/>
      <x:c r="Q121" s="125"/>
    </x:row>
    <x:row r="122">
      <x:c r="A122" s="148"/>
      <x:c r="B122" s="148"/>
      <x:c r="C122" s="148"/>
      <x:c r="D122" s="148"/>
      <x:c r="E122" s="148"/>
      <x:c r="F122" s="148"/>
      <x:c r="G122" s="148"/>
      <x:c r="H122" s="160"/>
      <x:c r="I122" s="160"/>
      <x:c r="J122" s="162" t="str">
        <x:f>IF(H122="","",MAX(H122-I122,0))</x:f>
      </x:c>
      <x:c r="K122" s="148"/>
      <x:c r="L122" s="148"/>
      <x:c r="M122" s="148"/>
      <x:c r="N122" s="148"/>
      <x:c r="O122" s="125"/>
      <x:c r="P122" s="125"/>
      <x:c r="Q122" s="125"/>
    </x:row>
    <x:row r="123">
      <x:c r="A123" s="148"/>
      <x:c r="B123" s="148"/>
      <x:c r="C123" s="148"/>
      <x:c r="D123" s="148"/>
      <x:c r="E123" s="148"/>
      <x:c r="F123" s="148"/>
      <x:c r="G123" s="148"/>
      <x:c r="H123" s="160"/>
      <x:c r="I123" s="160"/>
      <x:c r="J123" s="162" t="str">
        <x:f>IF(H123="","",MAX(H123-I123,0))</x:f>
      </x:c>
      <x:c r="K123" s="148"/>
      <x:c r="L123" s="148"/>
      <x:c r="M123" s="148"/>
      <x:c r="N123" s="148"/>
      <x:c r="O123" s="125"/>
      <x:c r="P123" s="125"/>
      <x:c r="Q123" s="125"/>
    </x:row>
    <x:row r="124">
      <x:c r="A124" s="148"/>
      <x:c r="B124" s="148"/>
      <x:c r="C124" s="148"/>
      <x:c r="D124" s="148"/>
      <x:c r="E124" s="148"/>
      <x:c r="F124" s="148"/>
      <x:c r="G124" s="148"/>
      <x:c r="H124" s="160"/>
      <x:c r="I124" s="160"/>
      <x:c r="J124" s="162" t="str">
        <x:f>IF(H124="","",MAX(H124-I124,0))</x:f>
      </x:c>
      <x:c r="K124" s="148"/>
      <x:c r="L124" s="148"/>
      <x:c r="M124" s="148"/>
      <x:c r="N124" s="148"/>
      <x:c r="O124" s="125"/>
      <x:c r="P124" s="125"/>
      <x:c r="Q124" s="125"/>
    </x:row>
    <x:row r="125">
      <x:c r="A125" s="148"/>
      <x:c r="B125" s="148"/>
      <x:c r="C125" s="148"/>
      <x:c r="D125" s="148"/>
      <x:c r="E125" s="148"/>
      <x:c r="F125" s="148"/>
      <x:c r="G125" s="148"/>
      <x:c r="H125" s="160"/>
      <x:c r="I125" s="160"/>
      <x:c r="J125" s="162" t="str">
        <x:f>IF(H125="","",MAX(H125-I125,0))</x:f>
      </x:c>
      <x:c r="K125" s="148"/>
      <x:c r="L125" s="148"/>
      <x:c r="M125" s="148"/>
      <x:c r="N125" s="148"/>
      <x:c r="O125" s="125"/>
      <x:c r="P125" s="125"/>
      <x:c r="Q125" s="125"/>
    </x:row>
    <x:row r="126">
      <x:c r="A126" s="148"/>
      <x:c r="B126" s="148"/>
      <x:c r="C126" s="148"/>
      <x:c r="D126" s="148"/>
      <x:c r="E126" s="148"/>
      <x:c r="F126" s="148"/>
      <x:c r="G126" s="148"/>
      <x:c r="H126" s="160"/>
      <x:c r="I126" s="160"/>
      <x:c r="J126" s="162" t="str">
        <x:f>IF(H126="","",MAX(H126-I126,0))</x:f>
      </x:c>
      <x:c r="K126" s="148"/>
      <x:c r="L126" s="148"/>
      <x:c r="M126" s="148"/>
      <x:c r="N126" s="148"/>
      <x:c r="O126" s="125"/>
      <x:c r="P126" s="125"/>
      <x:c r="Q126" s="125"/>
    </x:row>
    <x:row r="127">
      <x:c r="A127" s="148"/>
      <x:c r="B127" s="148"/>
      <x:c r="C127" s="148"/>
      <x:c r="D127" s="148"/>
      <x:c r="E127" s="148"/>
      <x:c r="F127" s="148"/>
      <x:c r="G127" s="148"/>
      <x:c r="H127" s="160"/>
      <x:c r="I127" s="160"/>
      <x:c r="J127" s="162" t="str">
        <x:f>IF(H127="","",MAX(H127-I127,0))</x:f>
      </x:c>
      <x:c r="K127" s="148"/>
      <x:c r="L127" s="148"/>
      <x:c r="M127" s="148"/>
      <x:c r="N127" s="148"/>
      <x:c r="O127" s="125"/>
      <x:c r="P127" s="125"/>
      <x:c r="Q127" s="125"/>
    </x:row>
    <x:row r="128">
      <x:c r="A128" s="148"/>
      <x:c r="B128" s="148"/>
      <x:c r="C128" s="148"/>
      <x:c r="D128" s="148"/>
      <x:c r="E128" s="148"/>
      <x:c r="F128" s="148"/>
      <x:c r="G128" s="148"/>
      <x:c r="H128" s="160"/>
      <x:c r="I128" s="160"/>
      <x:c r="J128" s="162" t="str">
        <x:f>IF(H128="","",MAX(H128-I128,0))</x:f>
      </x:c>
      <x:c r="K128" s="148"/>
      <x:c r="L128" s="148"/>
      <x:c r="M128" s="148"/>
      <x:c r="N128" s="148"/>
      <x:c r="O128" s="125"/>
      <x:c r="P128" s="125"/>
      <x:c r="Q128" s="125"/>
    </x:row>
    <x:row r="129">
      <x:c r="A129" s="148"/>
      <x:c r="B129" s="148"/>
      <x:c r="C129" s="148"/>
      <x:c r="D129" s="148"/>
      <x:c r="E129" s="148"/>
      <x:c r="F129" s="148"/>
      <x:c r="G129" s="148"/>
      <x:c r="H129" s="160"/>
      <x:c r="I129" s="160"/>
      <x:c r="J129" s="162" t="str">
        <x:f>IF(H129="","",MAX(H129-I129,0))</x:f>
      </x:c>
      <x:c r="K129" s="148"/>
      <x:c r="L129" s="148"/>
      <x:c r="M129" s="148"/>
      <x:c r="N129" s="148"/>
      <x:c r="O129" s="125"/>
      <x:c r="P129" s="125"/>
      <x:c r="Q129" s="125"/>
    </x:row>
    <x:row r="130">
      <x:c r="A130" s="148"/>
      <x:c r="B130" s="148"/>
      <x:c r="C130" s="148"/>
      <x:c r="D130" s="148"/>
      <x:c r="E130" s="148"/>
      <x:c r="F130" s="148"/>
      <x:c r="G130" s="148"/>
      <x:c r="H130" s="160"/>
      <x:c r="I130" s="160"/>
      <x:c r="J130" s="162" t="str">
        <x:f>IF(H130="","",MAX(H130-I130,0))</x:f>
      </x:c>
      <x:c r="K130" s="148"/>
      <x:c r="L130" s="148"/>
      <x:c r="M130" s="148"/>
      <x:c r="N130" s="148"/>
      <x:c r="O130" s="125"/>
      <x:c r="P130" s="125"/>
      <x:c r="Q130" s="125"/>
    </x:row>
    <x:row r="131">
      <x:c r="A131" s="148"/>
      <x:c r="B131" s="148"/>
      <x:c r="C131" s="148"/>
      <x:c r="D131" s="148"/>
      <x:c r="E131" s="148"/>
      <x:c r="F131" s="148"/>
      <x:c r="G131" s="148"/>
      <x:c r="H131" s="160"/>
      <x:c r="I131" s="160"/>
      <x:c r="J131" s="162" t="str">
        <x:f>IF(H131="","",MAX(H131-I131,0))</x:f>
      </x:c>
      <x:c r="K131" s="148"/>
      <x:c r="L131" s="148"/>
      <x:c r="M131" s="148"/>
      <x:c r="N131" s="148"/>
      <x:c r="O131" s="125"/>
      <x:c r="P131" s="125"/>
      <x:c r="Q131" s="125"/>
    </x:row>
    <x:row r="132">
      <x:c r="A132" s="148"/>
      <x:c r="B132" s="148"/>
      <x:c r="C132" s="148"/>
      <x:c r="D132" s="148"/>
      <x:c r="E132" s="148"/>
      <x:c r="F132" s="148"/>
      <x:c r="G132" s="148"/>
      <x:c r="H132" s="160"/>
      <x:c r="I132" s="160"/>
      <x:c r="J132" s="162" t="str">
        <x:f>IF(H132="","",MAX(H132-I132,0))</x:f>
      </x:c>
      <x:c r="K132" s="148"/>
      <x:c r="L132" s="148"/>
      <x:c r="M132" s="148"/>
      <x:c r="N132" s="148"/>
      <x:c r="O132" s="125"/>
      <x:c r="P132" s="125"/>
      <x:c r="Q132" s="125"/>
    </x:row>
    <x:row r="133">
      <x:c r="A133" s="148"/>
      <x:c r="B133" s="148"/>
      <x:c r="C133" s="148"/>
      <x:c r="D133" s="148"/>
      <x:c r="E133" s="148"/>
      <x:c r="F133" s="148"/>
      <x:c r="G133" s="148"/>
      <x:c r="H133" s="160"/>
      <x:c r="I133" s="160"/>
      <x:c r="J133" s="162" t="str">
        <x:f>IF(H133="","",MAX(H133-I133,0))</x:f>
      </x:c>
      <x:c r="K133" s="148"/>
      <x:c r="L133" s="148"/>
      <x:c r="M133" s="148"/>
      <x:c r="N133" s="148"/>
      <x:c r="O133" s="125"/>
      <x:c r="P133" s="125"/>
      <x:c r="Q133" s="125"/>
    </x:row>
    <x:row r="134">
      <x:c r="A134" s="148"/>
      <x:c r="B134" s="148"/>
      <x:c r="C134" s="148"/>
      <x:c r="D134" s="148"/>
      <x:c r="E134" s="148"/>
      <x:c r="F134" s="148"/>
      <x:c r="G134" s="148"/>
      <x:c r="H134" s="160"/>
      <x:c r="I134" s="160"/>
      <x:c r="J134" s="162" t="str">
        <x:f>IF(H134="","",MAX(H134-I134,0))</x:f>
      </x:c>
      <x:c r="K134" s="148"/>
      <x:c r="L134" s="148"/>
      <x:c r="M134" s="148"/>
      <x:c r="N134" s="148"/>
      <x:c r="O134" s="125"/>
      <x:c r="P134" s="125"/>
      <x:c r="Q134" s="125"/>
    </x:row>
    <x:row r="135">
      <x:c r="A135" s="148"/>
      <x:c r="B135" s="148"/>
      <x:c r="C135" s="148"/>
      <x:c r="D135" s="148"/>
      <x:c r="E135" s="148"/>
      <x:c r="F135" s="148"/>
      <x:c r="G135" s="148"/>
      <x:c r="H135" s="160"/>
      <x:c r="I135" s="160"/>
      <x:c r="J135" s="162" t="str">
        <x:f>IF(H135="","",MAX(H135-I135,0))</x:f>
      </x:c>
      <x:c r="K135" s="148"/>
      <x:c r="L135" s="148"/>
      <x:c r="M135" s="148"/>
      <x:c r="N135" s="148"/>
      <x:c r="O135" s="125"/>
      <x:c r="P135" s="125"/>
      <x:c r="Q135" s="125"/>
    </x:row>
    <x:row r="136">
      <x:c r="A136" s="148"/>
      <x:c r="B136" s="148"/>
      <x:c r="C136" s="148"/>
      <x:c r="D136" s="148"/>
      <x:c r="E136" s="148"/>
      <x:c r="F136" s="148"/>
      <x:c r="G136" s="148"/>
      <x:c r="H136" s="160"/>
      <x:c r="I136" s="160"/>
      <x:c r="J136" s="162" t="str">
        <x:f>IF(H136="","",MAX(H136-I136,0))</x:f>
      </x:c>
      <x:c r="K136" s="148"/>
      <x:c r="L136" s="148"/>
      <x:c r="M136" s="148"/>
      <x:c r="N136" s="148"/>
      <x:c r="O136" s="125"/>
      <x:c r="P136" s="125"/>
      <x:c r="Q136" s="125"/>
    </x:row>
    <x:row r="137">
      <x:c r="A137" s="148"/>
      <x:c r="B137" s="148"/>
      <x:c r="C137" s="148"/>
      <x:c r="D137" s="148"/>
      <x:c r="E137" s="148"/>
      <x:c r="F137" s="148"/>
      <x:c r="G137" s="148"/>
      <x:c r="H137" s="160"/>
      <x:c r="I137" s="160"/>
      <x:c r="J137" s="162" t="str">
        <x:f>IF(H137="","",MAX(H137-I137,0))</x:f>
      </x:c>
      <x:c r="K137" s="148"/>
      <x:c r="L137" s="148"/>
      <x:c r="M137" s="148"/>
      <x:c r="N137" s="148"/>
      <x:c r="O137" s="125"/>
      <x:c r="P137" s="125"/>
      <x:c r="Q137" s="125"/>
    </x:row>
    <x:row r="138">
      <x:c r="A138" s="148"/>
      <x:c r="B138" s="148"/>
      <x:c r="C138" s="148"/>
      <x:c r="D138" s="148"/>
      <x:c r="E138" s="148"/>
      <x:c r="F138" s="148"/>
      <x:c r="G138" s="148"/>
      <x:c r="H138" s="160"/>
      <x:c r="I138" s="160"/>
      <x:c r="J138" s="162" t="str">
        <x:f>IF(H138="","",MAX(H138-I138,0))</x:f>
      </x:c>
      <x:c r="K138" s="148"/>
      <x:c r="L138" s="148"/>
      <x:c r="M138" s="148"/>
      <x:c r="N138" s="148"/>
      <x:c r="O138" s="125"/>
      <x:c r="P138" s="125"/>
      <x:c r="Q138" s="125"/>
    </x:row>
    <x:row r="139">
      <x:c r="A139" s="148"/>
      <x:c r="B139" s="148"/>
      <x:c r="C139" s="148"/>
      <x:c r="D139" s="148"/>
      <x:c r="E139" s="148"/>
      <x:c r="F139" s="148"/>
      <x:c r="G139" s="148"/>
      <x:c r="H139" s="160"/>
      <x:c r="I139" s="160"/>
      <x:c r="J139" s="162" t="str">
        <x:f>IF(H139="","",MAX(H139-I139,0))</x:f>
      </x:c>
      <x:c r="K139" s="148"/>
      <x:c r="L139" s="148"/>
      <x:c r="M139" s="148"/>
      <x:c r="N139" s="148"/>
      <x:c r="O139" s="125"/>
      <x:c r="P139" s="125"/>
      <x:c r="Q139" s="125"/>
    </x:row>
    <x:row r="140">
      <x:c r="A140" s="148"/>
      <x:c r="B140" s="148"/>
      <x:c r="C140" s="148"/>
      <x:c r="D140" s="148"/>
      <x:c r="E140" s="148"/>
      <x:c r="F140" s="148"/>
      <x:c r="G140" s="148"/>
      <x:c r="H140" s="160"/>
      <x:c r="I140" s="160"/>
      <x:c r="J140" s="162" t="str">
        <x:f>IF(H140="","",MAX(H140-I140,0))</x:f>
      </x:c>
      <x:c r="K140" s="148"/>
      <x:c r="L140" s="148"/>
      <x:c r="M140" s="148"/>
      <x:c r="N140" s="148"/>
      <x:c r="O140" s="125"/>
      <x:c r="P140" s="125"/>
      <x:c r="Q140" s="125"/>
    </x:row>
    <x:row r="141">
      <x:c r="A141" s="148"/>
      <x:c r="B141" s="148"/>
      <x:c r="C141" s="148"/>
      <x:c r="D141" s="148"/>
      <x:c r="E141" s="148"/>
      <x:c r="F141" s="148"/>
      <x:c r="G141" s="148"/>
      <x:c r="H141" s="160"/>
      <x:c r="I141" s="160"/>
      <x:c r="J141" s="162" t="str">
        <x:f>IF(H141="","",MAX(H141-I141,0))</x:f>
      </x:c>
      <x:c r="K141" s="148"/>
      <x:c r="L141" s="148"/>
      <x:c r="M141" s="148"/>
      <x:c r="N141" s="148"/>
      <x:c r="O141" s="125"/>
      <x:c r="P141" s="125"/>
      <x:c r="Q141" s="125"/>
    </x:row>
    <x:row r="142">
      <x:c r="A142" s="148"/>
      <x:c r="B142" s="148"/>
      <x:c r="C142" s="148"/>
      <x:c r="D142" s="148"/>
      <x:c r="E142" s="148"/>
      <x:c r="F142" s="148"/>
      <x:c r="G142" s="148"/>
      <x:c r="H142" s="160"/>
      <x:c r="I142" s="160"/>
      <x:c r="J142" s="162" t="str">
        <x:f>IF(H142="","",MAX(H142-I142,0))</x:f>
      </x:c>
      <x:c r="K142" s="148"/>
      <x:c r="L142" s="148"/>
      <x:c r="M142" s="148"/>
      <x:c r="N142" s="148"/>
      <x:c r="O142" s="125"/>
      <x:c r="P142" s="125"/>
      <x:c r="Q142" s="125"/>
    </x:row>
    <x:row r="143">
      <x:c r="A143" s="148"/>
      <x:c r="B143" s="148"/>
      <x:c r="C143" s="148"/>
      <x:c r="D143" s="148"/>
      <x:c r="E143" s="148"/>
      <x:c r="F143" s="148"/>
      <x:c r="G143" s="148"/>
      <x:c r="H143" s="160"/>
      <x:c r="I143" s="160"/>
      <x:c r="J143" s="162" t="str">
        <x:f>IF(H143="","",MAX(H143-I143,0))</x:f>
      </x:c>
      <x:c r="K143" s="148"/>
      <x:c r="L143" s="148"/>
      <x:c r="M143" s="148"/>
      <x:c r="N143" s="148"/>
      <x:c r="O143" s="125"/>
      <x:c r="P143" s="125"/>
      <x:c r="Q143" s="125"/>
    </x:row>
    <x:row r="144">
      <x:c r="A144" s="148"/>
      <x:c r="B144" s="148"/>
      <x:c r="C144" s="148"/>
      <x:c r="D144" s="148"/>
      <x:c r="E144" s="148"/>
      <x:c r="F144" s="148"/>
      <x:c r="G144" s="148"/>
      <x:c r="H144" s="160"/>
      <x:c r="I144" s="160"/>
      <x:c r="J144" s="162" t="str">
        <x:f>IF(H144="","",MAX(H144-I144,0))</x:f>
      </x:c>
      <x:c r="K144" s="148"/>
      <x:c r="L144" s="148"/>
      <x:c r="M144" s="148"/>
      <x:c r="N144" s="148"/>
      <x:c r="O144" s="125"/>
      <x:c r="P144" s="125"/>
      <x:c r="Q144" s="125"/>
    </x:row>
    <x:row r="145">
      <x:c r="A145" s="148"/>
      <x:c r="B145" s="148"/>
      <x:c r="C145" s="148"/>
      <x:c r="D145" s="148"/>
      <x:c r="E145" s="148"/>
      <x:c r="F145" s="148"/>
      <x:c r="G145" s="148"/>
      <x:c r="H145" s="160"/>
      <x:c r="I145" s="160"/>
      <x:c r="J145" s="162" t="str">
        <x:f>IF(H145="","",MAX(H145-I145,0))</x:f>
      </x:c>
      <x:c r="K145" s="148"/>
      <x:c r="L145" s="148"/>
      <x:c r="M145" s="148"/>
      <x:c r="N145" s="148"/>
      <x:c r="O145" s="125"/>
      <x:c r="P145" s="125"/>
      <x:c r="Q145" s="125"/>
    </x:row>
    <x:row r="146">
      <x:c r="A146" s="148"/>
      <x:c r="B146" s="148"/>
      <x:c r="C146" s="148"/>
      <x:c r="D146" s="148"/>
      <x:c r="E146" s="148"/>
      <x:c r="F146" s="148"/>
      <x:c r="G146" s="148"/>
      <x:c r="H146" s="160"/>
      <x:c r="I146" s="160"/>
      <x:c r="J146" s="162" t="str">
        <x:f>IF(H146="","",MAX(H146-I146,0))</x:f>
      </x:c>
      <x:c r="K146" s="148"/>
      <x:c r="L146" s="148"/>
      <x:c r="M146" s="148"/>
      <x:c r="N146" s="148"/>
      <x:c r="O146" s="125"/>
      <x:c r="P146" s="125"/>
      <x:c r="Q146" s="125"/>
    </x:row>
    <x:row r="147">
      <x:c r="A147" s="148"/>
      <x:c r="B147" s="148"/>
      <x:c r="C147" s="148"/>
      <x:c r="D147" s="148"/>
      <x:c r="E147" s="148"/>
      <x:c r="F147" s="148"/>
      <x:c r="G147" s="148"/>
      <x:c r="H147" s="160"/>
      <x:c r="I147" s="160"/>
      <x:c r="J147" s="162" t="str">
        <x:f>IF(H147="","",MAX(H147-I147,0))</x:f>
      </x:c>
      <x:c r="K147" s="148"/>
      <x:c r="L147" s="148"/>
      <x:c r="M147" s="148"/>
      <x:c r="N147" s="148"/>
      <x:c r="O147" s="125"/>
      <x:c r="P147" s="125"/>
      <x:c r="Q147" s="125"/>
    </x:row>
    <x:row r="148">
      <x:c r="A148" s="148"/>
      <x:c r="B148" s="148"/>
      <x:c r="C148" s="148"/>
      <x:c r="D148" s="148"/>
      <x:c r="E148" s="148"/>
      <x:c r="F148" s="148"/>
      <x:c r="G148" s="148"/>
      <x:c r="H148" s="160"/>
      <x:c r="I148" s="160"/>
      <x:c r="J148" s="162" t="str">
        <x:f>IF(H148="","",MAX(H148-I148,0))</x:f>
      </x:c>
      <x:c r="K148" s="148"/>
      <x:c r="L148" s="148"/>
      <x:c r="M148" s="148"/>
      <x:c r="N148" s="148"/>
      <x:c r="O148" s="125"/>
      <x:c r="P148" s="125"/>
      <x:c r="Q148" s="125"/>
    </x:row>
    <x:row r="149">
      <x:c r="A149" s="148"/>
      <x:c r="B149" s="148"/>
      <x:c r="C149" s="148"/>
      <x:c r="D149" s="148"/>
      <x:c r="E149" s="148"/>
      <x:c r="F149" s="148"/>
      <x:c r="G149" s="148"/>
      <x:c r="H149" s="160"/>
      <x:c r="I149" s="160"/>
      <x:c r="J149" s="162" t="str">
        <x:f>IF(H149="","",MAX(H149-I149,0))</x:f>
      </x:c>
      <x:c r="K149" s="148"/>
      <x:c r="L149" s="148"/>
      <x:c r="M149" s="148"/>
      <x:c r="N149" s="148"/>
      <x:c r="O149" s="125"/>
      <x:c r="P149" s="125"/>
      <x:c r="Q149" s="125"/>
    </x:row>
    <x:row r="150">
      <x:c r="A150" s="148"/>
      <x:c r="B150" s="148"/>
      <x:c r="C150" s="148"/>
      <x:c r="D150" s="148"/>
      <x:c r="E150" s="148"/>
      <x:c r="F150" s="148"/>
      <x:c r="G150" s="148"/>
      <x:c r="H150" s="160"/>
      <x:c r="I150" s="160"/>
      <x:c r="J150" s="162" t="str">
        <x:f>IF(H150="","",MAX(H150-I150,0))</x:f>
      </x:c>
      <x:c r="K150" s="148"/>
      <x:c r="L150" s="148"/>
      <x:c r="M150" s="148"/>
      <x:c r="N150" s="148"/>
      <x:c r="O150" s="125"/>
      <x:c r="P150" s="125"/>
      <x:c r="Q150" s="125"/>
    </x:row>
    <x:row r="151">
      <x:c r="A151" s="148"/>
      <x:c r="B151" s="148"/>
      <x:c r="C151" s="148"/>
      <x:c r="D151" s="148"/>
      <x:c r="E151" s="148"/>
      <x:c r="F151" s="148"/>
      <x:c r="G151" s="148"/>
      <x:c r="H151" s="160"/>
      <x:c r="I151" s="160"/>
      <x:c r="J151" s="162" t="str">
        <x:f>IF(H151="","",MAX(H151-I151,0))</x:f>
      </x:c>
      <x:c r="K151" s="148"/>
      <x:c r="L151" s="148"/>
      <x:c r="M151" s="148"/>
      <x:c r="N151" s="148"/>
      <x:c r="O151" s="125"/>
      <x:c r="P151" s="125"/>
      <x:c r="Q151" s="125"/>
    </x:row>
    <x:row r="152">
      <x:c r="A152" s="148"/>
      <x:c r="B152" s="148"/>
      <x:c r="C152" s="148"/>
      <x:c r="D152" s="148"/>
      <x:c r="E152" s="148"/>
      <x:c r="F152" s="148"/>
      <x:c r="G152" s="148"/>
      <x:c r="H152" s="160"/>
      <x:c r="I152" s="160"/>
      <x:c r="J152" s="162" t="str">
        <x:f>IF(H152="","",MAX(H152-I152,0))</x:f>
      </x:c>
      <x:c r="K152" s="148"/>
      <x:c r="L152" s="148"/>
      <x:c r="M152" s="148"/>
      <x:c r="N152" s="148"/>
      <x:c r="O152" s="125"/>
      <x:c r="P152" s="125"/>
      <x:c r="Q152" s="125"/>
    </x:row>
    <x:row r="153">
      <x:c r="A153" s="148"/>
      <x:c r="B153" s="148"/>
      <x:c r="C153" s="148"/>
      <x:c r="D153" s="148"/>
      <x:c r="E153" s="148"/>
      <x:c r="F153" s="148"/>
      <x:c r="G153" s="148"/>
      <x:c r="H153" s="160"/>
      <x:c r="I153" s="160"/>
      <x:c r="J153" s="162" t="str">
        <x:f>IF(H153="","",MAX(H153-I153,0))</x:f>
      </x:c>
      <x:c r="K153" s="148"/>
      <x:c r="L153" s="148"/>
      <x:c r="M153" s="148"/>
      <x:c r="N153" s="148"/>
      <x:c r="O153" s="125"/>
      <x:c r="P153" s="125"/>
      <x:c r="Q153" s="125"/>
    </x:row>
    <x:row r="154">
      <x:c r="A154" s="148"/>
      <x:c r="B154" s="148"/>
      <x:c r="C154" s="148"/>
      <x:c r="D154" s="148"/>
      <x:c r="E154" s="148"/>
      <x:c r="F154" s="148"/>
      <x:c r="G154" s="148"/>
      <x:c r="H154" s="160"/>
      <x:c r="I154" s="160"/>
      <x:c r="J154" s="162" t="str">
        <x:f>IF(H154="","",MAX(H154-I154,0))</x:f>
      </x:c>
      <x:c r="K154" s="148"/>
      <x:c r="L154" s="148"/>
      <x:c r="M154" s="148"/>
      <x:c r="N154" s="148"/>
      <x:c r="O154" s="125"/>
      <x:c r="P154" s="125"/>
      <x:c r="Q154" s="125"/>
    </x:row>
    <x:row r="155">
      <x:c r="A155" s="148"/>
      <x:c r="B155" s="148"/>
      <x:c r="C155" s="148"/>
      <x:c r="D155" s="148"/>
      <x:c r="E155" s="148"/>
      <x:c r="F155" s="148"/>
      <x:c r="G155" s="148"/>
      <x:c r="H155" s="160"/>
      <x:c r="I155" s="160"/>
      <x:c r="J155" s="162" t="str">
        <x:f>IF(H155="","",MAX(H155-I155,0))</x:f>
      </x:c>
      <x:c r="K155" s="148"/>
      <x:c r="L155" s="148"/>
      <x:c r="M155" s="148"/>
      <x:c r="N155" s="148"/>
      <x:c r="O155" s="125"/>
      <x:c r="P155" s="125"/>
      <x:c r="Q155" s="125"/>
    </x:row>
    <x:row r="156">
      <x:c r="A156" s="148"/>
      <x:c r="B156" s="148"/>
      <x:c r="C156" s="148"/>
      <x:c r="D156" s="148"/>
      <x:c r="E156" s="148"/>
      <x:c r="F156" s="148"/>
      <x:c r="G156" s="148"/>
      <x:c r="H156" s="160"/>
      <x:c r="I156" s="160"/>
      <x:c r="J156" s="162" t="str">
        <x:f>IF(H156="","",MAX(H156-I156,0))</x:f>
      </x:c>
      <x:c r="K156" s="148"/>
      <x:c r="L156" s="148"/>
      <x:c r="M156" s="148"/>
      <x:c r="N156" s="148"/>
      <x:c r="O156" s="125"/>
      <x:c r="P156" s="125"/>
      <x:c r="Q156" s="125"/>
    </x:row>
    <x:row r="157">
      <x:c r="A157" s="148"/>
      <x:c r="B157" s="148"/>
      <x:c r="C157" s="148"/>
      <x:c r="D157" s="148"/>
      <x:c r="E157" s="148"/>
      <x:c r="F157" s="148"/>
      <x:c r="G157" s="148"/>
      <x:c r="H157" s="160"/>
      <x:c r="I157" s="160"/>
      <x:c r="J157" s="162" t="str">
        <x:f>IF(H157="","",MAX(H157-I157,0))</x:f>
      </x:c>
      <x:c r="K157" s="148"/>
      <x:c r="L157" s="148"/>
      <x:c r="M157" s="148"/>
      <x:c r="N157" s="148"/>
      <x:c r="O157" s="125"/>
      <x:c r="P157" s="125"/>
      <x:c r="Q157" s="125"/>
    </x:row>
    <x:row r="158">
      <x:c r="A158" s="148"/>
      <x:c r="B158" s="148"/>
      <x:c r="C158" s="148"/>
      <x:c r="D158" s="148"/>
      <x:c r="E158" s="148"/>
      <x:c r="F158" s="148"/>
      <x:c r="G158" s="148"/>
      <x:c r="H158" s="160"/>
      <x:c r="I158" s="160"/>
      <x:c r="J158" s="162" t="str">
        <x:f>IF(H158="","",MAX(H158-I158,0))</x:f>
      </x:c>
      <x:c r="K158" s="148"/>
      <x:c r="L158" s="148"/>
      <x:c r="M158" s="148"/>
      <x:c r="N158" s="148"/>
      <x:c r="O158" s="125"/>
      <x:c r="P158" s="125"/>
      <x:c r="Q158" s="125"/>
    </x:row>
    <x:row r="159">
      <x:c r="A159" s="148"/>
      <x:c r="B159" s="148"/>
      <x:c r="C159" s="148"/>
      <x:c r="D159" s="148"/>
      <x:c r="E159" s="148"/>
      <x:c r="F159" s="148"/>
      <x:c r="G159" s="148"/>
      <x:c r="H159" s="160"/>
      <x:c r="I159" s="160"/>
      <x:c r="J159" s="162" t="str">
        <x:f>IF(H159="","",MAX(H159-I159,0))</x:f>
      </x:c>
      <x:c r="K159" s="148"/>
      <x:c r="L159" s="148"/>
      <x:c r="M159" s="148"/>
      <x:c r="N159" s="148"/>
      <x:c r="O159" s="125"/>
      <x:c r="P159" s="125"/>
      <x:c r="Q159" s="125"/>
    </x:row>
    <x:row r="160">
      <x:c r="A160" s="148"/>
      <x:c r="B160" s="148"/>
      <x:c r="C160" s="148"/>
      <x:c r="D160" s="148"/>
      <x:c r="E160" s="148"/>
      <x:c r="F160" s="148"/>
      <x:c r="G160" s="148"/>
      <x:c r="H160" s="160"/>
      <x:c r="I160" s="160"/>
      <x:c r="J160" s="162" t="str">
        <x:f>IF(H160="","",MAX(H160-I160,0))</x:f>
      </x:c>
      <x:c r="K160" s="148"/>
      <x:c r="L160" s="148"/>
      <x:c r="M160" s="148"/>
      <x:c r="N160" s="148"/>
      <x:c r="O160" s="125"/>
      <x:c r="P160" s="125"/>
      <x:c r="Q160" s="125"/>
    </x:row>
    <x:row r="161">
      <x:c r="A161" s="148"/>
      <x:c r="B161" s="148"/>
      <x:c r="C161" s="148"/>
      <x:c r="D161" s="148"/>
      <x:c r="E161" s="148"/>
      <x:c r="F161" s="148"/>
      <x:c r="G161" s="148"/>
      <x:c r="H161" s="160"/>
      <x:c r="I161" s="160"/>
      <x:c r="J161" s="162" t="str">
        <x:f>IF(H161="","",MAX(H161-I161,0))</x:f>
      </x:c>
      <x:c r="K161" s="148"/>
      <x:c r="L161" s="148"/>
      <x:c r="M161" s="148"/>
      <x:c r="N161" s="148"/>
      <x:c r="O161" s="125"/>
      <x:c r="P161" s="125"/>
      <x:c r="Q161" s="125"/>
    </x:row>
    <x:row r="162">
      <x:c r="A162" s="148"/>
      <x:c r="B162" s="148"/>
      <x:c r="C162" s="148"/>
      <x:c r="D162" s="148"/>
      <x:c r="E162" s="148"/>
      <x:c r="F162" s="148"/>
      <x:c r="G162" s="148"/>
      <x:c r="H162" s="160"/>
      <x:c r="I162" s="160"/>
      <x:c r="J162" s="162" t="str">
        <x:f>IF(H162="","",MAX(H162-I162,0))</x:f>
      </x:c>
      <x:c r="K162" s="148"/>
      <x:c r="L162" s="148"/>
      <x:c r="M162" s="148"/>
      <x:c r="N162" s="148"/>
      <x:c r="O162" s="125"/>
      <x:c r="P162" s="125"/>
      <x:c r="Q162" s="125"/>
    </x:row>
    <x:row r="163">
      <x:c r="A163" s="148"/>
      <x:c r="B163" s="148"/>
      <x:c r="C163" s="148"/>
      <x:c r="D163" s="148"/>
      <x:c r="E163" s="148"/>
      <x:c r="F163" s="148"/>
      <x:c r="G163" s="148"/>
      <x:c r="H163" s="160"/>
      <x:c r="I163" s="160"/>
      <x:c r="J163" s="162" t="str">
        <x:f>IF(H163="","",MAX(H163-I163,0))</x:f>
      </x:c>
      <x:c r="K163" s="148"/>
      <x:c r="L163" s="148"/>
      <x:c r="M163" s="148"/>
      <x:c r="N163" s="148"/>
      <x:c r="O163" s="125"/>
      <x:c r="P163" s="125"/>
      <x:c r="Q163" s="125"/>
    </x:row>
    <x:row r="164">
      <x:c r="A164" s="148"/>
      <x:c r="B164" s="148"/>
      <x:c r="C164" s="148"/>
      <x:c r="D164" s="148"/>
      <x:c r="E164" s="148"/>
      <x:c r="F164" s="148"/>
      <x:c r="G164" s="148"/>
      <x:c r="H164" s="160"/>
      <x:c r="I164" s="160"/>
      <x:c r="J164" s="162" t="str">
        <x:f>IF(H164="","",MAX(H164-I164,0))</x:f>
      </x:c>
      <x:c r="K164" s="148"/>
      <x:c r="L164" s="148"/>
      <x:c r="M164" s="148"/>
      <x:c r="N164" s="148"/>
      <x:c r="O164" s="125"/>
      <x:c r="P164" s="125"/>
      <x:c r="Q164" s="125"/>
    </x:row>
    <x:row r="165">
      <x:c r="A165" s="148"/>
      <x:c r="B165" s="148"/>
      <x:c r="C165" s="148"/>
      <x:c r="D165" s="148"/>
      <x:c r="E165" s="148"/>
      <x:c r="F165" s="148"/>
      <x:c r="G165" s="148"/>
      <x:c r="H165" s="160"/>
      <x:c r="I165" s="160"/>
      <x:c r="J165" s="162" t="str">
        <x:f>IF(H165="","",MAX(H165-I165,0))</x:f>
      </x:c>
      <x:c r="K165" s="148"/>
      <x:c r="L165" s="148"/>
      <x:c r="M165" s="148"/>
      <x:c r="N165" s="148"/>
      <x:c r="O165" s="125"/>
      <x:c r="P165" s="125"/>
      <x:c r="Q165" s="125"/>
    </x:row>
    <x:row r="166">
      <x:c r="A166" s="148"/>
      <x:c r="B166" s="148"/>
      <x:c r="C166" s="148"/>
      <x:c r="D166" s="148"/>
      <x:c r="E166" s="148"/>
      <x:c r="F166" s="148"/>
      <x:c r="G166" s="148"/>
      <x:c r="H166" s="160"/>
      <x:c r="I166" s="160"/>
      <x:c r="J166" s="162" t="str">
        <x:f>IF(H166="","",MAX(H166-I166,0))</x:f>
      </x:c>
      <x:c r="K166" s="148"/>
      <x:c r="L166" s="148"/>
      <x:c r="M166" s="148"/>
      <x:c r="N166" s="148"/>
      <x:c r="O166" s="125"/>
      <x:c r="P166" s="125"/>
      <x:c r="Q166" s="125"/>
    </x:row>
    <x:row r="167">
      <x:c r="A167" s="148"/>
      <x:c r="B167" s="148"/>
      <x:c r="C167" s="148"/>
      <x:c r="D167" s="148"/>
      <x:c r="E167" s="148"/>
      <x:c r="F167" s="148"/>
      <x:c r="G167" s="148"/>
      <x:c r="H167" s="160"/>
      <x:c r="I167" s="160"/>
      <x:c r="J167" s="162" t="str">
        <x:f>IF(H167="","",MAX(H167-I167,0))</x:f>
      </x:c>
      <x:c r="K167" s="148"/>
      <x:c r="L167" s="148"/>
      <x:c r="M167" s="148"/>
      <x:c r="N167" s="148"/>
      <x:c r="O167" s="125"/>
      <x:c r="P167" s="125"/>
      <x:c r="Q167" s="125"/>
    </x:row>
    <x:row r="168">
      <x:c r="A168" s="148"/>
      <x:c r="B168" s="148"/>
      <x:c r="C168" s="148"/>
      <x:c r="D168" s="148"/>
      <x:c r="E168" s="148"/>
      <x:c r="F168" s="148"/>
      <x:c r="G168" s="148"/>
      <x:c r="H168" s="160"/>
      <x:c r="I168" s="160"/>
      <x:c r="J168" s="162" t="str">
        <x:f>IF(H168="","",MAX(H168-I168,0))</x:f>
      </x:c>
      <x:c r="K168" s="148"/>
      <x:c r="L168" s="148"/>
      <x:c r="M168" s="148"/>
      <x:c r="N168" s="148"/>
      <x:c r="O168" s="125"/>
      <x:c r="P168" s="125"/>
      <x:c r="Q168" s="125"/>
    </x:row>
    <x:row r="169">
      <x:c r="A169" s="148"/>
      <x:c r="B169" s="148"/>
      <x:c r="C169" s="148"/>
      <x:c r="D169" s="148"/>
      <x:c r="E169" s="148"/>
      <x:c r="F169" s="148"/>
      <x:c r="G169" s="148"/>
      <x:c r="H169" s="160"/>
      <x:c r="I169" s="160"/>
      <x:c r="J169" s="162" t="str">
        <x:f>IF(H169="","",MAX(H169-I169,0))</x:f>
      </x:c>
      <x:c r="K169" s="148"/>
      <x:c r="L169" s="148"/>
      <x:c r="M169" s="148"/>
      <x:c r="N169" s="148"/>
      <x:c r="O169" s="125"/>
      <x:c r="P169" s="125"/>
      <x:c r="Q169" s="125"/>
    </x:row>
    <x:row r="170">
      <x:c r="A170" s="148"/>
      <x:c r="B170" s="148"/>
      <x:c r="C170" s="148"/>
      <x:c r="D170" s="148"/>
      <x:c r="E170" s="148"/>
      <x:c r="F170" s="148"/>
      <x:c r="G170" s="148"/>
      <x:c r="H170" s="160"/>
      <x:c r="I170" s="160"/>
      <x:c r="J170" s="162" t="str">
        <x:f>IF(H170="","",MAX(H170-I170,0))</x:f>
      </x:c>
      <x:c r="K170" s="148"/>
      <x:c r="L170" s="148"/>
      <x:c r="M170" s="148"/>
      <x:c r="N170" s="148"/>
      <x:c r="O170" s="125"/>
      <x:c r="P170" s="125"/>
      <x:c r="Q170" s="125"/>
    </x:row>
    <x:row r="171">
      <x:c r="A171" s="148"/>
      <x:c r="B171" s="148"/>
      <x:c r="C171" s="148"/>
      <x:c r="D171" s="148"/>
      <x:c r="E171" s="148"/>
      <x:c r="F171" s="148"/>
      <x:c r="G171" s="148"/>
      <x:c r="H171" s="160"/>
      <x:c r="I171" s="160"/>
      <x:c r="J171" s="162" t="str">
        <x:f>IF(H171="","",MAX(H171-I171,0))</x:f>
      </x:c>
      <x:c r="K171" s="148"/>
      <x:c r="L171" s="148"/>
      <x:c r="M171" s="148"/>
      <x:c r="N171" s="148"/>
      <x:c r="O171" s="125"/>
      <x:c r="P171" s="125"/>
      <x:c r="Q171" s="125"/>
    </x:row>
    <x:row r="172">
      <x:c r="A172" s="148"/>
      <x:c r="B172" s="148"/>
      <x:c r="C172" s="148"/>
      <x:c r="D172" s="148"/>
      <x:c r="E172" s="148"/>
      <x:c r="F172" s="148"/>
      <x:c r="G172" s="148"/>
      <x:c r="H172" s="160"/>
      <x:c r="I172" s="160"/>
      <x:c r="J172" s="162" t="str">
        <x:f>IF(H172="","",MAX(H172-I172,0))</x:f>
      </x:c>
      <x:c r="K172" s="148"/>
      <x:c r="L172" s="148"/>
      <x:c r="M172" s="148"/>
      <x:c r="N172" s="148"/>
      <x:c r="O172" s="125"/>
      <x:c r="P172" s="125"/>
      <x:c r="Q172" s="125"/>
    </x:row>
    <x:row r="173">
      <x:c r="A173" s="148"/>
      <x:c r="B173" s="148"/>
      <x:c r="C173" s="148"/>
      <x:c r="D173" s="148"/>
      <x:c r="E173" s="148"/>
      <x:c r="F173" s="148"/>
      <x:c r="G173" s="148"/>
      <x:c r="H173" s="160"/>
      <x:c r="I173" s="160"/>
      <x:c r="J173" s="162" t="str">
        <x:f>IF(H173="","",MAX(H173-I173,0))</x:f>
      </x:c>
      <x:c r="K173" s="148"/>
      <x:c r="L173" s="148"/>
      <x:c r="M173" s="148"/>
      <x:c r="N173" s="148"/>
      <x:c r="O173" s="125"/>
      <x:c r="P173" s="125"/>
      <x:c r="Q173" s="125"/>
    </x:row>
    <x:row r="174">
      <x:c r="A174" s="148"/>
      <x:c r="B174" s="148"/>
      <x:c r="C174" s="148"/>
      <x:c r="D174" s="148"/>
      <x:c r="E174" s="148"/>
      <x:c r="F174" s="148"/>
      <x:c r="G174" s="148"/>
      <x:c r="H174" s="160"/>
      <x:c r="I174" s="160"/>
      <x:c r="J174" s="162" t="str">
        <x:f>IF(H174="","",MAX(H174-I174,0))</x:f>
      </x:c>
      <x:c r="K174" s="148"/>
      <x:c r="L174" s="148"/>
      <x:c r="M174" s="148"/>
      <x:c r="N174" s="148"/>
      <x:c r="O174" s="125"/>
      <x:c r="P174" s="125"/>
      <x:c r="Q174" s="125"/>
    </x:row>
    <x:row r="175">
      <x:c r="A175" s="148"/>
      <x:c r="B175" s="148"/>
      <x:c r="C175" s="148"/>
      <x:c r="D175" s="148"/>
      <x:c r="E175" s="148"/>
      <x:c r="F175" s="148"/>
      <x:c r="G175" s="148"/>
      <x:c r="H175" s="160"/>
      <x:c r="I175" s="160"/>
      <x:c r="J175" s="162" t="str">
        <x:f>IF(H175="","",MAX(H175-I175,0))</x:f>
      </x:c>
      <x:c r="K175" s="148"/>
      <x:c r="L175" s="148"/>
      <x:c r="M175" s="148"/>
      <x:c r="N175" s="148"/>
      <x:c r="O175" s="125"/>
      <x:c r="P175" s="125"/>
      <x:c r="Q175" s="125"/>
    </x:row>
    <x:row r="176">
      <x:c r="A176" s="148"/>
      <x:c r="B176" s="148"/>
      <x:c r="C176" s="148"/>
      <x:c r="D176" s="148"/>
      <x:c r="E176" s="148"/>
      <x:c r="F176" s="148"/>
      <x:c r="G176" s="148"/>
      <x:c r="H176" s="160"/>
      <x:c r="I176" s="160"/>
      <x:c r="J176" s="162" t="str">
        <x:f>IF(H176="","",MAX(H176-I176,0))</x:f>
      </x:c>
      <x:c r="K176" s="148"/>
      <x:c r="L176" s="148"/>
      <x:c r="M176" s="148"/>
      <x:c r="N176" s="148"/>
      <x:c r="O176" s="125"/>
      <x:c r="P176" s="125"/>
      <x:c r="Q176" s="125"/>
    </x:row>
    <x:row r="177">
      <x:c r="A177" s="148"/>
      <x:c r="B177" s="148"/>
      <x:c r="C177" s="148"/>
      <x:c r="D177" s="148"/>
      <x:c r="E177" s="148"/>
      <x:c r="F177" s="148"/>
      <x:c r="G177" s="148"/>
      <x:c r="H177" s="160"/>
      <x:c r="I177" s="160"/>
      <x:c r="J177" s="162" t="str">
        <x:f>IF(H177="","",MAX(H177-I177,0))</x:f>
      </x:c>
      <x:c r="K177" s="148"/>
      <x:c r="L177" s="148"/>
      <x:c r="M177" s="148"/>
      <x:c r="N177" s="148"/>
      <x:c r="O177" s="125"/>
      <x:c r="P177" s="125"/>
      <x:c r="Q177" s="125"/>
    </x:row>
    <x:row r="178">
      <x:c r="A178" s="148"/>
      <x:c r="B178" s="148"/>
      <x:c r="C178" s="148"/>
      <x:c r="D178" s="148"/>
      <x:c r="E178" s="148"/>
      <x:c r="F178" s="148"/>
      <x:c r="G178" s="148"/>
      <x:c r="H178" s="160"/>
      <x:c r="I178" s="160"/>
      <x:c r="J178" s="162" t="str">
        <x:f>IF(H178="","",MAX(H178-I178,0))</x:f>
      </x:c>
      <x:c r="K178" s="148"/>
      <x:c r="L178" s="148"/>
      <x:c r="M178" s="148"/>
      <x:c r="N178" s="148"/>
      <x:c r="O178" s="125"/>
      <x:c r="P178" s="125"/>
      <x:c r="Q178" s="125"/>
    </x:row>
    <x:row r="179">
      <x:c r="A179" s="148"/>
      <x:c r="B179" s="148"/>
      <x:c r="C179" s="148"/>
      <x:c r="D179" s="148"/>
      <x:c r="E179" s="148"/>
      <x:c r="F179" s="148"/>
      <x:c r="G179" s="148"/>
      <x:c r="H179" s="160"/>
      <x:c r="I179" s="160"/>
      <x:c r="J179" s="162" t="str">
        <x:f>IF(H179="","",MAX(H179-I179,0))</x:f>
      </x:c>
      <x:c r="K179" s="148"/>
      <x:c r="L179" s="148"/>
      <x:c r="M179" s="148"/>
      <x:c r="N179" s="148"/>
      <x:c r="O179" s="125"/>
      <x:c r="P179" s="125"/>
      <x:c r="Q179" s="125"/>
    </x:row>
    <x:row r="180">
      <x:c r="A180" s="148"/>
      <x:c r="B180" s="148"/>
      <x:c r="C180" s="148"/>
      <x:c r="D180" s="148"/>
      <x:c r="E180" s="148"/>
      <x:c r="F180" s="148"/>
      <x:c r="G180" s="148"/>
      <x:c r="H180" s="160"/>
      <x:c r="I180" s="160"/>
      <x:c r="J180" s="162" t="str">
        <x:f>IF(H180="","",MAX(H180-I180,0))</x:f>
      </x:c>
      <x:c r="K180" s="148"/>
      <x:c r="L180" s="148"/>
      <x:c r="M180" s="148"/>
      <x:c r="N180" s="148"/>
      <x:c r="O180" s="125"/>
      <x:c r="P180" s="125"/>
      <x:c r="Q180" s="125"/>
    </x:row>
    <x:row r="181">
      <x:c r="A181" s="148"/>
      <x:c r="B181" s="148"/>
      <x:c r="C181" s="148"/>
      <x:c r="D181" s="148"/>
      <x:c r="E181" s="148"/>
      <x:c r="F181" s="148"/>
      <x:c r="G181" s="148"/>
      <x:c r="H181" s="160"/>
      <x:c r="I181" s="160"/>
      <x:c r="J181" s="162" t="str">
        <x:f>IF(H181="","",MAX(H181-I181,0))</x:f>
      </x:c>
      <x:c r="K181" s="148"/>
      <x:c r="L181" s="148"/>
      <x:c r="M181" s="148"/>
      <x:c r="N181" s="148"/>
      <x:c r="O181" s="125"/>
      <x:c r="P181" s="125"/>
      <x:c r="Q181" s="125"/>
    </x:row>
    <x:row r="182">
      <x:c r="A182" s="148"/>
      <x:c r="B182" s="148"/>
      <x:c r="C182" s="148"/>
      <x:c r="D182" s="148"/>
      <x:c r="E182" s="148"/>
      <x:c r="F182" s="148"/>
      <x:c r="G182" s="148"/>
      <x:c r="H182" s="160"/>
      <x:c r="I182" s="160"/>
      <x:c r="J182" s="162" t="str">
        <x:f>IF(H182="","",MAX(H182-I182,0))</x:f>
      </x:c>
      <x:c r="K182" s="148"/>
      <x:c r="L182" s="148"/>
      <x:c r="M182" s="148"/>
      <x:c r="N182" s="148"/>
      <x:c r="O182" s="125"/>
      <x:c r="P182" s="125"/>
      <x:c r="Q182" s="125"/>
    </x:row>
    <x:row r="183">
      <x:c r="A183" s="148"/>
      <x:c r="B183" s="148"/>
      <x:c r="C183" s="148"/>
      <x:c r="D183" s="148"/>
      <x:c r="E183" s="148"/>
      <x:c r="F183" s="148"/>
      <x:c r="G183" s="148"/>
      <x:c r="H183" s="160"/>
      <x:c r="I183" s="160"/>
      <x:c r="J183" s="162" t="str">
        <x:f>IF(H183="","",MAX(H183-I183,0))</x:f>
      </x:c>
      <x:c r="K183" s="148"/>
      <x:c r="L183" s="148"/>
      <x:c r="M183" s="148"/>
      <x:c r="N183" s="148"/>
      <x:c r="O183" s="125"/>
      <x:c r="P183" s="125"/>
      <x:c r="Q183" s="125"/>
    </x:row>
    <x:row r="184">
      <x:c r="A184" s="148"/>
      <x:c r="B184" s="148"/>
      <x:c r="C184" s="148"/>
      <x:c r="D184" s="148"/>
      <x:c r="E184" s="148"/>
      <x:c r="F184" s="148"/>
      <x:c r="G184" s="148"/>
      <x:c r="H184" s="160"/>
      <x:c r="I184" s="160"/>
      <x:c r="J184" s="162" t="str">
        <x:f>IF(H184="","",MAX(H184-I184,0))</x:f>
      </x:c>
      <x:c r="K184" s="148"/>
      <x:c r="L184" s="148"/>
      <x:c r="M184" s="148"/>
      <x:c r="N184" s="148"/>
      <x:c r="O184" s="125"/>
      <x:c r="P184" s="125"/>
      <x:c r="Q184" s="125"/>
    </x:row>
    <x:row r="185">
      <x:c r="A185" s="148"/>
      <x:c r="B185" s="148"/>
      <x:c r="C185" s="148"/>
      <x:c r="D185" s="148"/>
      <x:c r="E185" s="148"/>
      <x:c r="F185" s="148"/>
      <x:c r="G185" s="148"/>
      <x:c r="H185" s="160"/>
      <x:c r="I185" s="160"/>
      <x:c r="J185" s="162" t="str">
        <x:f>IF(H185="","",MAX(H185-I185,0))</x:f>
      </x:c>
      <x:c r="K185" s="148"/>
      <x:c r="L185" s="148"/>
      <x:c r="M185" s="148"/>
      <x:c r="N185" s="148"/>
      <x:c r="O185" s="125"/>
      <x:c r="P185" s="125"/>
      <x:c r="Q185" s="125"/>
    </x:row>
    <x:row r="186">
      <x:c r="A186" s="148"/>
      <x:c r="B186" s="148"/>
      <x:c r="C186" s="148"/>
      <x:c r="D186" s="148"/>
      <x:c r="E186" s="148"/>
      <x:c r="F186" s="148"/>
      <x:c r="G186" s="148"/>
      <x:c r="H186" s="160"/>
      <x:c r="I186" s="160"/>
      <x:c r="J186" s="162" t="str">
        <x:f>IF(H186="","",MAX(H186-I186,0))</x:f>
      </x:c>
      <x:c r="K186" s="148"/>
      <x:c r="L186" s="148"/>
      <x:c r="M186" s="148"/>
      <x:c r="N186" s="148"/>
      <x:c r="O186" s="125"/>
      <x:c r="P186" s="125"/>
      <x:c r="Q186" s="125"/>
    </x:row>
    <x:row r="187">
      <x:c r="A187" s="148"/>
      <x:c r="B187" s="148"/>
      <x:c r="C187" s="148"/>
      <x:c r="D187" s="148"/>
      <x:c r="E187" s="148"/>
      <x:c r="F187" s="148"/>
      <x:c r="G187" s="148"/>
      <x:c r="H187" s="160"/>
      <x:c r="I187" s="160"/>
      <x:c r="J187" s="162" t="str">
        <x:f>IF(H187="","",MAX(H187-I187,0))</x:f>
      </x:c>
      <x:c r="K187" s="148"/>
      <x:c r="L187" s="148"/>
      <x:c r="M187" s="148"/>
      <x:c r="N187" s="148"/>
      <x:c r="O187" s="125"/>
      <x:c r="P187" s="125"/>
      <x:c r="Q187" s="125"/>
    </x:row>
    <x:row r="188">
      <x:c r="A188" s="148"/>
      <x:c r="B188" s="148"/>
      <x:c r="C188" s="148"/>
      <x:c r="D188" s="148"/>
      <x:c r="E188" s="148"/>
      <x:c r="F188" s="148"/>
      <x:c r="G188" s="148"/>
      <x:c r="H188" s="160"/>
      <x:c r="I188" s="160"/>
      <x:c r="J188" s="162" t="str">
        <x:f>IF(H188="","",MAX(H188-I188,0))</x:f>
      </x:c>
      <x:c r="K188" s="148"/>
      <x:c r="L188" s="148"/>
      <x:c r="M188" s="148"/>
      <x:c r="N188" s="148"/>
      <x:c r="O188" s="125"/>
      <x:c r="P188" s="125"/>
      <x:c r="Q188" s="125"/>
    </x:row>
    <x:row r="189">
      <x:c r="A189" s="148"/>
      <x:c r="B189" s="148"/>
      <x:c r="C189" s="148"/>
      <x:c r="D189" s="148"/>
      <x:c r="E189" s="148"/>
      <x:c r="F189" s="148"/>
      <x:c r="G189" s="148"/>
      <x:c r="H189" s="160"/>
      <x:c r="I189" s="160"/>
      <x:c r="J189" s="162" t="str">
        <x:f>IF(H189="","",MAX(H189-I189,0))</x:f>
      </x:c>
      <x:c r="K189" s="148"/>
      <x:c r="L189" s="148"/>
      <x:c r="M189" s="148"/>
      <x:c r="N189" s="148"/>
      <x:c r="O189" s="125"/>
      <x:c r="P189" s="125"/>
      <x:c r="Q189" s="125"/>
    </x:row>
    <x:row r="190">
      <x:c r="A190" s="148"/>
      <x:c r="B190" s="148"/>
      <x:c r="C190" s="148"/>
      <x:c r="D190" s="148"/>
      <x:c r="E190" s="148"/>
      <x:c r="F190" s="148"/>
      <x:c r="G190" s="148"/>
      <x:c r="H190" s="160"/>
      <x:c r="I190" s="160"/>
      <x:c r="J190" s="162" t="str">
        <x:f>IF(H190="","",MAX(H190-I190,0))</x:f>
      </x:c>
      <x:c r="K190" s="148"/>
      <x:c r="L190" s="148"/>
      <x:c r="M190" s="148"/>
      <x:c r="N190" s="148"/>
      <x:c r="O190" s="125"/>
      <x:c r="P190" s="125"/>
      <x:c r="Q190" s="125"/>
    </x:row>
    <x:row r="191">
      <x:c r="A191" s="148"/>
      <x:c r="B191" s="148"/>
      <x:c r="C191" s="148"/>
      <x:c r="D191" s="148"/>
      <x:c r="E191" s="148"/>
      <x:c r="F191" s="148"/>
      <x:c r="G191" s="148"/>
      <x:c r="H191" s="160"/>
      <x:c r="I191" s="160"/>
      <x:c r="J191" s="162" t="str">
        <x:f>IF(H191="","",MAX(H191-I191,0))</x:f>
      </x:c>
      <x:c r="K191" s="148"/>
      <x:c r="L191" s="148"/>
      <x:c r="M191" s="148"/>
      <x:c r="N191" s="148"/>
      <x:c r="O191" s="125"/>
      <x:c r="P191" s="125"/>
      <x:c r="Q191" s="125"/>
    </x:row>
    <x:row r="192">
      <x:c r="A192" s="148"/>
      <x:c r="B192" s="148"/>
      <x:c r="C192" s="148"/>
      <x:c r="D192" s="148"/>
      <x:c r="E192" s="148"/>
      <x:c r="F192" s="148"/>
      <x:c r="G192" s="148"/>
      <x:c r="H192" s="160"/>
      <x:c r="I192" s="160"/>
      <x:c r="J192" s="162" t="str">
        <x:f>IF(H192="","",MAX(H192-I192,0))</x:f>
      </x:c>
      <x:c r="K192" s="148"/>
      <x:c r="L192" s="148"/>
      <x:c r="M192" s="148"/>
      <x:c r="N192" s="148"/>
      <x:c r="O192" s="125"/>
      <x:c r="P192" s="125"/>
      <x:c r="Q192" s="125"/>
    </x:row>
    <x:row r="193">
      <x:c r="A193" s="148"/>
      <x:c r="B193" s="148"/>
      <x:c r="C193" s="148"/>
      <x:c r="D193" s="148"/>
      <x:c r="E193" s="148"/>
      <x:c r="F193" s="148"/>
      <x:c r="G193" s="148"/>
      <x:c r="H193" s="160"/>
      <x:c r="I193" s="160"/>
      <x:c r="J193" s="162" t="str">
        <x:f>IF(H193="","",MAX(H193-I193,0))</x:f>
      </x:c>
      <x:c r="K193" s="148"/>
      <x:c r="L193" s="148"/>
      <x:c r="M193" s="148"/>
      <x:c r="N193" s="148"/>
      <x:c r="O193" s="125"/>
      <x:c r="P193" s="125"/>
      <x:c r="Q193" s="125"/>
    </x:row>
    <x:row r="194">
      <x:c r="A194" s="148"/>
      <x:c r="B194" s="148"/>
      <x:c r="C194" s="148"/>
      <x:c r="D194" s="148"/>
      <x:c r="E194" s="148"/>
      <x:c r="F194" s="148"/>
      <x:c r="G194" s="148"/>
      <x:c r="H194" s="160"/>
      <x:c r="I194" s="160"/>
      <x:c r="J194" s="162" t="str">
        <x:f>IF(H194="","",MAX(H194-I194,0))</x:f>
      </x:c>
      <x:c r="K194" s="148"/>
      <x:c r="L194" s="148"/>
      <x:c r="M194" s="148"/>
      <x:c r="N194" s="148"/>
      <x:c r="O194" s="125"/>
      <x:c r="P194" s="125"/>
      <x:c r="Q194" s="125"/>
    </x:row>
    <x:row r="195">
      <x:c r="A195" s="148"/>
      <x:c r="B195" s="148"/>
      <x:c r="C195" s="148"/>
      <x:c r="D195" s="148"/>
      <x:c r="E195" s="148"/>
      <x:c r="F195" s="148"/>
      <x:c r="G195" s="148"/>
      <x:c r="H195" s="160"/>
      <x:c r="I195" s="160"/>
      <x:c r="J195" s="162" t="str">
        <x:f>IF(H195="","",MAX(H195-I195,0))</x:f>
      </x:c>
      <x:c r="K195" s="148"/>
      <x:c r="L195" s="148"/>
      <x:c r="M195" s="148"/>
      <x:c r="N195" s="148"/>
      <x:c r="O195" s="125"/>
      <x:c r="P195" s="125"/>
      <x:c r="Q195" s="125"/>
    </x:row>
    <x:row r="196">
      <x:c r="A196" s="148"/>
      <x:c r="B196" s="148"/>
      <x:c r="C196" s="148"/>
      <x:c r="D196" s="148"/>
      <x:c r="E196" s="148"/>
      <x:c r="F196" s="148"/>
      <x:c r="G196" s="148"/>
      <x:c r="H196" s="160"/>
      <x:c r="I196" s="160"/>
      <x:c r="J196" s="162" t="str">
        <x:f>IF(H196="","",MAX(H196-I196,0))</x:f>
      </x:c>
      <x:c r="K196" s="148"/>
      <x:c r="L196" s="148"/>
      <x:c r="M196" s="148"/>
      <x:c r="N196" s="148"/>
      <x:c r="O196" s="125"/>
      <x:c r="P196" s="125"/>
      <x:c r="Q196" s="125"/>
    </x:row>
    <x:row r="197">
      <x:c r="A197" s="148"/>
      <x:c r="B197" s="148"/>
      <x:c r="C197" s="148"/>
      <x:c r="D197" s="148"/>
      <x:c r="E197" s="148"/>
      <x:c r="F197" s="148"/>
      <x:c r="G197" s="148"/>
      <x:c r="H197" s="160"/>
      <x:c r="I197" s="160"/>
      <x:c r="J197" s="162" t="str">
        <x:f>IF(H197="","",MAX(H197-I197,0))</x:f>
      </x:c>
      <x:c r="K197" s="148"/>
      <x:c r="L197" s="148"/>
      <x:c r="M197" s="148"/>
      <x:c r="N197" s="148"/>
      <x:c r="O197" s="125"/>
      <x:c r="P197" s="125"/>
      <x:c r="Q197" s="125"/>
    </x:row>
    <x:row r="198">
      <x:c r="A198" s="148"/>
      <x:c r="B198" s="148"/>
      <x:c r="C198" s="148"/>
      <x:c r="D198" s="148"/>
      <x:c r="E198" s="148"/>
      <x:c r="F198" s="148"/>
      <x:c r="G198" s="148"/>
      <x:c r="H198" s="160"/>
      <x:c r="I198" s="160"/>
      <x:c r="J198" s="162" t="str">
        <x:f>IF(H198="","",MAX(H198-I198,0))</x:f>
      </x:c>
      <x:c r="K198" s="148"/>
      <x:c r="L198" s="148"/>
      <x:c r="M198" s="148"/>
      <x:c r="N198" s="148"/>
      <x:c r="O198" s="125"/>
      <x:c r="P198" s="125"/>
      <x:c r="Q198" s="125"/>
    </x:row>
    <x:row r="199">
      <x:c r="A199" s="148"/>
      <x:c r="B199" s="148"/>
      <x:c r="C199" s="148"/>
      <x:c r="D199" s="148"/>
      <x:c r="E199" s="148"/>
      <x:c r="F199" s="148"/>
      <x:c r="G199" s="148"/>
      <x:c r="H199" s="160"/>
      <x:c r="I199" s="160"/>
      <x:c r="J199" s="162" t="str">
        <x:f>IF(H199="","",MAX(H199-I199,0))</x:f>
      </x:c>
      <x:c r="K199" s="148"/>
      <x:c r="L199" s="148"/>
      <x:c r="M199" s="148"/>
      <x:c r="N199" s="148"/>
      <x:c r="O199" s="125"/>
      <x:c r="P199" s="125"/>
      <x:c r="Q199" s="125"/>
    </x:row>
    <x:row r="200">
      <x:c r="A200" s="148"/>
      <x:c r="B200" s="148"/>
      <x:c r="C200" s="148"/>
      <x:c r="D200" s="148"/>
      <x:c r="E200" s="148"/>
      <x:c r="F200" s="148"/>
      <x:c r="G200" s="148"/>
      <x:c r="H200" s="160"/>
      <x:c r="I200" s="160"/>
      <x:c r="J200" s="162" t="str">
        <x:f>IF(H200="","",MAX(H200-I200,0))</x:f>
      </x:c>
      <x:c r="K200" s="148"/>
      <x:c r="L200" s="148"/>
      <x:c r="M200" s="148"/>
      <x:c r="N200" s="148"/>
      <x:c r="O200" s="125"/>
      <x:c r="P200" s="125"/>
      <x:c r="Q200" s="125"/>
    </x:row>
    <x:row r="201">
      <x:c r="A201" s="148"/>
      <x:c r="B201" s="148"/>
      <x:c r="C201" s="148"/>
      <x:c r="D201" s="148"/>
      <x:c r="E201" s="148"/>
      <x:c r="F201" s="148"/>
      <x:c r="G201" s="148"/>
      <x:c r="H201" s="160"/>
      <x:c r="I201" s="160"/>
      <x:c r="J201" s="162" t="str">
        <x:f>IF(H201="","",MAX(H201-I201,0))</x:f>
      </x:c>
      <x:c r="K201" s="148"/>
      <x:c r="L201" s="148"/>
      <x:c r="M201" s="148"/>
      <x:c r="N201" s="148"/>
      <x:c r="O201" s="125"/>
      <x:c r="P201" s="125"/>
      <x:c r="Q201" s="125"/>
    </x:row>
    <x:row r="202">
      <x:c r="A202" s="148"/>
      <x:c r="B202" s="148"/>
      <x:c r="C202" s="148"/>
      <x:c r="D202" s="148"/>
      <x:c r="E202" s="148"/>
      <x:c r="F202" s="148"/>
      <x:c r="G202" s="148"/>
      <x:c r="H202" s="160"/>
      <x:c r="I202" s="160"/>
      <x:c r="J202" s="162" t="str">
        <x:f>IF(H202="","",MAX(H202-I202,0))</x:f>
      </x:c>
      <x:c r="K202" s="148"/>
      <x:c r="L202" s="148"/>
      <x:c r="M202" s="148"/>
      <x:c r="N202" s="148"/>
      <x:c r="O202" s="125"/>
      <x:c r="P202" s="125"/>
      <x:c r="Q202" s="125"/>
    </x:row>
    <x:row r="203">
      <x:c r="A203" s="148"/>
      <x:c r="B203" s="148"/>
      <x:c r="C203" s="148"/>
      <x:c r="D203" s="148"/>
      <x:c r="E203" s="148"/>
      <x:c r="F203" s="148"/>
      <x:c r="G203" s="148"/>
      <x:c r="H203" s="160"/>
      <x:c r="I203" s="160"/>
      <x:c r="J203" s="162" t="str">
        <x:f>IF(H203="","",MAX(H203-I203,0))</x:f>
      </x:c>
      <x:c r="K203" s="148"/>
      <x:c r="L203" s="148"/>
      <x:c r="M203" s="148"/>
      <x:c r="N203" s="148"/>
      <x:c r="O203" s="125"/>
      <x:c r="P203" s="125"/>
      <x:c r="Q203" s="125"/>
    </x:row>
    <x:row r="204">
      <x:c r="A204" s="148"/>
      <x:c r="B204" s="148"/>
      <x:c r="C204" s="148"/>
      <x:c r="D204" s="148"/>
      <x:c r="E204" s="148"/>
      <x:c r="F204" s="148"/>
      <x:c r="G204" s="148"/>
      <x:c r="H204" s="160"/>
      <x:c r="I204" s="160"/>
      <x:c r="J204" s="162" t="str">
        <x:f>IF(H204="","",MAX(H204-I204,0))</x:f>
      </x:c>
      <x:c r="K204" s="148"/>
      <x:c r="L204" s="148"/>
      <x:c r="M204" s="148"/>
      <x:c r="N204" s="148"/>
      <x:c r="O204" s="125"/>
      <x:c r="P204" s="125"/>
      <x:c r="Q204" s="125"/>
    </x:row>
    <x:row r="205">
      <x:c r="A205" s="148"/>
      <x:c r="B205" s="148"/>
      <x:c r="C205" s="148"/>
      <x:c r="D205" s="148"/>
      <x:c r="E205" s="148"/>
      <x:c r="F205" s="148"/>
      <x:c r="G205" s="148"/>
      <x:c r="H205" s="160"/>
      <x:c r="I205" s="160"/>
      <x:c r="J205" s="162" t="str">
        <x:f>IF(H205="","",MAX(H205-I205,0))</x:f>
      </x:c>
      <x:c r="K205" s="148"/>
      <x:c r="L205" s="148"/>
      <x:c r="M205" s="148"/>
      <x:c r="N205" s="148"/>
      <x:c r="O205" s="125"/>
      <x:c r="P205" s="125"/>
      <x:c r="Q205" s="125"/>
    </x:row>
    <x:row r="206">
      <x:c r="A206" s="148"/>
      <x:c r="B206" s="148"/>
      <x:c r="C206" s="148"/>
      <x:c r="D206" s="148"/>
      <x:c r="E206" s="148"/>
      <x:c r="F206" s="148"/>
      <x:c r="G206" s="148"/>
      <x:c r="H206" s="160"/>
      <x:c r="I206" s="160"/>
      <x:c r="J206" s="162" t="str">
        <x:f>IF(H206="","",MAX(H206-I206,0))</x:f>
      </x:c>
      <x:c r="K206" s="148"/>
      <x:c r="L206" s="148"/>
      <x:c r="M206" s="148"/>
      <x:c r="N206" s="148"/>
      <x:c r="O206" s="125"/>
      <x:c r="P206" s="125"/>
      <x:c r="Q206" s="125"/>
    </x:row>
    <x:row r="207">
      <x:c r="A207" s="125"/>
      <x:c r="B207" s="125"/>
      <x:c r="C207" s="125"/>
      <x:c r="D207" s="125"/>
      <x:c r="E207" s="125"/>
      <x:c r="F207" s="125"/>
      <x:c r="G207" s="125"/>
      <x:c r="H207" s="125"/>
      <x:c r="I207" s="125"/>
      <x:c r="J207" s="125"/>
      <x:c r="K207" s="125"/>
      <x:c r="L207" s="125"/>
      <x:c r="M207" s="125"/>
      <x:c r="N207" s="125"/>
      <x:c r="O207" s="125"/>
      <x:c r="P207" s="125"/>
      <x:c r="Q207" s="125"/>
    </x:row>
    <x:row r="208">
      <x:c r="A208" s="125"/>
      <x:c r="B208" s="125"/>
      <x:c r="C208" s="125"/>
      <x:c r="D208" s="125"/>
      <x:c r="E208" s="125"/>
      <x:c r="F208" s="125"/>
      <x:c r="G208" s="125"/>
      <x:c r="H208" s="125"/>
      <x:c r="I208" s="125"/>
      <x:c r="J208" s="125"/>
      <x:c r="K208" s="125"/>
      <x:c r="L208" s="125"/>
      <x:c r="M208" s="125"/>
      <x:c r="N208" s="125"/>
      <x:c r="O208" s="125"/>
      <x:c r="P208" s="125"/>
      <x:c r="Q208" s="125"/>
    </x:row>
    <x:row r="209">
      <x:c r="A209" s="125"/>
      <x:c r="B209" s="125"/>
      <x:c r="C209" s="125"/>
      <x:c r="D209" s="125"/>
      <x:c r="E209" s="125"/>
      <x:c r="F209" s="125"/>
      <x:c r="G209" s="125"/>
      <x:c r="H209" s="125"/>
      <x:c r="I209" s="125"/>
      <x:c r="J209" s="125"/>
      <x:c r="K209" s="125"/>
      <x:c r="L209" s="125"/>
      <x:c r="M209" s="125"/>
      <x:c r="N209" s="125"/>
      <x:c r="O209" s="125"/>
      <x:c r="P209" s="125"/>
      <x:c r="Q209" s="125"/>
    </x:row>
    <x:row r="210">
      <x:c r="A210" s="125"/>
      <x:c r="B210" s="125"/>
      <x:c r="C210" s="125"/>
      <x:c r="D210" s="125"/>
      <x:c r="E210" s="125"/>
      <x:c r="F210" s="125"/>
      <x:c r="G210" s="125"/>
      <x:c r="H210" s="125"/>
      <x:c r="I210" s="125"/>
      <x:c r="J210" s="125"/>
      <x:c r="K210" s="125"/>
      <x:c r="L210" s="125"/>
      <x:c r="M210" s="125"/>
      <x:c r="N210" s="125"/>
      <x:c r="O210" s="125"/>
      <x:c r="P210" s="125"/>
      <x:c r="Q210" s="125"/>
    </x:row>
    <x:row r="211">
      <x:c r="A211" s="125"/>
      <x:c r="B211" s="125"/>
      <x:c r="C211" s="125"/>
      <x:c r="D211" s="125"/>
      <x:c r="E211" s="125"/>
      <x:c r="F211" s="125"/>
      <x:c r="G211" s="125"/>
      <x:c r="H211" s="125"/>
      <x:c r="I211" s="125"/>
      <x:c r="J211" s="125"/>
      <x:c r="K211" s="125"/>
      <x:c r="L211" s="125"/>
      <x:c r="M211" s="125"/>
      <x:c r="N211" s="125"/>
      <x:c r="O211" s="125"/>
      <x:c r="P211" s="125"/>
      <x:c r="Q211" s="125"/>
    </x:row>
    <x:row r="212">
      <x:c r="A212" s="125"/>
      <x:c r="B212" s="125"/>
      <x:c r="C212" s="125"/>
      <x:c r="D212" s="125"/>
      <x:c r="E212" s="125"/>
      <x:c r="F212" s="125"/>
      <x:c r="G212" s="125"/>
      <x:c r="H212" s="125"/>
      <x:c r="I212" s="125"/>
      <x:c r="J212" s="125"/>
      <x:c r="K212" s="125"/>
      <x:c r="L212" s="125"/>
      <x:c r="M212" s="125"/>
      <x:c r="N212" s="125"/>
      <x:c r="O212" s="125"/>
      <x:c r="P212" s="125"/>
      <x:c r="Q212" s="125"/>
    </x:row>
    <x:row r="213">
      <x:c r="A213" s="125"/>
      <x:c r="B213" s="125"/>
      <x:c r="C213" s="125"/>
      <x:c r="D213" s="125"/>
      <x:c r="E213" s="125"/>
      <x:c r="F213" s="125"/>
      <x:c r="G213" s="125"/>
      <x:c r="H213" s="125"/>
      <x:c r="I213" s="125"/>
      <x:c r="J213" s="125"/>
      <x:c r="K213" s="125"/>
      <x:c r="L213" s="125"/>
      <x:c r="M213" s="125"/>
      <x:c r="N213" s="125"/>
      <x:c r="O213" s="125"/>
      <x:c r="P213" s="125"/>
      <x:c r="Q213" s="125"/>
    </x:row>
    <x:row r="214">
      <x:c r="A214" s="125"/>
      <x:c r="B214" s="125"/>
      <x:c r="C214" s="125"/>
      <x:c r="D214" s="125"/>
      <x:c r="E214" s="125"/>
      <x:c r="F214" s="125"/>
      <x:c r="G214" s="125"/>
      <x:c r="H214" s="125"/>
      <x:c r="I214" s="125"/>
      <x:c r="J214" s="125"/>
      <x:c r="K214" s="125"/>
      <x:c r="L214" s="125"/>
      <x:c r="M214" s="125"/>
      <x:c r="N214" s="125"/>
      <x:c r="O214" s="125"/>
      <x:c r="P214" s="125"/>
      <x:c r="Q214" s="125"/>
    </x:row>
    <x:row r="215">
      <x:c r="A215" s="125"/>
      <x:c r="B215" s="125"/>
      <x:c r="C215" s="125"/>
      <x:c r="D215" s="125"/>
      <x:c r="E215" s="125"/>
      <x:c r="F215" s="125"/>
      <x:c r="G215" s="125"/>
      <x:c r="H215" s="125"/>
      <x:c r="I215" s="125"/>
      <x:c r="J215" s="125"/>
      <x:c r="K215" s="125"/>
      <x:c r="L215" s="125"/>
      <x:c r="M215" s="125"/>
      <x:c r="N215" s="125"/>
      <x:c r="O215" s="125"/>
      <x:c r="P215" s="125"/>
      <x:c r="Q215" s="125"/>
    </x:row>
    <x:row r="216">
      <x:c r="A216" s="125"/>
      <x:c r="B216" s="125"/>
      <x:c r="C216" s="125"/>
      <x:c r="D216" s="125"/>
      <x:c r="E216" s="125"/>
      <x:c r="F216" s="125"/>
      <x:c r="G216" s="125"/>
      <x:c r="H216" s="125"/>
      <x:c r="I216" s="125"/>
      <x:c r="J216" s="125"/>
      <x:c r="K216" s="125"/>
      <x:c r="L216" s="125"/>
      <x:c r="M216" s="125"/>
      <x:c r="N216" s="125"/>
      <x:c r="O216" s="125"/>
      <x:c r="P216" s="125"/>
      <x:c r="Q216" s="125"/>
    </x:row>
    <x:row r="217">
      <x:c r="A217" s="125"/>
      <x:c r="B217" s="125"/>
      <x:c r="C217" s="125"/>
      <x:c r="D217" s="125"/>
      <x:c r="E217" s="125"/>
      <x:c r="F217" s="125"/>
      <x:c r="G217" s="125"/>
      <x:c r="H217" s="125"/>
      <x:c r="I217" s="125"/>
      <x:c r="J217" s="125"/>
      <x:c r="K217" s="125"/>
      <x:c r="L217" s="125"/>
      <x:c r="M217" s="125"/>
      <x:c r="N217" s="125"/>
      <x:c r="O217" s="125"/>
      <x:c r="P217" s="125"/>
      <x:c r="Q217" s="125"/>
    </x:row>
    <x:row r="218">
      <x:c r="A218" s="125"/>
      <x:c r="B218" s="125"/>
      <x:c r="C218" s="125"/>
      <x:c r="D218" s="125"/>
      <x:c r="E218" s="125"/>
      <x:c r="F218" s="125"/>
      <x:c r="G218" s="125"/>
      <x:c r="H218" s="125"/>
      <x:c r="I218" s="125"/>
      <x:c r="J218" s="125"/>
      <x:c r="K218" s="125"/>
      <x:c r="L218" s="125"/>
      <x:c r="M218" s="125"/>
      <x:c r="N218" s="125"/>
      <x:c r="O218" s="125"/>
      <x:c r="P218" s="125"/>
      <x:c r="Q218" s="125"/>
    </x:row>
    <x:row r="219">
      <x:c r="A219" s="125"/>
      <x:c r="B219" s="125"/>
      <x:c r="C219" s="125"/>
      <x:c r="D219" s="125"/>
      <x:c r="E219" s="125"/>
      <x:c r="F219" s="125"/>
      <x:c r="G219" s="125"/>
      <x:c r="H219" s="125"/>
      <x:c r="I219" s="125"/>
      <x:c r="J219" s="125"/>
      <x:c r="K219" s="125"/>
      <x:c r="L219" s="125"/>
      <x:c r="M219" s="125"/>
      <x:c r="N219" s="125"/>
      <x:c r="O219" s="125"/>
      <x:c r="P219" s="125"/>
      <x:c r="Q219" s="125"/>
    </x:row>
    <x:row r="220">
      <x:c r="A220" s="125"/>
      <x:c r="B220" s="125"/>
      <x:c r="C220" s="125"/>
      <x:c r="D220" s="125"/>
      <x:c r="E220" s="125"/>
      <x:c r="F220" s="125"/>
      <x:c r="G220" s="125"/>
      <x:c r="H220" s="125"/>
      <x:c r="I220" s="125"/>
      <x:c r="J220" s="125"/>
      <x:c r="K220" s="125"/>
      <x:c r="L220" s="125"/>
      <x:c r="M220" s="125"/>
      <x:c r="N220" s="125"/>
      <x:c r="O220" s="125"/>
      <x:c r="P220" s="125"/>
      <x:c r="Q220" s="125"/>
    </x:row>
    <x:row r="221">
      <x:c r="A221" s="125"/>
      <x:c r="B221" s="125"/>
      <x:c r="C221" s="125"/>
      <x:c r="D221" s="125"/>
      <x:c r="E221" s="125"/>
      <x:c r="F221" s="125"/>
      <x:c r="G221" s="125"/>
      <x:c r="H221" s="125"/>
      <x:c r="I221" s="125"/>
      <x:c r="J221" s="125"/>
      <x:c r="K221" s="125"/>
      <x:c r="L221" s="125"/>
      <x:c r="M221" s="125"/>
      <x:c r="N221" s="125"/>
      <x:c r="O221" s="125"/>
      <x:c r="P221" s="125"/>
      <x:c r="Q221" s="125"/>
    </x:row>
    <x:row r="222">
      <x:c r="A222" s="125"/>
      <x:c r="B222" s="125"/>
      <x:c r="C222" s="125"/>
      <x:c r="D222" s="125"/>
      <x:c r="E222" s="125"/>
      <x:c r="F222" s="125"/>
      <x:c r="G222" s="125"/>
      <x:c r="H222" s="125"/>
      <x:c r="I222" s="125"/>
      <x:c r="J222" s="125"/>
      <x:c r="K222" s="125"/>
      <x:c r="L222" s="125"/>
      <x:c r="M222" s="125"/>
      <x:c r="N222" s="125"/>
      <x:c r="O222" s="125"/>
      <x:c r="P222" s="125"/>
      <x:c r="Q222" s="125"/>
    </x:row>
    <x:row r="223">
      <x:c r="A223" s="125"/>
      <x:c r="B223" s="125"/>
      <x:c r="C223" s="125"/>
      <x:c r="D223" s="125"/>
      <x:c r="E223" s="125"/>
      <x:c r="F223" s="125"/>
      <x:c r="G223" s="125"/>
      <x:c r="H223" s="125"/>
      <x:c r="I223" s="125"/>
      <x:c r="J223" s="125"/>
      <x:c r="K223" s="125"/>
      <x:c r="L223" s="125"/>
      <x:c r="M223" s="125"/>
      <x:c r="N223" s="125"/>
      <x:c r="O223" s="125"/>
      <x:c r="P223" s="125"/>
      <x:c r="Q223" s="125"/>
    </x:row>
    <x:row r="224">
      <x:c r="A224" s="125"/>
      <x:c r="B224" s="125"/>
      <x:c r="C224" s="125"/>
      <x:c r="D224" s="125"/>
      <x:c r="E224" s="125"/>
      <x:c r="F224" s="125"/>
      <x:c r="G224" s="125"/>
      <x:c r="H224" s="125"/>
      <x:c r="I224" s="125"/>
      <x:c r="J224" s="125"/>
      <x:c r="K224" s="125"/>
      <x:c r="L224" s="125"/>
      <x:c r="M224" s="125"/>
      <x:c r="N224" s="125"/>
      <x:c r="O224" s="125"/>
      <x:c r="P224" s="125"/>
      <x:c r="Q224" s="125"/>
    </x:row>
    <x:row r="225">
      <x:c r="A225" s="125"/>
      <x:c r="B225" s="125"/>
      <x:c r="C225" s="125"/>
      <x:c r="D225" s="125"/>
      <x:c r="E225" s="125"/>
      <x:c r="F225" s="125"/>
      <x:c r="G225" s="125"/>
      <x:c r="H225" s="125"/>
      <x:c r="I225" s="125"/>
      <x:c r="J225" s="125"/>
      <x:c r="K225" s="125"/>
      <x:c r="L225" s="125"/>
      <x:c r="M225" s="125"/>
      <x:c r="N225" s="125"/>
      <x:c r="O225" s="125"/>
      <x:c r="P225" s="125"/>
      <x:c r="Q225" s="125"/>
    </x:row>
    <x:row r="226">
      <x:c r="A226" s="125"/>
      <x:c r="B226" s="125"/>
      <x:c r="C226" s="125"/>
      <x:c r="D226" s="125"/>
      <x:c r="E226" s="125"/>
      <x:c r="F226" s="125"/>
      <x:c r="G226" s="125"/>
      <x:c r="H226" s="125"/>
      <x:c r="I226" s="125"/>
      <x:c r="J226" s="125"/>
      <x:c r="K226" s="125"/>
      <x:c r="L226" s="125"/>
      <x:c r="M226" s="125"/>
      <x:c r="N226" s="125"/>
      <x:c r="O226" s="125"/>
      <x:c r="P226" s="125"/>
      <x:c r="Q226" s="125"/>
    </x:row>
    <x:row r="227">
      <x:c r="A227" s="125"/>
      <x:c r="B227" s="125"/>
      <x:c r="C227" s="125"/>
      <x:c r="D227" s="125"/>
      <x:c r="E227" s="125"/>
      <x:c r="F227" s="125"/>
      <x:c r="G227" s="125"/>
      <x:c r="H227" s="125"/>
      <x:c r="I227" s="125"/>
      <x:c r="J227" s="125"/>
      <x:c r="K227" s="125"/>
      <x:c r="L227" s="125"/>
      <x:c r="M227" s="125"/>
      <x:c r="N227" s="125"/>
      <x:c r="O227" s="125"/>
      <x:c r="P227" s="125"/>
      <x:c r="Q227" s="125"/>
    </x:row>
    <x:row r="228">
      <x:c r="A228" s="125"/>
      <x:c r="B228" s="125"/>
      <x:c r="C228" s="125"/>
      <x:c r="D228" s="125"/>
      <x:c r="E228" s="125"/>
      <x:c r="F228" s="125"/>
      <x:c r="G228" s="125"/>
      <x:c r="H228" s="125"/>
      <x:c r="I228" s="125"/>
      <x:c r="J228" s="125"/>
      <x:c r="K228" s="125"/>
      <x:c r="L228" s="125"/>
      <x:c r="M228" s="125"/>
      <x:c r="N228" s="125"/>
      <x:c r="O228" s="125"/>
      <x:c r="P228" s="125"/>
      <x:c r="Q228" s="125"/>
    </x:row>
    <x:row r="229">
      <x:c r="A229" s="125"/>
      <x:c r="B229" s="125"/>
      <x:c r="C229" s="125"/>
      <x:c r="D229" s="125"/>
      <x:c r="E229" s="125"/>
      <x:c r="F229" s="125"/>
      <x:c r="G229" s="125"/>
      <x:c r="H229" s="125"/>
      <x:c r="I229" s="125"/>
      <x:c r="J229" s="125"/>
      <x:c r="K229" s="125"/>
      <x:c r="L229" s="125"/>
      <x:c r="M229" s="125"/>
      <x:c r="N229" s="125"/>
      <x:c r="O229" s="125"/>
      <x:c r="P229" s="125"/>
      <x:c r="Q229" s="125"/>
    </x:row>
    <x:row r="230">
      <x:c r="A230" s="125"/>
      <x:c r="B230" s="125"/>
      <x:c r="C230" s="125"/>
      <x:c r="D230" s="125"/>
      <x:c r="E230" s="125"/>
      <x:c r="F230" s="125"/>
      <x:c r="G230" s="125"/>
      <x:c r="H230" s="125"/>
      <x:c r="I230" s="125"/>
      <x:c r="J230" s="125"/>
      <x:c r="K230" s="125"/>
      <x:c r="L230" s="125"/>
      <x:c r="M230" s="125"/>
      <x:c r="N230" s="125"/>
      <x:c r="O230" s="125"/>
      <x:c r="P230" s="125"/>
      <x:c r="Q230" s="125"/>
    </x:row>
    <x:row r="231">
      <x:c r="A231" s="125"/>
      <x:c r="B231" s="125"/>
      <x:c r="C231" s="125"/>
      <x:c r="D231" s="125"/>
      <x:c r="E231" s="125"/>
      <x:c r="F231" s="125"/>
      <x:c r="G231" s="125"/>
      <x:c r="H231" s="125"/>
      <x:c r="I231" s="125"/>
      <x:c r="J231" s="125"/>
      <x:c r="K231" s="125"/>
      <x:c r="L231" s="125"/>
      <x:c r="M231" s="125"/>
      <x:c r="N231" s="125"/>
      <x:c r="O231" s="125"/>
      <x:c r="P231" s="125"/>
      <x:c r="Q231" s="125"/>
    </x:row>
    <x:row r="232">
      <x:c r="A232" s="125"/>
      <x:c r="B232" s="125"/>
      <x:c r="C232" s="125"/>
      <x:c r="D232" s="125"/>
      <x:c r="E232" s="125"/>
      <x:c r="F232" s="125"/>
      <x:c r="G232" s="125"/>
      <x:c r="H232" s="125"/>
      <x:c r="I232" s="125"/>
      <x:c r="J232" s="125"/>
      <x:c r="K232" s="125"/>
      <x:c r="L232" s="125"/>
      <x:c r="M232" s="125"/>
      <x:c r="N232" s="125"/>
      <x:c r="O232" s="125"/>
      <x:c r="P232" s="125"/>
      <x:c r="Q232" s="125"/>
    </x:row>
    <x:row r="233">
      <x:c r="A233" s="125"/>
      <x:c r="B233" s="125"/>
      <x:c r="C233" s="125"/>
      <x:c r="D233" s="125"/>
      <x:c r="E233" s="125"/>
      <x:c r="F233" s="125"/>
      <x:c r="G233" s="125"/>
      <x:c r="H233" s="125"/>
      <x:c r="I233" s="125"/>
      <x:c r="J233" s="125"/>
      <x:c r="K233" s="125"/>
      <x:c r="L233" s="125"/>
      <x:c r="M233" s="125"/>
      <x:c r="N233" s="125"/>
      <x:c r="O233" s="125"/>
      <x:c r="P233" s="125"/>
      <x:c r="Q233" s="125"/>
    </x:row>
    <x:row r="234">
      <x:c r="A234" s="125"/>
      <x:c r="B234" s="125"/>
      <x:c r="C234" s="125"/>
      <x:c r="D234" s="125"/>
      <x:c r="E234" s="125"/>
      <x:c r="F234" s="125"/>
      <x:c r="G234" s="125"/>
      <x:c r="H234" s="125"/>
      <x:c r="I234" s="125"/>
      <x:c r="J234" s="125"/>
      <x:c r="K234" s="125"/>
      <x:c r="L234" s="125"/>
      <x:c r="M234" s="125"/>
      <x:c r="N234" s="125"/>
      <x:c r="O234" s="125"/>
      <x:c r="P234" s="125"/>
      <x:c r="Q234" s="125"/>
    </x:row>
    <x:row r="235">
      <x:c r="A235" s="125"/>
      <x:c r="B235" s="125"/>
      <x:c r="C235" s="125"/>
      <x:c r="D235" s="125"/>
      <x:c r="E235" s="125"/>
      <x:c r="F235" s="125"/>
      <x:c r="G235" s="125"/>
      <x:c r="H235" s="125"/>
      <x:c r="I235" s="125"/>
      <x:c r="J235" s="125"/>
      <x:c r="K235" s="125"/>
      <x:c r="L235" s="125"/>
      <x:c r="M235" s="125"/>
      <x:c r="N235" s="125"/>
      <x:c r="O235" s="125"/>
      <x:c r="P235" s="125"/>
      <x:c r="Q235" s="125"/>
    </x:row>
    <x:row r="236">
      <x:c r="A236" s="125"/>
      <x:c r="B236" s="125"/>
      <x:c r="C236" s="125"/>
      <x:c r="D236" s="125"/>
      <x:c r="E236" s="125"/>
      <x:c r="F236" s="125"/>
      <x:c r="G236" s="125"/>
      <x:c r="H236" s="125"/>
      <x:c r="I236" s="125"/>
      <x:c r="J236" s="125"/>
      <x:c r="K236" s="125"/>
      <x:c r="L236" s="125"/>
      <x:c r="M236" s="125"/>
      <x:c r="N236" s="125"/>
      <x:c r="O236" s="125"/>
      <x:c r="P236" s="125"/>
      <x:c r="Q236" s="125"/>
    </x:row>
    <x:row r="237">
      <x:c r="A237" s="125"/>
      <x:c r="B237" s="125"/>
      <x:c r="C237" s="125"/>
      <x:c r="D237" s="125"/>
      <x:c r="E237" s="125"/>
      <x:c r="F237" s="125"/>
      <x:c r="G237" s="125"/>
      <x:c r="H237" s="125"/>
      <x:c r="I237" s="125"/>
      <x:c r="J237" s="125"/>
      <x:c r="K237" s="125"/>
      <x:c r="L237" s="125"/>
      <x:c r="M237" s="125"/>
      <x:c r="N237" s="125"/>
      <x:c r="O237" s="125"/>
      <x:c r="P237" s="125"/>
      <x:c r="Q237" s="125"/>
    </x:row>
    <x:row r="238">
      <x:c r="A238" s="125"/>
      <x:c r="B238" s="125"/>
      <x:c r="C238" s="125"/>
      <x:c r="D238" s="125"/>
      <x:c r="E238" s="125"/>
      <x:c r="F238" s="125"/>
      <x:c r="G238" s="125"/>
      <x:c r="H238" s="125"/>
      <x:c r="I238" s="125"/>
      <x:c r="J238" s="125"/>
      <x:c r="K238" s="125"/>
      <x:c r="L238" s="125"/>
      <x:c r="M238" s="125"/>
      <x:c r="N238" s="125"/>
      <x:c r="O238" s="125"/>
      <x:c r="P238" s="125"/>
      <x:c r="Q238" s="125"/>
    </x:row>
    <x:row r="239">
      <x:c r="A239" s="125"/>
      <x:c r="B239" s="125"/>
      <x:c r="C239" s="125"/>
      <x:c r="D239" s="125"/>
      <x:c r="E239" s="125"/>
      <x:c r="F239" s="125"/>
      <x:c r="G239" s="125"/>
      <x:c r="H239" s="125"/>
      <x:c r="I239" s="125"/>
      <x:c r="J239" s="125"/>
      <x:c r="K239" s="125"/>
      <x:c r="L239" s="125"/>
      <x:c r="M239" s="125"/>
      <x:c r="N239" s="125"/>
      <x:c r="O239" s="125"/>
      <x:c r="P239" s="125"/>
      <x:c r="Q239" s="125"/>
    </x:row>
    <x:row r="240">
      <x:c r="A240" s="125"/>
      <x:c r="B240" s="125"/>
      <x:c r="C240" s="125"/>
      <x:c r="D240" s="125"/>
      <x:c r="E240" s="125"/>
      <x:c r="F240" s="125"/>
      <x:c r="G240" s="125"/>
      <x:c r="H240" s="125"/>
      <x:c r="I240" s="125"/>
      <x:c r="J240" s="125"/>
      <x:c r="K240" s="125"/>
      <x:c r="L240" s="125"/>
      <x:c r="M240" s="125"/>
      <x:c r="N240" s="125"/>
      <x:c r="O240" s="125"/>
      <x:c r="P240" s="125"/>
      <x:c r="Q240" s="125"/>
    </x:row>
    <x:row r="241">
      <x:c r="A241" s="125"/>
      <x:c r="B241" s="125"/>
      <x:c r="C241" s="125"/>
      <x:c r="D241" s="125"/>
      <x:c r="E241" s="125"/>
      <x:c r="F241" s="125"/>
      <x:c r="G241" s="125"/>
      <x:c r="H241" s="125"/>
      <x:c r="I241" s="125"/>
      <x:c r="J241" s="125"/>
      <x:c r="K241" s="125"/>
      <x:c r="L241" s="125"/>
      <x:c r="M241" s="125"/>
      <x:c r="N241" s="125"/>
      <x:c r="O241" s="125"/>
      <x:c r="P241" s="125"/>
      <x:c r="Q241" s="125"/>
    </x:row>
    <x:row r="242">
      <x:c r="A242" s="125"/>
      <x:c r="B242" s="125"/>
      <x:c r="C242" s="125"/>
      <x:c r="D242" s="125"/>
      <x:c r="E242" s="125"/>
      <x:c r="F242" s="125"/>
      <x:c r="G242" s="125"/>
      <x:c r="H242" s="125"/>
      <x:c r="I242" s="125"/>
      <x:c r="J242" s="125"/>
      <x:c r="K242" s="125"/>
      <x:c r="L242" s="125"/>
      <x:c r="M242" s="125"/>
      <x:c r="N242" s="125"/>
      <x:c r="O242" s="125"/>
      <x:c r="P242" s="125"/>
      <x:c r="Q242" s="125"/>
    </x:row>
    <x:row r="243">
      <x:c r="A243" s="125"/>
      <x:c r="B243" s="125"/>
      <x:c r="C243" s="125"/>
      <x:c r="D243" s="125"/>
      <x:c r="E243" s="125"/>
      <x:c r="F243" s="125"/>
      <x:c r="G243" s="125"/>
      <x:c r="H243" s="125"/>
      <x:c r="I243" s="125"/>
      <x:c r="J243" s="125"/>
      <x:c r="K243" s="125"/>
      <x:c r="L243" s="125"/>
      <x:c r="M243" s="125"/>
      <x:c r="N243" s="125"/>
      <x:c r="O243" s="125"/>
      <x:c r="P243" s="125"/>
      <x:c r="Q243" s="125"/>
    </x:row>
    <x:row r="244">
      <x:c r="A244" s="125"/>
      <x:c r="B244" s="125"/>
      <x:c r="C244" s="125"/>
      <x:c r="D244" s="125"/>
      <x:c r="E244" s="125"/>
      <x:c r="F244" s="125"/>
      <x:c r="G244" s="125"/>
      <x:c r="H244" s="125"/>
      <x:c r="I244" s="125"/>
      <x:c r="J244" s="125"/>
      <x:c r="K244" s="125"/>
      <x:c r="L244" s="125"/>
      <x:c r="M244" s="125"/>
      <x:c r="N244" s="125"/>
      <x:c r="O244" s="125"/>
      <x:c r="P244" s="125"/>
      <x:c r="Q244" s="125"/>
    </x:row>
    <x:row r="245">
      <x:c r="A245" s="125"/>
      <x:c r="B245" s="125"/>
      <x:c r="C245" s="125"/>
      <x:c r="D245" s="125"/>
      <x:c r="E245" s="125"/>
      <x:c r="F245" s="125"/>
      <x:c r="G245" s="125"/>
      <x:c r="H245" s="125"/>
      <x:c r="I245" s="125"/>
      <x:c r="J245" s="125"/>
      <x:c r="K245" s="125"/>
      <x:c r="L245" s="125"/>
      <x:c r="M245" s="125"/>
      <x:c r="N245" s="125"/>
      <x:c r="O245" s="125"/>
      <x:c r="P245" s="125"/>
      <x:c r="Q245" s="125"/>
    </x:row>
    <x:row r="246">
      <x:c r="A246" s="125"/>
      <x:c r="B246" s="125"/>
      <x:c r="C246" s="125"/>
      <x:c r="D246" s="125"/>
      <x:c r="E246" s="125"/>
      <x:c r="F246" s="125"/>
      <x:c r="G246" s="125"/>
      <x:c r="H246" s="125"/>
      <x:c r="I246" s="125"/>
      <x:c r="J246" s="125"/>
      <x:c r="K246" s="125"/>
      <x:c r="L246" s="125"/>
      <x:c r="M246" s="125"/>
      <x:c r="N246" s="125"/>
      <x:c r="O246" s="125"/>
      <x:c r="P246" s="125"/>
      <x:c r="Q246" s="125"/>
    </x:row>
    <x:row r="247">
      <x:c r="A247" s="125"/>
      <x:c r="B247" s="125"/>
      <x:c r="C247" s="125"/>
      <x:c r="D247" s="125"/>
      <x:c r="E247" s="125"/>
      <x:c r="F247" s="125"/>
      <x:c r="G247" s="125"/>
      <x:c r="H247" s="125"/>
      <x:c r="I247" s="125"/>
      <x:c r="J247" s="125"/>
      <x:c r="K247" s="125"/>
      <x:c r="L247" s="125"/>
      <x:c r="M247" s="125"/>
      <x:c r="N247" s="125"/>
      <x:c r="O247" s="125"/>
      <x:c r="P247" s="125"/>
      <x:c r="Q247" s="125"/>
    </x:row>
    <x:row r="248">
      <x:c r="A248" s="125"/>
      <x:c r="B248" s="125"/>
      <x:c r="C248" s="125"/>
      <x:c r="D248" s="125"/>
      <x:c r="E248" s="125"/>
      <x:c r="F248" s="125"/>
      <x:c r="G248" s="125"/>
      <x:c r="H248" s="125"/>
      <x:c r="I248" s="125"/>
      <x:c r="J248" s="125"/>
      <x:c r="K248" s="125"/>
      <x:c r="L248" s="125"/>
      <x:c r="M248" s="125"/>
      <x:c r="N248" s="125"/>
      <x:c r="O248" s="125"/>
      <x:c r="P248" s="125"/>
      <x:c r="Q248" s="125"/>
    </x:row>
    <x:row r="249">
      <x:c r="A249" s="125"/>
      <x:c r="B249" s="125"/>
      <x:c r="C249" s="125"/>
      <x:c r="D249" s="125"/>
      <x:c r="E249" s="125"/>
      <x:c r="F249" s="125"/>
      <x:c r="G249" s="125"/>
      <x:c r="H249" s="125"/>
      <x:c r="I249" s="125"/>
      <x:c r="J249" s="125"/>
      <x:c r="K249" s="125"/>
      <x:c r="L249" s="125"/>
      <x:c r="M249" s="125"/>
      <x:c r="N249" s="125"/>
      <x:c r="O249" s="125"/>
      <x:c r="P249" s="125"/>
      <x:c r="Q249" s="125"/>
    </x:row>
    <x:row r="250">
      <x:c r="A250" s="125"/>
      <x:c r="B250" s="125"/>
      <x:c r="C250" s="125"/>
      <x:c r="D250" s="125"/>
      <x:c r="E250" s="125"/>
      <x:c r="F250" s="125"/>
      <x:c r="G250" s="125"/>
      <x:c r="H250" s="125"/>
      <x:c r="I250" s="125"/>
      <x:c r="J250" s="125"/>
      <x:c r="K250" s="125"/>
      <x:c r="L250" s="125"/>
      <x:c r="M250" s="125"/>
      <x:c r="N250" s="125"/>
      <x:c r="O250" s="125"/>
      <x:c r="P250" s="125"/>
      <x:c r="Q250" s="125"/>
    </x:row>
  </x:sheetData>
  <x:mergeCells>
    <x:mergeCell ref="A1:N1"/>
    <x:mergeCell ref="A2:N2"/>
  </x:mergeCells>
  <x:pageMargins left="0.7" right="0.7" top="0.75" bottom="0.75" header="0.3" footer="0.3"/>
</x:worksheet>
</file>

<file path=xl/worksheets/sheet15.xml><?xml version="1.0" encoding="utf-8"?>
<x:worksheet xmlns:x="http://schemas.openxmlformats.org/spreadsheetml/2006/main">
  <x:sheetFormatPr defaultRowHeight="15"/>
  <x:cols>
    <x:col min="1" max="1" width="12" hidden="0" customWidth="1"/>
    <x:col min="2" max="2" width="18" hidden="0" customWidth="1"/>
    <x:col min="3" max="3" width="12" hidden="0" customWidth="1"/>
    <x:col min="4" max="4" width="48" hidden="0" customWidth="1"/>
    <x:col min="5" max="5" width="44" hidden="0" customWidth="1"/>
    <x:col min="6" max="6" width="12" hidden="0" customWidth="1"/>
    <x:col min="7" max="7" width="20" hidden="0" customWidth="1"/>
    <x:col min="8" max="8" width="18" hidden="0" customWidth="1"/>
    <x:col min="9" max="9" width="12" hidden="0" customWidth="1"/>
    <x:col min="10" max="10" width="44" hidden="0" customWidth="1"/>
  </x:cols>
  <x:sheetData>
    <x:row r="1" ht="24" customHeight="1">
      <x:c r="A1" s="200" t="str">
        <x:v>ASSUMPTIONS_FLAGS — Review Flags / Source Conflicts / Assumptions</x:v>
      </x:c>
      <x:c r="B1" s="198"/>
      <x:c r="C1" s="198"/>
      <x:c r="D1" s="198"/>
      <x:c r="E1" s="198"/>
      <x:c r="F1" s="198"/>
      <x:c r="G1" s="198"/>
      <x:c r="H1" s="198"/>
      <x:c r="I1" s="198"/>
      <x:c r="J1" s="198"/>
      <x:c r="K1" s="198"/>
      <x:c r="L1" s="125"/>
      <x:c r="M1" s="125"/>
      <x:c r="N1" s="125"/>
      <x:c r="O1" s="125"/>
      <x:c r="P1" s="125"/>
      <x:c r="Q1" s="125"/>
    </x:row>
    <x:row r="2" ht="34" customHeight="1">
      <x:c r="A2" s="126" t="str">
        <x:v>Orange cells are controlled review areas. Keep unresolved issues visible until confirmed. Blank template: populate blue/orange cells for a new organization; formulas remain live.</x:v>
      </x:c>
      <x:c r="B2" s="125"/>
      <x:c r="C2" s="125"/>
      <x:c r="D2" s="125"/>
      <x:c r="E2" s="125"/>
      <x:c r="F2" s="125"/>
      <x:c r="G2" s="125"/>
      <x:c r="H2" s="125"/>
      <x:c r="I2" s="125"/>
      <x:c r="J2" s="125"/>
      <x:c r="K2" s="125"/>
      <x:c r="L2" s="125"/>
      <x:c r="M2" s="125"/>
      <x:c r="N2" s="125"/>
      <x:c r="O2" s="125"/>
      <x:c r="P2" s="125"/>
      <x:c r="Q2" s="125"/>
    </x:row>
    <x:row r="3">
      <x:c r="A3" s="125"/>
      <x:c r="B3" s="125"/>
      <x:c r="C3" s="125"/>
      <x:c r="D3" s="125"/>
      <x:c r="E3" s="125"/>
      <x:c r="F3" s="125"/>
      <x:c r="G3" s="125"/>
      <x:c r="H3" s="125"/>
      <x:c r="I3" s="125"/>
      <x:c r="J3" s="125"/>
      <x:c r="K3" s="125"/>
      <x:c r="L3" s="125"/>
      <x:c r="M3" s="125"/>
      <x:c r="N3" s="125"/>
      <x:c r="O3" s="125"/>
      <x:c r="P3" s="125"/>
      <x:c r="Q3" s="125"/>
    </x:row>
    <x:row r="4">
      <x:c r="A4" s="125"/>
      <x:c r="B4" s="125"/>
      <x:c r="C4" s="125"/>
      <x:c r="D4" s="125"/>
      <x:c r="E4" s="125"/>
      <x:c r="F4" s="125"/>
      <x:c r="G4" s="125"/>
      <x:c r="H4" s="125"/>
      <x:c r="I4" s="125"/>
      <x:c r="J4" s="125"/>
      <x:c r="K4" s="125"/>
      <x:c r="L4" s="125"/>
      <x:c r="M4" s="125"/>
      <x:c r="N4" s="125"/>
      <x:c r="O4" s="125"/>
      <x:c r="P4" s="125"/>
      <x:c r="Q4" s="125"/>
    </x:row>
    <x:row r="5">
      <x:c r="A5" s="125"/>
      <x:c r="B5" s="125"/>
      <x:c r="C5" s="125"/>
      <x:c r="D5" s="125"/>
      <x:c r="E5" s="125"/>
      <x:c r="F5" s="125"/>
      <x:c r="G5" s="125"/>
      <x:c r="H5" s="125"/>
      <x:c r="I5" s="125"/>
      <x:c r="J5" s="125"/>
      <x:c r="K5" s="125"/>
      <x:c r="L5" s="125"/>
      <x:c r="M5" s="125"/>
      <x:c r="N5" s="125"/>
      <x:c r="O5" s="125"/>
      <x:c r="P5" s="125"/>
      <x:c r="Q5" s="125"/>
    </x:row>
    <x:row r="6" ht="26" customHeight="1">
      <x:c r="A6" s="127" t="str">
        <x:v>Flag_ID</x:v>
      </x:c>
      <x:c r="B6" s="127" t="str">
        <x:v>Category</x:v>
      </x:c>
      <x:c r="C6" s="127" t="str">
        <x:v>Property_ID</x:v>
      </x:c>
      <x:c r="D6" s="127" t="str">
        <x:v>Issue / Assumption</x:v>
      </x:c>
      <x:c r="E6" s="127" t="str">
        <x:v>Current Treatment</x:v>
      </x:c>
      <x:c r="F6" s="127" t="str">
        <x:v>Severity</x:v>
      </x:c>
      <x:c r="G6" s="127" t="str">
        <x:v>Requires Confirmation?</x:v>
      </x:c>
      <x:c r="H6" s="127" t="str">
        <x:v>Owner</x:v>
      </x:c>
      <x:c r="I6" s="127" t="str">
        <x:v>Status</x:v>
      </x:c>
      <x:c r="J6" s="127" t="str">
        <x:v>Reviewer Note</x:v>
      </x:c>
      <x:c r="K6" s="125"/>
      <x:c r="L6" s="125"/>
      <x:c r="M6" s="125"/>
      <x:c r="N6" s="125"/>
      <x:c r="O6" s="125"/>
      <x:c r="P6" s="125"/>
      <x:c r="Q6" s="125"/>
    </x:row>
    <x:row r="7">
      <x:c r="A7" s="131"/>
      <x:c r="B7" s="131"/>
      <x:c r="C7" s="131"/>
      <x:c r="D7" s="131"/>
      <x:c r="E7" s="131"/>
      <x:c r="F7" s="131"/>
      <x:c r="G7" s="131"/>
      <x:c r="H7" s="131"/>
      <x:c r="I7" s="131"/>
      <x:c r="J7" s="131"/>
      <x:c r="K7" s="125"/>
      <x:c r="L7" s="125"/>
      <x:c r="M7" s="125"/>
      <x:c r="N7" s="125"/>
      <x:c r="O7" s="125"/>
      <x:c r="P7" s="125"/>
      <x:c r="Q7" s="125"/>
    </x:row>
    <x:row r="8">
      <x:c r="A8" s="131"/>
      <x:c r="B8" s="131"/>
      <x:c r="C8" s="131"/>
      <x:c r="D8" s="131"/>
      <x:c r="E8" s="131"/>
      <x:c r="F8" s="131"/>
      <x:c r="G8" s="131"/>
      <x:c r="H8" s="131"/>
      <x:c r="I8" s="131"/>
      <x:c r="J8" s="131"/>
      <x:c r="K8" s="125"/>
      <x:c r="L8" s="125"/>
      <x:c r="M8" s="125"/>
      <x:c r="N8" s="125"/>
      <x:c r="O8" s="125"/>
      <x:c r="P8" s="125"/>
      <x:c r="Q8" s="125"/>
    </x:row>
    <x:row r="9">
      <x:c r="A9" s="131"/>
      <x:c r="B9" s="131"/>
      <x:c r="C9" s="131"/>
      <x:c r="D9" s="131"/>
      <x:c r="E9" s="131"/>
      <x:c r="F9" s="131"/>
      <x:c r="G9" s="131"/>
      <x:c r="H9" s="131"/>
      <x:c r="I9" s="131"/>
      <x:c r="J9" s="131"/>
      <x:c r="K9" s="125"/>
      <x:c r="L9" s="125"/>
      <x:c r="M9" s="125"/>
      <x:c r="N9" s="125"/>
      <x:c r="O9" s="125"/>
      <x:c r="P9" s="125"/>
      <x:c r="Q9" s="125"/>
    </x:row>
    <x:row r="10">
      <x:c r="A10" s="131"/>
      <x:c r="B10" s="131"/>
      <x:c r="C10" s="131"/>
      <x:c r="D10" s="131"/>
      <x:c r="E10" s="131"/>
      <x:c r="F10" s="131"/>
      <x:c r="G10" s="131"/>
      <x:c r="H10" s="131"/>
      <x:c r="I10" s="131"/>
      <x:c r="J10" s="131"/>
      <x:c r="K10" s="125"/>
      <x:c r="L10" s="125"/>
      <x:c r="M10" s="125"/>
      <x:c r="N10" s="125"/>
      <x:c r="O10" s="125"/>
      <x:c r="P10" s="125"/>
      <x:c r="Q10" s="125"/>
    </x:row>
    <x:row r="11">
      <x:c r="A11" s="131"/>
      <x:c r="B11" s="131"/>
      <x:c r="C11" s="131"/>
      <x:c r="D11" s="131"/>
      <x:c r="E11" s="131"/>
      <x:c r="F11" s="131"/>
      <x:c r="G11" s="131"/>
      <x:c r="H11" s="131"/>
      <x:c r="I11" s="131"/>
      <x:c r="J11" s="131"/>
      <x:c r="K11" s="125"/>
      <x:c r="L11" s="125"/>
      <x:c r="M11" s="125"/>
      <x:c r="N11" s="125"/>
      <x:c r="O11" s="125"/>
      <x:c r="P11" s="125"/>
      <x:c r="Q11" s="125"/>
    </x:row>
    <x:row r="12">
      <x:c r="A12" s="131"/>
      <x:c r="B12" s="131"/>
      <x:c r="C12" s="131"/>
      <x:c r="D12" s="131"/>
      <x:c r="E12" s="131"/>
      <x:c r="F12" s="131"/>
      <x:c r="G12" s="131"/>
      <x:c r="H12" s="131"/>
      <x:c r="I12" s="131"/>
      <x:c r="J12" s="131"/>
      <x:c r="K12" s="125"/>
      <x:c r="L12" s="125"/>
      <x:c r="M12" s="125"/>
      <x:c r="N12" s="125"/>
      <x:c r="O12" s="125"/>
      <x:c r="P12" s="125"/>
      <x:c r="Q12" s="125"/>
    </x:row>
    <x:row r="13">
      <x:c r="A13" s="131"/>
      <x:c r="B13" s="131"/>
      <x:c r="C13" s="131"/>
      <x:c r="D13" s="131"/>
      <x:c r="E13" s="131"/>
      <x:c r="F13" s="131"/>
      <x:c r="G13" s="131"/>
      <x:c r="H13" s="131"/>
      <x:c r="I13" s="131"/>
      <x:c r="J13" s="131"/>
      <x:c r="K13" s="125"/>
      <x:c r="L13" s="125"/>
      <x:c r="M13" s="125"/>
      <x:c r="N13" s="125"/>
      <x:c r="O13" s="125"/>
      <x:c r="P13" s="125"/>
      <x:c r="Q13" s="125"/>
    </x:row>
    <x:row r="14">
      <x:c r="A14" s="131"/>
      <x:c r="B14" s="131"/>
      <x:c r="C14" s="131"/>
      <x:c r="D14" s="131"/>
      <x:c r="E14" s="131"/>
      <x:c r="F14" s="131"/>
      <x:c r="G14" s="131"/>
      <x:c r="H14" s="131"/>
      <x:c r="I14" s="131"/>
      <x:c r="J14" s="131"/>
      <x:c r="K14" s="125"/>
      <x:c r="L14" s="125"/>
      <x:c r="M14" s="125"/>
      <x:c r="N14" s="125"/>
      <x:c r="O14" s="125"/>
      <x:c r="P14" s="125"/>
      <x:c r="Q14" s="125"/>
    </x:row>
    <x:row r="15">
      <x:c r="A15" s="131"/>
      <x:c r="B15" s="131"/>
      <x:c r="C15" s="131"/>
      <x:c r="D15" s="131"/>
      <x:c r="E15" s="131"/>
      <x:c r="F15" s="131"/>
      <x:c r="G15" s="131"/>
      <x:c r="H15" s="131"/>
      <x:c r="I15" s="131"/>
      <x:c r="J15" s="131"/>
      <x:c r="K15" s="125"/>
      <x:c r="L15" s="125"/>
      <x:c r="M15" s="125"/>
      <x:c r="N15" s="125"/>
      <x:c r="O15" s="125"/>
      <x:c r="P15" s="125"/>
      <x:c r="Q15" s="125"/>
    </x:row>
    <x:row r="16">
      <x:c r="A16" s="131"/>
      <x:c r="B16" s="131"/>
      <x:c r="C16" s="131"/>
      <x:c r="D16" s="131"/>
      <x:c r="E16" s="131"/>
      <x:c r="F16" s="131"/>
      <x:c r="G16" s="131"/>
      <x:c r="H16" s="131"/>
      <x:c r="I16" s="131"/>
      <x:c r="J16" s="131"/>
      <x:c r="K16" s="125"/>
      <x:c r="L16" s="125"/>
      <x:c r="M16" s="125"/>
      <x:c r="N16" s="125"/>
      <x:c r="O16" s="125"/>
      <x:c r="P16" s="125"/>
      <x:c r="Q16" s="125"/>
    </x:row>
    <x:row r="17">
      <x:c r="A17" s="131"/>
      <x:c r="B17" s="131"/>
      <x:c r="C17" s="131"/>
      <x:c r="D17" s="131"/>
      <x:c r="E17" s="131"/>
      <x:c r="F17" s="131"/>
      <x:c r="G17" s="131"/>
      <x:c r="H17" s="131"/>
      <x:c r="I17" s="131"/>
      <x:c r="J17" s="131"/>
      <x:c r="K17" s="125"/>
      <x:c r="L17" s="125"/>
      <x:c r="M17" s="125"/>
      <x:c r="N17" s="125"/>
      <x:c r="O17" s="125"/>
      <x:c r="P17" s="125"/>
      <x:c r="Q17" s="125"/>
    </x:row>
    <x:row r="18">
      <x:c r="A18" s="131"/>
      <x:c r="B18" s="131"/>
      <x:c r="C18" s="131"/>
      <x:c r="D18" s="131"/>
      <x:c r="E18" s="131"/>
      <x:c r="F18" s="131"/>
      <x:c r="G18" s="131"/>
      <x:c r="H18" s="131"/>
      <x:c r="I18" s="131"/>
      <x:c r="J18" s="131"/>
      <x:c r="K18" s="125"/>
      <x:c r="L18" s="125"/>
      <x:c r="M18" s="125"/>
      <x:c r="N18" s="125"/>
      <x:c r="O18" s="125"/>
      <x:c r="P18" s="125"/>
      <x:c r="Q18" s="125"/>
    </x:row>
    <x:row r="19">
      <x:c r="A19" s="131"/>
      <x:c r="B19" s="131"/>
      <x:c r="C19" s="131"/>
      <x:c r="D19" s="131"/>
      <x:c r="E19" s="131"/>
      <x:c r="F19" s="131"/>
      <x:c r="G19" s="131"/>
      <x:c r="H19" s="131"/>
      <x:c r="I19" s="131"/>
      <x:c r="J19" s="131"/>
      <x:c r="K19" s="125"/>
      <x:c r="L19" s="125"/>
      <x:c r="M19" s="125"/>
      <x:c r="N19" s="125"/>
      <x:c r="O19" s="125"/>
      <x:c r="P19" s="125"/>
      <x:c r="Q19" s="125"/>
    </x:row>
    <x:row r="20">
      <x:c r="A20" s="131"/>
      <x:c r="B20" s="131"/>
      <x:c r="C20" s="131"/>
      <x:c r="D20" s="131"/>
      <x:c r="E20" s="131"/>
      <x:c r="F20" s="131"/>
      <x:c r="G20" s="131"/>
      <x:c r="H20" s="131"/>
      <x:c r="I20" s="131"/>
      <x:c r="J20" s="131"/>
      <x:c r="K20" s="125"/>
      <x:c r="L20" s="125"/>
      <x:c r="M20" s="125"/>
      <x:c r="N20" s="125"/>
      <x:c r="O20" s="125"/>
      <x:c r="P20" s="125"/>
      <x:c r="Q20" s="125"/>
    </x:row>
    <x:row r="21">
      <x:c r="A21" s="131"/>
      <x:c r="B21" s="131"/>
      <x:c r="C21" s="131"/>
      <x:c r="D21" s="131"/>
      <x:c r="E21" s="131"/>
      <x:c r="F21" s="131"/>
      <x:c r="G21" s="131"/>
      <x:c r="H21" s="131"/>
      <x:c r="I21" s="131"/>
      <x:c r="J21" s="131"/>
      <x:c r="K21" s="125"/>
      <x:c r="L21" s="125"/>
      <x:c r="M21" s="125"/>
      <x:c r="N21" s="125"/>
      <x:c r="O21" s="125"/>
      <x:c r="P21" s="125"/>
      <x:c r="Q21" s="125"/>
    </x:row>
    <x:row r="22">
      <x:c r="A22" s="131"/>
      <x:c r="B22" s="131"/>
      <x:c r="C22" s="131"/>
      <x:c r="D22" s="131"/>
      <x:c r="E22" s="131"/>
      <x:c r="F22" s="131"/>
      <x:c r="G22" s="131"/>
      <x:c r="H22" s="131"/>
      <x:c r="I22" s="131"/>
      <x:c r="J22" s="131"/>
      <x:c r="K22" s="125"/>
      <x:c r="L22" s="125"/>
      <x:c r="M22" s="125"/>
      <x:c r="N22" s="125"/>
      <x:c r="O22" s="125"/>
      <x:c r="P22" s="125"/>
      <x:c r="Q22" s="125"/>
    </x:row>
    <x:row r="23">
      <x:c r="A23" s="131"/>
      <x:c r="B23" s="131"/>
      <x:c r="C23" s="131"/>
      <x:c r="D23" s="131"/>
      <x:c r="E23" s="131"/>
      <x:c r="F23" s="131"/>
      <x:c r="G23" s="131"/>
      <x:c r="H23" s="131"/>
      <x:c r="I23" s="131"/>
      <x:c r="J23" s="131"/>
      <x:c r="K23" s="125"/>
      <x:c r="L23" s="125"/>
      <x:c r="M23" s="125"/>
      <x:c r="N23" s="125"/>
      <x:c r="O23" s="125"/>
      <x:c r="P23" s="125"/>
      <x:c r="Q23" s="125"/>
    </x:row>
    <x:row r="24">
      <x:c r="A24" s="131"/>
      <x:c r="B24" s="131"/>
      <x:c r="C24" s="131"/>
      <x:c r="D24" s="131"/>
      <x:c r="E24" s="131"/>
      <x:c r="F24" s="131"/>
      <x:c r="G24" s="131"/>
      <x:c r="H24" s="131"/>
      <x:c r="I24" s="131"/>
      <x:c r="J24" s="131"/>
      <x:c r="K24" s="125"/>
      <x:c r="L24" s="125"/>
      <x:c r="M24" s="125"/>
      <x:c r="N24" s="125"/>
      <x:c r="O24" s="125"/>
      <x:c r="P24" s="125"/>
      <x:c r="Q24" s="125"/>
    </x:row>
    <x:row r="25">
      <x:c r="A25" s="131"/>
      <x:c r="B25" s="131"/>
      <x:c r="C25" s="131"/>
      <x:c r="D25" s="131"/>
      <x:c r="E25" s="131"/>
      <x:c r="F25" s="131"/>
      <x:c r="G25" s="131"/>
      <x:c r="H25" s="131"/>
      <x:c r="I25" s="131"/>
      <x:c r="J25" s="131"/>
      <x:c r="K25" s="125"/>
      <x:c r="L25" s="125"/>
      <x:c r="M25" s="125"/>
      <x:c r="N25" s="125"/>
      <x:c r="O25" s="125"/>
      <x:c r="P25" s="125"/>
      <x:c r="Q25" s="125"/>
    </x:row>
    <x:row r="26">
      <x:c r="A26" s="131"/>
      <x:c r="B26" s="131"/>
      <x:c r="C26" s="131"/>
      <x:c r="D26" s="131"/>
      <x:c r="E26" s="131"/>
      <x:c r="F26" s="131"/>
      <x:c r="G26" s="131"/>
      <x:c r="H26" s="131"/>
      <x:c r="I26" s="131"/>
      <x:c r="J26" s="131"/>
      <x:c r="K26" s="125"/>
      <x:c r="L26" s="125"/>
      <x:c r="M26" s="125"/>
      <x:c r="N26" s="125"/>
      <x:c r="O26" s="125"/>
      <x:c r="P26" s="125"/>
      <x:c r="Q26" s="125"/>
    </x:row>
    <x:row r="27">
      <x:c r="A27" s="131"/>
      <x:c r="B27" s="131"/>
      <x:c r="C27" s="131"/>
      <x:c r="D27" s="131"/>
      <x:c r="E27" s="131"/>
      <x:c r="F27" s="131"/>
      <x:c r="G27" s="131"/>
      <x:c r="H27" s="131"/>
      <x:c r="I27" s="131"/>
      <x:c r="J27" s="131"/>
      <x:c r="K27" s="125"/>
      <x:c r="L27" s="125"/>
      <x:c r="M27" s="125"/>
      <x:c r="N27" s="125"/>
      <x:c r="O27" s="125"/>
      <x:c r="P27" s="125"/>
      <x:c r="Q27" s="125"/>
    </x:row>
    <x:row r="28">
      <x:c r="A28" s="131"/>
      <x:c r="B28" s="131"/>
      <x:c r="C28" s="131"/>
      <x:c r="D28" s="131"/>
      <x:c r="E28" s="131"/>
      <x:c r="F28" s="131"/>
      <x:c r="G28" s="131"/>
      <x:c r="H28" s="131"/>
      <x:c r="I28" s="131"/>
      <x:c r="J28" s="131"/>
      <x:c r="K28" s="125"/>
      <x:c r="L28" s="125"/>
      <x:c r="M28" s="125"/>
      <x:c r="N28" s="125"/>
      <x:c r="O28" s="125"/>
      <x:c r="P28" s="125"/>
      <x:c r="Q28" s="125"/>
    </x:row>
    <x:row r="29">
      <x:c r="A29" s="131"/>
      <x:c r="B29" s="131"/>
      <x:c r="C29" s="131"/>
      <x:c r="D29" s="131"/>
      <x:c r="E29" s="131"/>
      <x:c r="F29" s="131"/>
      <x:c r="G29" s="131"/>
      <x:c r="H29" s="131"/>
      <x:c r="I29" s="131"/>
      <x:c r="J29" s="131"/>
      <x:c r="K29" s="125"/>
      <x:c r="L29" s="125"/>
      <x:c r="M29" s="125"/>
      <x:c r="N29" s="125"/>
      <x:c r="O29" s="125"/>
      <x:c r="P29" s="125"/>
      <x:c r="Q29" s="125"/>
    </x:row>
    <x:row r="30">
      <x:c r="A30" s="131"/>
      <x:c r="B30" s="131"/>
      <x:c r="C30" s="131"/>
      <x:c r="D30" s="131"/>
      <x:c r="E30" s="131"/>
      <x:c r="F30" s="131"/>
      <x:c r="G30" s="131"/>
      <x:c r="H30" s="131"/>
      <x:c r="I30" s="131"/>
      <x:c r="J30" s="131"/>
      <x:c r="K30" s="125"/>
      <x:c r="L30" s="125"/>
      <x:c r="M30" s="125"/>
      <x:c r="N30" s="125"/>
      <x:c r="O30" s="125"/>
      <x:c r="P30" s="125"/>
      <x:c r="Q30" s="125"/>
    </x:row>
    <x:row r="31">
      <x:c r="A31" s="131"/>
      <x:c r="B31" s="131"/>
      <x:c r="C31" s="131"/>
      <x:c r="D31" s="131"/>
      <x:c r="E31" s="131"/>
      <x:c r="F31" s="131"/>
      <x:c r="G31" s="131"/>
      <x:c r="H31" s="131"/>
      <x:c r="I31" s="131"/>
      <x:c r="J31" s="131"/>
      <x:c r="K31" s="125"/>
      <x:c r="L31" s="125"/>
      <x:c r="M31" s="125"/>
      <x:c r="N31" s="125"/>
      <x:c r="O31" s="125"/>
      <x:c r="P31" s="125"/>
      <x:c r="Q31" s="125"/>
    </x:row>
    <x:row r="32">
      <x:c r="A32" s="131"/>
      <x:c r="B32" s="131"/>
      <x:c r="C32" s="131"/>
      <x:c r="D32" s="131"/>
      <x:c r="E32" s="131"/>
      <x:c r="F32" s="131"/>
      <x:c r="G32" s="131"/>
      <x:c r="H32" s="131"/>
      <x:c r="I32" s="131"/>
      <x:c r="J32" s="131"/>
      <x:c r="K32" s="125"/>
      <x:c r="L32" s="125"/>
      <x:c r="M32" s="125"/>
      <x:c r="N32" s="125"/>
      <x:c r="O32" s="125"/>
      <x:c r="P32" s="125"/>
      <x:c r="Q32" s="125"/>
    </x:row>
    <x:row r="33">
      <x:c r="A33" s="131"/>
      <x:c r="B33" s="131"/>
      <x:c r="C33" s="131"/>
      <x:c r="D33" s="131"/>
      <x:c r="E33" s="131"/>
      <x:c r="F33" s="131"/>
      <x:c r="G33" s="131"/>
      <x:c r="H33" s="131"/>
      <x:c r="I33" s="131"/>
      <x:c r="J33" s="131"/>
      <x:c r="K33" s="125"/>
      <x:c r="L33" s="125"/>
      <x:c r="M33" s="125"/>
      <x:c r="N33" s="125"/>
      <x:c r="O33" s="125"/>
      <x:c r="P33" s="125"/>
      <x:c r="Q33" s="125"/>
    </x:row>
    <x:row r="34">
      <x:c r="A34" s="131"/>
      <x:c r="B34" s="131"/>
      <x:c r="C34" s="131"/>
      <x:c r="D34" s="131"/>
      <x:c r="E34" s="131"/>
      <x:c r="F34" s="131"/>
      <x:c r="G34" s="131"/>
      <x:c r="H34" s="131"/>
      <x:c r="I34" s="131"/>
      <x:c r="J34" s="131"/>
      <x:c r="K34" s="125"/>
      <x:c r="L34" s="125"/>
      <x:c r="M34" s="125"/>
      <x:c r="N34" s="125"/>
      <x:c r="O34" s="125"/>
      <x:c r="P34" s="125"/>
      <x:c r="Q34" s="125"/>
    </x:row>
    <x:row r="35">
      <x:c r="A35" s="131"/>
      <x:c r="B35" s="131"/>
      <x:c r="C35" s="131"/>
      <x:c r="D35" s="131"/>
      <x:c r="E35" s="131"/>
      <x:c r="F35" s="131"/>
      <x:c r="G35" s="131"/>
      <x:c r="H35" s="131"/>
      <x:c r="I35" s="131"/>
      <x:c r="J35" s="131"/>
      <x:c r="K35" s="125"/>
      <x:c r="L35" s="125"/>
      <x:c r="M35" s="125"/>
      <x:c r="N35" s="125"/>
      <x:c r="O35" s="125"/>
      <x:c r="P35" s="125"/>
      <x:c r="Q35" s="125"/>
    </x:row>
    <x:row r="36">
      <x:c r="A36" s="131"/>
      <x:c r="B36" s="131"/>
      <x:c r="C36" s="131"/>
      <x:c r="D36" s="131"/>
      <x:c r="E36" s="131"/>
      <x:c r="F36" s="131"/>
      <x:c r="G36" s="131"/>
      <x:c r="H36" s="131"/>
      <x:c r="I36" s="131"/>
      <x:c r="J36" s="131"/>
      <x:c r="K36" s="125"/>
      <x:c r="L36" s="125"/>
      <x:c r="M36" s="125"/>
      <x:c r="N36" s="125"/>
      <x:c r="O36" s="125"/>
      <x:c r="P36" s="125"/>
      <x:c r="Q36" s="125"/>
    </x:row>
    <x:row r="37">
      <x:c r="A37" s="131"/>
      <x:c r="B37" s="131"/>
      <x:c r="C37" s="131"/>
      <x:c r="D37" s="131"/>
      <x:c r="E37" s="131"/>
      <x:c r="F37" s="131"/>
      <x:c r="G37" s="131"/>
      <x:c r="H37" s="131"/>
      <x:c r="I37" s="131"/>
      <x:c r="J37" s="131"/>
      <x:c r="K37" s="125"/>
      <x:c r="L37" s="125"/>
      <x:c r="M37" s="125"/>
      <x:c r="N37" s="125"/>
      <x:c r="O37" s="125"/>
      <x:c r="P37" s="125"/>
      <x:c r="Q37" s="125"/>
    </x:row>
    <x:row r="38">
      <x:c r="A38" s="131"/>
      <x:c r="B38" s="131"/>
      <x:c r="C38" s="131"/>
      <x:c r="D38" s="131"/>
      <x:c r="E38" s="131"/>
      <x:c r="F38" s="131"/>
      <x:c r="G38" s="131"/>
      <x:c r="H38" s="131"/>
      <x:c r="I38" s="131"/>
      <x:c r="J38" s="131"/>
      <x:c r="K38" s="125"/>
      <x:c r="L38" s="125"/>
      <x:c r="M38" s="125"/>
      <x:c r="N38" s="125"/>
      <x:c r="O38" s="125"/>
      <x:c r="P38" s="125"/>
      <x:c r="Q38" s="125"/>
    </x:row>
    <x:row r="39">
      <x:c r="A39" s="131"/>
      <x:c r="B39" s="131"/>
      <x:c r="C39" s="131"/>
      <x:c r="D39" s="131"/>
      <x:c r="E39" s="131"/>
      <x:c r="F39" s="131"/>
      <x:c r="G39" s="131"/>
      <x:c r="H39" s="131"/>
      <x:c r="I39" s="131"/>
      <x:c r="J39" s="131"/>
      <x:c r="K39" s="125"/>
      <x:c r="L39" s="125"/>
      <x:c r="M39" s="125"/>
      <x:c r="N39" s="125"/>
      <x:c r="O39" s="125"/>
      <x:c r="P39" s="125"/>
      <x:c r="Q39" s="125"/>
    </x:row>
    <x:row r="40">
      <x:c r="A40" s="131"/>
      <x:c r="B40" s="131"/>
      <x:c r="C40" s="131"/>
      <x:c r="D40" s="131"/>
      <x:c r="E40" s="131"/>
      <x:c r="F40" s="131"/>
      <x:c r="G40" s="131"/>
      <x:c r="H40" s="131"/>
      <x:c r="I40" s="131"/>
      <x:c r="J40" s="131"/>
      <x:c r="K40" s="125"/>
      <x:c r="L40" s="125"/>
      <x:c r="M40" s="125"/>
      <x:c r="N40" s="125"/>
      <x:c r="O40" s="125"/>
      <x:c r="P40" s="125"/>
      <x:c r="Q40" s="125"/>
    </x:row>
    <x:row r="41">
      <x:c r="A41" s="131"/>
      <x:c r="B41" s="131"/>
      <x:c r="C41" s="131"/>
      <x:c r="D41" s="131"/>
      <x:c r="E41" s="131"/>
      <x:c r="F41" s="131"/>
      <x:c r="G41" s="131"/>
      <x:c r="H41" s="131"/>
      <x:c r="I41" s="131"/>
      <x:c r="J41" s="131"/>
      <x:c r="K41" s="125"/>
      <x:c r="L41" s="125"/>
      <x:c r="M41" s="125"/>
      <x:c r="N41" s="125"/>
      <x:c r="O41" s="125"/>
      <x:c r="P41" s="125"/>
      <x:c r="Q41" s="125"/>
    </x:row>
    <x:row r="42">
      <x:c r="A42" s="131"/>
      <x:c r="B42" s="131"/>
      <x:c r="C42" s="131"/>
      <x:c r="D42" s="131"/>
      <x:c r="E42" s="131"/>
      <x:c r="F42" s="131"/>
      <x:c r="G42" s="131"/>
      <x:c r="H42" s="131"/>
      <x:c r="I42" s="131"/>
      <x:c r="J42" s="131"/>
      <x:c r="K42" s="125"/>
      <x:c r="L42" s="125"/>
      <x:c r="M42" s="125"/>
      <x:c r="N42" s="125"/>
      <x:c r="O42" s="125"/>
      <x:c r="P42" s="125"/>
      <x:c r="Q42" s="125"/>
    </x:row>
    <x:row r="43">
      <x:c r="A43" s="131"/>
      <x:c r="B43" s="131"/>
      <x:c r="C43" s="131"/>
      <x:c r="D43" s="131"/>
      <x:c r="E43" s="131"/>
      <x:c r="F43" s="131"/>
      <x:c r="G43" s="131"/>
      <x:c r="H43" s="131"/>
      <x:c r="I43" s="131"/>
      <x:c r="J43" s="131"/>
      <x:c r="K43" s="125"/>
      <x:c r="L43" s="125"/>
      <x:c r="M43" s="125"/>
      <x:c r="N43" s="125"/>
      <x:c r="O43" s="125"/>
      <x:c r="P43" s="125"/>
      <x:c r="Q43" s="125"/>
    </x:row>
    <x:row r="44">
      <x:c r="A44" s="131"/>
      <x:c r="B44" s="131"/>
      <x:c r="C44" s="131"/>
      <x:c r="D44" s="131"/>
      <x:c r="E44" s="131"/>
      <x:c r="F44" s="131"/>
      <x:c r="G44" s="131"/>
      <x:c r="H44" s="131"/>
      <x:c r="I44" s="131"/>
      <x:c r="J44" s="131"/>
      <x:c r="K44" s="125"/>
      <x:c r="L44" s="125"/>
      <x:c r="M44" s="125"/>
      <x:c r="N44" s="125"/>
      <x:c r="O44" s="125"/>
      <x:c r="P44" s="125"/>
      <x:c r="Q44" s="125"/>
    </x:row>
    <x:row r="45">
      <x:c r="A45" s="131"/>
      <x:c r="B45" s="131"/>
      <x:c r="C45" s="131"/>
      <x:c r="D45" s="131"/>
      <x:c r="E45" s="131"/>
      <x:c r="F45" s="131"/>
      <x:c r="G45" s="131"/>
      <x:c r="H45" s="131"/>
      <x:c r="I45" s="131"/>
      <x:c r="J45" s="131"/>
      <x:c r="K45" s="125"/>
      <x:c r="L45" s="125"/>
      <x:c r="M45" s="125"/>
      <x:c r="N45" s="125"/>
      <x:c r="O45" s="125"/>
      <x:c r="P45" s="125"/>
      <x:c r="Q45" s="125"/>
    </x:row>
    <x:row r="46">
      <x:c r="A46" s="131"/>
      <x:c r="B46" s="131"/>
      <x:c r="C46" s="131"/>
      <x:c r="D46" s="131"/>
      <x:c r="E46" s="131"/>
      <x:c r="F46" s="131"/>
      <x:c r="G46" s="131"/>
      <x:c r="H46" s="131"/>
      <x:c r="I46" s="131"/>
      <x:c r="J46" s="131"/>
      <x:c r="K46" s="125"/>
      <x:c r="L46" s="125"/>
      <x:c r="M46" s="125"/>
      <x:c r="N46" s="125"/>
      <x:c r="O46" s="125"/>
      <x:c r="P46" s="125"/>
      <x:c r="Q46" s="125"/>
    </x:row>
    <x:row r="47">
      <x:c r="A47" s="131"/>
      <x:c r="B47" s="131"/>
      <x:c r="C47" s="131"/>
      <x:c r="D47" s="131"/>
      <x:c r="E47" s="131"/>
      <x:c r="F47" s="131"/>
      <x:c r="G47" s="131"/>
      <x:c r="H47" s="131"/>
      <x:c r="I47" s="131"/>
      <x:c r="J47" s="131"/>
      <x:c r="K47" s="125"/>
      <x:c r="L47" s="125"/>
      <x:c r="M47" s="125"/>
      <x:c r="N47" s="125"/>
      <x:c r="O47" s="125"/>
      <x:c r="P47" s="125"/>
      <x:c r="Q47" s="125"/>
    </x:row>
    <x:row r="48">
      <x:c r="A48" s="131"/>
      <x:c r="B48" s="131"/>
      <x:c r="C48" s="131"/>
      <x:c r="D48" s="131"/>
      <x:c r="E48" s="131"/>
      <x:c r="F48" s="131"/>
      <x:c r="G48" s="131"/>
      <x:c r="H48" s="131"/>
      <x:c r="I48" s="131"/>
      <x:c r="J48" s="131"/>
      <x:c r="K48" s="125"/>
      <x:c r="L48" s="125"/>
      <x:c r="M48" s="125"/>
      <x:c r="N48" s="125"/>
      <x:c r="O48" s="125"/>
      <x:c r="P48" s="125"/>
      <x:c r="Q48" s="125"/>
    </x:row>
    <x:row r="49">
      <x:c r="A49" s="131"/>
      <x:c r="B49" s="131"/>
      <x:c r="C49" s="131"/>
      <x:c r="D49" s="131"/>
      <x:c r="E49" s="131"/>
      <x:c r="F49" s="131"/>
      <x:c r="G49" s="131"/>
      <x:c r="H49" s="131"/>
      <x:c r="I49" s="131"/>
      <x:c r="J49" s="131"/>
      <x:c r="K49" s="125"/>
      <x:c r="L49" s="125"/>
      <x:c r="M49" s="125"/>
      <x:c r="N49" s="125"/>
      <x:c r="O49" s="125"/>
      <x:c r="P49" s="125"/>
      <x:c r="Q49" s="125"/>
    </x:row>
    <x:row r="50">
      <x:c r="A50" s="131"/>
      <x:c r="B50" s="131"/>
      <x:c r="C50" s="131"/>
      <x:c r="D50" s="131"/>
      <x:c r="E50" s="131"/>
      <x:c r="F50" s="131"/>
      <x:c r="G50" s="131"/>
      <x:c r="H50" s="131"/>
      <x:c r="I50" s="131"/>
      <x:c r="J50" s="131"/>
      <x:c r="K50" s="125"/>
      <x:c r="L50" s="125"/>
      <x:c r="M50" s="125"/>
      <x:c r="N50" s="125"/>
      <x:c r="O50" s="125"/>
      <x:c r="P50" s="125"/>
      <x:c r="Q50" s="125"/>
    </x:row>
    <x:row r="51">
      <x:c r="A51" s="131"/>
      <x:c r="B51" s="131"/>
      <x:c r="C51" s="131"/>
      <x:c r="D51" s="131"/>
      <x:c r="E51" s="131"/>
      <x:c r="F51" s="131"/>
      <x:c r="G51" s="131"/>
      <x:c r="H51" s="131"/>
      <x:c r="I51" s="131"/>
      <x:c r="J51" s="131"/>
      <x:c r="K51" s="125"/>
      <x:c r="L51" s="125"/>
      <x:c r="M51" s="125"/>
      <x:c r="N51" s="125"/>
      <x:c r="O51" s="125"/>
      <x:c r="P51" s="125"/>
      <x:c r="Q51" s="125"/>
    </x:row>
    <x:row r="52">
      <x:c r="A52" s="131"/>
      <x:c r="B52" s="131"/>
      <x:c r="C52" s="131"/>
      <x:c r="D52" s="131"/>
      <x:c r="E52" s="131"/>
      <x:c r="F52" s="131"/>
      <x:c r="G52" s="131"/>
      <x:c r="H52" s="131"/>
      <x:c r="I52" s="131"/>
      <x:c r="J52" s="131"/>
      <x:c r="K52" s="125"/>
      <x:c r="L52" s="125"/>
      <x:c r="M52" s="125"/>
      <x:c r="N52" s="125"/>
      <x:c r="O52" s="125"/>
      <x:c r="P52" s="125"/>
      <x:c r="Q52" s="125"/>
    </x:row>
    <x:row r="53">
      <x:c r="A53" s="131"/>
      <x:c r="B53" s="131"/>
      <x:c r="C53" s="131"/>
      <x:c r="D53" s="131"/>
      <x:c r="E53" s="131"/>
      <x:c r="F53" s="131"/>
      <x:c r="G53" s="131"/>
      <x:c r="H53" s="131"/>
      <x:c r="I53" s="131"/>
      <x:c r="J53" s="131"/>
      <x:c r="K53" s="125"/>
      <x:c r="L53" s="125"/>
      <x:c r="M53" s="125"/>
      <x:c r="N53" s="125"/>
      <x:c r="O53" s="125"/>
      <x:c r="P53" s="125"/>
      <x:c r="Q53" s="125"/>
    </x:row>
    <x:row r="54">
      <x:c r="A54" s="131"/>
      <x:c r="B54" s="131"/>
      <x:c r="C54" s="131"/>
      <x:c r="D54" s="131"/>
      <x:c r="E54" s="131"/>
      <x:c r="F54" s="131"/>
      <x:c r="G54" s="131"/>
      <x:c r="H54" s="131"/>
      <x:c r="I54" s="131"/>
      <x:c r="J54" s="131"/>
      <x:c r="K54" s="125"/>
      <x:c r="L54" s="125"/>
      <x:c r="M54" s="125"/>
      <x:c r="N54" s="125"/>
      <x:c r="O54" s="125"/>
      <x:c r="P54" s="125"/>
      <x:c r="Q54" s="125"/>
    </x:row>
    <x:row r="55">
      <x:c r="A55" s="131"/>
      <x:c r="B55" s="131"/>
      <x:c r="C55" s="131"/>
      <x:c r="D55" s="131"/>
      <x:c r="E55" s="131"/>
      <x:c r="F55" s="131"/>
      <x:c r="G55" s="131"/>
      <x:c r="H55" s="131"/>
      <x:c r="I55" s="131"/>
      <x:c r="J55" s="131"/>
      <x:c r="K55" s="125"/>
      <x:c r="L55" s="125"/>
      <x:c r="M55" s="125"/>
      <x:c r="N55" s="125"/>
      <x:c r="O55" s="125"/>
      <x:c r="P55" s="125"/>
      <x:c r="Q55" s="125"/>
    </x:row>
    <x:row r="56">
      <x:c r="A56" s="131"/>
      <x:c r="B56" s="131"/>
      <x:c r="C56" s="131"/>
      <x:c r="D56" s="131"/>
      <x:c r="E56" s="131"/>
      <x:c r="F56" s="131"/>
      <x:c r="G56" s="131"/>
      <x:c r="H56" s="131"/>
      <x:c r="I56" s="131"/>
      <x:c r="J56" s="131"/>
      <x:c r="K56" s="125"/>
      <x:c r="L56" s="125"/>
      <x:c r="M56" s="125"/>
      <x:c r="N56" s="125"/>
      <x:c r="O56" s="125"/>
      <x:c r="P56" s="125"/>
      <x:c r="Q56" s="125"/>
    </x:row>
    <x:row r="57">
      <x:c r="A57" s="131"/>
      <x:c r="B57" s="131"/>
      <x:c r="C57" s="131"/>
      <x:c r="D57" s="131"/>
      <x:c r="E57" s="131"/>
      <x:c r="F57" s="131"/>
      <x:c r="G57" s="131"/>
      <x:c r="H57" s="131"/>
      <x:c r="I57" s="131"/>
      <x:c r="J57" s="131"/>
      <x:c r="K57" s="125"/>
      <x:c r="L57" s="125"/>
      <x:c r="M57" s="125"/>
      <x:c r="N57" s="125"/>
      <x:c r="O57" s="125"/>
      <x:c r="P57" s="125"/>
      <x:c r="Q57" s="125"/>
    </x:row>
    <x:row r="58">
      <x:c r="A58" s="131"/>
      <x:c r="B58" s="131"/>
      <x:c r="C58" s="131"/>
      <x:c r="D58" s="131"/>
      <x:c r="E58" s="131"/>
      <x:c r="F58" s="131"/>
      <x:c r="G58" s="131"/>
      <x:c r="H58" s="131"/>
      <x:c r="I58" s="131"/>
      <x:c r="J58" s="131"/>
      <x:c r="K58" s="125"/>
      <x:c r="L58" s="125"/>
      <x:c r="M58" s="125"/>
      <x:c r="N58" s="125"/>
      <x:c r="O58" s="125"/>
      <x:c r="P58" s="125"/>
      <x:c r="Q58" s="125"/>
    </x:row>
    <x:row r="59">
      <x:c r="A59" s="131"/>
      <x:c r="B59" s="131"/>
      <x:c r="C59" s="131"/>
      <x:c r="D59" s="131"/>
      <x:c r="E59" s="131"/>
      <x:c r="F59" s="131"/>
      <x:c r="G59" s="131"/>
      <x:c r="H59" s="131"/>
      <x:c r="I59" s="131"/>
      <x:c r="J59" s="131"/>
      <x:c r="K59" s="125"/>
      <x:c r="L59" s="125"/>
      <x:c r="M59" s="125"/>
      <x:c r="N59" s="125"/>
      <x:c r="O59" s="125"/>
      <x:c r="P59" s="125"/>
      <x:c r="Q59" s="125"/>
    </x:row>
    <x:row r="60">
      <x:c r="A60" s="131"/>
      <x:c r="B60" s="131"/>
      <x:c r="C60" s="131"/>
      <x:c r="D60" s="131"/>
      <x:c r="E60" s="131"/>
      <x:c r="F60" s="131"/>
      <x:c r="G60" s="131"/>
      <x:c r="H60" s="131"/>
      <x:c r="I60" s="131"/>
      <x:c r="J60" s="131"/>
      <x:c r="K60" s="125"/>
      <x:c r="L60" s="125"/>
      <x:c r="M60" s="125"/>
      <x:c r="N60" s="125"/>
      <x:c r="O60" s="125"/>
      <x:c r="P60" s="125"/>
      <x:c r="Q60" s="125"/>
    </x:row>
    <x:row r="61">
      <x:c r="A61" s="131"/>
      <x:c r="B61" s="131"/>
      <x:c r="C61" s="131"/>
      <x:c r="D61" s="131"/>
      <x:c r="E61" s="131"/>
      <x:c r="F61" s="131"/>
      <x:c r="G61" s="131"/>
      <x:c r="H61" s="131"/>
      <x:c r="I61" s="131"/>
      <x:c r="J61" s="131"/>
      <x:c r="K61" s="125"/>
      <x:c r="L61" s="125"/>
      <x:c r="M61" s="125"/>
      <x:c r="N61" s="125"/>
      <x:c r="O61" s="125"/>
      <x:c r="P61" s="125"/>
      <x:c r="Q61" s="125"/>
    </x:row>
    <x:row r="62">
      <x:c r="A62" s="131"/>
      <x:c r="B62" s="131"/>
      <x:c r="C62" s="131"/>
      <x:c r="D62" s="131"/>
      <x:c r="E62" s="131"/>
      <x:c r="F62" s="131"/>
      <x:c r="G62" s="131"/>
      <x:c r="H62" s="131"/>
      <x:c r="I62" s="131"/>
      <x:c r="J62" s="131"/>
      <x:c r="K62" s="125"/>
      <x:c r="L62" s="125"/>
      <x:c r="M62" s="125"/>
      <x:c r="N62" s="125"/>
      <x:c r="O62" s="125"/>
      <x:c r="P62" s="125"/>
      <x:c r="Q62" s="125"/>
    </x:row>
    <x:row r="63">
      <x:c r="A63" s="131"/>
      <x:c r="B63" s="131"/>
      <x:c r="C63" s="131"/>
      <x:c r="D63" s="131"/>
      <x:c r="E63" s="131"/>
      <x:c r="F63" s="131"/>
      <x:c r="G63" s="131"/>
      <x:c r="H63" s="131"/>
      <x:c r="I63" s="131"/>
      <x:c r="J63" s="131"/>
      <x:c r="K63" s="125"/>
      <x:c r="L63" s="125"/>
      <x:c r="M63" s="125"/>
      <x:c r="N63" s="125"/>
      <x:c r="O63" s="125"/>
      <x:c r="P63" s="125"/>
      <x:c r="Q63" s="125"/>
    </x:row>
    <x:row r="64">
      <x:c r="A64" s="131"/>
      <x:c r="B64" s="131"/>
      <x:c r="C64" s="131"/>
      <x:c r="D64" s="131"/>
      <x:c r="E64" s="131"/>
      <x:c r="F64" s="131"/>
      <x:c r="G64" s="131"/>
      <x:c r="H64" s="131"/>
      <x:c r="I64" s="131"/>
      <x:c r="J64" s="131"/>
      <x:c r="K64" s="125"/>
      <x:c r="L64" s="125"/>
      <x:c r="M64" s="125"/>
      <x:c r="N64" s="125"/>
      <x:c r="O64" s="125"/>
      <x:c r="P64" s="125"/>
      <x:c r="Q64" s="125"/>
    </x:row>
    <x:row r="65">
      <x:c r="A65" s="131"/>
      <x:c r="B65" s="131"/>
      <x:c r="C65" s="131"/>
      <x:c r="D65" s="131"/>
      <x:c r="E65" s="131"/>
      <x:c r="F65" s="131"/>
      <x:c r="G65" s="131"/>
      <x:c r="H65" s="131"/>
      <x:c r="I65" s="131"/>
      <x:c r="J65" s="131"/>
      <x:c r="K65" s="125"/>
      <x:c r="L65" s="125"/>
      <x:c r="M65" s="125"/>
      <x:c r="N65" s="125"/>
      <x:c r="O65" s="125"/>
      <x:c r="P65" s="125"/>
      <x:c r="Q65" s="125"/>
    </x:row>
    <x:row r="66">
      <x:c r="A66" s="131"/>
      <x:c r="B66" s="131"/>
      <x:c r="C66" s="131"/>
      <x:c r="D66" s="131"/>
      <x:c r="E66" s="131"/>
      <x:c r="F66" s="131"/>
      <x:c r="G66" s="131"/>
      <x:c r="H66" s="131"/>
      <x:c r="I66" s="131"/>
      <x:c r="J66" s="131"/>
      <x:c r="K66" s="125"/>
      <x:c r="L66" s="125"/>
      <x:c r="M66" s="125"/>
      <x:c r="N66" s="125"/>
      <x:c r="O66" s="125"/>
      <x:c r="P66" s="125"/>
      <x:c r="Q66" s="125"/>
    </x:row>
    <x:row r="67">
      <x:c r="A67" s="131"/>
      <x:c r="B67" s="131"/>
      <x:c r="C67" s="131"/>
      <x:c r="D67" s="131"/>
      <x:c r="E67" s="131"/>
      <x:c r="F67" s="131"/>
      <x:c r="G67" s="131"/>
      <x:c r="H67" s="131"/>
      <x:c r="I67" s="131"/>
      <x:c r="J67" s="131"/>
      <x:c r="K67" s="125"/>
      <x:c r="L67" s="125"/>
      <x:c r="M67" s="125"/>
      <x:c r="N67" s="125"/>
      <x:c r="O67" s="125"/>
      <x:c r="P67" s="125"/>
      <x:c r="Q67" s="125"/>
    </x:row>
    <x:row r="68">
      <x:c r="A68" s="131"/>
      <x:c r="B68" s="131"/>
      <x:c r="C68" s="131"/>
      <x:c r="D68" s="131"/>
      <x:c r="E68" s="131"/>
      <x:c r="F68" s="131"/>
      <x:c r="G68" s="131"/>
      <x:c r="H68" s="131"/>
      <x:c r="I68" s="131"/>
      <x:c r="J68" s="131"/>
      <x:c r="K68" s="125"/>
      <x:c r="L68" s="125"/>
      <x:c r="M68" s="125"/>
      <x:c r="N68" s="125"/>
      <x:c r="O68" s="125"/>
      <x:c r="P68" s="125"/>
      <x:c r="Q68" s="125"/>
    </x:row>
    <x:row r="69">
      <x:c r="A69" s="131"/>
      <x:c r="B69" s="131"/>
      <x:c r="C69" s="131"/>
      <x:c r="D69" s="131"/>
      <x:c r="E69" s="131"/>
      <x:c r="F69" s="131"/>
      <x:c r="G69" s="131"/>
      <x:c r="H69" s="131"/>
      <x:c r="I69" s="131"/>
      <x:c r="J69" s="131"/>
      <x:c r="K69" s="125"/>
      <x:c r="L69" s="125"/>
      <x:c r="M69" s="125"/>
      <x:c r="N69" s="125"/>
      <x:c r="O69" s="125"/>
      <x:c r="P69" s="125"/>
      <x:c r="Q69" s="125"/>
    </x:row>
    <x:row r="70">
      <x:c r="A70" s="131"/>
      <x:c r="B70" s="131"/>
      <x:c r="C70" s="131"/>
      <x:c r="D70" s="131"/>
      <x:c r="E70" s="131"/>
      <x:c r="F70" s="131"/>
      <x:c r="G70" s="131"/>
      <x:c r="H70" s="131"/>
      <x:c r="I70" s="131"/>
      <x:c r="J70" s="131"/>
      <x:c r="K70" s="125"/>
      <x:c r="L70" s="125"/>
      <x:c r="M70" s="125"/>
      <x:c r="N70" s="125"/>
      <x:c r="O70" s="125"/>
      <x:c r="P70" s="125"/>
      <x:c r="Q70" s="125"/>
    </x:row>
    <x:row r="71">
      <x:c r="A71" s="131"/>
      <x:c r="B71" s="131"/>
      <x:c r="C71" s="131"/>
      <x:c r="D71" s="131"/>
      <x:c r="E71" s="131"/>
      <x:c r="F71" s="131"/>
      <x:c r="G71" s="131"/>
      <x:c r="H71" s="131"/>
      <x:c r="I71" s="131"/>
      <x:c r="J71" s="131"/>
      <x:c r="K71" s="125"/>
      <x:c r="L71" s="125"/>
      <x:c r="M71" s="125"/>
      <x:c r="N71" s="125"/>
      <x:c r="O71" s="125"/>
      <x:c r="P71" s="125"/>
      <x:c r="Q71" s="125"/>
    </x:row>
    <x:row r="72">
      <x:c r="A72" s="131"/>
      <x:c r="B72" s="131"/>
      <x:c r="C72" s="131"/>
      <x:c r="D72" s="131"/>
      <x:c r="E72" s="131"/>
      <x:c r="F72" s="131"/>
      <x:c r="G72" s="131"/>
      <x:c r="H72" s="131"/>
      <x:c r="I72" s="131"/>
      <x:c r="J72" s="131"/>
      <x:c r="K72" s="125"/>
      <x:c r="L72" s="125"/>
      <x:c r="M72" s="125"/>
      <x:c r="N72" s="125"/>
      <x:c r="O72" s="125"/>
      <x:c r="P72" s="125"/>
      <x:c r="Q72" s="125"/>
    </x:row>
    <x:row r="73">
      <x:c r="A73" s="131"/>
      <x:c r="B73" s="131"/>
      <x:c r="C73" s="131"/>
      <x:c r="D73" s="131"/>
      <x:c r="E73" s="131"/>
      <x:c r="F73" s="131"/>
      <x:c r="G73" s="131"/>
      <x:c r="H73" s="131"/>
      <x:c r="I73" s="131"/>
      <x:c r="J73" s="131"/>
      <x:c r="K73" s="125"/>
      <x:c r="L73" s="125"/>
      <x:c r="M73" s="125"/>
      <x:c r="N73" s="125"/>
      <x:c r="O73" s="125"/>
      <x:c r="P73" s="125"/>
      <x:c r="Q73" s="125"/>
    </x:row>
    <x:row r="74">
      <x:c r="A74" s="131"/>
      <x:c r="B74" s="131"/>
      <x:c r="C74" s="131"/>
      <x:c r="D74" s="131"/>
      <x:c r="E74" s="131"/>
      <x:c r="F74" s="131"/>
      <x:c r="G74" s="131"/>
      <x:c r="H74" s="131"/>
      <x:c r="I74" s="131"/>
      <x:c r="J74" s="131"/>
      <x:c r="K74" s="125"/>
      <x:c r="L74" s="125"/>
      <x:c r="M74" s="125"/>
      <x:c r="N74" s="125"/>
      <x:c r="O74" s="125"/>
      <x:c r="P74" s="125"/>
      <x:c r="Q74" s="125"/>
    </x:row>
    <x:row r="75">
      <x:c r="A75" s="131"/>
      <x:c r="B75" s="131"/>
      <x:c r="C75" s="131"/>
      <x:c r="D75" s="131"/>
      <x:c r="E75" s="131"/>
      <x:c r="F75" s="131"/>
      <x:c r="G75" s="131"/>
      <x:c r="H75" s="131"/>
      <x:c r="I75" s="131"/>
      <x:c r="J75" s="131"/>
      <x:c r="K75" s="125"/>
      <x:c r="L75" s="125"/>
      <x:c r="M75" s="125"/>
      <x:c r="N75" s="125"/>
      <x:c r="O75" s="125"/>
      <x:c r="P75" s="125"/>
      <x:c r="Q75" s="125"/>
    </x:row>
    <x:row r="76">
      <x:c r="A76" s="131"/>
      <x:c r="B76" s="131"/>
      <x:c r="C76" s="131"/>
      <x:c r="D76" s="131"/>
      <x:c r="E76" s="131"/>
      <x:c r="F76" s="131"/>
      <x:c r="G76" s="131"/>
      <x:c r="H76" s="131"/>
      <x:c r="I76" s="131"/>
      <x:c r="J76" s="131"/>
      <x:c r="K76" s="125"/>
      <x:c r="L76" s="125"/>
      <x:c r="M76" s="125"/>
      <x:c r="N76" s="125"/>
      <x:c r="O76" s="125"/>
      <x:c r="P76" s="125"/>
      <x:c r="Q76" s="125"/>
    </x:row>
    <x:row r="77">
      <x:c r="A77" s="131"/>
      <x:c r="B77" s="131"/>
      <x:c r="C77" s="131"/>
      <x:c r="D77" s="131"/>
      <x:c r="E77" s="131"/>
      <x:c r="F77" s="131"/>
      <x:c r="G77" s="131"/>
      <x:c r="H77" s="131"/>
      <x:c r="I77" s="131"/>
      <x:c r="J77" s="131"/>
      <x:c r="K77" s="125"/>
      <x:c r="L77" s="125"/>
      <x:c r="M77" s="125"/>
      <x:c r="N77" s="125"/>
      <x:c r="O77" s="125"/>
      <x:c r="P77" s="125"/>
      <x:c r="Q77" s="125"/>
    </x:row>
    <x:row r="78">
      <x:c r="A78" s="131"/>
      <x:c r="B78" s="131"/>
      <x:c r="C78" s="131"/>
      <x:c r="D78" s="131"/>
      <x:c r="E78" s="131"/>
      <x:c r="F78" s="131"/>
      <x:c r="G78" s="131"/>
      <x:c r="H78" s="131"/>
      <x:c r="I78" s="131"/>
      <x:c r="J78" s="131"/>
      <x:c r="K78" s="125"/>
      <x:c r="L78" s="125"/>
      <x:c r="M78" s="125"/>
      <x:c r="N78" s="125"/>
      <x:c r="O78" s="125"/>
      <x:c r="P78" s="125"/>
      <x:c r="Q78" s="125"/>
    </x:row>
    <x:row r="79">
      <x:c r="A79" s="131"/>
      <x:c r="B79" s="131"/>
      <x:c r="C79" s="131"/>
      <x:c r="D79" s="131"/>
      <x:c r="E79" s="131"/>
      <x:c r="F79" s="131"/>
      <x:c r="G79" s="131"/>
      <x:c r="H79" s="131"/>
      <x:c r="I79" s="131"/>
      <x:c r="J79" s="131"/>
      <x:c r="K79" s="125"/>
      <x:c r="L79" s="125"/>
      <x:c r="M79" s="125"/>
      <x:c r="N79" s="125"/>
      <x:c r="O79" s="125"/>
      <x:c r="P79" s="125"/>
      <x:c r="Q79" s="125"/>
    </x:row>
    <x:row r="80">
      <x:c r="A80" s="131"/>
      <x:c r="B80" s="131"/>
      <x:c r="C80" s="131"/>
      <x:c r="D80" s="131"/>
      <x:c r="E80" s="131"/>
      <x:c r="F80" s="131"/>
      <x:c r="G80" s="131"/>
      <x:c r="H80" s="131"/>
      <x:c r="I80" s="131"/>
      <x:c r="J80" s="131"/>
      <x:c r="K80" s="125"/>
      <x:c r="L80" s="125"/>
      <x:c r="M80" s="125"/>
      <x:c r="N80" s="125"/>
      <x:c r="O80" s="125"/>
      <x:c r="P80" s="125"/>
      <x:c r="Q80" s="125"/>
    </x:row>
    <x:row r="81">
      <x:c r="A81" s="131"/>
      <x:c r="B81" s="131"/>
      <x:c r="C81" s="131"/>
      <x:c r="D81" s="131"/>
      <x:c r="E81" s="131"/>
      <x:c r="F81" s="131"/>
      <x:c r="G81" s="131"/>
      <x:c r="H81" s="131"/>
      <x:c r="I81" s="131"/>
      <x:c r="J81" s="131"/>
      <x:c r="K81" s="125"/>
      <x:c r="L81" s="125"/>
      <x:c r="M81" s="125"/>
      <x:c r="N81" s="125"/>
      <x:c r="O81" s="125"/>
      <x:c r="P81" s="125"/>
      <x:c r="Q81" s="125"/>
    </x:row>
    <x:row r="82">
      <x:c r="A82" s="131"/>
      <x:c r="B82" s="131"/>
      <x:c r="C82" s="131"/>
      <x:c r="D82" s="131"/>
      <x:c r="E82" s="131"/>
      <x:c r="F82" s="131"/>
      <x:c r="G82" s="131"/>
      <x:c r="H82" s="131"/>
      <x:c r="I82" s="131"/>
      <x:c r="J82" s="131"/>
      <x:c r="K82" s="125"/>
      <x:c r="L82" s="125"/>
      <x:c r="M82" s="125"/>
      <x:c r="N82" s="125"/>
      <x:c r="O82" s="125"/>
      <x:c r="P82" s="125"/>
      <x:c r="Q82" s="125"/>
    </x:row>
    <x:row r="83">
      <x:c r="A83" s="131"/>
      <x:c r="B83" s="131"/>
      <x:c r="C83" s="131"/>
      <x:c r="D83" s="131"/>
      <x:c r="E83" s="131"/>
      <x:c r="F83" s="131"/>
      <x:c r="G83" s="131"/>
      <x:c r="H83" s="131"/>
      <x:c r="I83" s="131"/>
      <x:c r="J83" s="131"/>
      <x:c r="K83" s="125"/>
      <x:c r="L83" s="125"/>
      <x:c r="M83" s="125"/>
      <x:c r="N83" s="125"/>
      <x:c r="O83" s="125"/>
      <x:c r="P83" s="125"/>
      <x:c r="Q83" s="125"/>
    </x:row>
    <x:row r="84">
      <x:c r="A84" s="131"/>
      <x:c r="B84" s="131"/>
      <x:c r="C84" s="131"/>
      <x:c r="D84" s="131"/>
      <x:c r="E84" s="131"/>
      <x:c r="F84" s="131"/>
      <x:c r="G84" s="131"/>
      <x:c r="H84" s="131"/>
      <x:c r="I84" s="131"/>
      <x:c r="J84" s="131"/>
      <x:c r="K84" s="125"/>
      <x:c r="L84" s="125"/>
      <x:c r="M84" s="125"/>
      <x:c r="N84" s="125"/>
      <x:c r="O84" s="125"/>
      <x:c r="P84" s="125"/>
      <x:c r="Q84" s="125"/>
    </x:row>
    <x:row r="85">
      <x:c r="A85" s="131"/>
      <x:c r="B85" s="131"/>
      <x:c r="C85" s="131"/>
      <x:c r="D85" s="131"/>
      <x:c r="E85" s="131"/>
      <x:c r="F85" s="131"/>
      <x:c r="G85" s="131"/>
      <x:c r="H85" s="131"/>
      <x:c r="I85" s="131"/>
      <x:c r="J85" s="131"/>
      <x:c r="K85" s="125"/>
      <x:c r="L85" s="125"/>
      <x:c r="M85" s="125"/>
      <x:c r="N85" s="125"/>
      <x:c r="O85" s="125"/>
      <x:c r="P85" s="125"/>
      <x:c r="Q85" s="125"/>
    </x:row>
    <x:row r="86">
      <x:c r="A86" s="131"/>
      <x:c r="B86" s="131"/>
      <x:c r="C86" s="131"/>
      <x:c r="D86" s="131"/>
      <x:c r="E86" s="131"/>
      <x:c r="F86" s="131"/>
      <x:c r="G86" s="131"/>
      <x:c r="H86" s="131"/>
      <x:c r="I86" s="131"/>
      <x:c r="J86" s="131"/>
      <x:c r="K86" s="125"/>
      <x:c r="L86" s="125"/>
      <x:c r="M86" s="125"/>
      <x:c r="N86" s="125"/>
      <x:c r="O86" s="125"/>
      <x:c r="P86" s="125"/>
      <x:c r="Q86" s="125"/>
    </x:row>
    <x:row r="87">
      <x:c r="A87" s="131"/>
      <x:c r="B87" s="131"/>
      <x:c r="C87" s="131"/>
      <x:c r="D87" s="131"/>
      <x:c r="E87" s="131"/>
      <x:c r="F87" s="131"/>
      <x:c r="G87" s="131"/>
      <x:c r="H87" s="131"/>
      <x:c r="I87" s="131"/>
      <x:c r="J87" s="131"/>
      <x:c r="K87" s="125"/>
      <x:c r="L87" s="125"/>
      <x:c r="M87" s="125"/>
      <x:c r="N87" s="125"/>
      <x:c r="O87" s="125"/>
      <x:c r="P87" s="125"/>
      <x:c r="Q87" s="125"/>
    </x:row>
    <x:row r="88">
      <x:c r="A88" s="131"/>
      <x:c r="B88" s="131"/>
      <x:c r="C88" s="131"/>
      <x:c r="D88" s="131"/>
      <x:c r="E88" s="131"/>
      <x:c r="F88" s="131"/>
      <x:c r="G88" s="131"/>
      <x:c r="H88" s="131"/>
      <x:c r="I88" s="131"/>
      <x:c r="J88" s="131"/>
      <x:c r="K88" s="125"/>
      <x:c r="L88" s="125"/>
      <x:c r="M88" s="125"/>
      <x:c r="N88" s="125"/>
      <x:c r="O88" s="125"/>
      <x:c r="P88" s="125"/>
      <x:c r="Q88" s="125"/>
    </x:row>
    <x:row r="89">
      <x:c r="A89" s="131"/>
      <x:c r="B89" s="131"/>
      <x:c r="C89" s="131"/>
      <x:c r="D89" s="131"/>
      <x:c r="E89" s="131"/>
      <x:c r="F89" s="131"/>
      <x:c r="G89" s="131"/>
      <x:c r="H89" s="131"/>
      <x:c r="I89" s="131"/>
      <x:c r="J89" s="131"/>
      <x:c r="K89" s="125"/>
      <x:c r="L89" s="125"/>
      <x:c r="M89" s="125"/>
      <x:c r="N89" s="125"/>
      <x:c r="O89" s="125"/>
      <x:c r="P89" s="125"/>
      <x:c r="Q89" s="125"/>
    </x:row>
    <x:row r="90">
      <x:c r="A90" s="131"/>
      <x:c r="B90" s="131"/>
      <x:c r="C90" s="131"/>
      <x:c r="D90" s="131"/>
      <x:c r="E90" s="131"/>
      <x:c r="F90" s="131"/>
      <x:c r="G90" s="131"/>
      <x:c r="H90" s="131"/>
      <x:c r="I90" s="131"/>
      <x:c r="J90" s="131"/>
      <x:c r="K90" s="125"/>
      <x:c r="L90" s="125"/>
      <x:c r="M90" s="125"/>
      <x:c r="N90" s="125"/>
      <x:c r="O90" s="125"/>
      <x:c r="P90" s="125"/>
      <x:c r="Q90" s="125"/>
    </x:row>
    <x:row r="91">
      <x:c r="A91" s="131"/>
      <x:c r="B91" s="131"/>
      <x:c r="C91" s="131"/>
      <x:c r="D91" s="131"/>
      <x:c r="E91" s="131"/>
      <x:c r="F91" s="131"/>
      <x:c r="G91" s="131"/>
      <x:c r="H91" s="131"/>
      <x:c r="I91" s="131"/>
      <x:c r="J91" s="131"/>
      <x:c r="K91" s="125"/>
      <x:c r="L91" s="125"/>
      <x:c r="M91" s="125"/>
      <x:c r="N91" s="125"/>
      <x:c r="O91" s="125"/>
      <x:c r="P91" s="125"/>
      <x:c r="Q91" s="125"/>
    </x:row>
    <x:row r="92">
      <x:c r="A92" s="131"/>
      <x:c r="B92" s="131"/>
      <x:c r="C92" s="131"/>
      <x:c r="D92" s="131"/>
      <x:c r="E92" s="131"/>
      <x:c r="F92" s="131"/>
      <x:c r="G92" s="131"/>
      <x:c r="H92" s="131"/>
      <x:c r="I92" s="131"/>
      <x:c r="J92" s="131"/>
      <x:c r="K92" s="125"/>
      <x:c r="L92" s="125"/>
      <x:c r="M92" s="125"/>
      <x:c r="N92" s="125"/>
      <x:c r="O92" s="125"/>
      <x:c r="P92" s="125"/>
      <x:c r="Q92" s="125"/>
    </x:row>
    <x:row r="93">
      <x:c r="A93" s="131"/>
      <x:c r="B93" s="131"/>
      <x:c r="C93" s="131"/>
      <x:c r="D93" s="131"/>
      <x:c r="E93" s="131"/>
      <x:c r="F93" s="131"/>
      <x:c r="G93" s="131"/>
      <x:c r="H93" s="131"/>
      <x:c r="I93" s="131"/>
      <x:c r="J93" s="131"/>
      <x:c r="K93" s="125"/>
      <x:c r="L93" s="125"/>
      <x:c r="M93" s="125"/>
      <x:c r="N93" s="125"/>
      <x:c r="O93" s="125"/>
      <x:c r="P93" s="125"/>
      <x:c r="Q93" s="125"/>
    </x:row>
    <x:row r="94">
      <x:c r="A94" s="131"/>
      <x:c r="B94" s="131"/>
      <x:c r="C94" s="131"/>
      <x:c r="D94" s="131"/>
      <x:c r="E94" s="131"/>
      <x:c r="F94" s="131"/>
      <x:c r="G94" s="131"/>
      <x:c r="H94" s="131"/>
      <x:c r="I94" s="131"/>
      <x:c r="J94" s="131"/>
      <x:c r="K94" s="125"/>
      <x:c r="L94" s="125"/>
      <x:c r="M94" s="125"/>
      <x:c r="N94" s="125"/>
      <x:c r="O94" s="125"/>
      <x:c r="P94" s="125"/>
      <x:c r="Q94" s="125"/>
    </x:row>
    <x:row r="95">
      <x:c r="A95" s="131"/>
      <x:c r="B95" s="131"/>
      <x:c r="C95" s="131"/>
      <x:c r="D95" s="131"/>
      <x:c r="E95" s="131"/>
      <x:c r="F95" s="131"/>
      <x:c r="G95" s="131"/>
      <x:c r="H95" s="131"/>
      <x:c r="I95" s="131"/>
      <x:c r="J95" s="131"/>
      <x:c r="K95" s="125"/>
      <x:c r="L95" s="125"/>
      <x:c r="M95" s="125"/>
      <x:c r="N95" s="125"/>
      <x:c r="O95" s="125"/>
      <x:c r="P95" s="125"/>
      <x:c r="Q95" s="125"/>
    </x:row>
    <x:row r="96">
      <x:c r="A96" s="131"/>
      <x:c r="B96" s="131"/>
      <x:c r="C96" s="131"/>
      <x:c r="D96" s="131"/>
      <x:c r="E96" s="131"/>
      <x:c r="F96" s="131"/>
      <x:c r="G96" s="131"/>
      <x:c r="H96" s="131"/>
      <x:c r="I96" s="131"/>
      <x:c r="J96" s="131"/>
      <x:c r="K96" s="125"/>
      <x:c r="L96" s="125"/>
      <x:c r="M96" s="125"/>
      <x:c r="N96" s="125"/>
      <x:c r="O96" s="125"/>
      <x:c r="P96" s="125"/>
      <x:c r="Q96" s="125"/>
    </x:row>
    <x:row r="97">
      <x:c r="A97" s="131"/>
      <x:c r="B97" s="131"/>
      <x:c r="C97" s="131"/>
      <x:c r="D97" s="131"/>
      <x:c r="E97" s="131"/>
      <x:c r="F97" s="131"/>
      <x:c r="G97" s="131"/>
      <x:c r="H97" s="131"/>
      <x:c r="I97" s="131"/>
      <x:c r="J97" s="131"/>
      <x:c r="K97" s="125"/>
      <x:c r="L97" s="125"/>
      <x:c r="M97" s="125"/>
      <x:c r="N97" s="125"/>
      <x:c r="O97" s="125"/>
      <x:c r="P97" s="125"/>
      <x:c r="Q97" s="125"/>
    </x:row>
    <x:row r="98">
      <x:c r="A98" s="131"/>
      <x:c r="B98" s="131"/>
      <x:c r="C98" s="131"/>
      <x:c r="D98" s="131"/>
      <x:c r="E98" s="131"/>
      <x:c r="F98" s="131"/>
      <x:c r="G98" s="131"/>
      <x:c r="H98" s="131"/>
      <x:c r="I98" s="131"/>
      <x:c r="J98" s="131"/>
      <x:c r="K98" s="125"/>
      <x:c r="L98" s="125"/>
      <x:c r="M98" s="125"/>
      <x:c r="N98" s="125"/>
      <x:c r="O98" s="125"/>
      <x:c r="P98" s="125"/>
      <x:c r="Q98" s="125"/>
    </x:row>
    <x:row r="99">
      <x:c r="A99" s="131"/>
      <x:c r="B99" s="131"/>
      <x:c r="C99" s="131"/>
      <x:c r="D99" s="131"/>
      <x:c r="E99" s="131"/>
      <x:c r="F99" s="131"/>
      <x:c r="G99" s="131"/>
      <x:c r="H99" s="131"/>
      <x:c r="I99" s="131"/>
      <x:c r="J99" s="131"/>
      <x:c r="K99" s="125"/>
      <x:c r="L99" s="125"/>
      <x:c r="M99" s="125"/>
      <x:c r="N99" s="125"/>
      <x:c r="O99" s="125"/>
      <x:c r="P99" s="125"/>
      <x:c r="Q99" s="125"/>
    </x:row>
    <x:row r="100">
      <x:c r="A100" s="131"/>
      <x:c r="B100" s="131"/>
      <x:c r="C100" s="131"/>
      <x:c r="D100" s="131"/>
      <x:c r="E100" s="131"/>
      <x:c r="F100" s="131"/>
      <x:c r="G100" s="131"/>
      <x:c r="H100" s="131"/>
      <x:c r="I100" s="131"/>
      <x:c r="J100" s="131"/>
      <x:c r="K100" s="125"/>
      <x:c r="L100" s="125"/>
      <x:c r="M100" s="125"/>
      <x:c r="N100" s="125"/>
      <x:c r="O100" s="125"/>
      <x:c r="P100" s="125"/>
      <x:c r="Q100" s="125"/>
    </x:row>
    <x:row r="101">
      <x:c r="A101" s="131"/>
      <x:c r="B101" s="131"/>
      <x:c r="C101" s="131"/>
      <x:c r="D101" s="131"/>
      <x:c r="E101" s="131"/>
      <x:c r="F101" s="131"/>
      <x:c r="G101" s="131"/>
      <x:c r="H101" s="131"/>
      <x:c r="I101" s="131"/>
      <x:c r="J101" s="131"/>
      <x:c r="K101" s="125"/>
      <x:c r="L101" s="125"/>
      <x:c r="M101" s="125"/>
      <x:c r="N101" s="125"/>
      <x:c r="O101" s="125"/>
      <x:c r="P101" s="125"/>
      <x:c r="Q101" s="125"/>
    </x:row>
    <x:row r="102">
      <x:c r="A102" s="131"/>
      <x:c r="B102" s="131"/>
      <x:c r="C102" s="131"/>
      <x:c r="D102" s="131"/>
      <x:c r="E102" s="131"/>
      <x:c r="F102" s="131"/>
      <x:c r="G102" s="131"/>
      <x:c r="H102" s="131"/>
      <x:c r="I102" s="131"/>
      <x:c r="J102" s="131"/>
      <x:c r="K102" s="125"/>
      <x:c r="L102" s="125"/>
      <x:c r="M102" s="125"/>
      <x:c r="N102" s="125"/>
      <x:c r="O102" s="125"/>
      <x:c r="P102" s="125"/>
      <x:c r="Q102" s="125"/>
    </x:row>
    <x:row r="103">
      <x:c r="A103" s="131"/>
      <x:c r="B103" s="131"/>
      <x:c r="C103" s="131"/>
      <x:c r="D103" s="131"/>
      <x:c r="E103" s="131"/>
      <x:c r="F103" s="131"/>
      <x:c r="G103" s="131"/>
      <x:c r="H103" s="131"/>
      <x:c r="I103" s="131"/>
      <x:c r="J103" s="131"/>
      <x:c r="K103" s="125"/>
      <x:c r="L103" s="125"/>
      <x:c r="M103" s="125"/>
      <x:c r="N103" s="125"/>
      <x:c r="O103" s="125"/>
      <x:c r="P103" s="125"/>
      <x:c r="Q103" s="125"/>
    </x:row>
    <x:row r="104">
      <x:c r="A104" s="131"/>
      <x:c r="B104" s="131"/>
      <x:c r="C104" s="131"/>
      <x:c r="D104" s="131"/>
      <x:c r="E104" s="131"/>
      <x:c r="F104" s="131"/>
      <x:c r="G104" s="131"/>
      <x:c r="H104" s="131"/>
      <x:c r="I104" s="131"/>
      <x:c r="J104" s="131"/>
      <x:c r="K104" s="125"/>
      <x:c r="L104" s="125"/>
      <x:c r="M104" s="125"/>
      <x:c r="N104" s="125"/>
      <x:c r="O104" s="125"/>
      <x:c r="P104" s="125"/>
      <x:c r="Q104" s="125"/>
    </x:row>
    <x:row r="105">
      <x:c r="A105" s="131"/>
      <x:c r="B105" s="131"/>
      <x:c r="C105" s="131"/>
      <x:c r="D105" s="131"/>
      <x:c r="E105" s="131"/>
      <x:c r="F105" s="131"/>
      <x:c r="G105" s="131"/>
      <x:c r="H105" s="131"/>
      <x:c r="I105" s="131"/>
      <x:c r="J105" s="131"/>
      <x:c r="K105" s="125"/>
      <x:c r="L105" s="125"/>
      <x:c r="M105" s="125"/>
      <x:c r="N105" s="125"/>
      <x:c r="O105" s="125"/>
      <x:c r="P105" s="125"/>
      <x:c r="Q105" s="125"/>
    </x:row>
    <x:row r="106">
      <x:c r="A106" s="131"/>
      <x:c r="B106" s="131"/>
      <x:c r="C106" s="131"/>
      <x:c r="D106" s="131"/>
      <x:c r="E106" s="131"/>
      <x:c r="F106" s="131"/>
      <x:c r="G106" s="131"/>
      <x:c r="H106" s="131"/>
      <x:c r="I106" s="131"/>
      <x:c r="J106" s="131"/>
      <x:c r="K106" s="125"/>
      <x:c r="L106" s="125"/>
      <x:c r="M106" s="125"/>
      <x:c r="N106" s="125"/>
      <x:c r="O106" s="125"/>
      <x:c r="P106" s="125"/>
      <x:c r="Q106" s="125"/>
    </x:row>
    <x:row r="107">
      <x:c r="A107" s="131"/>
      <x:c r="B107" s="131"/>
      <x:c r="C107" s="131"/>
      <x:c r="D107" s="131"/>
      <x:c r="E107" s="131"/>
      <x:c r="F107" s="131"/>
      <x:c r="G107" s="131"/>
      <x:c r="H107" s="131"/>
      <x:c r="I107" s="131"/>
      <x:c r="J107" s="131"/>
      <x:c r="K107" s="125"/>
      <x:c r="L107" s="125"/>
      <x:c r="M107" s="125"/>
      <x:c r="N107" s="125"/>
      <x:c r="O107" s="125"/>
      <x:c r="P107" s="125"/>
      <x:c r="Q107" s="125"/>
    </x:row>
    <x:row r="108">
      <x:c r="A108" s="131"/>
      <x:c r="B108" s="131"/>
      <x:c r="C108" s="131"/>
      <x:c r="D108" s="131"/>
      <x:c r="E108" s="131"/>
      <x:c r="F108" s="131"/>
      <x:c r="G108" s="131"/>
      <x:c r="H108" s="131"/>
      <x:c r="I108" s="131"/>
      <x:c r="J108" s="131"/>
      <x:c r="K108" s="125"/>
      <x:c r="L108" s="125"/>
      <x:c r="M108" s="125"/>
      <x:c r="N108" s="125"/>
      <x:c r="O108" s="125"/>
      <x:c r="P108" s="125"/>
      <x:c r="Q108" s="125"/>
    </x:row>
    <x:row r="109">
      <x:c r="A109" s="131"/>
      <x:c r="B109" s="131"/>
      <x:c r="C109" s="131"/>
      <x:c r="D109" s="131"/>
      <x:c r="E109" s="131"/>
      <x:c r="F109" s="131"/>
      <x:c r="G109" s="131"/>
      <x:c r="H109" s="131"/>
      <x:c r="I109" s="131"/>
      <x:c r="J109" s="131"/>
      <x:c r="K109" s="125"/>
      <x:c r="L109" s="125"/>
      <x:c r="M109" s="125"/>
      <x:c r="N109" s="125"/>
      <x:c r="O109" s="125"/>
      <x:c r="P109" s="125"/>
      <x:c r="Q109" s="125"/>
    </x:row>
    <x:row r="110">
      <x:c r="A110" s="131"/>
      <x:c r="B110" s="131"/>
      <x:c r="C110" s="131"/>
      <x:c r="D110" s="131"/>
      <x:c r="E110" s="131"/>
      <x:c r="F110" s="131"/>
      <x:c r="G110" s="131"/>
      <x:c r="H110" s="131"/>
      <x:c r="I110" s="131"/>
      <x:c r="J110" s="131"/>
      <x:c r="K110" s="125"/>
      <x:c r="L110" s="125"/>
      <x:c r="M110" s="125"/>
      <x:c r="N110" s="125"/>
      <x:c r="O110" s="125"/>
      <x:c r="P110" s="125"/>
      <x:c r="Q110" s="125"/>
    </x:row>
    <x:row r="111">
      <x:c r="A111" s="131"/>
      <x:c r="B111" s="131"/>
      <x:c r="C111" s="131"/>
      <x:c r="D111" s="131"/>
      <x:c r="E111" s="131"/>
      <x:c r="F111" s="131"/>
      <x:c r="G111" s="131"/>
      <x:c r="H111" s="131"/>
      <x:c r="I111" s="131"/>
      <x:c r="J111" s="131"/>
      <x:c r="K111" s="125"/>
      <x:c r="L111" s="125"/>
      <x:c r="M111" s="125"/>
      <x:c r="N111" s="125"/>
      <x:c r="O111" s="125"/>
      <x:c r="P111" s="125"/>
      <x:c r="Q111" s="125"/>
    </x:row>
    <x:row r="112">
      <x:c r="A112" s="131"/>
      <x:c r="B112" s="131"/>
      <x:c r="C112" s="131"/>
      <x:c r="D112" s="131"/>
      <x:c r="E112" s="131"/>
      <x:c r="F112" s="131"/>
      <x:c r="G112" s="131"/>
      <x:c r="H112" s="131"/>
      <x:c r="I112" s="131"/>
      <x:c r="J112" s="131"/>
      <x:c r="K112" s="125"/>
      <x:c r="L112" s="125"/>
      <x:c r="M112" s="125"/>
      <x:c r="N112" s="125"/>
      <x:c r="O112" s="125"/>
      <x:c r="P112" s="125"/>
      <x:c r="Q112" s="125"/>
    </x:row>
    <x:row r="113">
      <x:c r="A113" s="131"/>
      <x:c r="B113" s="131"/>
      <x:c r="C113" s="131"/>
      <x:c r="D113" s="131"/>
      <x:c r="E113" s="131"/>
      <x:c r="F113" s="131"/>
      <x:c r="G113" s="131"/>
      <x:c r="H113" s="131"/>
      <x:c r="I113" s="131"/>
      <x:c r="J113" s="131"/>
      <x:c r="K113" s="125"/>
      <x:c r="L113" s="125"/>
      <x:c r="M113" s="125"/>
      <x:c r="N113" s="125"/>
      <x:c r="O113" s="125"/>
      <x:c r="P113" s="125"/>
      <x:c r="Q113" s="125"/>
    </x:row>
    <x:row r="114">
      <x:c r="A114" s="131"/>
      <x:c r="B114" s="131"/>
      <x:c r="C114" s="131"/>
      <x:c r="D114" s="131"/>
      <x:c r="E114" s="131"/>
      <x:c r="F114" s="131"/>
      <x:c r="G114" s="131"/>
      <x:c r="H114" s="131"/>
      <x:c r="I114" s="131"/>
      <x:c r="J114" s="131"/>
      <x:c r="K114" s="125"/>
      <x:c r="L114" s="125"/>
      <x:c r="M114" s="125"/>
      <x:c r="N114" s="125"/>
      <x:c r="O114" s="125"/>
      <x:c r="P114" s="125"/>
      <x:c r="Q114" s="125"/>
    </x:row>
    <x:row r="115">
      <x:c r="A115" s="131"/>
      <x:c r="B115" s="131"/>
      <x:c r="C115" s="131"/>
      <x:c r="D115" s="131"/>
      <x:c r="E115" s="131"/>
      <x:c r="F115" s="131"/>
      <x:c r="G115" s="131"/>
      <x:c r="H115" s="131"/>
      <x:c r="I115" s="131"/>
      <x:c r="J115" s="131"/>
      <x:c r="K115" s="125"/>
      <x:c r="L115" s="125"/>
      <x:c r="M115" s="125"/>
      <x:c r="N115" s="125"/>
      <x:c r="O115" s="125"/>
      <x:c r="P115" s="125"/>
      <x:c r="Q115" s="125"/>
    </x:row>
    <x:row r="116">
      <x:c r="A116" s="131"/>
      <x:c r="B116" s="131"/>
      <x:c r="C116" s="131"/>
      <x:c r="D116" s="131"/>
      <x:c r="E116" s="131"/>
      <x:c r="F116" s="131"/>
      <x:c r="G116" s="131"/>
      <x:c r="H116" s="131"/>
      <x:c r="I116" s="131"/>
      <x:c r="J116" s="131"/>
      <x:c r="K116" s="125"/>
      <x:c r="L116" s="125"/>
      <x:c r="M116" s="125"/>
      <x:c r="N116" s="125"/>
      <x:c r="O116" s="125"/>
      <x:c r="P116" s="125"/>
      <x:c r="Q116" s="125"/>
    </x:row>
    <x:row r="117">
      <x:c r="A117" s="131"/>
      <x:c r="B117" s="131"/>
      <x:c r="C117" s="131"/>
      <x:c r="D117" s="131"/>
      <x:c r="E117" s="131"/>
      <x:c r="F117" s="131"/>
      <x:c r="G117" s="131"/>
      <x:c r="H117" s="131"/>
      <x:c r="I117" s="131"/>
      <x:c r="J117" s="131"/>
      <x:c r="K117" s="125"/>
      <x:c r="L117" s="125"/>
      <x:c r="M117" s="125"/>
      <x:c r="N117" s="125"/>
      <x:c r="O117" s="125"/>
      <x:c r="P117" s="125"/>
      <x:c r="Q117" s="125"/>
    </x:row>
    <x:row r="118">
      <x:c r="A118" s="131"/>
      <x:c r="B118" s="131"/>
      <x:c r="C118" s="131"/>
      <x:c r="D118" s="131"/>
      <x:c r="E118" s="131"/>
      <x:c r="F118" s="131"/>
      <x:c r="G118" s="131"/>
      <x:c r="H118" s="131"/>
      <x:c r="I118" s="131"/>
      <x:c r="J118" s="131"/>
      <x:c r="K118" s="125"/>
      <x:c r="L118" s="125"/>
      <x:c r="M118" s="125"/>
      <x:c r="N118" s="125"/>
      <x:c r="O118" s="125"/>
      <x:c r="P118" s="125"/>
      <x:c r="Q118" s="125"/>
    </x:row>
    <x:row r="119">
      <x:c r="A119" s="131"/>
      <x:c r="B119" s="131"/>
      <x:c r="C119" s="131"/>
      <x:c r="D119" s="131"/>
      <x:c r="E119" s="131"/>
      <x:c r="F119" s="131"/>
      <x:c r="G119" s="131"/>
      <x:c r="H119" s="131"/>
      <x:c r="I119" s="131"/>
      <x:c r="J119" s="131"/>
      <x:c r="K119" s="125"/>
      <x:c r="L119" s="125"/>
      <x:c r="M119" s="125"/>
      <x:c r="N119" s="125"/>
      <x:c r="O119" s="125"/>
      <x:c r="P119" s="125"/>
      <x:c r="Q119" s="125"/>
    </x:row>
    <x:row r="120">
      <x:c r="A120" s="131"/>
      <x:c r="B120" s="131"/>
      <x:c r="C120" s="131"/>
      <x:c r="D120" s="131"/>
      <x:c r="E120" s="131"/>
      <x:c r="F120" s="131"/>
      <x:c r="G120" s="131"/>
      <x:c r="H120" s="131"/>
      <x:c r="I120" s="131"/>
      <x:c r="J120" s="131"/>
      <x:c r="K120" s="125"/>
      <x:c r="L120" s="125"/>
      <x:c r="M120" s="125"/>
      <x:c r="N120" s="125"/>
      <x:c r="O120" s="125"/>
      <x:c r="P120" s="125"/>
      <x:c r="Q120" s="125"/>
    </x:row>
    <x:row r="121">
      <x:c r="A121" s="131"/>
      <x:c r="B121" s="131"/>
      <x:c r="C121" s="131"/>
      <x:c r="D121" s="131"/>
      <x:c r="E121" s="131"/>
      <x:c r="F121" s="131"/>
      <x:c r="G121" s="131"/>
      <x:c r="H121" s="131"/>
      <x:c r="I121" s="131"/>
      <x:c r="J121" s="131"/>
      <x:c r="K121" s="125"/>
      <x:c r="L121" s="125"/>
      <x:c r="M121" s="125"/>
      <x:c r="N121" s="125"/>
      <x:c r="O121" s="125"/>
      <x:c r="P121" s="125"/>
      <x:c r="Q121" s="125"/>
    </x:row>
    <x:row r="122">
      <x:c r="A122" s="131"/>
      <x:c r="B122" s="131"/>
      <x:c r="C122" s="131"/>
      <x:c r="D122" s="131"/>
      <x:c r="E122" s="131"/>
      <x:c r="F122" s="131"/>
      <x:c r="G122" s="131"/>
      <x:c r="H122" s="131"/>
      <x:c r="I122" s="131"/>
      <x:c r="J122" s="131"/>
      <x:c r="K122" s="125"/>
      <x:c r="L122" s="125"/>
      <x:c r="M122" s="125"/>
      <x:c r="N122" s="125"/>
      <x:c r="O122" s="125"/>
      <x:c r="P122" s="125"/>
      <x:c r="Q122" s="125"/>
    </x:row>
    <x:row r="123">
      <x:c r="A123" s="131"/>
      <x:c r="B123" s="131"/>
      <x:c r="C123" s="131"/>
      <x:c r="D123" s="131"/>
      <x:c r="E123" s="131"/>
      <x:c r="F123" s="131"/>
      <x:c r="G123" s="131"/>
      <x:c r="H123" s="131"/>
      <x:c r="I123" s="131"/>
      <x:c r="J123" s="131"/>
      <x:c r="K123" s="125"/>
      <x:c r="L123" s="125"/>
      <x:c r="M123" s="125"/>
      <x:c r="N123" s="125"/>
      <x:c r="O123" s="125"/>
      <x:c r="P123" s="125"/>
      <x:c r="Q123" s="125"/>
    </x:row>
    <x:row r="124">
      <x:c r="A124" s="131"/>
      <x:c r="B124" s="131"/>
      <x:c r="C124" s="131"/>
      <x:c r="D124" s="131"/>
      <x:c r="E124" s="131"/>
      <x:c r="F124" s="131"/>
      <x:c r="G124" s="131"/>
      <x:c r="H124" s="131"/>
      <x:c r="I124" s="131"/>
      <x:c r="J124" s="131"/>
      <x:c r="K124" s="125"/>
      <x:c r="L124" s="125"/>
      <x:c r="M124" s="125"/>
      <x:c r="N124" s="125"/>
      <x:c r="O124" s="125"/>
      <x:c r="P124" s="125"/>
      <x:c r="Q124" s="125"/>
    </x:row>
    <x:row r="125">
      <x:c r="A125" s="131"/>
      <x:c r="B125" s="131"/>
      <x:c r="C125" s="131"/>
      <x:c r="D125" s="131"/>
      <x:c r="E125" s="131"/>
      <x:c r="F125" s="131"/>
      <x:c r="G125" s="131"/>
      <x:c r="H125" s="131"/>
      <x:c r="I125" s="131"/>
      <x:c r="J125" s="131"/>
      <x:c r="K125" s="125"/>
      <x:c r="L125" s="125"/>
      <x:c r="M125" s="125"/>
      <x:c r="N125" s="125"/>
      <x:c r="O125" s="125"/>
      <x:c r="P125" s="125"/>
      <x:c r="Q125" s="125"/>
    </x:row>
    <x:row r="126">
      <x:c r="A126" s="131"/>
      <x:c r="B126" s="131"/>
      <x:c r="C126" s="131"/>
      <x:c r="D126" s="131"/>
      <x:c r="E126" s="131"/>
      <x:c r="F126" s="131"/>
      <x:c r="G126" s="131"/>
      <x:c r="H126" s="131"/>
      <x:c r="I126" s="131"/>
      <x:c r="J126" s="131"/>
      <x:c r="K126" s="125"/>
      <x:c r="L126" s="125"/>
      <x:c r="M126" s="125"/>
      <x:c r="N126" s="125"/>
      <x:c r="O126" s="125"/>
      <x:c r="P126" s="125"/>
      <x:c r="Q126" s="125"/>
    </x:row>
    <x:row r="127">
      <x:c r="A127" s="131"/>
      <x:c r="B127" s="131"/>
      <x:c r="C127" s="131"/>
      <x:c r="D127" s="131"/>
      <x:c r="E127" s="131"/>
      <x:c r="F127" s="131"/>
      <x:c r="G127" s="131"/>
      <x:c r="H127" s="131"/>
      <x:c r="I127" s="131"/>
      <x:c r="J127" s="131"/>
      <x:c r="K127" s="125"/>
      <x:c r="L127" s="125"/>
      <x:c r="M127" s="125"/>
      <x:c r="N127" s="125"/>
      <x:c r="O127" s="125"/>
      <x:c r="P127" s="125"/>
      <x:c r="Q127" s="125"/>
    </x:row>
    <x:row r="128">
      <x:c r="A128" s="131"/>
      <x:c r="B128" s="131"/>
      <x:c r="C128" s="131"/>
      <x:c r="D128" s="131"/>
      <x:c r="E128" s="131"/>
      <x:c r="F128" s="131"/>
      <x:c r="G128" s="131"/>
      <x:c r="H128" s="131"/>
      <x:c r="I128" s="131"/>
      <x:c r="J128" s="131"/>
      <x:c r="K128" s="125"/>
      <x:c r="L128" s="125"/>
      <x:c r="M128" s="125"/>
      <x:c r="N128" s="125"/>
      <x:c r="O128" s="125"/>
      <x:c r="P128" s="125"/>
      <x:c r="Q128" s="125"/>
    </x:row>
    <x:row r="129">
      <x:c r="A129" s="131"/>
      <x:c r="B129" s="131"/>
      <x:c r="C129" s="131"/>
      <x:c r="D129" s="131"/>
      <x:c r="E129" s="131"/>
      <x:c r="F129" s="131"/>
      <x:c r="G129" s="131"/>
      <x:c r="H129" s="131"/>
      <x:c r="I129" s="131"/>
      <x:c r="J129" s="131"/>
      <x:c r="K129" s="125"/>
      <x:c r="L129" s="125"/>
      <x:c r="M129" s="125"/>
      <x:c r="N129" s="125"/>
      <x:c r="O129" s="125"/>
      <x:c r="P129" s="125"/>
      <x:c r="Q129" s="125"/>
    </x:row>
    <x:row r="130">
      <x:c r="A130" s="131"/>
      <x:c r="B130" s="131"/>
      <x:c r="C130" s="131"/>
      <x:c r="D130" s="131"/>
      <x:c r="E130" s="131"/>
      <x:c r="F130" s="131"/>
      <x:c r="G130" s="131"/>
      <x:c r="H130" s="131"/>
      <x:c r="I130" s="131"/>
      <x:c r="J130" s="131"/>
      <x:c r="K130" s="125"/>
      <x:c r="L130" s="125"/>
      <x:c r="M130" s="125"/>
      <x:c r="N130" s="125"/>
      <x:c r="O130" s="125"/>
      <x:c r="P130" s="125"/>
      <x:c r="Q130" s="125"/>
    </x:row>
    <x:row r="131">
      <x:c r="A131" s="131"/>
      <x:c r="B131" s="131"/>
      <x:c r="C131" s="131"/>
      <x:c r="D131" s="131"/>
      <x:c r="E131" s="131"/>
      <x:c r="F131" s="131"/>
      <x:c r="G131" s="131"/>
      <x:c r="H131" s="131"/>
      <x:c r="I131" s="131"/>
      <x:c r="J131" s="131"/>
      <x:c r="K131" s="125"/>
      <x:c r="L131" s="125"/>
      <x:c r="M131" s="125"/>
      <x:c r="N131" s="125"/>
      <x:c r="O131" s="125"/>
      <x:c r="P131" s="125"/>
      <x:c r="Q131" s="125"/>
    </x:row>
    <x:row r="132">
      <x:c r="A132" s="131"/>
      <x:c r="B132" s="131"/>
      <x:c r="C132" s="131"/>
      <x:c r="D132" s="131"/>
      <x:c r="E132" s="131"/>
      <x:c r="F132" s="131"/>
      <x:c r="G132" s="131"/>
      <x:c r="H132" s="131"/>
      <x:c r="I132" s="131"/>
      <x:c r="J132" s="131"/>
      <x:c r="K132" s="125"/>
      <x:c r="L132" s="125"/>
      <x:c r="M132" s="125"/>
      <x:c r="N132" s="125"/>
      <x:c r="O132" s="125"/>
      <x:c r="P132" s="125"/>
      <x:c r="Q132" s="125"/>
    </x:row>
    <x:row r="133">
      <x:c r="A133" s="131"/>
      <x:c r="B133" s="131"/>
      <x:c r="C133" s="131"/>
      <x:c r="D133" s="131"/>
      <x:c r="E133" s="131"/>
      <x:c r="F133" s="131"/>
      <x:c r="G133" s="131"/>
      <x:c r="H133" s="131"/>
      <x:c r="I133" s="131"/>
      <x:c r="J133" s="131"/>
      <x:c r="K133" s="125"/>
      <x:c r="L133" s="125"/>
      <x:c r="M133" s="125"/>
      <x:c r="N133" s="125"/>
      <x:c r="O133" s="125"/>
      <x:c r="P133" s="125"/>
      <x:c r="Q133" s="125"/>
    </x:row>
    <x:row r="134">
      <x:c r="A134" s="131"/>
      <x:c r="B134" s="131"/>
      <x:c r="C134" s="131"/>
      <x:c r="D134" s="131"/>
      <x:c r="E134" s="131"/>
      <x:c r="F134" s="131"/>
      <x:c r="G134" s="131"/>
      <x:c r="H134" s="131"/>
      <x:c r="I134" s="131"/>
      <x:c r="J134" s="131"/>
      <x:c r="K134" s="125"/>
      <x:c r="L134" s="125"/>
      <x:c r="M134" s="125"/>
      <x:c r="N134" s="125"/>
      <x:c r="O134" s="125"/>
      <x:c r="P134" s="125"/>
      <x:c r="Q134" s="125"/>
    </x:row>
    <x:row r="135">
      <x:c r="A135" s="131"/>
      <x:c r="B135" s="131"/>
      <x:c r="C135" s="131"/>
      <x:c r="D135" s="131"/>
      <x:c r="E135" s="131"/>
      <x:c r="F135" s="131"/>
      <x:c r="G135" s="131"/>
      <x:c r="H135" s="131"/>
      <x:c r="I135" s="131"/>
      <x:c r="J135" s="131"/>
      <x:c r="K135" s="125"/>
      <x:c r="L135" s="125"/>
      <x:c r="M135" s="125"/>
      <x:c r="N135" s="125"/>
      <x:c r="O135" s="125"/>
      <x:c r="P135" s="125"/>
      <x:c r="Q135" s="125"/>
    </x:row>
    <x:row r="136">
      <x:c r="A136" s="131"/>
      <x:c r="B136" s="131"/>
      <x:c r="C136" s="131"/>
      <x:c r="D136" s="131"/>
      <x:c r="E136" s="131"/>
      <x:c r="F136" s="131"/>
      <x:c r="G136" s="131"/>
      <x:c r="H136" s="131"/>
      <x:c r="I136" s="131"/>
      <x:c r="J136" s="131"/>
      <x:c r="K136" s="125"/>
      <x:c r="L136" s="125"/>
      <x:c r="M136" s="125"/>
      <x:c r="N136" s="125"/>
      <x:c r="O136" s="125"/>
      <x:c r="P136" s="125"/>
      <x:c r="Q136" s="125"/>
    </x:row>
    <x:row r="137">
      <x:c r="A137" s="131"/>
      <x:c r="B137" s="131"/>
      <x:c r="C137" s="131"/>
      <x:c r="D137" s="131"/>
      <x:c r="E137" s="131"/>
      <x:c r="F137" s="131"/>
      <x:c r="G137" s="131"/>
      <x:c r="H137" s="131"/>
      <x:c r="I137" s="131"/>
      <x:c r="J137" s="131"/>
      <x:c r="K137" s="125"/>
      <x:c r="L137" s="125"/>
      <x:c r="M137" s="125"/>
      <x:c r="N137" s="125"/>
      <x:c r="O137" s="125"/>
      <x:c r="P137" s="125"/>
      <x:c r="Q137" s="125"/>
    </x:row>
    <x:row r="138">
      <x:c r="A138" s="131"/>
      <x:c r="B138" s="131"/>
      <x:c r="C138" s="131"/>
      <x:c r="D138" s="131"/>
      <x:c r="E138" s="131"/>
      <x:c r="F138" s="131"/>
      <x:c r="G138" s="131"/>
      <x:c r="H138" s="131"/>
      <x:c r="I138" s="131"/>
      <x:c r="J138" s="131"/>
      <x:c r="K138" s="125"/>
      <x:c r="L138" s="125"/>
      <x:c r="M138" s="125"/>
      <x:c r="N138" s="125"/>
      <x:c r="O138" s="125"/>
      <x:c r="P138" s="125"/>
      <x:c r="Q138" s="125"/>
    </x:row>
    <x:row r="139">
      <x:c r="A139" s="131"/>
      <x:c r="B139" s="131"/>
      <x:c r="C139" s="131"/>
      <x:c r="D139" s="131"/>
      <x:c r="E139" s="131"/>
      <x:c r="F139" s="131"/>
      <x:c r="G139" s="131"/>
      <x:c r="H139" s="131"/>
      <x:c r="I139" s="131"/>
      <x:c r="J139" s="131"/>
      <x:c r="K139" s="125"/>
      <x:c r="L139" s="125"/>
      <x:c r="M139" s="125"/>
      <x:c r="N139" s="125"/>
      <x:c r="O139" s="125"/>
      <x:c r="P139" s="125"/>
      <x:c r="Q139" s="125"/>
    </x:row>
    <x:row r="140">
      <x:c r="A140" s="131"/>
      <x:c r="B140" s="131"/>
      <x:c r="C140" s="131"/>
      <x:c r="D140" s="131"/>
      <x:c r="E140" s="131"/>
      <x:c r="F140" s="131"/>
      <x:c r="G140" s="131"/>
      <x:c r="H140" s="131"/>
      <x:c r="I140" s="131"/>
      <x:c r="J140" s="131"/>
      <x:c r="K140" s="125"/>
      <x:c r="L140" s="125"/>
      <x:c r="M140" s="125"/>
      <x:c r="N140" s="125"/>
      <x:c r="O140" s="125"/>
      <x:c r="P140" s="125"/>
      <x:c r="Q140" s="125"/>
    </x:row>
    <x:row r="141">
      <x:c r="A141" s="131"/>
      <x:c r="B141" s="131"/>
      <x:c r="C141" s="131"/>
      <x:c r="D141" s="131"/>
      <x:c r="E141" s="131"/>
      <x:c r="F141" s="131"/>
      <x:c r="G141" s="131"/>
      <x:c r="H141" s="131"/>
      <x:c r="I141" s="131"/>
      <x:c r="J141" s="131"/>
      <x:c r="K141" s="125"/>
      <x:c r="L141" s="125"/>
      <x:c r="M141" s="125"/>
      <x:c r="N141" s="125"/>
      <x:c r="O141" s="125"/>
      <x:c r="P141" s="125"/>
      <x:c r="Q141" s="125"/>
    </x:row>
    <x:row r="142">
      <x:c r="A142" s="131"/>
      <x:c r="B142" s="131"/>
      <x:c r="C142" s="131"/>
      <x:c r="D142" s="131"/>
      <x:c r="E142" s="131"/>
      <x:c r="F142" s="131"/>
      <x:c r="G142" s="131"/>
      <x:c r="H142" s="131"/>
      <x:c r="I142" s="131"/>
      <x:c r="J142" s="131"/>
      <x:c r="K142" s="125"/>
      <x:c r="L142" s="125"/>
      <x:c r="M142" s="125"/>
      <x:c r="N142" s="125"/>
      <x:c r="O142" s="125"/>
      <x:c r="P142" s="125"/>
      <x:c r="Q142" s="125"/>
    </x:row>
    <x:row r="143">
      <x:c r="A143" s="131"/>
      <x:c r="B143" s="131"/>
      <x:c r="C143" s="131"/>
      <x:c r="D143" s="131"/>
      <x:c r="E143" s="131"/>
      <x:c r="F143" s="131"/>
      <x:c r="G143" s="131"/>
      <x:c r="H143" s="131"/>
      <x:c r="I143" s="131"/>
      <x:c r="J143" s="131"/>
      <x:c r="K143" s="125"/>
      <x:c r="L143" s="125"/>
      <x:c r="M143" s="125"/>
      <x:c r="N143" s="125"/>
      <x:c r="O143" s="125"/>
      <x:c r="P143" s="125"/>
      <x:c r="Q143" s="125"/>
    </x:row>
    <x:row r="144">
      <x:c r="A144" s="131"/>
      <x:c r="B144" s="131"/>
      <x:c r="C144" s="131"/>
      <x:c r="D144" s="131"/>
      <x:c r="E144" s="131"/>
      <x:c r="F144" s="131"/>
      <x:c r="G144" s="131"/>
      <x:c r="H144" s="131"/>
      <x:c r="I144" s="131"/>
      <x:c r="J144" s="131"/>
      <x:c r="K144" s="125"/>
      <x:c r="L144" s="125"/>
      <x:c r="M144" s="125"/>
      <x:c r="N144" s="125"/>
      <x:c r="O144" s="125"/>
      <x:c r="P144" s="125"/>
      <x:c r="Q144" s="125"/>
    </x:row>
    <x:row r="145">
      <x:c r="A145" s="131"/>
      <x:c r="B145" s="131"/>
      <x:c r="C145" s="131"/>
      <x:c r="D145" s="131"/>
      <x:c r="E145" s="131"/>
      <x:c r="F145" s="131"/>
      <x:c r="G145" s="131"/>
      <x:c r="H145" s="131"/>
      <x:c r="I145" s="131"/>
      <x:c r="J145" s="131"/>
      <x:c r="K145" s="125"/>
      <x:c r="L145" s="125"/>
      <x:c r="M145" s="125"/>
      <x:c r="N145" s="125"/>
      <x:c r="O145" s="125"/>
      <x:c r="P145" s="125"/>
      <x:c r="Q145" s="125"/>
    </x:row>
    <x:row r="146">
      <x:c r="A146" s="131"/>
      <x:c r="B146" s="131"/>
      <x:c r="C146" s="131"/>
      <x:c r="D146" s="131"/>
      <x:c r="E146" s="131"/>
      <x:c r="F146" s="131"/>
      <x:c r="G146" s="131"/>
      <x:c r="H146" s="131"/>
      <x:c r="I146" s="131"/>
      <x:c r="J146" s="131"/>
      <x:c r="K146" s="125"/>
      <x:c r="L146" s="125"/>
      <x:c r="M146" s="125"/>
      <x:c r="N146" s="125"/>
      <x:c r="O146" s="125"/>
      <x:c r="P146" s="125"/>
      <x:c r="Q146" s="125"/>
    </x:row>
    <x:row r="147">
      <x:c r="A147" s="131"/>
      <x:c r="B147" s="131"/>
      <x:c r="C147" s="131"/>
      <x:c r="D147" s="131"/>
      <x:c r="E147" s="131"/>
      <x:c r="F147" s="131"/>
      <x:c r="G147" s="131"/>
      <x:c r="H147" s="131"/>
      <x:c r="I147" s="131"/>
      <x:c r="J147" s="131"/>
      <x:c r="K147" s="125"/>
      <x:c r="L147" s="125"/>
      <x:c r="M147" s="125"/>
      <x:c r="N147" s="125"/>
      <x:c r="O147" s="125"/>
      <x:c r="P147" s="125"/>
      <x:c r="Q147" s="125"/>
    </x:row>
    <x:row r="148">
      <x:c r="A148" s="131"/>
      <x:c r="B148" s="131"/>
      <x:c r="C148" s="131"/>
      <x:c r="D148" s="131"/>
      <x:c r="E148" s="131"/>
      <x:c r="F148" s="131"/>
      <x:c r="G148" s="131"/>
      <x:c r="H148" s="131"/>
      <x:c r="I148" s="131"/>
      <x:c r="J148" s="131"/>
      <x:c r="K148" s="125"/>
      <x:c r="L148" s="125"/>
      <x:c r="M148" s="125"/>
      <x:c r="N148" s="125"/>
      <x:c r="O148" s="125"/>
      <x:c r="P148" s="125"/>
      <x:c r="Q148" s="125"/>
    </x:row>
    <x:row r="149">
      <x:c r="A149" s="131"/>
      <x:c r="B149" s="131"/>
      <x:c r="C149" s="131"/>
      <x:c r="D149" s="131"/>
      <x:c r="E149" s="131"/>
      <x:c r="F149" s="131"/>
      <x:c r="G149" s="131"/>
      <x:c r="H149" s="131"/>
      <x:c r="I149" s="131"/>
      <x:c r="J149" s="131"/>
      <x:c r="K149" s="125"/>
      <x:c r="L149" s="125"/>
      <x:c r="M149" s="125"/>
      <x:c r="N149" s="125"/>
      <x:c r="O149" s="125"/>
      <x:c r="P149" s="125"/>
      <x:c r="Q149" s="125"/>
    </x:row>
    <x:row r="150">
      <x:c r="A150" s="131"/>
      <x:c r="B150" s="131"/>
      <x:c r="C150" s="131"/>
      <x:c r="D150" s="131"/>
      <x:c r="E150" s="131"/>
      <x:c r="F150" s="131"/>
      <x:c r="G150" s="131"/>
      <x:c r="H150" s="131"/>
      <x:c r="I150" s="131"/>
      <x:c r="J150" s="131"/>
      <x:c r="K150" s="125"/>
      <x:c r="L150" s="125"/>
      <x:c r="M150" s="125"/>
      <x:c r="N150" s="125"/>
      <x:c r="O150" s="125"/>
      <x:c r="P150" s="125"/>
      <x:c r="Q150" s="125"/>
    </x:row>
    <x:row r="151">
      <x:c r="A151" s="131"/>
      <x:c r="B151" s="131"/>
      <x:c r="C151" s="131"/>
      <x:c r="D151" s="131"/>
      <x:c r="E151" s="131"/>
      <x:c r="F151" s="131"/>
      <x:c r="G151" s="131"/>
      <x:c r="H151" s="131"/>
      <x:c r="I151" s="131"/>
      <x:c r="J151" s="131"/>
      <x:c r="K151" s="125"/>
      <x:c r="L151" s="125"/>
      <x:c r="M151" s="125"/>
      <x:c r="N151" s="125"/>
      <x:c r="O151" s="125"/>
      <x:c r="P151" s="125"/>
      <x:c r="Q151" s="125"/>
    </x:row>
    <x:row r="152">
      <x:c r="A152" s="131"/>
      <x:c r="B152" s="131"/>
      <x:c r="C152" s="131"/>
      <x:c r="D152" s="131"/>
      <x:c r="E152" s="131"/>
      <x:c r="F152" s="131"/>
      <x:c r="G152" s="131"/>
      <x:c r="H152" s="131"/>
      <x:c r="I152" s="131"/>
      <x:c r="J152" s="131"/>
      <x:c r="K152" s="125"/>
      <x:c r="L152" s="125"/>
      <x:c r="M152" s="125"/>
      <x:c r="N152" s="125"/>
      <x:c r="O152" s="125"/>
      <x:c r="P152" s="125"/>
      <x:c r="Q152" s="125"/>
    </x:row>
    <x:row r="153">
      <x:c r="A153" s="131"/>
      <x:c r="B153" s="131"/>
      <x:c r="C153" s="131"/>
      <x:c r="D153" s="131"/>
      <x:c r="E153" s="131"/>
      <x:c r="F153" s="131"/>
      <x:c r="G153" s="131"/>
      <x:c r="H153" s="131"/>
      <x:c r="I153" s="131"/>
      <x:c r="J153" s="131"/>
      <x:c r="K153" s="125"/>
      <x:c r="L153" s="125"/>
      <x:c r="M153" s="125"/>
      <x:c r="N153" s="125"/>
      <x:c r="O153" s="125"/>
      <x:c r="P153" s="125"/>
      <x:c r="Q153" s="125"/>
    </x:row>
    <x:row r="154">
      <x:c r="A154" s="131"/>
      <x:c r="B154" s="131"/>
      <x:c r="C154" s="131"/>
      <x:c r="D154" s="131"/>
      <x:c r="E154" s="131"/>
      <x:c r="F154" s="131"/>
      <x:c r="G154" s="131"/>
      <x:c r="H154" s="131"/>
      <x:c r="I154" s="131"/>
      <x:c r="J154" s="131"/>
      <x:c r="K154" s="125"/>
      <x:c r="L154" s="125"/>
      <x:c r="M154" s="125"/>
      <x:c r="N154" s="125"/>
      <x:c r="O154" s="125"/>
      <x:c r="P154" s="125"/>
      <x:c r="Q154" s="125"/>
    </x:row>
    <x:row r="155">
      <x:c r="A155" s="131"/>
      <x:c r="B155" s="131"/>
      <x:c r="C155" s="131"/>
      <x:c r="D155" s="131"/>
      <x:c r="E155" s="131"/>
      <x:c r="F155" s="131"/>
      <x:c r="G155" s="131"/>
      <x:c r="H155" s="131"/>
      <x:c r="I155" s="131"/>
      <x:c r="J155" s="131"/>
      <x:c r="K155" s="125"/>
      <x:c r="L155" s="125"/>
      <x:c r="M155" s="125"/>
      <x:c r="N155" s="125"/>
      <x:c r="O155" s="125"/>
      <x:c r="P155" s="125"/>
      <x:c r="Q155" s="125"/>
    </x:row>
    <x:row r="156">
      <x:c r="A156" s="131"/>
      <x:c r="B156" s="131"/>
      <x:c r="C156" s="131"/>
      <x:c r="D156" s="131"/>
      <x:c r="E156" s="131"/>
      <x:c r="F156" s="131"/>
      <x:c r="G156" s="131"/>
      <x:c r="H156" s="131"/>
      <x:c r="I156" s="131"/>
      <x:c r="J156" s="131"/>
      <x:c r="K156" s="125"/>
      <x:c r="L156" s="125"/>
      <x:c r="M156" s="125"/>
      <x:c r="N156" s="125"/>
      <x:c r="O156" s="125"/>
      <x:c r="P156" s="125"/>
      <x:c r="Q156" s="125"/>
    </x:row>
    <x:row r="157">
      <x:c r="A157" s="131"/>
      <x:c r="B157" s="131"/>
      <x:c r="C157" s="131"/>
      <x:c r="D157" s="131"/>
      <x:c r="E157" s="131"/>
      <x:c r="F157" s="131"/>
      <x:c r="G157" s="131"/>
      <x:c r="H157" s="131"/>
      <x:c r="I157" s="131"/>
      <x:c r="J157" s="131"/>
      <x:c r="K157" s="125"/>
      <x:c r="L157" s="125"/>
      <x:c r="M157" s="125"/>
      <x:c r="N157" s="125"/>
      <x:c r="O157" s="125"/>
      <x:c r="P157" s="125"/>
      <x:c r="Q157" s="125"/>
    </x:row>
    <x:row r="158">
      <x:c r="A158" s="131"/>
      <x:c r="B158" s="131"/>
      <x:c r="C158" s="131"/>
      <x:c r="D158" s="131"/>
      <x:c r="E158" s="131"/>
      <x:c r="F158" s="131"/>
      <x:c r="G158" s="131"/>
      <x:c r="H158" s="131"/>
      <x:c r="I158" s="131"/>
      <x:c r="J158" s="131"/>
      <x:c r="K158" s="125"/>
      <x:c r="L158" s="125"/>
      <x:c r="M158" s="125"/>
      <x:c r="N158" s="125"/>
      <x:c r="O158" s="125"/>
      <x:c r="P158" s="125"/>
      <x:c r="Q158" s="125"/>
    </x:row>
    <x:row r="159">
      <x:c r="A159" s="131"/>
      <x:c r="B159" s="131"/>
      <x:c r="C159" s="131"/>
      <x:c r="D159" s="131"/>
      <x:c r="E159" s="131"/>
      <x:c r="F159" s="131"/>
      <x:c r="G159" s="131"/>
      <x:c r="H159" s="131"/>
      <x:c r="I159" s="131"/>
      <x:c r="J159" s="131"/>
      <x:c r="K159" s="125"/>
      <x:c r="L159" s="125"/>
      <x:c r="M159" s="125"/>
      <x:c r="N159" s="125"/>
      <x:c r="O159" s="125"/>
      <x:c r="P159" s="125"/>
      <x:c r="Q159" s="125"/>
    </x:row>
    <x:row r="160">
      <x:c r="A160" s="131"/>
      <x:c r="B160" s="131"/>
      <x:c r="C160" s="131"/>
      <x:c r="D160" s="131"/>
      <x:c r="E160" s="131"/>
      <x:c r="F160" s="131"/>
      <x:c r="G160" s="131"/>
      <x:c r="H160" s="131"/>
      <x:c r="I160" s="131"/>
      <x:c r="J160" s="131"/>
      <x:c r="K160" s="125"/>
      <x:c r="L160" s="125"/>
      <x:c r="M160" s="125"/>
      <x:c r="N160" s="125"/>
      <x:c r="O160" s="125"/>
      <x:c r="P160" s="125"/>
      <x:c r="Q160" s="125"/>
    </x:row>
    <x:row r="161">
      <x:c r="A161" s="131"/>
      <x:c r="B161" s="131"/>
      <x:c r="C161" s="131"/>
      <x:c r="D161" s="131"/>
      <x:c r="E161" s="131"/>
      <x:c r="F161" s="131"/>
      <x:c r="G161" s="131"/>
      <x:c r="H161" s="131"/>
      <x:c r="I161" s="131"/>
      <x:c r="J161" s="131"/>
      <x:c r="K161" s="125"/>
      <x:c r="L161" s="125"/>
      <x:c r="M161" s="125"/>
      <x:c r="N161" s="125"/>
      <x:c r="O161" s="125"/>
      <x:c r="P161" s="125"/>
      <x:c r="Q161" s="125"/>
    </x:row>
    <x:row r="162">
      <x:c r="A162" s="131"/>
      <x:c r="B162" s="131"/>
      <x:c r="C162" s="131"/>
      <x:c r="D162" s="131"/>
      <x:c r="E162" s="131"/>
      <x:c r="F162" s="131"/>
      <x:c r="G162" s="131"/>
      <x:c r="H162" s="131"/>
      <x:c r="I162" s="131"/>
      <x:c r="J162" s="131"/>
      <x:c r="K162" s="125"/>
      <x:c r="L162" s="125"/>
      <x:c r="M162" s="125"/>
      <x:c r="N162" s="125"/>
      <x:c r="O162" s="125"/>
      <x:c r="P162" s="125"/>
      <x:c r="Q162" s="125"/>
    </x:row>
    <x:row r="163">
      <x:c r="A163" s="131"/>
      <x:c r="B163" s="131"/>
      <x:c r="C163" s="131"/>
      <x:c r="D163" s="131"/>
      <x:c r="E163" s="131"/>
      <x:c r="F163" s="131"/>
      <x:c r="G163" s="131"/>
      <x:c r="H163" s="131"/>
      <x:c r="I163" s="131"/>
      <x:c r="J163" s="131"/>
      <x:c r="K163" s="125"/>
      <x:c r="L163" s="125"/>
      <x:c r="M163" s="125"/>
      <x:c r="N163" s="125"/>
      <x:c r="O163" s="125"/>
      <x:c r="P163" s="125"/>
      <x:c r="Q163" s="125"/>
    </x:row>
    <x:row r="164">
      <x:c r="A164" s="131"/>
      <x:c r="B164" s="131"/>
      <x:c r="C164" s="131"/>
      <x:c r="D164" s="131"/>
      <x:c r="E164" s="131"/>
      <x:c r="F164" s="131"/>
      <x:c r="G164" s="131"/>
      <x:c r="H164" s="131"/>
      <x:c r="I164" s="131"/>
      <x:c r="J164" s="131"/>
      <x:c r="K164" s="125"/>
      <x:c r="L164" s="125"/>
      <x:c r="M164" s="125"/>
      <x:c r="N164" s="125"/>
      <x:c r="O164" s="125"/>
      <x:c r="P164" s="125"/>
      <x:c r="Q164" s="125"/>
    </x:row>
    <x:row r="165">
      <x:c r="A165" s="131"/>
      <x:c r="B165" s="131"/>
      <x:c r="C165" s="131"/>
      <x:c r="D165" s="131"/>
      <x:c r="E165" s="131"/>
      <x:c r="F165" s="131"/>
      <x:c r="G165" s="131"/>
      <x:c r="H165" s="131"/>
      <x:c r="I165" s="131"/>
      <x:c r="J165" s="131"/>
      <x:c r="K165" s="125"/>
      <x:c r="L165" s="125"/>
      <x:c r="M165" s="125"/>
      <x:c r="N165" s="125"/>
      <x:c r="O165" s="125"/>
      <x:c r="P165" s="125"/>
      <x:c r="Q165" s="125"/>
    </x:row>
    <x:row r="166">
      <x:c r="A166" s="131"/>
      <x:c r="B166" s="131"/>
      <x:c r="C166" s="131"/>
      <x:c r="D166" s="131"/>
      <x:c r="E166" s="131"/>
      <x:c r="F166" s="131"/>
      <x:c r="G166" s="131"/>
      <x:c r="H166" s="131"/>
      <x:c r="I166" s="131"/>
      <x:c r="J166" s="131"/>
      <x:c r="K166" s="125"/>
      <x:c r="L166" s="125"/>
      <x:c r="M166" s="125"/>
      <x:c r="N166" s="125"/>
      <x:c r="O166" s="125"/>
      <x:c r="P166" s="125"/>
      <x:c r="Q166" s="125"/>
    </x:row>
    <x:row r="167">
      <x:c r="A167" s="131"/>
      <x:c r="B167" s="131"/>
      <x:c r="C167" s="131"/>
      <x:c r="D167" s="131"/>
      <x:c r="E167" s="131"/>
      <x:c r="F167" s="131"/>
      <x:c r="G167" s="131"/>
      <x:c r="H167" s="131"/>
      <x:c r="I167" s="131"/>
      <x:c r="J167" s="131"/>
      <x:c r="K167" s="125"/>
      <x:c r="L167" s="125"/>
      <x:c r="M167" s="125"/>
      <x:c r="N167" s="125"/>
      <x:c r="O167" s="125"/>
      <x:c r="P167" s="125"/>
      <x:c r="Q167" s="125"/>
    </x:row>
    <x:row r="168">
      <x:c r="A168" s="131"/>
      <x:c r="B168" s="131"/>
      <x:c r="C168" s="131"/>
      <x:c r="D168" s="131"/>
      <x:c r="E168" s="131"/>
      <x:c r="F168" s="131"/>
      <x:c r="G168" s="131"/>
      <x:c r="H168" s="131"/>
      <x:c r="I168" s="131"/>
      <x:c r="J168" s="131"/>
      <x:c r="K168" s="125"/>
      <x:c r="L168" s="125"/>
      <x:c r="M168" s="125"/>
      <x:c r="N168" s="125"/>
      <x:c r="O168" s="125"/>
      <x:c r="P168" s="125"/>
      <x:c r="Q168" s="125"/>
    </x:row>
    <x:row r="169">
      <x:c r="A169" s="131"/>
      <x:c r="B169" s="131"/>
      <x:c r="C169" s="131"/>
      <x:c r="D169" s="131"/>
      <x:c r="E169" s="131"/>
      <x:c r="F169" s="131"/>
      <x:c r="G169" s="131"/>
      <x:c r="H169" s="131"/>
      <x:c r="I169" s="131"/>
      <x:c r="J169" s="131"/>
      <x:c r="K169" s="125"/>
      <x:c r="L169" s="125"/>
      <x:c r="M169" s="125"/>
      <x:c r="N169" s="125"/>
      <x:c r="O169" s="125"/>
      <x:c r="P169" s="125"/>
      <x:c r="Q169" s="125"/>
    </x:row>
    <x:row r="170">
      <x:c r="A170" s="131"/>
      <x:c r="B170" s="131"/>
      <x:c r="C170" s="131"/>
      <x:c r="D170" s="131"/>
      <x:c r="E170" s="131"/>
      <x:c r="F170" s="131"/>
      <x:c r="G170" s="131"/>
      <x:c r="H170" s="131"/>
      <x:c r="I170" s="131"/>
      <x:c r="J170" s="131"/>
      <x:c r="K170" s="125"/>
      <x:c r="L170" s="125"/>
      <x:c r="M170" s="125"/>
      <x:c r="N170" s="125"/>
      <x:c r="O170" s="125"/>
      <x:c r="P170" s="125"/>
      <x:c r="Q170" s="125"/>
    </x:row>
    <x:row r="171">
      <x:c r="A171" s="131"/>
      <x:c r="B171" s="131"/>
      <x:c r="C171" s="131"/>
      <x:c r="D171" s="131"/>
      <x:c r="E171" s="131"/>
      <x:c r="F171" s="131"/>
      <x:c r="G171" s="131"/>
      <x:c r="H171" s="131"/>
      <x:c r="I171" s="131"/>
      <x:c r="J171" s="131"/>
      <x:c r="K171" s="125"/>
      <x:c r="L171" s="125"/>
      <x:c r="M171" s="125"/>
      <x:c r="N171" s="125"/>
      <x:c r="O171" s="125"/>
      <x:c r="P171" s="125"/>
      <x:c r="Q171" s="125"/>
    </x:row>
    <x:row r="172">
      <x:c r="A172" s="131"/>
      <x:c r="B172" s="131"/>
      <x:c r="C172" s="131"/>
      <x:c r="D172" s="131"/>
      <x:c r="E172" s="131"/>
      <x:c r="F172" s="131"/>
      <x:c r="G172" s="131"/>
      <x:c r="H172" s="131"/>
      <x:c r="I172" s="131"/>
      <x:c r="J172" s="131"/>
      <x:c r="K172" s="125"/>
      <x:c r="L172" s="125"/>
      <x:c r="M172" s="125"/>
      <x:c r="N172" s="125"/>
      <x:c r="O172" s="125"/>
      <x:c r="P172" s="125"/>
      <x:c r="Q172" s="125"/>
    </x:row>
    <x:row r="173">
      <x:c r="A173" s="131"/>
      <x:c r="B173" s="131"/>
      <x:c r="C173" s="131"/>
      <x:c r="D173" s="131"/>
      <x:c r="E173" s="131"/>
      <x:c r="F173" s="131"/>
      <x:c r="G173" s="131"/>
      <x:c r="H173" s="131"/>
      <x:c r="I173" s="131"/>
      <x:c r="J173" s="131"/>
      <x:c r="K173" s="125"/>
      <x:c r="L173" s="125"/>
      <x:c r="M173" s="125"/>
      <x:c r="N173" s="125"/>
      <x:c r="O173" s="125"/>
      <x:c r="P173" s="125"/>
      <x:c r="Q173" s="125"/>
    </x:row>
    <x:row r="174">
      <x:c r="A174" s="131"/>
      <x:c r="B174" s="131"/>
      <x:c r="C174" s="131"/>
      <x:c r="D174" s="131"/>
      <x:c r="E174" s="131"/>
      <x:c r="F174" s="131"/>
      <x:c r="G174" s="131"/>
      <x:c r="H174" s="131"/>
      <x:c r="I174" s="131"/>
      <x:c r="J174" s="131"/>
      <x:c r="K174" s="125"/>
      <x:c r="L174" s="125"/>
      <x:c r="M174" s="125"/>
      <x:c r="N174" s="125"/>
      <x:c r="O174" s="125"/>
      <x:c r="P174" s="125"/>
      <x:c r="Q174" s="125"/>
    </x:row>
    <x:row r="175">
      <x:c r="A175" s="131"/>
      <x:c r="B175" s="131"/>
      <x:c r="C175" s="131"/>
      <x:c r="D175" s="131"/>
      <x:c r="E175" s="131"/>
      <x:c r="F175" s="131"/>
      <x:c r="G175" s="131"/>
      <x:c r="H175" s="131"/>
      <x:c r="I175" s="131"/>
      <x:c r="J175" s="131"/>
      <x:c r="K175" s="125"/>
      <x:c r="L175" s="125"/>
      <x:c r="M175" s="125"/>
      <x:c r="N175" s="125"/>
      <x:c r="O175" s="125"/>
      <x:c r="P175" s="125"/>
      <x:c r="Q175" s="125"/>
    </x:row>
    <x:row r="176">
      <x:c r="A176" s="131"/>
      <x:c r="B176" s="131"/>
      <x:c r="C176" s="131"/>
      <x:c r="D176" s="131"/>
      <x:c r="E176" s="131"/>
      <x:c r="F176" s="131"/>
      <x:c r="G176" s="131"/>
      <x:c r="H176" s="131"/>
      <x:c r="I176" s="131"/>
      <x:c r="J176" s="131"/>
      <x:c r="K176" s="125"/>
      <x:c r="L176" s="125"/>
      <x:c r="M176" s="125"/>
      <x:c r="N176" s="125"/>
      <x:c r="O176" s="125"/>
      <x:c r="P176" s="125"/>
      <x:c r="Q176" s="125"/>
    </x:row>
    <x:row r="177">
      <x:c r="A177" s="131"/>
      <x:c r="B177" s="131"/>
      <x:c r="C177" s="131"/>
      <x:c r="D177" s="131"/>
      <x:c r="E177" s="131"/>
      <x:c r="F177" s="131"/>
      <x:c r="G177" s="131"/>
      <x:c r="H177" s="131"/>
      <x:c r="I177" s="131"/>
      <x:c r="J177" s="131"/>
      <x:c r="K177" s="125"/>
      <x:c r="L177" s="125"/>
      <x:c r="M177" s="125"/>
      <x:c r="N177" s="125"/>
      <x:c r="O177" s="125"/>
      <x:c r="P177" s="125"/>
      <x:c r="Q177" s="125"/>
    </x:row>
    <x:row r="178">
      <x:c r="A178" s="131"/>
      <x:c r="B178" s="131"/>
      <x:c r="C178" s="131"/>
      <x:c r="D178" s="131"/>
      <x:c r="E178" s="131"/>
      <x:c r="F178" s="131"/>
      <x:c r="G178" s="131"/>
      <x:c r="H178" s="131"/>
      <x:c r="I178" s="131"/>
      <x:c r="J178" s="131"/>
      <x:c r="K178" s="125"/>
      <x:c r="L178" s="125"/>
      <x:c r="M178" s="125"/>
      <x:c r="N178" s="125"/>
      <x:c r="O178" s="125"/>
      <x:c r="P178" s="125"/>
      <x:c r="Q178" s="125"/>
    </x:row>
    <x:row r="179">
      <x:c r="A179" s="131"/>
      <x:c r="B179" s="131"/>
      <x:c r="C179" s="131"/>
      <x:c r="D179" s="131"/>
      <x:c r="E179" s="131"/>
      <x:c r="F179" s="131"/>
      <x:c r="G179" s="131"/>
      <x:c r="H179" s="131"/>
      <x:c r="I179" s="131"/>
      <x:c r="J179" s="131"/>
      <x:c r="K179" s="125"/>
      <x:c r="L179" s="125"/>
      <x:c r="M179" s="125"/>
      <x:c r="N179" s="125"/>
      <x:c r="O179" s="125"/>
      <x:c r="P179" s="125"/>
      <x:c r="Q179" s="125"/>
    </x:row>
    <x:row r="180">
      <x:c r="A180" s="131"/>
      <x:c r="B180" s="131"/>
      <x:c r="C180" s="131"/>
      <x:c r="D180" s="131"/>
      <x:c r="E180" s="131"/>
      <x:c r="F180" s="131"/>
      <x:c r="G180" s="131"/>
      <x:c r="H180" s="131"/>
      <x:c r="I180" s="131"/>
      <x:c r="J180" s="131"/>
      <x:c r="K180" s="125"/>
      <x:c r="L180" s="125"/>
      <x:c r="M180" s="125"/>
      <x:c r="N180" s="125"/>
      <x:c r="O180" s="125"/>
      <x:c r="P180" s="125"/>
      <x:c r="Q180" s="125"/>
    </x:row>
    <x:row r="181">
      <x:c r="A181" s="131"/>
      <x:c r="B181" s="131"/>
      <x:c r="C181" s="131"/>
      <x:c r="D181" s="131"/>
      <x:c r="E181" s="131"/>
      <x:c r="F181" s="131"/>
      <x:c r="G181" s="131"/>
      <x:c r="H181" s="131"/>
      <x:c r="I181" s="131"/>
      <x:c r="J181" s="131"/>
      <x:c r="K181" s="125"/>
      <x:c r="L181" s="125"/>
      <x:c r="M181" s="125"/>
      <x:c r="N181" s="125"/>
      <x:c r="O181" s="125"/>
      <x:c r="P181" s="125"/>
      <x:c r="Q181" s="125"/>
    </x:row>
    <x:row r="182">
      <x:c r="A182" s="131"/>
      <x:c r="B182" s="131"/>
      <x:c r="C182" s="131"/>
      <x:c r="D182" s="131"/>
      <x:c r="E182" s="131"/>
      <x:c r="F182" s="131"/>
      <x:c r="G182" s="131"/>
      <x:c r="H182" s="131"/>
      <x:c r="I182" s="131"/>
      <x:c r="J182" s="131"/>
      <x:c r="K182" s="125"/>
      <x:c r="L182" s="125"/>
      <x:c r="M182" s="125"/>
      <x:c r="N182" s="125"/>
      <x:c r="O182" s="125"/>
      <x:c r="P182" s="125"/>
      <x:c r="Q182" s="125"/>
    </x:row>
    <x:row r="183">
      <x:c r="A183" s="131"/>
      <x:c r="B183" s="131"/>
      <x:c r="C183" s="131"/>
      <x:c r="D183" s="131"/>
      <x:c r="E183" s="131"/>
      <x:c r="F183" s="131"/>
      <x:c r="G183" s="131"/>
      <x:c r="H183" s="131"/>
      <x:c r="I183" s="131"/>
      <x:c r="J183" s="131"/>
      <x:c r="K183" s="125"/>
      <x:c r="L183" s="125"/>
      <x:c r="M183" s="125"/>
      <x:c r="N183" s="125"/>
      <x:c r="O183" s="125"/>
      <x:c r="P183" s="125"/>
      <x:c r="Q183" s="125"/>
    </x:row>
    <x:row r="184">
      <x:c r="A184" s="131"/>
      <x:c r="B184" s="131"/>
      <x:c r="C184" s="131"/>
      <x:c r="D184" s="131"/>
      <x:c r="E184" s="131"/>
      <x:c r="F184" s="131"/>
      <x:c r="G184" s="131"/>
      <x:c r="H184" s="131"/>
      <x:c r="I184" s="131"/>
      <x:c r="J184" s="131"/>
      <x:c r="K184" s="125"/>
      <x:c r="L184" s="125"/>
      <x:c r="M184" s="125"/>
      <x:c r="N184" s="125"/>
      <x:c r="O184" s="125"/>
      <x:c r="P184" s="125"/>
      <x:c r="Q184" s="125"/>
    </x:row>
    <x:row r="185">
      <x:c r="A185" s="131"/>
      <x:c r="B185" s="131"/>
      <x:c r="C185" s="131"/>
      <x:c r="D185" s="131"/>
      <x:c r="E185" s="131"/>
      <x:c r="F185" s="131"/>
      <x:c r="G185" s="131"/>
      <x:c r="H185" s="131"/>
      <x:c r="I185" s="131"/>
      <x:c r="J185" s="131"/>
      <x:c r="K185" s="125"/>
      <x:c r="L185" s="125"/>
      <x:c r="M185" s="125"/>
      <x:c r="N185" s="125"/>
      <x:c r="O185" s="125"/>
      <x:c r="P185" s="125"/>
      <x:c r="Q185" s="125"/>
    </x:row>
    <x:row r="186">
      <x:c r="A186" s="131"/>
      <x:c r="B186" s="131"/>
      <x:c r="C186" s="131"/>
      <x:c r="D186" s="131"/>
      <x:c r="E186" s="131"/>
      <x:c r="F186" s="131"/>
      <x:c r="G186" s="131"/>
      <x:c r="H186" s="131"/>
      <x:c r="I186" s="131"/>
      <x:c r="J186" s="131"/>
      <x:c r="K186" s="125"/>
      <x:c r="L186" s="125"/>
      <x:c r="M186" s="125"/>
      <x:c r="N186" s="125"/>
      <x:c r="O186" s="125"/>
      <x:c r="P186" s="125"/>
      <x:c r="Q186" s="125"/>
    </x:row>
    <x:row r="187">
      <x:c r="A187" s="131"/>
      <x:c r="B187" s="131"/>
      <x:c r="C187" s="131"/>
      <x:c r="D187" s="131"/>
      <x:c r="E187" s="131"/>
      <x:c r="F187" s="131"/>
      <x:c r="G187" s="131"/>
      <x:c r="H187" s="131"/>
      <x:c r="I187" s="131"/>
      <x:c r="J187" s="131"/>
      <x:c r="K187" s="125"/>
      <x:c r="L187" s="125"/>
      <x:c r="M187" s="125"/>
      <x:c r="N187" s="125"/>
      <x:c r="O187" s="125"/>
      <x:c r="P187" s="125"/>
      <x:c r="Q187" s="125"/>
    </x:row>
    <x:row r="188">
      <x:c r="A188" s="131"/>
      <x:c r="B188" s="131"/>
      <x:c r="C188" s="131"/>
      <x:c r="D188" s="131"/>
      <x:c r="E188" s="131"/>
      <x:c r="F188" s="131"/>
      <x:c r="G188" s="131"/>
      <x:c r="H188" s="131"/>
      <x:c r="I188" s="131"/>
      <x:c r="J188" s="131"/>
      <x:c r="K188" s="125"/>
      <x:c r="L188" s="125"/>
      <x:c r="M188" s="125"/>
      <x:c r="N188" s="125"/>
      <x:c r="O188" s="125"/>
      <x:c r="P188" s="125"/>
      <x:c r="Q188" s="125"/>
    </x:row>
    <x:row r="189">
      <x:c r="A189" s="131"/>
      <x:c r="B189" s="131"/>
      <x:c r="C189" s="131"/>
      <x:c r="D189" s="131"/>
      <x:c r="E189" s="131"/>
      <x:c r="F189" s="131"/>
      <x:c r="G189" s="131"/>
      <x:c r="H189" s="131"/>
      <x:c r="I189" s="131"/>
      <x:c r="J189" s="131"/>
      <x:c r="K189" s="125"/>
      <x:c r="L189" s="125"/>
      <x:c r="M189" s="125"/>
      <x:c r="N189" s="125"/>
      <x:c r="O189" s="125"/>
      <x:c r="P189" s="125"/>
      <x:c r="Q189" s="125"/>
    </x:row>
    <x:row r="190">
      <x:c r="A190" s="131"/>
      <x:c r="B190" s="131"/>
      <x:c r="C190" s="131"/>
      <x:c r="D190" s="131"/>
      <x:c r="E190" s="131"/>
      <x:c r="F190" s="131"/>
      <x:c r="G190" s="131"/>
      <x:c r="H190" s="131"/>
      <x:c r="I190" s="131"/>
      <x:c r="J190" s="131"/>
      <x:c r="K190" s="125"/>
      <x:c r="L190" s="125"/>
      <x:c r="M190" s="125"/>
      <x:c r="N190" s="125"/>
      <x:c r="O190" s="125"/>
      <x:c r="P190" s="125"/>
      <x:c r="Q190" s="125"/>
    </x:row>
    <x:row r="191">
      <x:c r="A191" s="131"/>
      <x:c r="B191" s="131"/>
      <x:c r="C191" s="131"/>
      <x:c r="D191" s="131"/>
      <x:c r="E191" s="131"/>
      <x:c r="F191" s="131"/>
      <x:c r="G191" s="131"/>
      <x:c r="H191" s="131"/>
      <x:c r="I191" s="131"/>
      <x:c r="J191" s="131"/>
      <x:c r="K191" s="125"/>
      <x:c r="L191" s="125"/>
      <x:c r="M191" s="125"/>
      <x:c r="N191" s="125"/>
      <x:c r="O191" s="125"/>
      <x:c r="P191" s="125"/>
      <x:c r="Q191" s="125"/>
    </x:row>
    <x:row r="192">
      <x:c r="A192" s="131"/>
      <x:c r="B192" s="131"/>
      <x:c r="C192" s="131"/>
      <x:c r="D192" s="131"/>
      <x:c r="E192" s="131"/>
      <x:c r="F192" s="131"/>
      <x:c r="G192" s="131"/>
      <x:c r="H192" s="131"/>
      <x:c r="I192" s="131"/>
      <x:c r="J192" s="131"/>
      <x:c r="K192" s="125"/>
      <x:c r="L192" s="125"/>
      <x:c r="M192" s="125"/>
      <x:c r="N192" s="125"/>
      <x:c r="O192" s="125"/>
      <x:c r="P192" s="125"/>
      <x:c r="Q192" s="125"/>
    </x:row>
    <x:row r="193">
      <x:c r="A193" s="131"/>
      <x:c r="B193" s="131"/>
      <x:c r="C193" s="131"/>
      <x:c r="D193" s="131"/>
      <x:c r="E193" s="131"/>
      <x:c r="F193" s="131"/>
      <x:c r="G193" s="131"/>
      <x:c r="H193" s="131"/>
      <x:c r="I193" s="131"/>
      <x:c r="J193" s="131"/>
      <x:c r="K193" s="125"/>
      <x:c r="L193" s="125"/>
      <x:c r="M193" s="125"/>
      <x:c r="N193" s="125"/>
      <x:c r="O193" s="125"/>
      <x:c r="P193" s="125"/>
      <x:c r="Q193" s="125"/>
    </x:row>
    <x:row r="194">
      <x:c r="A194" s="131"/>
      <x:c r="B194" s="131"/>
      <x:c r="C194" s="131"/>
      <x:c r="D194" s="131"/>
      <x:c r="E194" s="131"/>
      <x:c r="F194" s="131"/>
      <x:c r="G194" s="131"/>
      <x:c r="H194" s="131"/>
      <x:c r="I194" s="131"/>
      <x:c r="J194" s="131"/>
      <x:c r="K194" s="125"/>
      <x:c r="L194" s="125"/>
      <x:c r="M194" s="125"/>
      <x:c r="N194" s="125"/>
      <x:c r="O194" s="125"/>
      <x:c r="P194" s="125"/>
      <x:c r="Q194" s="125"/>
    </x:row>
    <x:row r="195">
      <x:c r="A195" s="131"/>
      <x:c r="B195" s="131"/>
      <x:c r="C195" s="131"/>
      <x:c r="D195" s="131"/>
      <x:c r="E195" s="131"/>
      <x:c r="F195" s="131"/>
      <x:c r="G195" s="131"/>
      <x:c r="H195" s="131"/>
      <x:c r="I195" s="131"/>
      <x:c r="J195" s="131"/>
      <x:c r="K195" s="125"/>
      <x:c r="L195" s="125"/>
      <x:c r="M195" s="125"/>
      <x:c r="N195" s="125"/>
      <x:c r="O195" s="125"/>
      <x:c r="P195" s="125"/>
      <x:c r="Q195" s="125"/>
    </x:row>
    <x:row r="196">
      <x:c r="A196" s="131"/>
      <x:c r="B196" s="131"/>
      <x:c r="C196" s="131"/>
      <x:c r="D196" s="131"/>
      <x:c r="E196" s="131"/>
      <x:c r="F196" s="131"/>
      <x:c r="G196" s="131"/>
      <x:c r="H196" s="131"/>
      <x:c r="I196" s="131"/>
      <x:c r="J196" s="131"/>
      <x:c r="K196" s="125"/>
      <x:c r="L196" s="125"/>
      <x:c r="M196" s="125"/>
      <x:c r="N196" s="125"/>
      <x:c r="O196" s="125"/>
      <x:c r="P196" s="125"/>
      <x:c r="Q196" s="125"/>
    </x:row>
    <x:row r="197">
      <x:c r="A197" s="131"/>
      <x:c r="B197" s="131"/>
      <x:c r="C197" s="131"/>
      <x:c r="D197" s="131"/>
      <x:c r="E197" s="131"/>
      <x:c r="F197" s="131"/>
      <x:c r="G197" s="131"/>
      <x:c r="H197" s="131"/>
      <x:c r="I197" s="131"/>
      <x:c r="J197" s="131"/>
      <x:c r="K197" s="125"/>
      <x:c r="L197" s="125"/>
      <x:c r="M197" s="125"/>
      <x:c r="N197" s="125"/>
      <x:c r="O197" s="125"/>
      <x:c r="P197" s="125"/>
      <x:c r="Q197" s="125"/>
    </x:row>
    <x:row r="198">
      <x:c r="A198" s="131"/>
      <x:c r="B198" s="131"/>
      <x:c r="C198" s="131"/>
      <x:c r="D198" s="131"/>
      <x:c r="E198" s="131"/>
      <x:c r="F198" s="131"/>
      <x:c r="G198" s="131"/>
      <x:c r="H198" s="131"/>
      <x:c r="I198" s="131"/>
      <x:c r="J198" s="131"/>
      <x:c r="K198" s="125"/>
      <x:c r="L198" s="125"/>
      <x:c r="M198" s="125"/>
      <x:c r="N198" s="125"/>
      <x:c r="O198" s="125"/>
      <x:c r="P198" s="125"/>
      <x:c r="Q198" s="125"/>
    </x:row>
    <x:row r="199">
      <x:c r="A199" s="131"/>
      <x:c r="B199" s="131"/>
      <x:c r="C199" s="131"/>
      <x:c r="D199" s="131"/>
      <x:c r="E199" s="131"/>
      <x:c r="F199" s="131"/>
      <x:c r="G199" s="131"/>
      <x:c r="H199" s="131"/>
      <x:c r="I199" s="131"/>
      <x:c r="J199" s="131"/>
      <x:c r="K199" s="125"/>
      <x:c r="L199" s="125"/>
      <x:c r="M199" s="125"/>
      <x:c r="N199" s="125"/>
      <x:c r="O199" s="125"/>
      <x:c r="P199" s="125"/>
      <x:c r="Q199" s="125"/>
    </x:row>
    <x:row r="200">
      <x:c r="A200" s="131"/>
      <x:c r="B200" s="131"/>
      <x:c r="C200" s="131"/>
      <x:c r="D200" s="131"/>
      <x:c r="E200" s="131"/>
      <x:c r="F200" s="131"/>
      <x:c r="G200" s="131"/>
      <x:c r="H200" s="131"/>
      <x:c r="I200" s="131"/>
      <x:c r="J200" s="131"/>
      <x:c r="K200" s="125"/>
      <x:c r="L200" s="125"/>
      <x:c r="M200" s="125"/>
      <x:c r="N200" s="125"/>
      <x:c r="O200" s="125"/>
      <x:c r="P200" s="125"/>
      <x:c r="Q200" s="125"/>
    </x:row>
    <x:row r="201">
      <x:c r="A201" s="131"/>
      <x:c r="B201" s="131"/>
      <x:c r="C201" s="131"/>
      <x:c r="D201" s="131"/>
      <x:c r="E201" s="131"/>
      <x:c r="F201" s="131"/>
      <x:c r="G201" s="131"/>
      <x:c r="H201" s="131"/>
      <x:c r="I201" s="131"/>
      <x:c r="J201" s="131"/>
      <x:c r="K201" s="125"/>
      <x:c r="L201" s="125"/>
      <x:c r="M201" s="125"/>
      <x:c r="N201" s="125"/>
      <x:c r="O201" s="125"/>
      <x:c r="P201" s="125"/>
      <x:c r="Q201" s="125"/>
    </x:row>
    <x:row r="202">
      <x:c r="A202" s="131"/>
      <x:c r="B202" s="131"/>
      <x:c r="C202" s="131"/>
      <x:c r="D202" s="131"/>
      <x:c r="E202" s="131"/>
      <x:c r="F202" s="131"/>
      <x:c r="G202" s="131"/>
      <x:c r="H202" s="131"/>
      <x:c r="I202" s="131"/>
      <x:c r="J202" s="131"/>
      <x:c r="K202" s="125"/>
      <x:c r="L202" s="125"/>
      <x:c r="M202" s="125"/>
      <x:c r="N202" s="125"/>
      <x:c r="O202" s="125"/>
      <x:c r="P202" s="125"/>
      <x:c r="Q202" s="125"/>
    </x:row>
    <x:row r="203">
      <x:c r="A203" s="131"/>
      <x:c r="B203" s="131"/>
      <x:c r="C203" s="131"/>
      <x:c r="D203" s="131"/>
      <x:c r="E203" s="131"/>
      <x:c r="F203" s="131"/>
      <x:c r="G203" s="131"/>
      <x:c r="H203" s="131"/>
      <x:c r="I203" s="131"/>
      <x:c r="J203" s="131"/>
      <x:c r="K203" s="125"/>
      <x:c r="L203" s="125"/>
      <x:c r="M203" s="125"/>
      <x:c r="N203" s="125"/>
      <x:c r="O203" s="125"/>
      <x:c r="P203" s="125"/>
      <x:c r="Q203" s="125"/>
    </x:row>
    <x:row r="204">
      <x:c r="A204" s="131"/>
      <x:c r="B204" s="131"/>
      <x:c r="C204" s="131"/>
      <x:c r="D204" s="131"/>
      <x:c r="E204" s="131"/>
      <x:c r="F204" s="131"/>
      <x:c r="G204" s="131"/>
      <x:c r="H204" s="131"/>
      <x:c r="I204" s="131"/>
      <x:c r="J204" s="131"/>
      <x:c r="K204" s="125"/>
      <x:c r="L204" s="125"/>
      <x:c r="M204" s="125"/>
      <x:c r="N204" s="125"/>
      <x:c r="O204" s="125"/>
      <x:c r="P204" s="125"/>
      <x:c r="Q204" s="125"/>
    </x:row>
    <x:row r="205">
      <x:c r="A205" s="131"/>
      <x:c r="B205" s="131"/>
      <x:c r="C205" s="131"/>
      <x:c r="D205" s="131"/>
      <x:c r="E205" s="131"/>
      <x:c r="F205" s="131"/>
      <x:c r="G205" s="131"/>
      <x:c r="H205" s="131"/>
      <x:c r="I205" s="131"/>
      <x:c r="J205" s="131"/>
      <x:c r="K205" s="125"/>
      <x:c r="L205" s="125"/>
      <x:c r="M205" s="125"/>
      <x:c r="N205" s="125"/>
      <x:c r="O205" s="125"/>
      <x:c r="P205" s="125"/>
      <x:c r="Q205" s="125"/>
    </x:row>
    <x:row r="206">
      <x:c r="A206" s="131"/>
      <x:c r="B206" s="131"/>
      <x:c r="C206" s="131"/>
      <x:c r="D206" s="131"/>
      <x:c r="E206" s="131"/>
      <x:c r="F206" s="131"/>
      <x:c r="G206" s="131"/>
      <x:c r="H206" s="131"/>
      <x:c r="I206" s="131"/>
      <x:c r="J206" s="131"/>
      <x:c r="K206" s="125"/>
      <x:c r="L206" s="125"/>
      <x:c r="M206" s="125"/>
      <x:c r="N206" s="125"/>
      <x:c r="O206" s="125"/>
      <x:c r="P206" s="125"/>
      <x:c r="Q206" s="125"/>
    </x:row>
    <x:row r="207">
      <x:c r="A207" s="125"/>
      <x:c r="B207" s="125"/>
      <x:c r="C207" s="125"/>
      <x:c r="D207" s="125"/>
      <x:c r="E207" s="125"/>
      <x:c r="F207" s="125"/>
      <x:c r="G207" s="125"/>
      <x:c r="H207" s="125"/>
      <x:c r="I207" s="125"/>
      <x:c r="J207" s="125"/>
      <x:c r="K207" s="125"/>
      <x:c r="L207" s="125"/>
      <x:c r="M207" s="125"/>
      <x:c r="N207" s="125"/>
      <x:c r="O207" s="125"/>
      <x:c r="P207" s="125"/>
      <x:c r="Q207" s="125"/>
    </x:row>
    <x:row r="208">
      <x:c r="A208" s="125"/>
      <x:c r="B208" s="125"/>
      <x:c r="C208" s="125"/>
      <x:c r="D208" s="125"/>
      <x:c r="E208" s="125"/>
      <x:c r="F208" s="125"/>
      <x:c r="G208" s="125"/>
      <x:c r="H208" s="125"/>
      <x:c r="I208" s="125"/>
      <x:c r="J208" s="125"/>
      <x:c r="K208" s="125"/>
      <x:c r="L208" s="125"/>
      <x:c r="M208" s="125"/>
      <x:c r="N208" s="125"/>
      <x:c r="O208" s="125"/>
      <x:c r="P208" s="125"/>
      <x:c r="Q208" s="125"/>
    </x:row>
    <x:row r="209">
      <x:c r="A209" s="125"/>
      <x:c r="B209" s="125"/>
      <x:c r="C209" s="125"/>
      <x:c r="D209" s="125"/>
      <x:c r="E209" s="125"/>
      <x:c r="F209" s="125"/>
      <x:c r="G209" s="125"/>
      <x:c r="H209" s="125"/>
      <x:c r="I209" s="125"/>
      <x:c r="J209" s="125"/>
      <x:c r="K209" s="125"/>
      <x:c r="L209" s="125"/>
      <x:c r="M209" s="125"/>
      <x:c r="N209" s="125"/>
      <x:c r="O209" s="125"/>
      <x:c r="P209" s="125"/>
      <x:c r="Q209" s="125"/>
    </x:row>
    <x:row r="210">
      <x:c r="A210" s="125"/>
      <x:c r="B210" s="125"/>
      <x:c r="C210" s="125"/>
      <x:c r="D210" s="125"/>
      <x:c r="E210" s="125"/>
      <x:c r="F210" s="125"/>
      <x:c r="G210" s="125"/>
      <x:c r="H210" s="125"/>
      <x:c r="I210" s="125"/>
      <x:c r="J210" s="125"/>
      <x:c r="K210" s="125"/>
      <x:c r="L210" s="125"/>
      <x:c r="M210" s="125"/>
      <x:c r="N210" s="125"/>
      <x:c r="O210" s="125"/>
      <x:c r="P210" s="125"/>
      <x:c r="Q210" s="125"/>
    </x:row>
    <x:row r="211">
      <x:c r="A211" s="125"/>
      <x:c r="B211" s="125"/>
      <x:c r="C211" s="125"/>
      <x:c r="D211" s="125"/>
      <x:c r="E211" s="125"/>
      <x:c r="F211" s="125"/>
      <x:c r="G211" s="125"/>
      <x:c r="H211" s="125"/>
      <x:c r="I211" s="125"/>
      <x:c r="J211" s="125"/>
      <x:c r="K211" s="125"/>
      <x:c r="L211" s="125"/>
      <x:c r="M211" s="125"/>
      <x:c r="N211" s="125"/>
      <x:c r="O211" s="125"/>
      <x:c r="P211" s="125"/>
      <x:c r="Q211" s="125"/>
    </x:row>
    <x:row r="212">
      <x:c r="A212" s="125"/>
      <x:c r="B212" s="125"/>
      <x:c r="C212" s="125"/>
      <x:c r="D212" s="125"/>
      <x:c r="E212" s="125"/>
      <x:c r="F212" s="125"/>
      <x:c r="G212" s="125"/>
      <x:c r="H212" s="125"/>
      <x:c r="I212" s="125"/>
      <x:c r="J212" s="125"/>
      <x:c r="K212" s="125"/>
      <x:c r="L212" s="125"/>
      <x:c r="M212" s="125"/>
      <x:c r="N212" s="125"/>
      <x:c r="O212" s="125"/>
      <x:c r="P212" s="125"/>
      <x:c r="Q212" s="125"/>
    </x:row>
    <x:row r="213">
      <x:c r="A213" s="125"/>
      <x:c r="B213" s="125"/>
      <x:c r="C213" s="125"/>
      <x:c r="D213" s="125"/>
      <x:c r="E213" s="125"/>
      <x:c r="F213" s="125"/>
      <x:c r="G213" s="125"/>
      <x:c r="H213" s="125"/>
      <x:c r="I213" s="125"/>
      <x:c r="J213" s="125"/>
      <x:c r="K213" s="125"/>
      <x:c r="L213" s="125"/>
      <x:c r="M213" s="125"/>
      <x:c r="N213" s="125"/>
      <x:c r="O213" s="125"/>
      <x:c r="P213" s="125"/>
      <x:c r="Q213" s="125"/>
    </x:row>
    <x:row r="214">
      <x:c r="A214" s="125"/>
      <x:c r="B214" s="125"/>
      <x:c r="C214" s="125"/>
      <x:c r="D214" s="125"/>
      <x:c r="E214" s="125"/>
      <x:c r="F214" s="125"/>
      <x:c r="G214" s="125"/>
      <x:c r="H214" s="125"/>
      <x:c r="I214" s="125"/>
      <x:c r="J214" s="125"/>
      <x:c r="K214" s="125"/>
      <x:c r="L214" s="125"/>
      <x:c r="M214" s="125"/>
      <x:c r="N214" s="125"/>
      <x:c r="O214" s="125"/>
      <x:c r="P214" s="125"/>
      <x:c r="Q214" s="125"/>
    </x:row>
    <x:row r="215">
      <x:c r="A215" s="125"/>
      <x:c r="B215" s="125"/>
      <x:c r="C215" s="125"/>
      <x:c r="D215" s="125"/>
      <x:c r="E215" s="125"/>
      <x:c r="F215" s="125"/>
      <x:c r="G215" s="125"/>
      <x:c r="H215" s="125"/>
      <x:c r="I215" s="125"/>
      <x:c r="J215" s="125"/>
      <x:c r="K215" s="125"/>
      <x:c r="L215" s="125"/>
      <x:c r="M215" s="125"/>
      <x:c r="N215" s="125"/>
      <x:c r="O215" s="125"/>
      <x:c r="P215" s="125"/>
      <x:c r="Q215" s="125"/>
    </x:row>
    <x:row r="216">
      <x:c r="A216" s="125"/>
      <x:c r="B216" s="125"/>
      <x:c r="C216" s="125"/>
      <x:c r="D216" s="125"/>
      <x:c r="E216" s="125"/>
      <x:c r="F216" s="125"/>
      <x:c r="G216" s="125"/>
      <x:c r="H216" s="125"/>
      <x:c r="I216" s="125"/>
      <x:c r="J216" s="125"/>
      <x:c r="K216" s="125"/>
      <x:c r="L216" s="125"/>
      <x:c r="M216" s="125"/>
      <x:c r="N216" s="125"/>
      <x:c r="O216" s="125"/>
      <x:c r="P216" s="125"/>
      <x:c r="Q216" s="125"/>
    </x:row>
    <x:row r="217">
      <x:c r="A217" s="125"/>
      <x:c r="B217" s="125"/>
      <x:c r="C217" s="125"/>
      <x:c r="D217" s="125"/>
      <x:c r="E217" s="125"/>
      <x:c r="F217" s="125"/>
      <x:c r="G217" s="125"/>
      <x:c r="H217" s="125"/>
      <x:c r="I217" s="125"/>
      <x:c r="J217" s="125"/>
      <x:c r="K217" s="125"/>
      <x:c r="L217" s="125"/>
      <x:c r="M217" s="125"/>
      <x:c r="N217" s="125"/>
      <x:c r="O217" s="125"/>
      <x:c r="P217" s="125"/>
      <x:c r="Q217" s="125"/>
    </x:row>
    <x:row r="218">
      <x:c r="A218" s="125"/>
      <x:c r="B218" s="125"/>
      <x:c r="C218" s="125"/>
      <x:c r="D218" s="125"/>
      <x:c r="E218" s="125"/>
      <x:c r="F218" s="125"/>
      <x:c r="G218" s="125"/>
      <x:c r="H218" s="125"/>
      <x:c r="I218" s="125"/>
      <x:c r="J218" s="125"/>
      <x:c r="K218" s="125"/>
      <x:c r="L218" s="125"/>
      <x:c r="M218" s="125"/>
      <x:c r="N218" s="125"/>
      <x:c r="O218" s="125"/>
      <x:c r="P218" s="125"/>
      <x:c r="Q218" s="125"/>
    </x:row>
    <x:row r="219">
      <x:c r="A219" s="125"/>
      <x:c r="B219" s="125"/>
      <x:c r="C219" s="125"/>
      <x:c r="D219" s="125"/>
      <x:c r="E219" s="125"/>
      <x:c r="F219" s="125"/>
      <x:c r="G219" s="125"/>
      <x:c r="H219" s="125"/>
      <x:c r="I219" s="125"/>
      <x:c r="J219" s="125"/>
      <x:c r="K219" s="125"/>
      <x:c r="L219" s="125"/>
      <x:c r="M219" s="125"/>
      <x:c r="N219" s="125"/>
      <x:c r="O219" s="125"/>
      <x:c r="P219" s="125"/>
      <x:c r="Q219" s="125"/>
    </x:row>
    <x:row r="220">
      <x:c r="A220" s="125"/>
      <x:c r="B220" s="125"/>
      <x:c r="C220" s="125"/>
      <x:c r="D220" s="125"/>
      <x:c r="E220" s="125"/>
      <x:c r="F220" s="125"/>
      <x:c r="G220" s="125"/>
      <x:c r="H220" s="125"/>
      <x:c r="I220" s="125"/>
      <x:c r="J220" s="125"/>
      <x:c r="K220" s="125"/>
      <x:c r="L220" s="125"/>
      <x:c r="M220" s="125"/>
      <x:c r="N220" s="125"/>
      <x:c r="O220" s="125"/>
      <x:c r="P220" s="125"/>
      <x:c r="Q220" s="125"/>
    </x:row>
    <x:row r="221">
      <x:c r="A221" s="125"/>
      <x:c r="B221" s="125"/>
      <x:c r="C221" s="125"/>
      <x:c r="D221" s="125"/>
      <x:c r="E221" s="125"/>
      <x:c r="F221" s="125"/>
      <x:c r="G221" s="125"/>
      <x:c r="H221" s="125"/>
      <x:c r="I221" s="125"/>
      <x:c r="J221" s="125"/>
      <x:c r="K221" s="125"/>
      <x:c r="L221" s="125"/>
      <x:c r="M221" s="125"/>
      <x:c r="N221" s="125"/>
      <x:c r="O221" s="125"/>
      <x:c r="P221" s="125"/>
      <x:c r="Q221" s="125"/>
    </x:row>
    <x:row r="222">
      <x:c r="A222" s="125"/>
      <x:c r="B222" s="125"/>
      <x:c r="C222" s="125"/>
      <x:c r="D222" s="125"/>
      <x:c r="E222" s="125"/>
      <x:c r="F222" s="125"/>
      <x:c r="G222" s="125"/>
      <x:c r="H222" s="125"/>
      <x:c r="I222" s="125"/>
      <x:c r="J222" s="125"/>
      <x:c r="K222" s="125"/>
      <x:c r="L222" s="125"/>
      <x:c r="M222" s="125"/>
      <x:c r="N222" s="125"/>
      <x:c r="O222" s="125"/>
      <x:c r="P222" s="125"/>
      <x:c r="Q222" s="125"/>
    </x:row>
    <x:row r="223">
      <x:c r="A223" s="125"/>
      <x:c r="B223" s="125"/>
      <x:c r="C223" s="125"/>
      <x:c r="D223" s="125"/>
      <x:c r="E223" s="125"/>
      <x:c r="F223" s="125"/>
      <x:c r="G223" s="125"/>
      <x:c r="H223" s="125"/>
      <x:c r="I223" s="125"/>
      <x:c r="J223" s="125"/>
      <x:c r="K223" s="125"/>
      <x:c r="L223" s="125"/>
      <x:c r="M223" s="125"/>
      <x:c r="N223" s="125"/>
      <x:c r="O223" s="125"/>
      <x:c r="P223" s="125"/>
      <x:c r="Q223" s="125"/>
    </x:row>
    <x:row r="224">
      <x:c r="A224" s="125"/>
      <x:c r="B224" s="125"/>
      <x:c r="C224" s="125"/>
      <x:c r="D224" s="125"/>
      <x:c r="E224" s="125"/>
      <x:c r="F224" s="125"/>
      <x:c r="G224" s="125"/>
      <x:c r="H224" s="125"/>
      <x:c r="I224" s="125"/>
      <x:c r="J224" s="125"/>
      <x:c r="K224" s="125"/>
      <x:c r="L224" s="125"/>
      <x:c r="M224" s="125"/>
      <x:c r="N224" s="125"/>
      <x:c r="O224" s="125"/>
      <x:c r="P224" s="125"/>
      <x:c r="Q224" s="125"/>
    </x:row>
    <x:row r="225">
      <x:c r="A225" s="125"/>
      <x:c r="B225" s="125"/>
      <x:c r="C225" s="125"/>
      <x:c r="D225" s="125"/>
      <x:c r="E225" s="125"/>
      <x:c r="F225" s="125"/>
      <x:c r="G225" s="125"/>
      <x:c r="H225" s="125"/>
      <x:c r="I225" s="125"/>
      <x:c r="J225" s="125"/>
      <x:c r="K225" s="125"/>
      <x:c r="L225" s="125"/>
      <x:c r="M225" s="125"/>
      <x:c r="N225" s="125"/>
      <x:c r="O225" s="125"/>
      <x:c r="P225" s="125"/>
      <x:c r="Q225" s="125"/>
    </x:row>
    <x:row r="226">
      <x:c r="A226" s="125"/>
      <x:c r="B226" s="125"/>
      <x:c r="C226" s="125"/>
      <x:c r="D226" s="125"/>
      <x:c r="E226" s="125"/>
      <x:c r="F226" s="125"/>
      <x:c r="G226" s="125"/>
      <x:c r="H226" s="125"/>
      <x:c r="I226" s="125"/>
      <x:c r="J226" s="125"/>
      <x:c r="K226" s="125"/>
      <x:c r="L226" s="125"/>
      <x:c r="M226" s="125"/>
      <x:c r="N226" s="125"/>
      <x:c r="O226" s="125"/>
      <x:c r="P226" s="125"/>
      <x:c r="Q226" s="125"/>
    </x:row>
    <x:row r="227">
      <x:c r="A227" s="125"/>
      <x:c r="B227" s="125"/>
      <x:c r="C227" s="125"/>
      <x:c r="D227" s="125"/>
      <x:c r="E227" s="125"/>
      <x:c r="F227" s="125"/>
      <x:c r="G227" s="125"/>
      <x:c r="H227" s="125"/>
      <x:c r="I227" s="125"/>
      <x:c r="J227" s="125"/>
      <x:c r="K227" s="125"/>
      <x:c r="L227" s="125"/>
      <x:c r="M227" s="125"/>
      <x:c r="N227" s="125"/>
      <x:c r="O227" s="125"/>
      <x:c r="P227" s="125"/>
      <x:c r="Q227" s="125"/>
    </x:row>
    <x:row r="228">
      <x:c r="A228" s="125"/>
      <x:c r="B228" s="125"/>
      <x:c r="C228" s="125"/>
      <x:c r="D228" s="125"/>
      <x:c r="E228" s="125"/>
      <x:c r="F228" s="125"/>
      <x:c r="G228" s="125"/>
      <x:c r="H228" s="125"/>
      <x:c r="I228" s="125"/>
      <x:c r="J228" s="125"/>
      <x:c r="K228" s="125"/>
      <x:c r="L228" s="125"/>
      <x:c r="M228" s="125"/>
      <x:c r="N228" s="125"/>
      <x:c r="O228" s="125"/>
      <x:c r="P228" s="125"/>
      <x:c r="Q228" s="125"/>
    </x:row>
    <x:row r="229">
      <x:c r="A229" s="125"/>
      <x:c r="B229" s="125"/>
      <x:c r="C229" s="125"/>
      <x:c r="D229" s="125"/>
      <x:c r="E229" s="125"/>
      <x:c r="F229" s="125"/>
      <x:c r="G229" s="125"/>
      <x:c r="H229" s="125"/>
      <x:c r="I229" s="125"/>
      <x:c r="J229" s="125"/>
      <x:c r="K229" s="125"/>
      <x:c r="L229" s="125"/>
      <x:c r="M229" s="125"/>
      <x:c r="N229" s="125"/>
      <x:c r="O229" s="125"/>
      <x:c r="P229" s="125"/>
      <x:c r="Q229" s="125"/>
    </x:row>
    <x:row r="230">
      <x:c r="A230" s="125"/>
      <x:c r="B230" s="125"/>
      <x:c r="C230" s="125"/>
      <x:c r="D230" s="125"/>
      <x:c r="E230" s="125"/>
      <x:c r="F230" s="125"/>
      <x:c r="G230" s="125"/>
      <x:c r="H230" s="125"/>
      <x:c r="I230" s="125"/>
      <x:c r="J230" s="125"/>
      <x:c r="K230" s="125"/>
      <x:c r="L230" s="125"/>
      <x:c r="M230" s="125"/>
      <x:c r="N230" s="125"/>
      <x:c r="O230" s="125"/>
      <x:c r="P230" s="125"/>
      <x:c r="Q230" s="125"/>
    </x:row>
    <x:row r="231">
      <x:c r="A231" s="125"/>
      <x:c r="B231" s="125"/>
      <x:c r="C231" s="125"/>
      <x:c r="D231" s="125"/>
      <x:c r="E231" s="125"/>
      <x:c r="F231" s="125"/>
      <x:c r="G231" s="125"/>
      <x:c r="H231" s="125"/>
      <x:c r="I231" s="125"/>
      <x:c r="J231" s="125"/>
      <x:c r="K231" s="125"/>
      <x:c r="L231" s="125"/>
      <x:c r="M231" s="125"/>
      <x:c r="N231" s="125"/>
      <x:c r="O231" s="125"/>
      <x:c r="P231" s="125"/>
      <x:c r="Q231" s="125"/>
    </x:row>
    <x:row r="232">
      <x:c r="A232" s="125"/>
      <x:c r="B232" s="125"/>
      <x:c r="C232" s="125"/>
      <x:c r="D232" s="125"/>
      <x:c r="E232" s="125"/>
      <x:c r="F232" s="125"/>
      <x:c r="G232" s="125"/>
      <x:c r="H232" s="125"/>
      <x:c r="I232" s="125"/>
      <x:c r="J232" s="125"/>
      <x:c r="K232" s="125"/>
      <x:c r="L232" s="125"/>
      <x:c r="M232" s="125"/>
      <x:c r="N232" s="125"/>
      <x:c r="O232" s="125"/>
      <x:c r="P232" s="125"/>
      <x:c r="Q232" s="125"/>
    </x:row>
    <x:row r="233">
      <x:c r="A233" s="125"/>
      <x:c r="B233" s="125"/>
      <x:c r="C233" s="125"/>
      <x:c r="D233" s="125"/>
      <x:c r="E233" s="125"/>
      <x:c r="F233" s="125"/>
      <x:c r="G233" s="125"/>
      <x:c r="H233" s="125"/>
      <x:c r="I233" s="125"/>
      <x:c r="J233" s="125"/>
      <x:c r="K233" s="125"/>
      <x:c r="L233" s="125"/>
      <x:c r="M233" s="125"/>
      <x:c r="N233" s="125"/>
      <x:c r="O233" s="125"/>
      <x:c r="P233" s="125"/>
      <x:c r="Q233" s="125"/>
    </x:row>
    <x:row r="234">
      <x:c r="A234" s="125"/>
      <x:c r="B234" s="125"/>
      <x:c r="C234" s="125"/>
      <x:c r="D234" s="125"/>
      <x:c r="E234" s="125"/>
      <x:c r="F234" s="125"/>
      <x:c r="G234" s="125"/>
      <x:c r="H234" s="125"/>
      <x:c r="I234" s="125"/>
      <x:c r="J234" s="125"/>
      <x:c r="K234" s="125"/>
      <x:c r="L234" s="125"/>
      <x:c r="M234" s="125"/>
      <x:c r="N234" s="125"/>
      <x:c r="O234" s="125"/>
      <x:c r="P234" s="125"/>
      <x:c r="Q234" s="125"/>
    </x:row>
    <x:row r="235">
      <x:c r="A235" s="125"/>
      <x:c r="B235" s="125"/>
      <x:c r="C235" s="125"/>
      <x:c r="D235" s="125"/>
      <x:c r="E235" s="125"/>
      <x:c r="F235" s="125"/>
      <x:c r="G235" s="125"/>
      <x:c r="H235" s="125"/>
      <x:c r="I235" s="125"/>
      <x:c r="J235" s="125"/>
      <x:c r="K235" s="125"/>
      <x:c r="L235" s="125"/>
      <x:c r="M235" s="125"/>
      <x:c r="N235" s="125"/>
      <x:c r="O235" s="125"/>
      <x:c r="P235" s="125"/>
      <x:c r="Q235" s="125"/>
    </x:row>
    <x:row r="236">
      <x:c r="A236" s="125"/>
      <x:c r="B236" s="125"/>
      <x:c r="C236" s="125"/>
      <x:c r="D236" s="125"/>
      <x:c r="E236" s="125"/>
      <x:c r="F236" s="125"/>
      <x:c r="G236" s="125"/>
      <x:c r="H236" s="125"/>
      <x:c r="I236" s="125"/>
      <x:c r="J236" s="125"/>
      <x:c r="K236" s="125"/>
      <x:c r="L236" s="125"/>
      <x:c r="M236" s="125"/>
      <x:c r="N236" s="125"/>
      <x:c r="O236" s="125"/>
      <x:c r="P236" s="125"/>
      <x:c r="Q236" s="125"/>
    </x:row>
    <x:row r="237">
      <x:c r="A237" s="125"/>
      <x:c r="B237" s="125"/>
      <x:c r="C237" s="125"/>
      <x:c r="D237" s="125"/>
      <x:c r="E237" s="125"/>
      <x:c r="F237" s="125"/>
      <x:c r="G237" s="125"/>
      <x:c r="H237" s="125"/>
      <x:c r="I237" s="125"/>
      <x:c r="J237" s="125"/>
      <x:c r="K237" s="125"/>
      <x:c r="L237" s="125"/>
      <x:c r="M237" s="125"/>
      <x:c r="N237" s="125"/>
      <x:c r="O237" s="125"/>
      <x:c r="P237" s="125"/>
      <x:c r="Q237" s="125"/>
    </x:row>
    <x:row r="238">
      <x:c r="A238" s="125"/>
      <x:c r="B238" s="125"/>
      <x:c r="C238" s="125"/>
      <x:c r="D238" s="125"/>
      <x:c r="E238" s="125"/>
      <x:c r="F238" s="125"/>
      <x:c r="G238" s="125"/>
      <x:c r="H238" s="125"/>
      <x:c r="I238" s="125"/>
      <x:c r="J238" s="125"/>
      <x:c r="K238" s="125"/>
      <x:c r="L238" s="125"/>
      <x:c r="M238" s="125"/>
      <x:c r="N238" s="125"/>
      <x:c r="O238" s="125"/>
      <x:c r="P238" s="125"/>
      <x:c r="Q238" s="125"/>
    </x:row>
    <x:row r="239">
      <x:c r="A239" s="125"/>
      <x:c r="B239" s="125"/>
      <x:c r="C239" s="125"/>
      <x:c r="D239" s="125"/>
      <x:c r="E239" s="125"/>
      <x:c r="F239" s="125"/>
      <x:c r="G239" s="125"/>
      <x:c r="H239" s="125"/>
      <x:c r="I239" s="125"/>
      <x:c r="J239" s="125"/>
      <x:c r="K239" s="125"/>
      <x:c r="L239" s="125"/>
      <x:c r="M239" s="125"/>
      <x:c r="N239" s="125"/>
      <x:c r="O239" s="125"/>
      <x:c r="P239" s="125"/>
      <x:c r="Q239" s="125"/>
    </x:row>
    <x:row r="240">
      <x:c r="A240" s="125"/>
      <x:c r="B240" s="125"/>
      <x:c r="C240" s="125"/>
      <x:c r="D240" s="125"/>
      <x:c r="E240" s="125"/>
      <x:c r="F240" s="125"/>
      <x:c r="G240" s="125"/>
      <x:c r="H240" s="125"/>
      <x:c r="I240" s="125"/>
      <x:c r="J240" s="125"/>
      <x:c r="K240" s="125"/>
      <x:c r="L240" s="125"/>
      <x:c r="M240" s="125"/>
      <x:c r="N240" s="125"/>
      <x:c r="O240" s="125"/>
      <x:c r="P240" s="125"/>
      <x:c r="Q240" s="125"/>
    </x:row>
    <x:row r="241">
      <x:c r="A241" s="125"/>
      <x:c r="B241" s="125"/>
      <x:c r="C241" s="125"/>
      <x:c r="D241" s="125"/>
      <x:c r="E241" s="125"/>
      <x:c r="F241" s="125"/>
      <x:c r="G241" s="125"/>
      <x:c r="H241" s="125"/>
      <x:c r="I241" s="125"/>
      <x:c r="J241" s="125"/>
      <x:c r="K241" s="125"/>
      <x:c r="L241" s="125"/>
      <x:c r="M241" s="125"/>
      <x:c r="N241" s="125"/>
      <x:c r="O241" s="125"/>
      <x:c r="P241" s="125"/>
      <x:c r="Q241" s="125"/>
    </x:row>
    <x:row r="242">
      <x:c r="A242" s="125"/>
      <x:c r="B242" s="125"/>
      <x:c r="C242" s="125"/>
      <x:c r="D242" s="125"/>
      <x:c r="E242" s="125"/>
      <x:c r="F242" s="125"/>
      <x:c r="G242" s="125"/>
      <x:c r="H242" s="125"/>
      <x:c r="I242" s="125"/>
      <x:c r="J242" s="125"/>
      <x:c r="K242" s="125"/>
      <x:c r="L242" s="125"/>
      <x:c r="M242" s="125"/>
      <x:c r="N242" s="125"/>
      <x:c r="O242" s="125"/>
      <x:c r="P242" s="125"/>
      <x:c r="Q242" s="125"/>
    </x:row>
    <x:row r="243">
      <x:c r="A243" s="125"/>
      <x:c r="B243" s="125"/>
      <x:c r="C243" s="125"/>
      <x:c r="D243" s="125"/>
      <x:c r="E243" s="125"/>
      <x:c r="F243" s="125"/>
      <x:c r="G243" s="125"/>
      <x:c r="H243" s="125"/>
      <x:c r="I243" s="125"/>
      <x:c r="J243" s="125"/>
      <x:c r="K243" s="125"/>
      <x:c r="L243" s="125"/>
      <x:c r="M243" s="125"/>
      <x:c r="N243" s="125"/>
      <x:c r="O243" s="125"/>
      <x:c r="P243" s="125"/>
      <x:c r="Q243" s="125"/>
    </x:row>
    <x:row r="244">
      <x:c r="A244" s="125"/>
      <x:c r="B244" s="125"/>
      <x:c r="C244" s="125"/>
      <x:c r="D244" s="125"/>
      <x:c r="E244" s="125"/>
      <x:c r="F244" s="125"/>
      <x:c r="G244" s="125"/>
      <x:c r="H244" s="125"/>
      <x:c r="I244" s="125"/>
      <x:c r="J244" s="125"/>
      <x:c r="K244" s="125"/>
      <x:c r="L244" s="125"/>
      <x:c r="M244" s="125"/>
      <x:c r="N244" s="125"/>
      <x:c r="O244" s="125"/>
      <x:c r="P244" s="125"/>
      <x:c r="Q244" s="125"/>
    </x:row>
    <x:row r="245">
      <x:c r="A245" s="125"/>
      <x:c r="B245" s="125"/>
      <x:c r="C245" s="125"/>
      <x:c r="D245" s="125"/>
      <x:c r="E245" s="125"/>
      <x:c r="F245" s="125"/>
      <x:c r="G245" s="125"/>
      <x:c r="H245" s="125"/>
      <x:c r="I245" s="125"/>
      <x:c r="J245" s="125"/>
      <x:c r="K245" s="125"/>
      <x:c r="L245" s="125"/>
      <x:c r="M245" s="125"/>
      <x:c r="N245" s="125"/>
      <x:c r="O245" s="125"/>
      <x:c r="P245" s="125"/>
      <x:c r="Q245" s="125"/>
    </x:row>
    <x:row r="246">
      <x:c r="A246" s="125"/>
      <x:c r="B246" s="125"/>
      <x:c r="C246" s="125"/>
      <x:c r="D246" s="125"/>
      <x:c r="E246" s="125"/>
      <x:c r="F246" s="125"/>
      <x:c r="G246" s="125"/>
      <x:c r="H246" s="125"/>
      <x:c r="I246" s="125"/>
      <x:c r="J246" s="125"/>
      <x:c r="K246" s="125"/>
      <x:c r="L246" s="125"/>
      <x:c r="M246" s="125"/>
      <x:c r="N246" s="125"/>
      <x:c r="O246" s="125"/>
      <x:c r="P246" s="125"/>
      <x:c r="Q246" s="125"/>
    </x:row>
    <x:row r="247">
      <x:c r="A247" s="125"/>
      <x:c r="B247" s="125"/>
      <x:c r="C247" s="125"/>
      <x:c r="D247" s="125"/>
      <x:c r="E247" s="125"/>
      <x:c r="F247" s="125"/>
      <x:c r="G247" s="125"/>
      <x:c r="H247" s="125"/>
      <x:c r="I247" s="125"/>
      <x:c r="J247" s="125"/>
      <x:c r="K247" s="125"/>
      <x:c r="L247" s="125"/>
      <x:c r="M247" s="125"/>
      <x:c r="N247" s="125"/>
      <x:c r="O247" s="125"/>
      <x:c r="P247" s="125"/>
      <x:c r="Q247" s="125"/>
    </x:row>
    <x:row r="248">
      <x:c r="A248" s="125"/>
      <x:c r="B248" s="125"/>
      <x:c r="C248" s="125"/>
      <x:c r="D248" s="125"/>
      <x:c r="E248" s="125"/>
      <x:c r="F248" s="125"/>
      <x:c r="G248" s="125"/>
      <x:c r="H248" s="125"/>
      <x:c r="I248" s="125"/>
      <x:c r="J248" s="125"/>
      <x:c r="K248" s="125"/>
      <x:c r="L248" s="125"/>
      <x:c r="M248" s="125"/>
      <x:c r="N248" s="125"/>
      <x:c r="O248" s="125"/>
      <x:c r="P248" s="125"/>
      <x:c r="Q248" s="125"/>
    </x:row>
    <x:row r="249">
      <x:c r="A249" s="125"/>
      <x:c r="B249" s="125"/>
      <x:c r="C249" s="125"/>
      <x:c r="D249" s="125"/>
      <x:c r="E249" s="125"/>
      <x:c r="F249" s="125"/>
      <x:c r="G249" s="125"/>
      <x:c r="H249" s="125"/>
      <x:c r="I249" s="125"/>
      <x:c r="J249" s="125"/>
      <x:c r="K249" s="125"/>
      <x:c r="L249" s="125"/>
      <x:c r="M249" s="125"/>
      <x:c r="N249" s="125"/>
      <x:c r="O249" s="125"/>
      <x:c r="P249" s="125"/>
      <x:c r="Q249" s="125"/>
    </x:row>
    <x:row r="250">
      <x:c r="A250" s="125"/>
      <x:c r="B250" s="125"/>
      <x:c r="C250" s="125"/>
      <x:c r="D250" s="125"/>
      <x:c r="E250" s="125"/>
      <x:c r="F250" s="125"/>
      <x:c r="G250" s="125"/>
      <x:c r="H250" s="125"/>
      <x:c r="I250" s="125"/>
      <x:c r="J250" s="125"/>
      <x:c r="K250" s="125"/>
      <x:c r="L250" s="125"/>
      <x:c r="M250" s="125"/>
      <x:c r="N250" s="125"/>
      <x:c r="O250" s="125"/>
      <x:c r="P250" s="125"/>
      <x:c r="Q250" s="125"/>
    </x:row>
  </x:sheetData>
  <x:mergeCells>
    <x:mergeCell ref="A1:J1"/>
    <x:mergeCell ref="A2:J2"/>
  </x:mergeCells>
  <x:dataValidations count="3">
    <x:dataValidation type="list" sqref="F7:F206">
      <x:formula1>_LISTS!$J$2:$J$4</x:formula1>
    </x:dataValidation>
    <x:dataValidation type="list" sqref="G7:G206">
      <x:formula1>_LISTS!$I$2:$I$4</x:formula1>
    </x:dataValidation>
    <x:dataValidation type="list" sqref="I7:I206">
      <x:formula1>_LISTS!$G$2:$G$5</x:formula1>
    </x:dataValidation>
  </x:dataValidations>
  <x:pageMargins left="0.7" right="0.7" top="0.75" bottom="0.75" header="0.3" footer="0.3"/>
</x:worksheet>
</file>

<file path=xl/worksheets/sheet16.xml><?xml version="1.0" encoding="utf-8"?>
<x:worksheet xmlns:x="http://schemas.openxmlformats.org/spreadsheetml/2006/main">
  <x:sheetFormatPr defaultRowHeight="15"/>
  <x:cols>
    <x:col min="1" max="1" width="12" hidden="0" customWidth="1"/>
    <x:col min="2" max="2" width="26" hidden="0" customWidth="1"/>
    <x:col min="3" max="3" width="22" hidden="0" customWidth="1"/>
    <x:col min="4" max="4" width="44" hidden="0" customWidth="1"/>
    <x:col min="5" max="5" width="18" hidden="0" customWidth="1"/>
    <x:col min="6" max="6" width="14" hidden="0" customWidth="1"/>
    <x:col min="7" max="7" width="18" hidden="0" customWidth="1"/>
    <x:col min="8" max="8" width="44" hidden="0" customWidth="1"/>
  </x:cols>
  <x:sheetData>
    <x:row r="1" ht="24" customHeight="1">
      <x:c r="A1" s="200" t="str">
        <x:v>DATA_METRIC_LONG — Live MVP Metrics</x:v>
      </x:c>
      <x:c r="B1" s="198"/>
      <x:c r="C1" s="198"/>
      <x:c r="D1" s="198"/>
      <x:c r="E1" s="198"/>
      <x:c r="F1" s="198"/>
      <x:c r="G1" s="198"/>
      <x:c r="H1" s="198"/>
      <x:c r="I1" s="198"/>
      <x:c r="J1" s="198"/>
      <x:c r="K1" s="198"/>
      <x:c r="L1" s="125"/>
      <x:c r="M1" s="125"/>
      <x:c r="N1" s="125"/>
      <x:c r="O1" s="125"/>
      <x:c r="P1" s="125"/>
      <x:c r="Q1" s="125"/>
    </x:row>
    <x:row r="2" ht="34" customHeight="1">
      <x:c r="A2" s="126" t="str">
        <x:v>Formula-driven output metrics. Column D intentionally mirrors the live formula output for QA; Column E is the output value used by the snapshot. Plain-English documentation belongs in CALC_RULES / Notes.</x:v>
      </x:c>
      <x:c r="B2" s="125"/>
      <x:c r="C2" s="125"/>
      <x:c r="D2" s="125"/>
      <x:c r="E2" s="125"/>
      <x:c r="F2" s="125"/>
      <x:c r="G2" s="125"/>
      <x:c r="H2" s="125"/>
      <x:c r="I2" s="125"/>
      <x:c r="J2" s="125"/>
      <x:c r="K2" s="125"/>
      <x:c r="L2" s="125"/>
      <x:c r="M2" s="125"/>
      <x:c r="N2" s="125"/>
      <x:c r="O2" s="125"/>
      <x:c r="P2" s="125"/>
      <x:c r="Q2" s="125"/>
    </x:row>
    <x:row r="3">
      <x:c r="A3" s="125"/>
      <x:c r="B3" s="125"/>
      <x:c r="C3" s="125"/>
      <x:c r="D3" s="125"/>
      <x:c r="E3" s="125"/>
      <x:c r="F3" s="125"/>
      <x:c r="G3" s="125"/>
      <x:c r="H3" s="125"/>
      <x:c r="I3" s="125"/>
      <x:c r="J3" s="125"/>
      <x:c r="K3" s="125"/>
      <x:c r="L3" s="125"/>
      <x:c r="M3" s="125"/>
      <x:c r="N3" s="125"/>
      <x:c r="O3" s="125"/>
      <x:c r="P3" s="125"/>
      <x:c r="Q3" s="125"/>
    </x:row>
    <x:row r="4">
      <x:c r="A4" s="125"/>
      <x:c r="B4" s="125"/>
      <x:c r="C4" s="125"/>
      <x:c r="D4" s="125"/>
      <x:c r="E4" s="125"/>
      <x:c r="F4" s="125"/>
      <x:c r="G4" s="125"/>
      <x:c r="H4" s="125"/>
      <x:c r="I4" s="125"/>
      <x:c r="J4" s="125"/>
      <x:c r="K4" s="125"/>
      <x:c r="L4" s="125"/>
      <x:c r="M4" s="125"/>
      <x:c r="N4" s="125"/>
      <x:c r="O4" s="125"/>
      <x:c r="P4" s="125"/>
      <x:c r="Q4" s="125"/>
    </x:row>
    <x:row r="5">
      <x:c r="A5" s="125"/>
      <x:c r="B5" s="125"/>
      <x:c r="C5" s="125"/>
      <x:c r="D5" s="125"/>
      <x:c r="E5" s="125"/>
      <x:c r="F5" s="125"/>
      <x:c r="G5" s="125"/>
      <x:c r="H5" s="125"/>
      <x:c r="I5" s="125"/>
      <x:c r="J5" s="125"/>
      <x:c r="K5" s="125"/>
      <x:c r="L5" s="125"/>
      <x:c r="M5" s="125"/>
      <x:c r="N5" s="125"/>
      <x:c r="O5" s="125"/>
      <x:c r="P5" s="125"/>
      <x:c r="Q5" s="125"/>
    </x:row>
    <x:row r="6" ht="26" customHeight="1">
      <x:c r="A6" s="127" t="str">
        <x:v>Metric_ID</x:v>
      </x:c>
      <x:c r="B6" s="127" t="str">
        <x:v>Metric_Name</x:v>
      </x:c>
      <x:c r="C6" s="127" t="str">
        <x:v>Metric_Category</x:v>
      </x:c>
      <x:c r="D6" s="211" t="str">
        <x:v>Live Formula Mirror</x:v>
      </x:c>
      <x:c r="E6" s="127" t="str">
        <x:v>Metric_Value</x:v>
      </x:c>
      <x:c r="F6" s="127" t="str">
        <x:v>Metric_Status</x:v>
      </x:c>
      <x:c r="G6" s="127" t="str">
        <x:v>Source_Confidence</x:v>
      </x:c>
      <x:c r="H6" s="127" t="str">
        <x:v>Notes</x:v>
      </x:c>
      <x:c r="I6" s="125"/>
      <x:c r="J6" s="125"/>
      <x:c r="K6" s="125"/>
      <x:c r="L6" s="125"/>
      <x:c r="M6" s="125"/>
      <x:c r="N6" s="125"/>
      <x:c r="O6" s="125"/>
      <x:c r="P6" s="125"/>
      <x:c r="Q6" s="125"/>
    </x:row>
    <x:row r="7">
      <x:c r="A7" s="130" t="str">
        <x:v>MET-001</x:v>
      </x:c>
      <x:c r="B7" s="130" t="str">
        <x:v>Total Properties</x:v>
      </x:c>
      <x:c r="C7" s="130" t="str">
        <x:v>Portfolio</x:v>
      </x:c>
      <x:c r="D7" s="130" t="n">
        <x:f>COUNTA(DATA_PROPERTY_MASTER!A7:A206)</x:f>
        <x:v>0</x:v>
      </x:c>
      <x:c r="E7" s="130" t="n">
        <x:f>COUNTA(DATA_PROPERTY_MASTER!A7:A206)</x:f>
        <x:v>0</x:v>
      </x:c>
      <x:c r="F7" s="131" t="str">
        <x:v>Live</x:v>
      </x:c>
      <x:c r="G7" s="131" t="str">
        <x:v>Formula-linked</x:v>
      </x:c>
      <x:c r="H7" s="131" t="str">
        <x:v>One row per property/project.</x:v>
      </x:c>
      <x:c r="I7" s="125"/>
      <x:c r="J7" s="125"/>
      <x:c r="K7" s="125"/>
      <x:c r="L7" s="125"/>
      <x:c r="M7" s="125"/>
      <x:c r="N7" s="125"/>
      <x:c r="O7" s="125"/>
      <x:c r="P7" s="125"/>
      <x:c r="Q7" s="125"/>
    </x:row>
    <x:row r="8">
      <x:c r="A8" s="130" t="str">
        <x:v>MET-002</x:v>
      </x:c>
      <x:c r="B8" s="130" t="str">
        <x:v>Included Properties</x:v>
      </x:c>
      <x:c r="C8" s="130" t="str">
        <x:v>Portfolio</x:v>
      </x:c>
      <x:c r="D8" s="130" t="n">
        <x:f>COUNTIF(DATA_PROPERTY_MASTER!E7:E206,"Yes")</x:f>
        <x:v>0</x:v>
      </x:c>
      <x:c r="E8" s="130" t="n">
        <x:f>COUNTIF(DATA_PROPERTY_MASTER!E7:E206,"Yes")</x:f>
        <x:v>0</x:v>
      </x:c>
      <x:c r="F8" s="131" t="str">
        <x:v>Live</x:v>
      </x:c>
      <x:c r="G8" s="131" t="str">
        <x:v>Formula-linked</x:v>
      </x:c>
      <x:c r="H8" s="131" t="str">
        <x:v>Excludes properties marked No.</x:v>
      </x:c>
      <x:c r="I8" s="125"/>
      <x:c r="J8" s="125"/>
      <x:c r="K8" s="125"/>
      <x:c r="L8" s="125"/>
      <x:c r="M8" s="125"/>
      <x:c r="N8" s="125"/>
      <x:c r="O8" s="125"/>
      <x:c r="P8" s="125"/>
      <x:c r="Q8" s="125"/>
    </x:row>
    <x:row r="9">
      <x:c r="A9" s="130" t="str">
        <x:v>MET-003</x:v>
      </x:c>
      <x:c r="B9" s="130" t="str">
        <x:v>Existing Assets</x:v>
      </x:c>
      <x:c r="C9" s="130" t="str">
        <x:v>Portfolio</x:v>
      </x:c>
      <x:c r="D9" s="130" t="n">
        <x:f>COUNTIFS(DATA_PROPERTY_MASTER!D7:D206,"Active",DATA_PROPERTY_MASTER!E7:E206,"Yes")</x:f>
        <x:v>0</x:v>
      </x:c>
      <x:c r="E9" s="130" t="n">
        <x:f>COUNTIFS(DATA_PROPERTY_MASTER!D7:D206,"Active",DATA_PROPERTY_MASTER!E7:E206,"Yes")</x:f>
        <x:v>0</x:v>
      </x:c>
      <x:c r="F9" s="131" t="str">
        <x:v>Live</x:v>
      </x:c>
      <x:c r="G9" s="131" t="str">
        <x:v>Formula-linked</x:v>
      </x:c>
      <x:c r="H9" s="131" t="str">
        <x:v>Active/included assets.</x:v>
      </x:c>
      <x:c r="I9" s="125"/>
      <x:c r="J9" s="125"/>
      <x:c r="K9" s="125"/>
      <x:c r="L9" s="125"/>
      <x:c r="M9" s="125"/>
      <x:c r="N9" s="125"/>
      <x:c r="O9" s="125"/>
      <x:c r="P9" s="125"/>
      <x:c r="Q9" s="125"/>
    </x:row>
    <x:row r="10">
      <x:c r="A10" s="130" t="str">
        <x:v>MET-004</x:v>
      </x:c>
      <x:c r="B10" s="130" t="str">
        <x:v>New / Future Projects</x:v>
      </x:c>
      <x:c r="C10" s="130" t="str">
        <x:v>Portfolio</x:v>
      </x:c>
      <x:c r="D10" s="130" t="n">
        <x:f>COUNTIFS(DATA_PROPERTY_MASTER!D7:D206,"New Dev",DATA_PROPERTY_MASTER!E7:E206,"Yes")</x:f>
        <x:v>0</x:v>
      </x:c>
      <x:c r="E10" s="130" t="n">
        <x:f>COUNTIFS(DATA_PROPERTY_MASTER!D7:D206,"New Dev",DATA_PROPERTY_MASTER!E7:E206,"Yes")</x:f>
        <x:v>0</x:v>
      </x:c>
      <x:c r="F10" s="131" t="str">
        <x:v>Live</x:v>
      </x:c>
      <x:c r="G10" s="131" t="str">
        <x:v>Formula-linked</x:v>
      </x:c>
      <x:c r="H10" s="131" t="str">
        <x:v>New dev/future projects.</x:v>
      </x:c>
      <x:c r="I10" s="125"/>
      <x:c r="J10" s="125"/>
      <x:c r="K10" s="125"/>
      <x:c r="L10" s="125"/>
      <x:c r="M10" s="125"/>
      <x:c r="N10" s="125"/>
      <x:c r="O10" s="125"/>
      <x:c r="P10" s="125"/>
      <x:c r="Q10" s="125"/>
    </x:row>
    <x:row r="11">
      <x:c r="A11" s="130" t="str">
        <x:v>MET-005</x:v>
      </x:c>
      <x:c r="B11" s="130" t="str">
        <x:v>Modeled Units</x:v>
      </x:c>
      <x:c r="C11" s="130" t="str">
        <x:v>Portfolio</x:v>
      </x:c>
      <x:c r="D11" s="130" t="n">
        <x:f>SUMIFS(DATA_PROPERTY_MASTER!I7:I206,DATA_PROPERTY_MASTER!E7:E206,"Yes")</x:f>
        <x:v>0</x:v>
      </x:c>
      <x:c r="E11" s="130" t="n">
        <x:f>SUMIFS(DATA_PROPERTY_MASTER!I7:I206,DATA_PROPERTY_MASTER!E7:E206,"Yes")</x:f>
        <x:v>0</x:v>
      </x:c>
      <x:c r="F11" s="131" t="str">
        <x:v>Review</x:v>
      </x:c>
      <x:c r="G11" s="131" t="str">
        <x:v>Source conflict</x:v>
      </x:c>
      <x:c r="H11" s="131" t="str">
        <x:v>Includes v12 unit counts unless updated.</x:v>
      </x:c>
      <x:c r="I11" s="125"/>
      <x:c r="J11" s="125"/>
      <x:c r="K11" s="125"/>
      <x:c r="L11" s="125"/>
      <x:c r="M11" s="125"/>
      <x:c r="N11" s="125"/>
      <x:c r="O11" s="125"/>
      <x:c r="P11" s="125"/>
      <x:c r="Q11" s="125"/>
    </x:row>
    <x:row r="12">
      <x:c r="A12" s="130" t="str">
        <x:v>MET-006</x:v>
      </x:c>
      <x:c r="B12" s="130" t="str">
        <x:v>Unit Count Conflicts</x:v>
      </x:c>
      <x:c r="C12" s="130" t="str">
        <x:v>Data Readiness</x:v>
      </x:c>
      <x:c r="D12" s="130" t="n">
        <x:f>COUNTIF(DATA_PROPERTY_MASTER!K7:K206,"Yes")</x:f>
        <x:v>0</x:v>
      </x:c>
      <x:c r="E12" s="130" t="n">
        <x:f>COUNTIF(DATA_PROPERTY_MASTER!K7:K206,"Yes")</x:f>
        <x:v>0</x:v>
      </x:c>
      <x:c r="F12" s="131" t="str">
        <x:v>Review</x:v>
      </x:c>
      <x:c r="G12" s="131" t="str">
        <x:v>Formula-linked</x:v>
      </x:c>
      <x:c r="H12" s="131" t="str">
        <x:v>Shows source conflicts.</x:v>
      </x:c>
      <x:c r="I12" s="125"/>
      <x:c r="J12" s="125"/>
      <x:c r="K12" s="125"/>
      <x:c r="L12" s="125"/>
      <x:c r="M12" s="125"/>
      <x:c r="N12" s="125"/>
      <x:c r="O12" s="125"/>
      <x:c r="P12" s="125"/>
      <x:c r="Q12" s="125"/>
    </x:row>
    <x:row r="13">
      <x:c r="A13" s="130" t="str">
        <x:v>MET-007</x:v>
      </x:c>
      <x:c r="B13" s="130" t="str">
        <x:v>Source Documents Logged</x:v>
      </x:c>
      <x:c r="C13" s="130" t="str">
        <x:v>Data Readiness</x:v>
      </x:c>
      <x:c r="D13" s="130" t="n">
        <x:f>COUNTA(STG_SOURCE_INTAKE!A5:A206)</x:f>
        <x:v>1</x:v>
      </x:c>
      <x:c r="E13" s="130" t="n">
        <x:f>COUNTA(STG_SOURCE_INTAKE!A5:A206)</x:f>
        <x:v>1</x:v>
      </x:c>
      <x:c r="F13" s="131" t="str">
        <x:v>Live</x:v>
      </x:c>
      <x:c r="G13" s="131" t="str">
        <x:v>Formula-linked</x:v>
      </x:c>
      <x:c r="H13" s="131" t="str">
        <x:v>Logged sources.</x:v>
      </x:c>
      <x:c r="I13" s="125"/>
      <x:c r="J13" s="125"/>
      <x:c r="K13" s="125"/>
      <x:c r="L13" s="125"/>
      <x:c r="M13" s="125"/>
      <x:c r="N13" s="125"/>
      <x:c r="O13" s="125"/>
      <x:c r="P13" s="125"/>
      <x:c r="Q13" s="125"/>
    </x:row>
    <x:row r="14">
      <x:c r="A14" s="130" t="str">
        <x:v>MET-008</x:v>
      </x:c>
      <x:c r="B14" s="130" t="str">
        <x:v>Open Assumption Flags</x:v>
      </x:c>
      <x:c r="C14" s="130" t="str">
        <x:v>Data Readiness</x:v>
      </x:c>
      <x:c r="D14" s="130" t="n">
        <x:f>COUNTIF(ASSUMPTIONS_FLAGS!I7:I206,"Open")</x:f>
        <x:v>0</x:v>
      </x:c>
      <x:c r="E14" s="130" t="n">
        <x:f>COUNTIF(ASSUMPTIONS_FLAGS!I7:I206,"Open")</x:f>
        <x:v>0</x:v>
      </x:c>
      <x:c r="F14" s="131" t="str">
        <x:v>Review</x:v>
      </x:c>
      <x:c r="G14" s="131" t="str">
        <x:v>Formula-linked</x:v>
      </x:c>
      <x:c r="H14" s="131" t="str">
        <x:v>Unresolved items.</x:v>
      </x:c>
      <x:c r="I14" s="125"/>
      <x:c r="J14" s="125"/>
      <x:c r="K14" s="125"/>
      <x:c r="L14" s="125"/>
      <x:c r="M14" s="125"/>
      <x:c r="N14" s="125"/>
      <x:c r="O14" s="125"/>
      <x:c r="P14" s="125"/>
      <x:c r="Q14" s="125"/>
    </x:row>
    <x:row r="15">
      <x:c r="A15" s="130" t="str">
        <x:v>MET-009</x:v>
      </x:c>
      <x:c r="B15" s="130" t="str">
        <x:v>Revenue</x:v>
      </x:c>
      <x:c r="C15" s="130" t="str">
        <x:v>Financial</x:v>
      </x:c>
      <x:c r="D15" s="130" t="n">
        <x:f>SUMIFS(DATA_OPERATING_ACTUALS!J7:J306,DATA_OPERATING_ACTUALS!I7:I306,"Revenue")</x:f>
        <x:v>0</x:v>
      </x:c>
      <x:c r="E15" s="152" t="n">
        <x:f>SUMIFS(DATA_OPERATING_ACTUALS!J7:J306,DATA_OPERATING_ACTUALS!I7:I306,"Revenue")</x:f>
        <x:v>0</x:v>
      </x:c>
      <x:c r="F15" s="131" t="str">
        <x:v>Live</x:v>
      </x:c>
      <x:c r="G15" s="131" t="str">
        <x:v>Formula-linked</x:v>
      </x:c>
      <x:c r="H15" s="131" t="str">
        <x:v>Source-based revenue.</x:v>
      </x:c>
      <x:c r="I15" s="125"/>
      <x:c r="J15" s="125"/>
      <x:c r="K15" s="125"/>
      <x:c r="L15" s="125"/>
      <x:c r="M15" s="125"/>
      <x:c r="N15" s="125"/>
      <x:c r="O15" s="125"/>
      <x:c r="P15" s="125"/>
      <x:c r="Q15" s="125"/>
    </x:row>
    <x:row r="16">
      <x:c r="A16" s="130" t="str">
        <x:v>MET-010</x:v>
      </x:c>
      <x:c r="B16" s="130" t="str">
        <x:v>Operating Expenses</x:v>
      </x:c>
      <x:c r="C16" s="130" t="str">
        <x:v>Financial</x:v>
      </x:c>
      <x:c r="D16" s="130" t="n">
        <x:f>SUMIFS(DATA_OPERATING_ACTUALS!J7:J306,DATA_OPERATING_ACTUALS!I7:I306,"Operating Expense")</x:f>
        <x:v>0</x:v>
      </x:c>
      <x:c r="E16" s="152" t="n">
        <x:f>SUMIFS(DATA_OPERATING_ACTUALS!J7:J306,DATA_OPERATING_ACTUALS!I7:I306,"Operating Expense")</x:f>
        <x:v>0</x:v>
      </x:c>
      <x:c r="F16" s="131" t="str">
        <x:v>Live</x:v>
      </x:c>
      <x:c r="G16" s="131" t="str">
        <x:v>Formula-linked</x:v>
      </x:c>
      <x:c r="H16" s="131" t="str">
        <x:v>Source-based expenses.</x:v>
      </x:c>
      <x:c r="I16" s="125"/>
      <x:c r="J16" s="125"/>
      <x:c r="K16" s="125"/>
      <x:c r="L16" s="125"/>
      <x:c r="M16" s="125"/>
      <x:c r="N16" s="125"/>
      <x:c r="O16" s="125"/>
      <x:c r="P16" s="125"/>
      <x:c r="Q16" s="125"/>
    </x:row>
    <x:row r="17">
      <x:c r="A17" s="130" t="str">
        <x:v>MET-011</x:v>
      </x:c>
      <x:c r="B17" s="130" t="str">
        <x:v>NOI</x:v>
      </x:c>
      <x:c r="C17" s="130" t="str">
        <x:v>Financial</x:v>
      </x:c>
      <x:c r="D17" s="130" t="n">
        <x:f>E15-E16</x:f>
        <x:v>0</x:v>
      </x:c>
      <x:c r="E17" s="152" t="n">
        <x:f>E15-E16</x:f>
        <x:v>0</x:v>
      </x:c>
      <x:c r="F17" s="131" t="str">
        <x:v>Live</x:v>
      </x:c>
      <x:c r="G17" s="131" t="str">
        <x:v>Formula-linked</x:v>
      </x:c>
      <x:c r="H17" s="131" t="str">
        <x:v>Revenue minus operating expenses.</x:v>
      </x:c>
      <x:c r="I17" s="125"/>
      <x:c r="J17" s="125"/>
      <x:c r="K17" s="125"/>
      <x:c r="L17" s="125"/>
      <x:c r="M17" s="125"/>
      <x:c r="N17" s="125"/>
      <x:c r="O17" s="125"/>
      <x:c r="P17" s="125"/>
      <x:c r="Q17" s="125"/>
    </x:row>
    <x:row r="18">
      <x:c r="A18" s="130" t="str">
        <x:v>MET-012</x:v>
      </x:c>
      <x:c r="B18" s="130" t="str">
        <x:v>Debt Service</x:v>
      </x:c>
      <x:c r="C18" s="130" t="str">
        <x:v>Financial</x:v>
      </x:c>
      <x:c r="D18" s="130" t="n">
        <x:f>SUMIFS(DATA_DEBT_MASTER!M7:M206,DATA_DEBT_MASTER!D7:D206,"Yes")</x:f>
        <x:v>0</x:v>
      </x:c>
      <x:c r="E18" s="152" t="n">
        <x:f>SUMIFS(DATA_DEBT_MASTER!M7:M206,DATA_DEBT_MASTER!D7:D206,"Yes")</x:f>
        <x:v>0</x:v>
      </x:c>
      <x:c r="F18" s="131" t="str">
        <x:v>Live</x:v>
      </x:c>
      <x:c r="G18" s="131" t="str">
        <x:v>Formula-linked</x:v>
      </x:c>
      <x:c r="H18" s="131" t="str">
        <x:v>Scheduled debt service.</x:v>
      </x:c>
      <x:c r="I18" s="125"/>
      <x:c r="J18" s="125"/>
      <x:c r="K18" s="125"/>
      <x:c r="L18" s="125"/>
      <x:c r="M18" s="125"/>
      <x:c r="N18" s="125"/>
      <x:c r="O18" s="125"/>
      <x:c r="P18" s="125"/>
      <x:c r="Q18" s="125"/>
    </x:row>
    <x:row r="19">
      <x:c r="A19" s="130" t="str">
        <x:v>MET-013</x:v>
      </x:c>
      <x:c r="B19" s="130" t="str">
        <x:v>AFFO / Cash Flow After Debt</x:v>
      </x:c>
      <x:c r="C19" s="130" t="str">
        <x:v>Financial</x:v>
      </x:c>
      <x:c r="D19" s="130" t="n">
        <x:f>E17-E18</x:f>
        <x:v>0</x:v>
      </x:c>
      <x:c r="E19" s="152" t="n">
        <x:f>E17-E18</x:f>
        <x:v>0</x:v>
      </x:c>
      <x:c r="F19" s="131" t="str">
        <x:v>Live</x:v>
      </x:c>
      <x:c r="G19" s="131" t="str">
        <x:v>Formula-linked</x:v>
      </x:c>
      <x:c r="H19" s="131" t="str">
        <x:v>Simplified MVP AFFO before reserve/capital deductions.</x:v>
      </x:c>
      <x:c r="I19" s="125"/>
      <x:c r="J19" s="125"/>
      <x:c r="K19" s="125"/>
      <x:c r="L19" s="125"/>
      <x:c r="M19" s="125"/>
      <x:c r="N19" s="125"/>
      <x:c r="O19" s="125"/>
      <x:c r="P19" s="125"/>
      <x:c r="Q19" s="125"/>
    </x:row>
    <x:row r="20">
      <x:c r="A20" s="130" t="str">
        <x:v>MET-014</x:v>
      </x:c>
      <x:c r="B20" s="130" t="str">
        <x:v>DSCR</x:v>
      </x:c>
      <x:c r="C20" s="130" t="str">
        <x:v>Financial</x:v>
      </x:c>
      <x:c r="D20" s="130" t="str">
        <x:f>IFERROR(E17/E18,"")</x:f>
      </x:c>
      <x:c r="E20" s="164" t="str">
        <x:f>IFERROR(E17/E18,"")</x:f>
      </x:c>
      <x:c r="F20" s="131" t="str">
        <x:v>Review</x:v>
      </x:c>
      <x:c r="G20" s="131" t="str">
        <x:v>Formula-linked</x:v>
      </x:c>
      <x:c r="H20" s="131" t="str">
        <x:v>NOI divided by debt service.</x:v>
      </x:c>
      <x:c r="I20" s="125"/>
      <x:c r="J20" s="125"/>
      <x:c r="K20" s="125"/>
      <x:c r="L20" s="125"/>
      <x:c r="M20" s="125"/>
      <x:c r="N20" s="125"/>
      <x:c r="O20" s="125"/>
      <x:c r="P20" s="125"/>
      <x:c r="Q20" s="125"/>
    </x:row>
    <x:row r="21">
      <x:c r="A21" s="130" t="str">
        <x:v>MET-015</x:v>
      </x:c>
      <x:c r="B21" s="130" t="str">
        <x:v>Affordable Units</x:v>
      </x:c>
      <x:c r="C21" s="130" t="str">
        <x:v>Mission / Affordability</x:v>
      </x:c>
      <x:c r="D21" s="130" t="n">
        <x:f>SUM(DATA_UNIT_MIX!I7:I206)</x:f>
        <x:v>0</x:v>
      </x:c>
      <x:c r="E21" s="130" t="n">
        <x:f>SUM(DATA_UNIT_MIX!I7:I206)</x:f>
        <x:v>0</x:v>
      </x:c>
      <x:c r="F21" s="131" t="str">
        <x:v>Partial</x:v>
      </x:c>
      <x:c r="G21" s="131" t="str">
        <x:v>Source-linked</x:v>
      </x:c>
      <x:c r="H21" s="131" t="str">
        <x:v>May be partial if unit mix incomplete.</x:v>
      </x:c>
      <x:c r="I21" s="125"/>
      <x:c r="J21" s="125"/>
      <x:c r="K21" s="125"/>
      <x:c r="L21" s="125"/>
      <x:c r="M21" s="125"/>
      <x:c r="N21" s="125"/>
      <x:c r="O21" s="125"/>
      <x:c r="P21" s="125"/>
      <x:c r="Q21" s="125"/>
    </x:row>
    <x:row r="22">
      <x:c r="A22" s="130" t="str">
        <x:v>MET-016</x:v>
      </x:c>
      <x:c r="B22" s="130" t="str">
        <x:v>Market / Other Units</x:v>
      </x:c>
      <x:c r="C22" s="130" t="str">
        <x:v>Mission / Affordability</x:v>
      </x:c>
      <x:c r="D22" s="130" t="n">
        <x:f>SUM(DATA_UNIT_MIX!J7:J206)</x:f>
        <x:v>0</x:v>
      </x:c>
      <x:c r="E22" s="130" t="n">
        <x:f>SUM(DATA_UNIT_MIX!J7:J206)</x:f>
        <x:v>0</x:v>
      </x:c>
      <x:c r="F22" s="131" t="str">
        <x:v>Partial</x:v>
      </x:c>
      <x:c r="G22" s="131" t="str">
        <x:v>Source-linked</x:v>
      </x:c>
      <x:c r="H22" s="131" t="str">
        <x:v>May be partial.</x:v>
      </x:c>
      <x:c r="I22" s="125"/>
      <x:c r="J22" s="125"/>
      <x:c r="K22" s="125"/>
      <x:c r="L22" s="125"/>
      <x:c r="M22" s="125"/>
      <x:c r="N22" s="125"/>
      <x:c r="O22" s="125"/>
      <x:c r="P22" s="125"/>
      <x:c r="Q22" s="125"/>
    </x:row>
    <x:row r="23">
      <x:c r="A23" s="130" t="str">
        <x:v>MET-017</x:v>
      </x:c>
      <x:c r="B23" s="130" t="str">
        <x:v>Agreement Review Status</x:v>
      </x:c>
      <x:c r="C23" s="130" t="str">
        <x:v>Mission / Restrictions</x:v>
      </x:c>
      <x:c r="D23" s="130" t="str">
        <x:f>IF(COUNTA(DATA_AGREEMENTS!A7:A206)=0,"Not reviewed","Partial / reviewed")</x:f>
        <x:v>Not reviewed</x:v>
      </x:c>
      <x:c r="E23" s="130" t="str">
        <x:f>IF(COUNTA(DATA_AGREEMENTS!A7:A206)=0,"Not reviewed","Partial / reviewed")</x:f>
        <x:v>Not reviewed</x:v>
      </x:c>
      <x:c r="F23" s="131" t="str">
        <x:v>Review</x:v>
      </x:c>
      <x:c r="G23" s="131" t="str">
        <x:v>Formula-linked</x:v>
      </x:c>
      <x:c r="H23" s="131" t="str">
        <x:v>MVP placeholder.</x:v>
      </x:c>
      <x:c r="I23" s="125"/>
      <x:c r="J23" s="125"/>
      <x:c r="K23" s="125"/>
      <x:c r="L23" s="125"/>
      <x:c r="M23" s="125"/>
      <x:c r="N23" s="125"/>
      <x:c r="O23" s="125"/>
      <x:c r="P23" s="125"/>
      <x:c r="Q23" s="125"/>
    </x:row>
    <x:row r="24">
      <x:c r="A24" s="130" t="str">
        <x:v>MET-018</x:v>
      </x:c>
      <x:c r="B24" s="130" t="str">
        <x:v>Capital Needs Review Status</x:v>
      </x:c>
      <x:c r="C24" s="130" t="str">
        <x:v>Capital Needs</x:v>
      </x:c>
      <x:c r="D24" s="130" t="str">
        <x:f>IF(COUNTA(DATA_CAPITAL_NEEDS!A7:A206)=0,"Not reviewed","Partial / reviewed")</x:f>
        <x:v>Not reviewed</x:v>
      </x:c>
      <x:c r="E24" s="130" t="str">
        <x:f>IF(COUNTA(DATA_CAPITAL_NEEDS!A7:A206)=0,"Not reviewed","Partial / reviewed")</x:f>
        <x:v>Not reviewed</x:v>
      </x:c>
      <x:c r="F24" s="131" t="str">
        <x:v>Review</x:v>
      </x:c>
      <x:c r="G24" s="131" t="str">
        <x:v>Formula-linked</x:v>
      </x:c>
      <x:c r="H24" s="131" t="str">
        <x:v>MVP placeholder.</x:v>
      </x:c>
      <x:c r="I24" s="125"/>
      <x:c r="J24" s="125"/>
      <x:c r="K24" s="125"/>
      <x:c r="L24" s="125"/>
      <x:c r="M24" s="125"/>
      <x:c r="N24" s="125"/>
      <x:c r="O24" s="125"/>
      <x:c r="P24" s="125"/>
      <x:c r="Q24" s="125"/>
    </x:row>
    <x:row r="25">
      <x:c r="A25" s="134"/>
      <x:c r="B25" s="134"/>
      <x:c r="C25" s="134"/>
      <x:c r="D25" s="134"/>
      <x:c r="E25" s="134"/>
      <x:c r="F25" s="134"/>
      <x:c r="G25" s="134"/>
      <x:c r="H25" s="134"/>
      <x:c r="I25" s="125"/>
      <x:c r="J25" s="125"/>
      <x:c r="K25" s="125"/>
      <x:c r="L25" s="125"/>
      <x:c r="M25" s="125"/>
      <x:c r="N25" s="125"/>
      <x:c r="O25" s="125"/>
      <x:c r="P25" s="125"/>
      <x:c r="Q25" s="125"/>
    </x:row>
    <x:row r="26">
      <x:c r="A26" s="134"/>
      <x:c r="B26" s="134"/>
      <x:c r="C26" s="134"/>
      <x:c r="D26" s="134"/>
      <x:c r="E26" s="134"/>
      <x:c r="F26" s="134"/>
      <x:c r="G26" s="134"/>
      <x:c r="H26" s="134"/>
      <x:c r="I26" s="125"/>
      <x:c r="J26" s="125"/>
      <x:c r="K26" s="125"/>
      <x:c r="L26" s="125"/>
      <x:c r="M26" s="125"/>
      <x:c r="N26" s="125"/>
      <x:c r="O26" s="125"/>
      <x:c r="P26" s="125"/>
      <x:c r="Q26" s="125"/>
    </x:row>
    <x:row r="27">
      <x:c r="A27" s="134"/>
      <x:c r="B27" s="134"/>
      <x:c r="C27" s="134"/>
      <x:c r="D27" s="134"/>
      <x:c r="E27" s="134"/>
      <x:c r="F27" s="134"/>
      <x:c r="G27" s="134"/>
      <x:c r="H27" s="134"/>
      <x:c r="I27" s="125"/>
      <x:c r="J27" s="125"/>
      <x:c r="K27" s="125"/>
      <x:c r="L27" s="125"/>
      <x:c r="M27" s="125"/>
      <x:c r="N27" s="125"/>
      <x:c r="O27" s="125"/>
      <x:c r="P27" s="125"/>
      <x:c r="Q27" s="125"/>
    </x:row>
    <x:row r="28">
      <x:c r="A28" s="134"/>
      <x:c r="B28" s="134"/>
      <x:c r="C28" s="134"/>
      <x:c r="D28" s="134"/>
      <x:c r="E28" s="134"/>
      <x:c r="F28" s="134"/>
      <x:c r="G28" s="134"/>
      <x:c r="H28" s="134"/>
      <x:c r="I28" s="125"/>
      <x:c r="J28" s="125"/>
      <x:c r="K28" s="125"/>
      <x:c r="L28" s="125"/>
      <x:c r="M28" s="125"/>
      <x:c r="N28" s="125"/>
      <x:c r="O28" s="125"/>
      <x:c r="P28" s="125"/>
      <x:c r="Q28" s="125"/>
    </x:row>
    <x:row r="29">
      <x:c r="A29" s="134"/>
      <x:c r="B29" s="134"/>
      <x:c r="C29" s="134"/>
      <x:c r="D29" s="134"/>
      <x:c r="E29" s="134"/>
      <x:c r="F29" s="134"/>
      <x:c r="G29" s="134"/>
      <x:c r="H29" s="134"/>
      <x:c r="I29" s="125"/>
      <x:c r="J29" s="125"/>
      <x:c r="K29" s="125"/>
      <x:c r="L29" s="125"/>
      <x:c r="M29" s="125"/>
      <x:c r="N29" s="125"/>
      <x:c r="O29" s="125"/>
      <x:c r="P29" s="125"/>
      <x:c r="Q29" s="125"/>
    </x:row>
    <x:row r="30">
      <x:c r="A30" s="134"/>
      <x:c r="B30" s="134"/>
      <x:c r="C30" s="134"/>
      <x:c r="D30" s="134"/>
      <x:c r="E30" s="134"/>
      <x:c r="F30" s="134"/>
      <x:c r="G30" s="134"/>
      <x:c r="H30" s="134"/>
      <x:c r="I30" s="125"/>
      <x:c r="J30" s="125"/>
      <x:c r="K30" s="125"/>
      <x:c r="L30" s="125"/>
      <x:c r="M30" s="125"/>
      <x:c r="N30" s="125"/>
      <x:c r="O30" s="125"/>
      <x:c r="P30" s="125"/>
      <x:c r="Q30" s="125"/>
    </x:row>
    <x:row r="31">
      <x:c r="A31" s="134"/>
      <x:c r="B31" s="134"/>
      <x:c r="C31" s="134"/>
      <x:c r="D31" s="134"/>
      <x:c r="E31" s="134"/>
      <x:c r="F31" s="134"/>
      <x:c r="G31" s="134"/>
      <x:c r="H31" s="134"/>
      <x:c r="I31" s="125"/>
      <x:c r="J31" s="125"/>
      <x:c r="K31" s="125"/>
      <x:c r="L31" s="125"/>
      <x:c r="M31" s="125"/>
      <x:c r="N31" s="125"/>
      <x:c r="O31" s="125"/>
      <x:c r="P31" s="125"/>
      <x:c r="Q31" s="125"/>
    </x:row>
    <x:row r="32">
      <x:c r="A32" s="134"/>
      <x:c r="B32" s="134"/>
      <x:c r="C32" s="134"/>
      <x:c r="D32" s="134"/>
      <x:c r="E32" s="134"/>
      <x:c r="F32" s="134"/>
      <x:c r="G32" s="134"/>
      <x:c r="H32" s="134"/>
      <x:c r="I32" s="125"/>
      <x:c r="J32" s="125"/>
      <x:c r="K32" s="125"/>
      <x:c r="L32" s="125"/>
      <x:c r="M32" s="125"/>
      <x:c r="N32" s="125"/>
      <x:c r="O32" s="125"/>
      <x:c r="P32" s="125"/>
      <x:c r="Q32" s="125"/>
    </x:row>
    <x:row r="33">
      <x:c r="A33" s="134"/>
      <x:c r="B33" s="134"/>
      <x:c r="C33" s="134"/>
      <x:c r="D33" s="134"/>
      <x:c r="E33" s="134"/>
      <x:c r="F33" s="134"/>
      <x:c r="G33" s="134"/>
      <x:c r="H33" s="134"/>
      <x:c r="I33" s="125"/>
      <x:c r="J33" s="125"/>
      <x:c r="K33" s="125"/>
      <x:c r="L33" s="125"/>
      <x:c r="M33" s="125"/>
      <x:c r="N33" s="125"/>
      <x:c r="O33" s="125"/>
      <x:c r="P33" s="125"/>
      <x:c r="Q33" s="125"/>
    </x:row>
    <x:row r="34">
      <x:c r="A34" s="134"/>
      <x:c r="B34" s="134"/>
      <x:c r="C34" s="134"/>
      <x:c r="D34" s="134"/>
      <x:c r="E34" s="134"/>
      <x:c r="F34" s="134"/>
      <x:c r="G34" s="134"/>
      <x:c r="H34" s="134"/>
      <x:c r="I34" s="125"/>
      <x:c r="J34" s="125"/>
      <x:c r="K34" s="125"/>
      <x:c r="L34" s="125"/>
      <x:c r="M34" s="125"/>
      <x:c r="N34" s="125"/>
      <x:c r="O34" s="125"/>
      <x:c r="P34" s="125"/>
      <x:c r="Q34" s="125"/>
    </x:row>
    <x:row r="35">
      <x:c r="A35" s="134"/>
      <x:c r="B35" s="134"/>
      <x:c r="C35" s="134"/>
      <x:c r="D35" s="134"/>
      <x:c r="E35" s="134"/>
      <x:c r="F35" s="134"/>
      <x:c r="G35" s="134"/>
      <x:c r="H35" s="134"/>
      <x:c r="I35" s="125"/>
      <x:c r="J35" s="125"/>
      <x:c r="K35" s="125"/>
      <x:c r="L35" s="125"/>
      <x:c r="M35" s="125"/>
      <x:c r="N35" s="125"/>
      <x:c r="O35" s="125"/>
      <x:c r="P35" s="125"/>
      <x:c r="Q35" s="125"/>
    </x:row>
    <x:row r="36">
      <x:c r="A36" s="134"/>
      <x:c r="B36" s="134"/>
      <x:c r="C36" s="134"/>
      <x:c r="D36" s="134"/>
      <x:c r="E36" s="134"/>
      <x:c r="F36" s="134"/>
      <x:c r="G36" s="134"/>
      <x:c r="H36" s="134"/>
      <x:c r="I36" s="125"/>
      <x:c r="J36" s="125"/>
      <x:c r="K36" s="125"/>
      <x:c r="L36" s="125"/>
      <x:c r="M36" s="125"/>
      <x:c r="N36" s="125"/>
      <x:c r="O36" s="125"/>
      <x:c r="P36" s="125"/>
      <x:c r="Q36" s="125"/>
    </x:row>
    <x:row r="37">
      <x:c r="A37" s="134"/>
      <x:c r="B37" s="134"/>
      <x:c r="C37" s="134"/>
      <x:c r="D37" s="134"/>
      <x:c r="E37" s="134"/>
      <x:c r="F37" s="134"/>
      <x:c r="G37" s="134"/>
      <x:c r="H37" s="134"/>
      <x:c r="I37" s="125"/>
      <x:c r="J37" s="125"/>
      <x:c r="K37" s="125"/>
      <x:c r="L37" s="125"/>
      <x:c r="M37" s="125"/>
      <x:c r="N37" s="125"/>
      <x:c r="O37" s="125"/>
      <x:c r="P37" s="125"/>
      <x:c r="Q37" s="125"/>
    </x:row>
    <x:row r="38">
      <x:c r="A38" s="134"/>
      <x:c r="B38" s="134"/>
      <x:c r="C38" s="134"/>
      <x:c r="D38" s="134"/>
      <x:c r="E38" s="134"/>
      <x:c r="F38" s="134"/>
      <x:c r="G38" s="134"/>
      <x:c r="H38" s="134"/>
      <x:c r="I38" s="125"/>
      <x:c r="J38" s="125"/>
      <x:c r="K38" s="125"/>
      <x:c r="L38" s="125"/>
      <x:c r="M38" s="125"/>
      <x:c r="N38" s="125"/>
      <x:c r="O38" s="125"/>
      <x:c r="P38" s="125"/>
      <x:c r="Q38" s="125"/>
    </x:row>
    <x:row r="39">
      <x:c r="A39" s="134"/>
      <x:c r="B39" s="134"/>
      <x:c r="C39" s="134"/>
      <x:c r="D39" s="134"/>
      <x:c r="E39" s="134"/>
      <x:c r="F39" s="134"/>
      <x:c r="G39" s="134"/>
      <x:c r="H39" s="134"/>
      <x:c r="I39" s="125"/>
      <x:c r="J39" s="125"/>
      <x:c r="K39" s="125"/>
      <x:c r="L39" s="125"/>
      <x:c r="M39" s="125"/>
      <x:c r="N39" s="125"/>
      <x:c r="O39" s="125"/>
      <x:c r="P39" s="125"/>
      <x:c r="Q39" s="125"/>
    </x:row>
    <x:row r="40">
      <x:c r="A40" s="134"/>
      <x:c r="B40" s="134"/>
      <x:c r="C40" s="134"/>
      <x:c r="D40" s="134"/>
      <x:c r="E40" s="134"/>
      <x:c r="F40" s="134"/>
      <x:c r="G40" s="134"/>
      <x:c r="H40" s="134"/>
      <x:c r="I40" s="125"/>
      <x:c r="J40" s="125"/>
      <x:c r="K40" s="125"/>
      <x:c r="L40" s="125"/>
      <x:c r="M40" s="125"/>
      <x:c r="N40" s="125"/>
      <x:c r="O40" s="125"/>
      <x:c r="P40" s="125"/>
      <x:c r="Q40" s="125"/>
    </x:row>
    <x:row r="41">
      <x:c r="A41" s="134"/>
      <x:c r="B41" s="134"/>
      <x:c r="C41" s="134"/>
      <x:c r="D41" s="134"/>
      <x:c r="E41" s="134"/>
      <x:c r="F41" s="134"/>
      <x:c r="G41" s="134"/>
      <x:c r="H41" s="134"/>
      <x:c r="I41" s="125"/>
      <x:c r="J41" s="125"/>
      <x:c r="K41" s="125"/>
      <x:c r="L41" s="125"/>
      <x:c r="M41" s="125"/>
      <x:c r="N41" s="125"/>
      <x:c r="O41" s="125"/>
      <x:c r="P41" s="125"/>
      <x:c r="Q41" s="125"/>
    </x:row>
    <x:row r="42">
      <x:c r="A42" s="134"/>
      <x:c r="B42" s="134"/>
      <x:c r="C42" s="134"/>
      <x:c r="D42" s="134"/>
      <x:c r="E42" s="134"/>
      <x:c r="F42" s="134"/>
      <x:c r="G42" s="134"/>
      <x:c r="H42" s="134"/>
      <x:c r="I42" s="125"/>
      <x:c r="J42" s="125"/>
      <x:c r="K42" s="125"/>
      <x:c r="L42" s="125"/>
      <x:c r="M42" s="125"/>
      <x:c r="N42" s="125"/>
      <x:c r="O42" s="125"/>
      <x:c r="P42" s="125"/>
      <x:c r="Q42" s="125"/>
    </x:row>
    <x:row r="43">
      <x:c r="A43" s="134"/>
      <x:c r="B43" s="134"/>
      <x:c r="C43" s="134"/>
      <x:c r="D43" s="134"/>
      <x:c r="E43" s="134"/>
      <x:c r="F43" s="134"/>
      <x:c r="G43" s="134"/>
      <x:c r="H43" s="134"/>
      <x:c r="I43" s="125"/>
      <x:c r="J43" s="125"/>
      <x:c r="K43" s="125"/>
      <x:c r="L43" s="125"/>
      <x:c r="M43" s="125"/>
      <x:c r="N43" s="125"/>
      <x:c r="O43" s="125"/>
      <x:c r="P43" s="125"/>
      <x:c r="Q43" s="125"/>
    </x:row>
    <x:row r="44">
      <x:c r="A44" s="134"/>
      <x:c r="B44" s="134"/>
      <x:c r="C44" s="134"/>
      <x:c r="D44" s="134"/>
      <x:c r="E44" s="134"/>
      <x:c r="F44" s="134"/>
      <x:c r="G44" s="134"/>
      <x:c r="H44" s="134"/>
      <x:c r="I44" s="125"/>
      <x:c r="J44" s="125"/>
      <x:c r="K44" s="125"/>
      <x:c r="L44" s="125"/>
      <x:c r="M44" s="125"/>
      <x:c r="N44" s="125"/>
      <x:c r="O44" s="125"/>
      <x:c r="P44" s="125"/>
      <x:c r="Q44" s="125"/>
    </x:row>
    <x:row r="45">
      <x:c r="A45" s="134"/>
      <x:c r="B45" s="134"/>
      <x:c r="C45" s="134"/>
      <x:c r="D45" s="134"/>
      <x:c r="E45" s="134"/>
      <x:c r="F45" s="134"/>
      <x:c r="G45" s="134"/>
      <x:c r="H45" s="134"/>
      <x:c r="I45" s="125"/>
      <x:c r="J45" s="125"/>
      <x:c r="K45" s="125"/>
      <x:c r="L45" s="125"/>
      <x:c r="M45" s="125"/>
      <x:c r="N45" s="125"/>
      <x:c r="O45" s="125"/>
      <x:c r="P45" s="125"/>
      <x:c r="Q45" s="125"/>
    </x:row>
    <x:row r="46">
      <x:c r="A46" s="134"/>
      <x:c r="B46" s="134"/>
      <x:c r="C46" s="134"/>
      <x:c r="D46" s="134"/>
      <x:c r="E46" s="134"/>
      <x:c r="F46" s="134"/>
      <x:c r="G46" s="134"/>
      <x:c r="H46" s="134"/>
      <x:c r="I46" s="125"/>
      <x:c r="J46" s="125"/>
      <x:c r="K46" s="125"/>
      <x:c r="L46" s="125"/>
      <x:c r="M46" s="125"/>
      <x:c r="N46" s="125"/>
      <x:c r="O46" s="125"/>
      <x:c r="P46" s="125"/>
      <x:c r="Q46" s="125"/>
    </x:row>
    <x:row r="47">
      <x:c r="A47" s="134"/>
      <x:c r="B47" s="134"/>
      <x:c r="C47" s="134"/>
      <x:c r="D47" s="134"/>
      <x:c r="E47" s="134"/>
      <x:c r="F47" s="134"/>
      <x:c r="G47" s="134"/>
      <x:c r="H47" s="134"/>
      <x:c r="I47" s="125"/>
      <x:c r="J47" s="125"/>
      <x:c r="K47" s="125"/>
      <x:c r="L47" s="125"/>
      <x:c r="M47" s="125"/>
      <x:c r="N47" s="125"/>
      <x:c r="O47" s="125"/>
      <x:c r="P47" s="125"/>
      <x:c r="Q47" s="125"/>
    </x:row>
    <x:row r="48">
      <x:c r="A48" s="134"/>
      <x:c r="B48" s="134"/>
      <x:c r="C48" s="134"/>
      <x:c r="D48" s="134"/>
      <x:c r="E48" s="134"/>
      <x:c r="F48" s="134"/>
      <x:c r="G48" s="134"/>
      <x:c r="H48" s="134"/>
      <x:c r="I48" s="125"/>
      <x:c r="J48" s="125"/>
      <x:c r="K48" s="125"/>
      <x:c r="L48" s="125"/>
      <x:c r="M48" s="125"/>
      <x:c r="N48" s="125"/>
      <x:c r="O48" s="125"/>
      <x:c r="P48" s="125"/>
      <x:c r="Q48" s="125"/>
    </x:row>
    <x:row r="49">
      <x:c r="A49" s="134"/>
      <x:c r="B49" s="134"/>
      <x:c r="C49" s="134"/>
      <x:c r="D49" s="134"/>
      <x:c r="E49" s="134"/>
      <x:c r="F49" s="134"/>
      <x:c r="G49" s="134"/>
      <x:c r="H49" s="134"/>
      <x:c r="I49" s="125"/>
      <x:c r="J49" s="125"/>
      <x:c r="K49" s="125"/>
      <x:c r="L49" s="125"/>
      <x:c r="M49" s="125"/>
      <x:c r="N49" s="125"/>
      <x:c r="O49" s="125"/>
      <x:c r="P49" s="125"/>
      <x:c r="Q49" s="125"/>
    </x:row>
    <x:row r="50">
      <x:c r="A50" s="134"/>
      <x:c r="B50" s="134"/>
      <x:c r="C50" s="134"/>
      <x:c r="D50" s="134"/>
      <x:c r="E50" s="134"/>
      <x:c r="F50" s="134"/>
      <x:c r="G50" s="134"/>
      <x:c r="H50" s="134"/>
      <x:c r="I50" s="125"/>
      <x:c r="J50" s="125"/>
      <x:c r="K50" s="125"/>
      <x:c r="L50" s="125"/>
      <x:c r="M50" s="125"/>
      <x:c r="N50" s="125"/>
      <x:c r="O50" s="125"/>
      <x:c r="P50" s="125"/>
      <x:c r="Q50" s="125"/>
    </x:row>
    <x:row r="51">
      <x:c r="A51" s="134"/>
      <x:c r="B51" s="134"/>
      <x:c r="C51" s="134"/>
      <x:c r="D51" s="134"/>
      <x:c r="E51" s="134"/>
      <x:c r="F51" s="134"/>
      <x:c r="G51" s="134"/>
      <x:c r="H51" s="134"/>
      <x:c r="I51" s="125"/>
      <x:c r="J51" s="125"/>
      <x:c r="K51" s="125"/>
      <x:c r="L51" s="125"/>
      <x:c r="M51" s="125"/>
      <x:c r="N51" s="125"/>
      <x:c r="O51" s="125"/>
      <x:c r="P51" s="125"/>
      <x:c r="Q51" s="125"/>
    </x:row>
    <x:row r="52">
      <x:c r="A52" s="134"/>
      <x:c r="B52" s="134"/>
      <x:c r="C52" s="134"/>
      <x:c r="D52" s="134"/>
      <x:c r="E52" s="134"/>
      <x:c r="F52" s="134"/>
      <x:c r="G52" s="134"/>
      <x:c r="H52" s="134"/>
      <x:c r="I52" s="125"/>
      <x:c r="J52" s="125"/>
      <x:c r="K52" s="125"/>
      <x:c r="L52" s="125"/>
      <x:c r="M52" s="125"/>
      <x:c r="N52" s="125"/>
      <x:c r="O52" s="125"/>
      <x:c r="P52" s="125"/>
      <x:c r="Q52" s="125"/>
    </x:row>
    <x:row r="53">
      <x:c r="A53" s="134"/>
      <x:c r="B53" s="134"/>
      <x:c r="C53" s="134"/>
      <x:c r="D53" s="134"/>
      <x:c r="E53" s="134"/>
      <x:c r="F53" s="134"/>
      <x:c r="G53" s="134"/>
      <x:c r="H53" s="134"/>
      <x:c r="I53" s="125"/>
      <x:c r="J53" s="125"/>
      <x:c r="K53" s="125"/>
      <x:c r="L53" s="125"/>
      <x:c r="M53" s="125"/>
      <x:c r="N53" s="125"/>
      <x:c r="O53" s="125"/>
      <x:c r="P53" s="125"/>
      <x:c r="Q53" s="125"/>
    </x:row>
    <x:row r="54">
      <x:c r="A54" s="134"/>
      <x:c r="B54" s="134"/>
      <x:c r="C54" s="134"/>
      <x:c r="D54" s="134"/>
      <x:c r="E54" s="134"/>
      <x:c r="F54" s="134"/>
      <x:c r="G54" s="134"/>
      <x:c r="H54" s="134"/>
      <x:c r="I54" s="125"/>
      <x:c r="J54" s="125"/>
      <x:c r="K54" s="125"/>
      <x:c r="L54" s="125"/>
      <x:c r="M54" s="125"/>
      <x:c r="N54" s="125"/>
      <x:c r="O54" s="125"/>
      <x:c r="P54" s="125"/>
      <x:c r="Q54" s="125"/>
    </x:row>
    <x:row r="55">
      <x:c r="A55" s="134"/>
      <x:c r="B55" s="134"/>
      <x:c r="C55" s="134"/>
      <x:c r="D55" s="134"/>
      <x:c r="E55" s="134"/>
      <x:c r="F55" s="134"/>
      <x:c r="G55" s="134"/>
      <x:c r="H55" s="134"/>
      <x:c r="I55" s="125"/>
      <x:c r="J55" s="125"/>
      <x:c r="K55" s="125"/>
      <x:c r="L55" s="125"/>
      <x:c r="M55" s="125"/>
      <x:c r="N55" s="125"/>
      <x:c r="O55" s="125"/>
      <x:c r="P55" s="125"/>
      <x:c r="Q55" s="125"/>
    </x:row>
    <x:row r="56">
      <x:c r="A56" s="134"/>
      <x:c r="B56" s="134"/>
      <x:c r="C56" s="134"/>
      <x:c r="D56" s="134"/>
      <x:c r="E56" s="134"/>
      <x:c r="F56" s="134"/>
      <x:c r="G56" s="134"/>
      <x:c r="H56" s="134"/>
      <x:c r="I56" s="125"/>
      <x:c r="J56" s="125"/>
      <x:c r="K56" s="125"/>
      <x:c r="L56" s="125"/>
      <x:c r="M56" s="125"/>
      <x:c r="N56" s="125"/>
      <x:c r="O56" s="125"/>
      <x:c r="P56" s="125"/>
      <x:c r="Q56" s="125"/>
    </x:row>
    <x:row r="57">
      <x:c r="A57" s="134"/>
      <x:c r="B57" s="134"/>
      <x:c r="C57" s="134"/>
      <x:c r="D57" s="134"/>
      <x:c r="E57" s="134"/>
      <x:c r="F57" s="134"/>
      <x:c r="G57" s="134"/>
      <x:c r="H57" s="134"/>
      <x:c r="I57" s="125"/>
      <x:c r="J57" s="125"/>
      <x:c r="K57" s="125"/>
      <x:c r="L57" s="125"/>
      <x:c r="M57" s="125"/>
      <x:c r="N57" s="125"/>
      <x:c r="O57" s="125"/>
      <x:c r="P57" s="125"/>
      <x:c r="Q57" s="125"/>
    </x:row>
    <x:row r="58">
      <x:c r="A58" s="134"/>
      <x:c r="B58" s="134"/>
      <x:c r="C58" s="134"/>
      <x:c r="D58" s="134"/>
      <x:c r="E58" s="134"/>
      <x:c r="F58" s="134"/>
      <x:c r="G58" s="134"/>
      <x:c r="H58" s="134"/>
      <x:c r="I58" s="125"/>
      <x:c r="J58" s="125"/>
      <x:c r="K58" s="125"/>
      <x:c r="L58" s="125"/>
      <x:c r="M58" s="125"/>
      <x:c r="N58" s="125"/>
      <x:c r="O58" s="125"/>
      <x:c r="P58" s="125"/>
      <x:c r="Q58" s="125"/>
    </x:row>
    <x:row r="59">
      <x:c r="A59" s="134"/>
      <x:c r="B59" s="134"/>
      <x:c r="C59" s="134"/>
      <x:c r="D59" s="134"/>
      <x:c r="E59" s="134"/>
      <x:c r="F59" s="134"/>
      <x:c r="G59" s="134"/>
      <x:c r="H59" s="134"/>
      <x:c r="I59" s="125"/>
      <x:c r="J59" s="125"/>
      <x:c r="K59" s="125"/>
      <x:c r="L59" s="125"/>
      <x:c r="M59" s="125"/>
      <x:c r="N59" s="125"/>
      <x:c r="O59" s="125"/>
      <x:c r="P59" s="125"/>
      <x:c r="Q59" s="125"/>
    </x:row>
    <x:row r="60">
      <x:c r="A60" s="134"/>
      <x:c r="B60" s="134"/>
      <x:c r="C60" s="134"/>
      <x:c r="D60" s="134"/>
      <x:c r="E60" s="134"/>
      <x:c r="F60" s="134"/>
      <x:c r="G60" s="134"/>
      <x:c r="H60" s="134"/>
      <x:c r="I60" s="125"/>
      <x:c r="J60" s="125"/>
      <x:c r="K60" s="125"/>
      <x:c r="L60" s="125"/>
      <x:c r="M60" s="125"/>
      <x:c r="N60" s="125"/>
      <x:c r="O60" s="125"/>
      <x:c r="P60" s="125"/>
      <x:c r="Q60" s="125"/>
    </x:row>
    <x:row r="61">
      <x:c r="A61" s="134"/>
      <x:c r="B61" s="134"/>
      <x:c r="C61" s="134"/>
      <x:c r="D61" s="134"/>
      <x:c r="E61" s="134"/>
      <x:c r="F61" s="134"/>
      <x:c r="G61" s="134"/>
      <x:c r="H61" s="134"/>
      <x:c r="I61" s="125"/>
      <x:c r="J61" s="125"/>
      <x:c r="K61" s="125"/>
      <x:c r="L61" s="125"/>
      <x:c r="M61" s="125"/>
      <x:c r="N61" s="125"/>
      <x:c r="O61" s="125"/>
      <x:c r="P61" s="125"/>
      <x:c r="Q61" s="125"/>
    </x:row>
    <x:row r="62">
      <x:c r="A62" s="134"/>
      <x:c r="B62" s="134"/>
      <x:c r="C62" s="134"/>
      <x:c r="D62" s="134"/>
      <x:c r="E62" s="134"/>
      <x:c r="F62" s="134"/>
      <x:c r="G62" s="134"/>
      <x:c r="H62" s="134"/>
      <x:c r="I62" s="125"/>
      <x:c r="J62" s="125"/>
      <x:c r="K62" s="125"/>
      <x:c r="L62" s="125"/>
      <x:c r="M62" s="125"/>
      <x:c r="N62" s="125"/>
      <x:c r="O62" s="125"/>
      <x:c r="P62" s="125"/>
      <x:c r="Q62" s="125"/>
    </x:row>
    <x:row r="63">
      <x:c r="A63" s="134"/>
      <x:c r="B63" s="134"/>
      <x:c r="C63" s="134"/>
      <x:c r="D63" s="134"/>
      <x:c r="E63" s="134"/>
      <x:c r="F63" s="134"/>
      <x:c r="G63" s="134"/>
      <x:c r="H63" s="134"/>
      <x:c r="I63" s="125"/>
      <x:c r="J63" s="125"/>
      <x:c r="K63" s="125"/>
      <x:c r="L63" s="125"/>
      <x:c r="M63" s="125"/>
      <x:c r="N63" s="125"/>
      <x:c r="O63" s="125"/>
      <x:c r="P63" s="125"/>
      <x:c r="Q63" s="125"/>
    </x:row>
    <x:row r="64">
      <x:c r="A64" s="134"/>
      <x:c r="B64" s="134"/>
      <x:c r="C64" s="134"/>
      <x:c r="D64" s="134"/>
      <x:c r="E64" s="134"/>
      <x:c r="F64" s="134"/>
      <x:c r="G64" s="134"/>
      <x:c r="H64" s="134"/>
      <x:c r="I64" s="125"/>
      <x:c r="J64" s="125"/>
      <x:c r="K64" s="125"/>
      <x:c r="L64" s="125"/>
      <x:c r="M64" s="125"/>
      <x:c r="N64" s="125"/>
      <x:c r="O64" s="125"/>
      <x:c r="P64" s="125"/>
      <x:c r="Q64" s="125"/>
    </x:row>
    <x:row r="65">
      <x:c r="A65" s="134"/>
      <x:c r="B65" s="134"/>
      <x:c r="C65" s="134"/>
      <x:c r="D65" s="134"/>
      <x:c r="E65" s="134"/>
      <x:c r="F65" s="134"/>
      <x:c r="G65" s="134"/>
      <x:c r="H65" s="134"/>
      <x:c r="I65" s="125"/>
      <x:c r="J65" s="125"/>
      <x:c r="K65" s="125"/>
      <x:c r="L65" s="125"/>
      <x:c r="M65" s="125"/>
      <x:c r="N65" s="125"/>
      <x:c r="O65" s="125"/>
      <x:c r="P65" s="125"/>
      <x:c r="Q65" s="125"/>
    </x:row>
    <x:row r="66">
      <x:c r="A66" s="134"/>
      <x:c r="B66" s="134"/>
      <x:c r="C66" s="134"/>
      <x:c r="D66" s="134"/>
      <x:c r="E66" s="134"/>
      <x:c r="F66" s="134"/>
      <x:c r="G66" s="134"/>
      <x:c r="H66" s="134"/>
      <x:c r="I66" s="125"/>
      <x:c r="J66" s="125"/>
      <x:c r="K66" s="125"/>
      <x:c r="L66" s="125"/>
      <x:c r="M66" s="125"/>
      <x:c r="N66" s="125"/>
      <x:c r="O66" s="125"/>
      <x:c r="P66" s="125"/>
      <x:c r="Q66" s="125"/>
    </x:row>
    <x:row r="67">
      <x:c r="A67" s="134"/>
      <x:c r="B67" s="134"/>
      <x:c r="C67" s="134"/>
      <x:c r="D67" s="134"/>
      <x:c r="E67" s="134"/>
      <x:c r="F67" s="134"/>
      <x:c r="G67" s="134"/>
      <x:c r="H67" s="134"/>
      <x:c r="I67" s="125"/>
      <x:c r="J67" s="125"/>
      <x:c r="K67" s="125"/>
      <x:c r="L67" s="125"/>
      <x:c r="M67" s="125"/>
      <x:c r="N67" s="125"/>
      <x:c r="O67" s="125"/>
      <x:c r="P67" s="125"/>
      <x:c r="Q67" s="125"/>
    </x:row>
    <x:row r="68">
      <x:c r="A68" s="134"/>
      <x:c r="B68" s="134"/>
      <x:c r="C68" s="134"/>
      <x:c r="D68" s="134"/>
      <x:c r="E68" s="134"/>
      <x:c r="F68" s="134"/>
      <x:c r="G68" s="134"/>
      <x:c r="H68" s="134"/>
      <x:c r="I68" s="125"/>
      <x:c r="J68" s="125"/>
      <x:c r="K68" s="125"/>
      <x:c r="L68" s="125"/>
      <x:c r="M68" s="125"/>
      <x:c r="N68" s="125"/>
      <x:c r="O68" s="125"/>
      <x:c r="P68" s="125"/>
      <x:c r="Q68" s="125"/>
    </x:row>
    <x:row r="69">
      <x:c r="A69" s="134"/>
      <x:c r="B69" s="134"/>
      <x:c r="C69" s="134"/>
      <x:c r="D69" s="134"/>
      <x:c r="E69" s="134"/>
      <x:c r="F69" s="134"/>
      <x:c r="G69" s="134"/>
      <x:c r="H69" s="134"/>
      <x:c r="I69" s="125"/>
      <x:c r="J69" s="125"/>
      <x:c r="K69" s="125"/>
      <x:c r="L69" s="125"/>
      <x:c r="M69" s="125"/>
      <x:c r="N69" s="125"/>
      <x:c r="O69" s="125"/>
      <x:c r="P69" s="125"/>
      <x:c r="Q69" s="125"/>
    </x:row>
    <x:row r="70">
      <x:c r="A70" s="134"/>
      <x:c r="B70" s="134"/>
      <x:c r="C70" s="134"/>
      <x:c r="D70" s="134"/>
      <x:c r="E70" s="134"/>
      <x:c r="F70" s="134"/>
      <x:c r="G70" s="134"/>
      <x:c r="H70" s="134"/>
      <x:c r="I70" s="125"/>
      <x:c r="J70" s="125"/>
      <x:c r="K70" s="125"/>
      <x:c r="L70" s="125"/>
      <x:c r="M70" s="125"/>
      <x:c r="N70" s="125"/>
      <x:c r="O70" s="125"/>
      <x:c r="P70" s="125"/>
      <x:c r="Q70" s="125"/>
    </x:row>
    <x:row r="71">
      <x:c r="A71" s="134"/>
      <x:c r="B71" s="134"/>
      <x:c r="C71" s="134"/>
      <x:c r="D71" s="134"/>
      <x:c r="E71" s="134"/>
      <x:c r="F71" s="134"/>
      <x:c r="G71" s="134"/>
      <x:c r="H71" s="134"/>
      <x:c r="I71" s="125"/>
      <x:c r="J71" s="125"/>
      <x:c r="K71" s="125"/>
      <x:c r="L71" s="125"/>
      <x:c r="M71" s="125"/>
      <x:c r="N71" s="125"/>
      <x:c r="O71" s="125"/>
      <x:c r="P71" s="125"/>
      <x:c r="Q71" s="125"/>
    </x:row>
    <x:row r="72">
      <x:c r="A72" s="134"/>
      <x:c r="B72" s="134"/>
      <x:c r="C72" s="134"/>
      <x:c r="D72" s="134"/>
      <x:c r="E72" s="134"/>
      <x:c r="F72" s="134"/>
      <x:c r="G72" s="134"/>
      <x:c r="H72" s="134"/>
      <x:c r="I72" s="125"/>
      <x:c r="J72" s="125"/>
      <x:c r="K72" s="125"/>
      <x:c r="L72" s="125"/>
      <x:c r="M72" s="125"/>
      <x:c r="N72" s="125"/>
      <x:c r="O72" s="125"/>
      <x:c r="P72" s="125"/>
      <x:c r="Q72" s="125"/>
    </x:row>
    <x:row r="73">
      <x:c r="A73" s="134"/>
      <x:c r="B73" s="134"/>
      <x:c r="C73" s="134"/>
      <x:c r="D73" s="134"/>
      <x:c r="E73" s="134"/>
      <x:c r="F73" s="134"/>
      <x:c r="G73" s="134"/>
      <x:c r="H73" s="134"/>
      <x:c r="I73" s="125"/>
      <x:c r="J73" s="125"/>
      <x:c r="K73" s="125"/>
      <x:c r="L73" s="125"/>
      <x:c r="M73" s="125"/>
      <x:c r="N73" s="125"/>
      <x:c r="O73" s="125"/>
      <x:c r="P73" s="125"/>
      <x:c r="Q73" s="125"/>
    </x:row>
    <x:row r="74">
      <x:c r="A74" s="134"/>
      <x:c r="B74" s="134"/>
      <x:c r="C74" s="134"/>
      <x:c r="D74" s="134"/>
      <x:c r="E74" s="134"/>
      <x:c r="F74" s="134"/>
      <x:c r="G74" s="134"/>
      <x:c r="H74" s="134"/>
      <x:c r="I74" s="125"/>
      <x:c r="J74" s="125"/>
      <x:c r="K74" s="125"/>
      <x:c r="L74" s="125"/>
      <x:c r="M74" s="125"/>
      <x:c r="N74" s="125"/>
      <x:c r="O74" s="125"/>
      <x:c r="P74" s="125"/>
      <x:c r="Q74" s="125"/>
    </x:row>
    <x:row r="75">
      <x:c r="A75" s="134"/>
      <x:c r="B75" s="134"/>
      <x:c r="C75" s="134"/>
      <x:c r="D75" s="134"/>
      <x:c r="E75" s="134"/>
      <x:c r="F75" s="134"/>
      <x:c r="G75" s="134"/>
      <x:c r="H75" s="134"/>
      <x:c r="I75" s="125"/>
      <x:c r="J75" s="125"/>
      <x:c r="K75" s="125"/>
      <x:c r="L75" s="125"/>
      <x:c r="M75" s="125"/>
      <x:c r="N75" s="125"/>
      <x:c r="O75" s="125"/>
      <x:c r="P75" s="125"/>
      <x:c r="Q75" s="125"/>
    </x:row>
    <x:row r="76">
      <x:c r="A76" s="134"/>
      <x:c r="B76" s="134"/>
      <x:c r="C76" s="134"/>
      <x:c r="D76" s="134"/>
      <x:c r="E76" s="134"/>
      <x:c r="F76" s="134"/>
      <x:c r="G76" s="134"/>
      <x:c r="H76" s="134"/>
      <x:c r="I76" s="125"/>
      <x:c r="J76" s="125"/>
      <x:c r="K76" s="125"/>
      <x:c r="L76" s="125"/>
      <x:c r="M76" s="125"/>
      <x:c r="N76" s="125"/>
      <x:c r="O76" s="125"/>
      <x:c r="P76" s="125"/>
      <x:c r="Q76" s="125"/>
    </x:row>
    <x:row r="77">
      <x:c r="A77" s="134"/>
      <x:c r="B77" s="134"/>
      <x:c r="C77" s="134"/>
      <x:c r="D77" s="134"/>
      <x:c r="E77" s="134"/>
      <x:c r="F77" s="134"/>
      <x:c r="G77" s="134"/>
      <x:c r="H77" s="134"/>
      <x:c r="I77" s="125"/>
      <x:c r="J77" s="125"/>
      <x:c r="K77" s="125"/>
      <x:c r="L77" s="125"/>
      <x:c r="M77" s="125"/>
      <x:c r="N77" s="125"/>
      <x:c r="O77" s="125"/>
      <x:c r="P77" s="125"/>
      <x:c r="Q77" s="125"/>
    </x:row>
    <x:row r="78">
      <x:c r="A78" s="134"/>
      <x:c r="B78" s="134"/>
      <x:c r="C78" s="134"/>
      <x:c r="D78" s="134"/>
      <x:c r="E78" s="134"/>
      <x:c r="F78" s="134"/>
      <x:c r="G78" s="134"/>
      <x:c r="H78" s="134"/>
      <x:c r="I78" s="125"/>
      <x:c r="J78" s="125"/>
      <x:c r="K78" s="125"/>
      <x:c r="L78" s="125"/>
      <x:c r="M78" s="125"/>
      <x:c r="N78" s="125"/>
      <x:c r="O78" s="125"/>
      <x:c r="P78" s="125"/>
      <x:c r="Q78" s="125"/>
    </x:row>
    <x:row r="79">
      <x:c r="A79" s="134"/>
      <x:c r="B79" s="134"/>
      <x:c r="C79" s="134"/>
      <x:c r="D79" s="134"/>
      <x:c r="E79" s="134"/>
      <x:c r="F79" s="134"/>
      <x:c r="G79" s="134"/>
      <x:c r="H79" s="134"/>
      <x:c r="I79" s="125"/>
      <x:c r="J79" s="125"/>
      <x:c r="K79" s="125"/>
      <x:c r="L79" s="125"/>
      <x:c r="M79" s="125"/>
      <x:c r="N79" s="125"/>
      <x:c r="O79" s="125"/>
      <x:c r="P79" s="125"/>
      <x:c r="Q79" s="125"/>
    </x:row>
    <x:row r="80">
      <x:c r="A80" s="134"/>
      <x:c r="B80" s="134"/>
      <x:c r="C80" s="134"/>
      <x:c r="D80" s="134"/>
      <x:c r="E80" s="134"/>
      <x:c r="F80" s="134"/>
      <x:c r="G80" s="134"/>
      <x:c r="H80" s="134"/>
      <x:c r="I80" s="125"/>
      <x:c r="J80" s="125"/>
      <x:c r="K80" s="125"/>
      <x:c r="L80" s="125"/>
      <x:c r="M80" s="125"/>
      <x:c r="N80" s="125"/>
      <x:c r="O80" s="125"/>
      <x:c r="P80" s="125"/>
      <x:c r="Q80" s="125"/>
    </x:row>
    <x:row r="81">
      <x:c r="A81" s="134"/>
      <x:c r="B81" s="134"/>
      <x:c r="C81" s="134"/>
      <x:c r="D81" s="134"/>
      <x:c r="E81" s="134"/>
      <x:c r="F81" s="134"/>
      <x:c r="G81" s="134"/>
      <x:c r="H81" s="134"/>
      <x:c r="I81" s="125"/>
      <x:c r="J81" s="125"/>
      <x:c r="K81" s="125"/>
      <x:c r="L81" s="125"/>
      <x:c r="M81" s="125"/>
      <x:c r="N81" s="125"/>
      <x:c r="O81" s="125"/>
      <x:c r="P81" s="125"/>
      <x:c r="Q81" s="125"/>
    </x:row>
    <x:row r="82">
      <x:c r="A82" s="134"/>
      <x:c r="B82" s="134"/>
      <x:c r="C82" s="134"/>
      <x:c r="D82" s="134"/>
      <x:c r="E82" s="134"/>
      <x:c r="F82" s="134"/>
      <x:c r="G82" s="134"/>
      <x:c r="H82" s="134"/>
      <x:c r="I82" s="125"/>
      <x:c r="J82" s="125"/>
      <x:c r="K82" s="125"/>
      <x:c r="L82" s="125"/>
      <x:c r="M82" s="125"/>
      <x:c r="N82" s="125"/>
      <x:c r="O82" s="125"/>
      <x:c r="P82" s="125"/>
      <x:c r="Q82" s="125"/>
    </x:row>
    <x:row r="83">
      <x:c r="A83" s="134"/>
      <x:c r="B83" s="134"/>
      <x:c r="C83" s="134"/>
      <x:c r="D83" s="134"/>
      <x:c r="E83" s="134"/>
      <x:c r="F83" s="134"/>
      <x:c r="G83" s="134"/>
      <x:c r="H83" s="134"/>
      <x:c r="I83" s="125"/>
      <x:c r="J83" s="125"/>
      <x:c r="K83" s="125"/>
      <x:c r="L83" s="125"/>
      <x:c r="M83" s="125"/>
      <x:c r="N83" s="125"/>
      <x:c r="O83" s="125"/>
      <x:c r="P83" s="125"/>
      <x:c r="Q83" s="125"/>
    </x:row>
    <x:row r="84">
      <x:c r="A84" s="134"/>
      <x:c r="B84" s="134"/>
      <x:c r="C84" s="134"/>
      <x:c r="D84" s="134"/>
      <x:c r="E84" s="134"/>
      <x:c r="F84" s="134"/>
      <x:c r="G84" s="134"/>
      <x:c r="H84" s="134"/>
      <x:c r="I84" s="125"/>
      <x:c r="J84" s="125"/>
      <x:c r="K84" s="125"/>
      <x:c r="L84" s="125"/>
      <x:c r="M84" s="125"/>
      <x:c r="N84" s="125"/>
      <x:c r="O84" s="125"/>
      <x:c r="P84" s="125"/>
      <x:c r="Q84" s="125"/>
    </x:row>
    <x:row r="85">
      <x:c r="A85" s="134"/>
      <x:c r="B85" s="134"/>
      <x:c r="C85" s="134"/>
      <x:c r="D85" s="134"/>
      <x:c r="E85" s="134"/>
      <x:c r="F85" s="134"/>
      <x:c r="G85" s="134"/>
      <x:c r="H85" s="134"/>
      <x:c r="I85" s="125"/>
      <x:c r="J85" s="125"/>
      <x:c r="K85" s="125"/>
      <x:c r="L85" s="125"/>
      <x:c r="M85" s="125"/>
      <x:c r="N85" s="125"/>
      <x:c r="O85" s="125"/>
      <x:c r="P85" s="125"/>
      <x:c r="Q85" s="125"/>
    </x:row>
    <x:row r="86">
      <x:c r="A86" s="134"/>
      <x:c r="B86" s="134"/>
      <x:c r="C86" s="134"/>
      <x:c r="D86" s="134"/>
      <x:c r="E86" s="134"/>
      <x:c r="F86" s="134"/>
      <x:c r="G86" s="134"/>
      <x:c r="H86" s="134"/>
      <x:c r="I86" s="125"/>
      <x:c r="J86" s="125"/>
      <x:c r="K86" s="125"/>
      <x:c r="L86" s="125"/>
      <x:c r="M86" s="125"/>
      <x:c r="N86" s="125"/>
      <x:c r="O86" s="125"/>
      <x:c r="P86" s="125"/>
      <x:c r="Q86" s="125"/>
    </x:row>
    <x:row r="87">
      <x:c r="A87" s="134"/>
      <x:c r="B87" s="134"/>
      <x:c r="C87" s="134"/>
      <x:c r="D87" s="134"/>
      <x:c r="E87" s="134"/>
      <x:c r="F87" s="134"/>
      <x:c r="G87" s="134"/>
      <x:c r="H87" s="134"/>
      <x:c r="I87" s="125"/>
      <x:c r="J87" s="125"/>
      <x:c r="K87" s="125"/>
      <x:c r="L87" s="125"/>
      <x:c r="M87" s="125"/>
      <x:c r="N87" s="125"/>
      <x:c r="O87" s="125"/>
      <x:c r="P87" s="125"/>
      <x:c r="Q87" s="125"/>
    </x:row>
    <x:row r="88">
      <x:c r="A88" s="134"/>
      <x:c r="B88" s="134"/>
      <x:c r="C88" s="134"/>
      <x:c r="D88" s="134"/>
      <x:c r="E88" s="134"/>
      <x:c r="F88" s="134"/>
      <x:c r="G88" s="134"/>
      <x:c r="H88" s="134"/>
      <x:c r="I88" s="125"/>
      <x:c r="J88" s="125"/>
      <x:c r="K88" s="125"/>
      <x:c r="L88" s="125"/>
      <x:c r="M88" s="125"/>
      <x:c r="N88" s="125"/>
      <x:c r="O88" s="125"/>
      <x:c r="P88" s="125"/>
      <x:c r="Q88" s="125"/>
    </x:row>
    <x:row r="89">
      <x:c r="A89" s="134"/>
      <x:c r="B89" s="134"/>
      <x:c r="C89" s="134"/>
      <x:c r="D89" s="134"/>
      <x:c r="E89" s="134"/>
      <x:c r="F89" s="134"/>
      <x:c r="G89" s="134"/>
      <x:c r="H89" s="134"/>
      <x:c r="I89" s="125"/>
      <x:c r="J89" s="125"/>
      <x:c r="K89" s="125"/>
      <x:c r="L89" s="125"/>
      <x:c r="M89" s="125"/>
      <x:c r="N89" s="125"/>
      <x:c r="O89" s="125"/>
      <x:c r="P89" s="125"/>
      <x:c r="Q89" s="125"/>
    </x:row>
    <x:row r="90">
      <x:c r="A90" s="134"/>
      <x:c r="B90" s="134"/>
      <x:c r="C90" s="134"/>
      <x:c r="D90" s="134"/>
      <x:c r="E90" s="134"/>
      <x:c r="F90" s="134"/>
      <x:c r="G90" s="134"/>
      <x:c r="H90" s="134"/>
      <x:c r="I90" s="125"/>
      <x:c r="J90" s="125"/>
      <x:c r="K90" s="125"/>
      <x:c r="L90" s="125"/>
      <x:c r="M90" s="125"/>
      <x:c r="N90" s="125"/>
      <x:c r="O90" s="125"/>
      <x:c r="P90" s="125"/>
      <x:c r="Q90" s="125"/>
    </x:row>
    <x:row r="91">
      <x:c r="A91" s="134"/>
      <x:c r="B91" s="134"/>
      <x:c r="C91" s="134"/>
      <x:c r="D91" s="134"/>
      <x:c r="E91" s="134"/>
      <x:c r="F91" s="134"/>
      <x:c r="G91" s="134"/>
      <x:c r="H91" s="134"/>
      <x:c r="I91" s="125"/>
      <x:c r="J91" s="125"/>
      <x:c r="K91" s="125"/>
      <x:c r="L91" s="125"/>
      <x:c r="M91" s="125"/>
      <x:c r="N91" s="125"/>
      <x:c r="O91" s="125"/>
      <x:c r="P91" s="125"/>
      <x:c r="Q91" s="125"/>
    </x:row>
    <x:row r="92">
      <x:c r="A92" s="134"/>
      <x:c r="B92" s="134"/>
      <x:c r="C92" s="134"/>
      <x:c r="D92" s="134"/>
      <x:c r="E92" s="134"/>
      <x:c r="F92" s="134"/>
      <x:c r="G92" s="134"/>
      <x:c r="H92" s="134"/>
      <x:c r="I92" s="125"/>
      <x:c r="J92" s="125"/>
      <x:c r="K92" s="125"/>
      <x:c r="L92" s="125"/>
      <x:c r="M92" s="125"/>
      <x:c r="N92" s="125"/>
      <x:c r="O92" s="125"/>
      <x:c r="P92" s="125"/>
      <x:c r="Q92" s="125"/>
    </x:row>
    <x:row r="93">
      <x:c r="A93" s="134"/>
      <x:c r="B93" s="134"/>
      <x:c r="C93" s="134"/>
      <x:c r="D93" s="134"/>
      <x:c r="E93" s="134"/>
      <x:c r="F93" s="134"/>
      <x:c r="G93" s="134"/>
      <x:c r="H93" s="134"/>
      <x:c r="I93" s="125"/>
      <x:c r="J93" s="125"/>
      <x:c r="K93" s="125"/>
      <x:c r="L93" s="125"/>
      <x:c r="M93" s="125"/>
      <x:c r="N93" s="125"/>
      <x:c r="O93" s="125"/>
      <x:c r="P93" s="125"/>
      <x:c r="Q93" s="125"/>
    </x:row>
    <x:row r="94">
      <x:c r="A94" s="134"/>
      <x:c r="B94" s="134"/>
      <x:c r="C94" s="134"/>
      <x:c r="D94" s="134"/>
      <x:c r="E94" s="134"/>
      <x:c r="F94" s="134"/>
      <x:c r="G94" s="134"/>
      <x:c r="H94" s="134"/>
      <x:c r="I94" s="125"/>
      <x:c r="J94" s="125"/>
      <x:c r="K94" s="125"/>
      <x:c r="L94" s="125"/>
      <x:c r="M94" s="125"/>
      <x:c r="N94" s="125"/>
      <x:c r="O94" s="125"/>
      <x:c r="P94" s="125"/>
      <x:c r="Q94" s="125"/>
    </x:row>
    <x:row r="95">
      <x:c r="A95" s="134"/>
      <x:c r="B95" s="134"/>
      <x:c r="C95" s="134"/>
      <x:c r="D95" s="134"/>
      <x:c r="E95" s="134"/>
      <x:c r="F95" s="134"/>
      <x:c r="G95" s="134"/>
      <x:c r="H95" s="134"/>
      <x:c r="I95" s="125"/>
      <x:c r="J95" s="125"/>
      <x:c r="K95" s="125"/>
      <x:c r="L95" s="125"/>
      <x:c r="M95" s="125"/>
      <x:c r="N95" s="125"/>
      <x:c r="O95" s="125"/>
      <x:c r="P95" s="125"/>
      <x:c r="Q95" s="125"/>
    </x:row>
    <x:row r="96">
      <x:c r="A96" s="134"/>
      <x:c r="B96" s="134"/>
      <x:c r="C96" s="134"/>
      <x:c r="D96" s="134"/>
      <x:c r="E96" s="134"/>
      <x:c r="F96" s="134"/>
      <x:c r="G96" s="134"/>
      <x:c r="H96" s="134"/>
      <x:c r="I96" s="125"/>
      <x:c r="J96" s="125"/>
      <x:c r="K96" s="125"/>
      <x:c r="L96" s="125"/>
      <x:c r="M96" s="125"/>
      <x:c r="N96" s="125"/>
      <x:c r="O96" s="125"/>
      <x:c r="P96" s="125"/>
      <x:c r="Q96" s="125"/>
    </x:row>
    <x:row r="97">
      <x:c r="A97" s="134"/>
      <x:c r="B97" s="134"/>
      <x:c r="C97" s="134"/>
      <x:c r="D97" s="134"/>
      <x:c r="E97" s="134"/>
      <x:c r="F97" s="134"/>
      <x:c r="G97" s="134"/>
      <x:c r="H97" s="134"/>
      <x:c r="I97" s="125"/>
      <x:c r="J97" s="125"/>
      <x:c r="K97" s="125"/>
      <x:c r="L97" s="125"/>
      <x:c r="M97" s="125"/>
      <x:c r="N97" s="125"/>
      <x:c r="O97" s="125"/>
      <x:c r="P97" s="125"/>
      <x:c r="Q97" s="125"/>
    </x:row>
    <x:row r="98">
      <x:c r="A98" s="134"/>
      <x:c r="B98" s="134"/>
      <x:c r="C98" s="134"/>
      <x:c r="D98" s="134"/>
      <x:c r="E98" s="134"/>
      <x:c r="F98" s="134"/>
      <x:c r="G98" s="134"/>
      <x:c r="H98" s="134"/>
      <x:c r="I98" s="125"/>
      <x:c r="J98" s="125"/>
      <x:c r="K98" s="125"/>
      <x:c r="L98" s="125"/>
      <x:c r="M98" s="125"/>
      <x:c r="N98" s="125"/>
      <x:c r="O98" s="125"/>
      <x:c r="P98" s="125"/>
      <x:c r="Q98" s="125"/>
    </x:row>
    <x:row r="99">
      <x:c r="A99" s="134"/>
      <x:c r="B99" s="134"/>
      <x:c r="C99" s="134"/>
      <x:c r="D99" s="134"/>
      <x:c r="E99" s="134"/>
      <x:c r="F99" s="134"/>
      <x:c r="G99" s="134"/>
      <x:c r="H99" s="134"/>
      <x:c r="I99" s="125"/>
      <x:c r="J99" s="125"/>
      <x:c r="K99" s="125"/>
      <x:c r="L99" s="125"/>
      <x:c r="M99" s="125"/>
      <x:c r="N99" s="125"/>
      <x:c r="O99" s="125"/>
      <x:c r="P99" s="125"/>
      <x:c r="Q99" s="125"/>
    </x:row>
    <x:row r="100">
      <x:c r="A100" s="134"/>
      <x:c r="B100" s="134"/>
      <x:c r="C100" s="134"/>
      <x:c r="D100" s="134"/>
      <x:c r="E100" s="134"/>
      <x:c r="F100" s="134"/>
      <x:c r="G100" s="134"/>
      <x:c r="H100" s="134"/>
      <x:c r="I100" s="125"/>
      <x:c r="J100" s="125"/>
      <x:c r="K100" s="125"/>
      <x:c r="L100" s="125"/>
      <x:c r="M100" s="125"/>
      <x:c r="N100" s="125"/>
      <x:c r="O100" s="125"/>
      <x:c r="P100" s="125"/>
      <x:c r="Q100" s="125"/>
    </x:row>
    <x:row r="101">
      <x:c r="A101" s="134"/>
      <x:c r="B101" s="134"/>
      <x:c r="C101" s="134"/>
      <x:c r="D101" s="134"/>
      <x:c r="E101" s="134"/>
      <x:c r="F101" s="134"/>
      <x:c r="G101" s="134"/>
      <x:c r="H101" s="134"/>
      <x:c r="I101" s="125"/>
      <x:c r="J101" s="125"/>
      <x:c r="K101" s="125"/>
      <x:c r="L101" s="125"/>
      <x:c r="M101" s="125"/>
      <x:c r="N101" s="125"/>
      <x:c r="O101" s="125"/>
      <x:c r="P101" s="125"/>
      <x:c r="Q101" s="125"/>
    </x:row>
    <x:row r="102">
      <x:c r="A102" s="134"/>
      <x:c r="B102" s="134"/>
      <x:c r="C102" s="134"/>
      <x:c r="D102" s="134"/>
      <x:c r="E102" s="134"/>
      <x:c r="F102" s="134"/>
      <x:c r="G102" s="134"/>
      <x:c r="H102" s="134"/>
      <x:c r="I102" s="125"/>
      <x:c r="J102" s="125"/>
      <x:c r="K102" s="125"/>
      <x:c r="L102" s="125"/>
      <x:c r="M102" s="125"/>
      <x:c r="N102" s="125"/>
      <x:c r="O102" s="125"/>
      <x:c r="P102" s="125"/>
      <x:c r="Q102" s="125"/>
    </x:row>
    <x:row r="103">
      <x:c r="A103" s="134"/>
      <x:c r="B103" s="134"/>
      <x:c r="C103" s="134"/>
      <x:c r="D103" s="134"/>
      <x:c r="E103" s="134"/>
      <x:c r="F103" s="134"/>
      <x:c r="G103" s="134"/>
      <x:c r="H103" s="134"/>
      <x:c r="I103" s="125"/>
      <x:c r="J103" s="125"/>
      <x:c r="K103" s="125"/>
      <x:c r="L103" s="125"/>
      <x:c r="M103" s="125"/>
      <x:c r="N103" s="125"/>
      <x:c r="O103" s="125"/>
      <x:c r="P103" s="125"/>
      <x:c r="Q103" s="125"/>
    </x:row>
    <x:row r="104">
      <x:c r="A104" s="134"/>
      <x:c r="B104" s="134"/>
      <x:c r="C104" s="134"/>
      <x:c r="D104" s="134"/>
      <x:c r="E104" s="134"/>
      <x:c r="F104" s="134"/>
      <x:c r="G104" s="134"/>
      <x:c r="H104" s="134"/>
      <x:c r="I104" s="125"/>
      <x:c r="J104" s="125"/>
      <x:c r="K104" s="125"/>
      <x:c r="L104" s="125"/>
      <x:c r="M104" s="125"/>
      <x:c r="N104" s="125"/>
      <x:c r="O104" s="125"/>
      <x:c r="P104" s="125"/>
      <x:c r="Q104" s="125"/>
    </x:row>
    <x:row r="105">
      <x:c r="A105" s="134"/>
      <x:c r="B105" s="134"/>
      <x:c r="C105" s="134"/>
      <x:c r="D105" s="134"/>
      <x:c r="E105" s="134"/>
      <x:c r="F105" s="134"/>
      <x:c r="G105" s="134"/>
      <x:c r="H105" s="134"/>
      <x:c r="I105" s="125"/>
      <x:c r="J105" s="125"/>
      <x:c r="K105" s="125"/>
      <x:c r="L105" s="125"/>
      <x:c r="M105" s="125"/>
      <x:c r="N105" s="125"/>
      <x:c r="O105" s="125"/>
      <x:c r="P105" s="125"/>
      <x:c r="Q105" s="125"/>
    </x:row>
    <x:row r="106">
      <x:c r="A106" s="134"/>
      <x:c r="B106" s="134"/>
      <x:c r="C106" s="134"/>
      <x:c r="D106" s="134"/>
      <x:c r="E106" s="134"/>
      <x:c r="F106" s="134"/>
      <x:c r="G106" s="134"/>
      <x:c r="H106" s="134"/>
      <x:c r="I106" s="125"/>
      <x:c r="J106" s="125"/>
      <x:c r="K106" s="125"/>
      <x:c r="L106" s="125"/>
      <x:c r="M106" s="125"/>
      <x:c r="N106" s="125"/>
      <x:c r="O106" s="125"/>
      <x:c r="P106" s="125"/>
      <x:c r="Q106" s="125"/>
    </x:row>
    <x:row r="107">
      <x:c r="A107" s="134"/>
      <x:c r="B107" s="134"/>
      <x:c r="C107" s="134"/>
      <x:c r="D107" s="134"/>
      <x:c r="E107" s="134"/>
      <x:c r="F107" s="134"/>
      <x:c r="G107" s="134"/>
      <x:c r="H107" s="134"/>
      <x:c r="I107" s="125"/>
      <x:c r="J107" s="125"/>
      <x:c r="K107" s="125"/>
      <x:c r="L107" s="125"/>
      <x:c r="M107" s="125"/>
      <x:c r="N107" s="125"/>
      <x:c r="O107" s="125"/>
      <x:c r="P107" s="125"/>
      <x:c r="Q107" s="125"/>
    </x:row>
    <x:row r="108">
      <x:c r="A108" s="134"/>
      <x:c r="B108" s="134"/>
      <x:c r="C108" s="134"/>
      <x:c r="D108" s="134"/>
      <x:c r="E108" s="134"/>
      <x:c r="F108" s="134"/>
      <x:c r="G108" s="134"/>
      <x:c r="H108" s="134"/>
      <x:c r="I108" s="125"/>
      <x:c r="J108" s="125"/>
      <x:c r="K108" s="125"/>
      <x:c r="L108" s="125"/>
      <x:c r="M108" s="125"/>
      <x:c r="N108" s="125"/>
      <x:c r="O108" s="125"/>
      <x:c r="P108" s="125"/>
      <x:c r="Q108" s="125"/>
    </x:row>
    <x:row r="109">
      <x:c r="A109" s="134"/>
      <x:c r="B109" s="134"/>
      <x:c r="C109" s="134"/>
      <x:c r="D109" s="134"/>
      <x:c r="E109" s="134"/>
      <x:c r="F109" s="134"/>
      <x:c r="G109" s="134"/>
      <x:c r="H109" s="134"/>
      <x:c r="I109" s="125"/>
      <x:c r="J109" s="125"/>
      <x:c r="K109" s="125"/>
      <x:c r="L109" s="125"/>
      <x:c r="M109" s="125"/>
      <x:c r="N109" s="125"/>
      <x:c r="O109" s="125"/>
      <x:c r="P109" s="125"/>
      <x:c r="Q109" s="125"/>
    </x:row>
    <x:row r="110">
      <x:c r="A110" s="134"/>
      <x:c r="B110" s="134"/>
      <x:c r="C110" s="134"/>
      <x:c r="D110" s="134"/>
      <x:c r="E110" s="134"/>
      <x:c r="F110" s="134"/>
      <x:c r="G110" s="134"/>
      <x:c r="H110" s="134"/>
      <x:c r="I110" s="125"/>
      <x:c r="J110" s="125"/>
      <x:c r="K110" s="125"/>
      <x:c r="L110" s="125"/>
      <x:c r="M110" s="125"/>
      <x:c r="N110" s="125"/>
      <x:c r="O110" s="125"/>
      <x:c r="P110" s="125"/>
      <x:c r="Q110" s="125"/>
    </x:row>
    <x:row r="111">
      <x:c r="A111" s="134"/>
      <x:c r="B111" s="134"/>
      <x:c r="C111" s="134"/>
      <x:c r="D111" s="134"/>
      <x:c r="E111" s="134"/>
      <x:c r="F111" s="134"/>
      <x:c r="G111" s="134"/>
      <x:c r="H111" s="134"/>
      <x:c r="I111" s="125"/>
      <x:c r="J111" s="125"/>
      <x:c r="K111" s="125"/>
      <x:c r="L111" s="125"/>
      <x:c r="M111" s="125"/>
      <x:c r="N111" s="125"/>
      <x:c r="O111" s="125"/>
      <x:c r="P111" s="125"/>
      <x:c r="Q111" s="125"/>
    </x:row>
    <x:row r="112">
      <x:c r="A112" s="134"/>
      <x:c r="B112" s="134"/>
      <x:c r="C112" s="134"/>
      <x:c r="D112" s="134"/>
      <x:c r="E112" s="134"/>
      <x:c r="F112" s="134"/>
      <x:c r="G112" s="134"/>
      <x:c r="H112" s="134"/>
      <x:c r="I112" s="125"/>
      <x:c r="J112" s="125"/>
      <x:c r="K112" s="125"/>
      <x:c r="L112" s="125"/>
      <x:c r="M112" s="125"/>
      <x:c r="N112" s="125"/>
      <x:c r="O112" s="125"/>
      <x:c r="P112" s="125"/>
      <x:c r="Q112" s="125"/>
    </x:row>
    <x:row r="113">
      <x:c r="A113" s="134"/>
      <x:c r="B113" s="134"/>
      <x:c r="C113" s="134"/>
      <x:c r="D113" s="134"/>
      <x:c r="E113" s="134"/>
      <x:c r="F113" s="134"/>
      <x:c r="G113" s="134"/>
      <x:c r="H113" s="134"/>
      <x:c r="I113" s="125"/>
      <x:c r="J113" s="125"/>
      <x:c r="K113" s="125"/>
      <x:c r="L113" s="125"/>
      <x:c r="M113" s="125"/>
      <x:c r="N113" s="125"/>
      <x:c r="O113" s="125"/>
      <x:c r="P113" s="125"/>
      <x:c r="Q113" s="125"/>
    </x:row>
    <x:row r="114">
      <x:c r="A114" s="134"/>
      <x:c r="B114" s="134"/>
      <x:c r="C114" s="134"/>
      <x:c r="D114" s="134"/>
      <x:c r="E114" s="134"/>
      <x:c r="F114" s="134"/>
      <x:c r="G114" s="134"/>
      <x:c r="H114" s="134"/>
      <x:c r="I114" s="125"/>
      <x:c r="J114" s="125"/>
      <x:c r="K114" s="125"/>
      <x:c r="L114" s="125"/>
      <x:c r="M114" s="125"/>
      <x:c r="N114" s="125"/>
      <x:c r="O114" s="125"/>
      <x:c r="P114" s="125"/>
      <x:c r="Q114" s="125"/>
    </x:row>
    <x:row r="115">
      <x:c r="A115" s="134"/>
      <x:c r="B115" s="134"/>
      <x:c r="C115" s="134"/>
      <x:c r="D115" s="134"/>
      <x:c r="E115" s="134"/>
      <x:c r="F115" s="134"/>
      <x:c r="G115" s="134"/>
      <x:c r="H115" s="134"/>
      <x:c r="I115" s="125"/>
      <x:c r="J115" s="125"/>
      <x:c r="K115" s="125"/>
      <x:c r="L115" s="125"/>
      <x:c r="M115" s="125"/>
      <x:c r="N115" s="125"/>
      <x:c r="O115" s="125"/>
      <x:c r="P115" s="125"/>
      <x:c r="Q115" s="125"/>
    </x:row>
    <x:row r="116">
      <x:c r="A116" s="134"/>
      <x:c r="B116" s="134"/>
      <x:c r="C116" s="134"/>
      <x:c r="D116" s="134"/>
      <x:c r="E116" s="134"/>
      <x:c r="F116" s="134"/>
      <x:c r="G116" s="134"/>
      <x:c r="H116" s="134"/>
      <x:c r="I116" s="125"/>
      <x:c r="J116" s="125"/>
      <x:c r="K116" s="125"/>
      <x:c r="L116" s="125"/>
      <x:c r="M116" s="125"/>
      <x:c r="N116" s="125"/>
      <x:c r="O116" s="125"/>
      <x:c r="P116" s="125"/>
      <x:c r="Q116" s="125"/>
    </x:row>
    <x:row r="117">
      <x:c r="A117" s="134"/>
      <x:c r="B117" s="134"/>
      <x:c r="C117" s="134"/>
      <x:c r="D117" s="134"/>
      <x:c r="E117" s="134"/>
      <x:c r="F117" s="134"/>
      <x:c r="G117" s="134"/>
      <x:c r="H117" s="134"/>
      <x:c r="I117" s="125"/>
      <x:c r="J117" s="125"/>
      <x:c r="K117" s="125"/>
      <x:c r="L117" s="125"/>
      <x:c r="M117" s="125"/>
      <x:c r="N117" s="125"/>
      <x:c r="O117" s="125"/>
      <x:c r="P117" s="125"/>
      <x:c r="Q117" s="125"/>
    </x:row>
    <x:row r="118">
      <x:c r="A118" s="134"/>
      <x:c r="B118" s="134"/>
      <x:c r="C118" s="134"/>
      <x:c r="D118" s="134"/>
      <x:c r="E118" s="134"/>
      <x:c r="F118" s="134"/>
      <x:c r="G118" s="134"/>
      <x:c r="H118" s="134"/>
      <x:c r="I118" s="125"/>
      <x:c r="J118" s="125"/>
      <x:c r="K118" s="125"/>
      <x:c r="L118" s="125"/>
      <x:c r="M118" s="125"/>
      <x:c r="N118" s="125"/>
      <x:c r="O118" s="125"/>
      <x:c r="P118" s="125"/>
      <x:c r="Q118" s="125"/>
    </x:row>
    <x:row r="119">
      <x:c r="A119" s="134"/>
      <x:c r="B119" s="134"/>
      <x:c r="C119" s="134"/>
      <x:c r="D119" s="134"/>
      <x:c r="E119" s="134"/>
      <x:c r="F119" s="134"/>
      <x:c r="G119" s="134"/>
      <x:c r="H119" s="134"/>
      <x:c r="I119" s="125"/>
      <x:c r="J119" s="125"/>
      <x:c r="K119" s="125"/>
      <x:c r="L119" s="125"/>
      <x:c r="M119" s="125"/>
      <x:c r="N119" s="125"/>
      <x:c r="O119" s="125"/>
      <x:c r="P119" s="125"/>
      <x:c r="Q119" s="125"/>
    </x:row>
    <x:row r="120">
      <x:c r="A120" s="134"/>
      <x:c r="B120" s="134"/>
      <x:c r="C120" s="134"/>
      <x:c r="D120" s="134"/>
      <x:c r="E120" s="134"/>
      <x:c r="F120" s="134"/>
      <x:c r="G120" s="134"/>
      <x:c r="H120" s="134"/>
      <x:c r="I120" s="125"/>
      <x:c r="J120" s="125"/>
      <x:c r="K120" s="125"/>
      <x:c r="L120" s="125"/>
      <x:c r="M120" s="125"/>
      <x:c r="N120" s="125"/>
      <x:c r="O120" s="125"/>
      <x:c r="P120" s="125"/>
      <x:c r="Q120" s="125"/>
    </x:row>
    <x:row r="121">
      <x:c r="A121" s="134"/>
      <x:c r="B121" s="134"/>
      <x:c r="C121" s="134"/>
      <x:c r="D121" s="134"/>
      <x:c r="E121" s="134"/>
      <x:c r="F121" s="134"/>
      <x:c r="G121" s="134"/>
      <x:c r="H121" s="134"/>
      <x:c r="I121" s="125"/>
      <x:c r="J121" s="125"/>
      <x:c r="K121" s="125"/>
      <x:c r="L121" s="125"/>
      <x:c r="M121" s="125"/>
      <x:c r="N121" s="125"/>
      <x:c r="O121" s="125"/>
      <x:c r="P121" s="125"/>
      <x:c r="Q121" s="125"/>
    </x:row>
    <x:row r="122">
      <x:c r="A122" s="134"/>
      <x:c r="B122" s="134"/>
      <x:c r="C122" s="134"/>
      <x:c r="D122" s="134"/>
      <x:c r="E122" s="134"/>
      <x:c r="F122" s="134"/>
      <x:c r="G122" s="134"/>
      <x:c r="H122" s="134"/>
      <x:c r="I122" s="125"/>
      <x:c r="J122" s="125"/>
      <x:c r="K122" s="125"/>
      <x:c r="L122" s="125"/>
      <x:c r="M122" s="125"/>
      <x:c r="N122" s="125"/>
      <x:c r="O122" s="125"/>
      <x:c r="P122" s="125"/>
      <x:c r="Q122" s="125"/>
    </x:row>
    <x:row r="123">
      <x:c r="A123" s="134"/>
      <x:c r="B123" s="134"/>
      <x:c r="C123" s="134"/>
      <x:c r="D123" s="134"/>
      <x:c r="E123" s="134"/>
      <x:c r="F123" s="134"/>
      <x:c r="G123" s="134"/>
      <x:c r="H123" s="134"/>
      <x:c r="I123" s="125"/>
      <x:c r="J123" s="125"/>
      <x:c r="K123" s="125"/>
      <x:c r="L123" s="125"/>
      <x:c r="M123" s="125"/>
      <x:c r="N123" s="125"/>
      <x:c r="O123" s="125"/>
      <x:c r="P123" s="125"/>
      <x:c r="Q123" s="125"/>
    </x:row>
    <x:row r="124">
      <x:c r="A124" s="134"/>
      <x:c r="B124" s="134"/>
      <x:c r="C124" s="134"/>
      <x:c r="D124" s="134"/>
      <x:c r="E124" s="134"/>
      <x:c r="F124" s="134"/>
      <x:c r="G124" s="134"/>
      <x:c r="H124" s="134"/>
      <x:c r="I124" s="125"/>
      <x:c r="J124" s="125"/>
      <x:c r="K124" s="125"/>
      <x:c r="L124" s="125"/>
      <x:c r="M124" s="125"/>
      <x:c r="N124" s="125"/>
      <x:c r="O124" s="125"/>
      <x:c r="P124" s="125"/>
      <x:c r="Q124" s="125"/>
    </x:row>
    <x:row r="125">
      <x:c r="A125" s="134"/>
      <x:c r="B125" s="134"/>
      <x:c r="C125" s="134"/>
      <x:c r="D125" s="134"/>
      <x:c r="E125" s="134"/>
      <x:c r="F125" s="134"/>
      <x:c r="G125" s="134"/>
      <x:c r="H125" s="134"/>
      <x:c r="I125" s="125"/>
      <x:c r="J125" s="125"/>
      <x:c r="K125" s="125"/>
      <x:c r="L125" s="125"/>
      <x:c r="M125" s="125"/>
      <x:c r="N125" s="125"/>
      <x:c r="O125" s="125"/>
      <x:c r="P125" s="125"/>
      <x:c r="Q125" s="125"/>
    </x:row>
    <x:row r="126">
      <x:c r="A126" s="134"/>
      <x:c r="B126" s="134"/>
      <x:c r="C126" s="134"/>
      <x:c r="D126" s="134"/>
      <x:c r="E126" s="134"/>
      <x:c r="F126" s="134"/>
      <x:c r="G126" s="134"/>
      <x:c r="H126" s="134"/>
      <x:c r="I126" s="125"/>
      <x:c r="J126" s="125"/>
      <x:c r="K126" s="125"/>
      <x:c r="L126" s="125"/>
      <x:c r="M126" s="125"/>
      <x:c r="N126" s="125"/>
      <x:c r="O126" s="125"/>
      <x:c r="P126" s="125"/>
      <x:c r="Q126" s="125"/>
    </x:row>
    <x:row r="127">
      <x:c r="A127" s="134"/>
      <x:c r="B127" s="134"/>
      <x:c r="C127" s="134"/>
      <x:c r="D127" s="134"/>
      <x:c r="E127" s="134"/>
      <x:c r="F127" s="134"/>
      <x:c r="G127" s="134"/>
      <x:c r="H127" s="134"/>
      <x:c r="I127" s="125"/>
      <x:c r="J127" s="125"/>
      <x:c r="K127" s="125"/>
      <x:c r="L127" s="125"/>
      <x:c r="M127" s="125"/>
      <x:c r="N127" s="125"/>
      <x:c r="O127" s="125"/>
      <x:c r="P127" s="125"/>
      <x:c r="Q127" s="125"/>
    </x:row>
    <x:row r="128">
      <x:c r="A128" s="134"/>
      <x:c r="B128" s="134"/>
      <x:c r="C128" s="134"/>
      <x:c r="D128" s="134"/>
      <x:c r="E128" s="134"/>
      <x:c r="F128" s="134"/>
      <x:c r="G128" s="134"/>
      <x:c r="H128" s="134"/>
      <x:c r="I128" s="125"/>
      <x:c r="J128" s="125"/>
      <x:c r="K128" s="125"/>
      <x:c r="L128" s="125"/>
      <x:c r="M128" s="125"/>
      <x:c r="N128" s="125"/>
      <x:c r="O128" s="125"/>
      <x:c r="P128" s="125"/>
      <x:c r="Q128" s="125"/>
    </x:row>
    <x:row r="129">
      <x:c r="A129" s="134"/>
      <x:c r="B129" s="134"/>
      <x:c r="C129" s="134"/>
      <x:c r="D129" s="134"/>
      <x:c r="E129" s="134"/>
      <x:c r="F129" s="134"/>
      <x:c r="G129" s="134"/>
      <x:c r="H129" s="134"/>
      <x:c r="I129" s="125"/>
      <x:c r="J129" s="125"/>
      <x:c r="K129" s="125"/>
      <x:c r="L129" s="125"/>
      <x:c r="M129" s="125"/>
      <x:c r="N129" s="125"/>
      <x:c r="O129" s="125"/>
      <x:c r="P129" s="125"/>
      <x:c r="Q129" s="125"/>
    </x:row>
    <x:row r="130">
      <x:c r="A130" s="134"/>
      <x:c r="B130" s="134"/>
      <x:c r="C130" s="134"/>
      <x:c r="D130" s="134"/>
      <x:c r="E130" s="134"/>
      <x:c r="F130" s="134"/>
      <x:c r="G130" s="134"/>
      <x:c r="H130" s="134"/>
      <x:c r="I130" s="125"/>
      <x:c r="J130" s="125"/>
      <x:c r="K130" s="125"/>
      <x:c r="L130" s="125"/>
      <x:c r="M130" s="125"/>
      <x:c r="N130" s="125"/>
      <x:c r="O130" s="125"/>
      <x:c r="P130" s="125"/>
      <x:c r="Q130" s="125"/>
    </x:row>
    <x:row r="131">
      <x:c r="A131" s="134"/>
      <x:c r="B131" s="134"/>
      <x:c r="C131" s="134"/>
      <x:c r="D131" s="134"/>
      <x:c r="E131" s="134"/>
      <x:c r="F131" s="134"/>
      <x:c r="G131" s="134"/>
      <x:c r="H131" s="134"/>
      <x:c r="I131" s="125"/>
      <x:c r="J131" s="125"/>
      <x:c r="K131" s="125"/>
      <x:c r="L131" s="125"/>
      <x:c r="M131" s="125"/>
      <x:c r="N131" s="125"/>
      <x:c r="O131" s="125"/>
      <x:c r="P131" s="125"/>
      <x:c r="Q131" s="125"/>
    </x:row>
    <x:row r="132">
      <x:c r="A132" s="134"/>
      <x:c r="B132" s="134"/>
      <x:c r="C132" s="134"/>
      <x:c r="D132" s="134"/>
      <x:c r="E132" s="134"/>
      <x:c r="F132" s="134"/>
      <x:c r="G132" s="134"/>
      <x:c r="H132" s="134"/>
      <x:c r="I132" s="125"/>
      <x:c r="J132" s="125"/>
      <x:c r="K132" s="125"/>
      <x:c r="L132" s="125"/>
      <x:c r="M132" s="125"/>
      <x:c r="N132" s="125"/>
      <x:c r="O132" s="125"/>
      <x:c r="P132" s="125"/>
      <x:c r="Q132" s="125"/>
    </x:row>
    <x:row r="133">
      <x:c r="A133" s="134"/>
      <x:c r="B133" s="134"/>
      <x:c r="C133" s="134"/>
      <x:c r="D133" s="134"/>
      <x:c r="E133" s="134"/>
      <x:c r="F133" s="134"/>
      <x:c r="G133" s="134"/>
      <x:c r="H133" s="134"/>
      <x:c r="I133" s="125"/>
      <x:c r="J133" s="125"/>
      <x:c r="K133" s="125"/>
      <x:c r="L133" s="125"/>
      <x:c r="M133" s="125"/>
      <x:c r="N133" s="125"/>
      <x:c r="O133" s="125"/>
      <x:c r="P133" s="125"/>
      <x:c r="Q133" s="125"/>
    </x:row>
    <x:row r="134">
      <x:c r="A134" s="134"/>
      <x:c r="B134" s="134"/>
      <x:c r="C134" s="134"/>
      <x:c r="D134" s="134"/>
      <x:c r="E134" s="134"/>
      <x:c r="F134" s="134"/>
      <x:c r="G134" s="134"/>
      <x:c r="H134" s="134"/>
      <x:c r="I134" s="125"/>
      <x:c r="J134" s="125"/>
      <x:c r="K134" s="125"/>
      <x:c r="L134" s="125"/>
      <x:c r="M134" s="125"/>
      <x:c r="N134" s="125"/>
      <x:c r="O134" s="125"/>
      <x:c r="P134" s="125"/>
      <x:c r="Q134" s="125"/>
    </x:row>
    <x:row r="135">
      <x:c r="A135" s="134"/>
      <x:c r="B135" s="134"/>
      <x:c r="C135" s="134"/>
      <x:c r="D135" s="134"/>
      <x:c r="E135" s="134"/>
      <x:c r="F135" s="134"/>
      <x:c r="G135" s="134"/>
      <x:c r="H135" s="134"/>
      <x:c r="I135" s="125"/>
      <x:c r="J135" s="125"/>
      <x:c r="K135" s="125"/>
      <x:c r="L135" s="125"/>
      <x:c r="M135" s="125"/>
      <x:c r="N135" s="125"/>
      <x:c r="O135" s="125"/>
      <x:c r="P135" s="125"/>
      <x:c r="Q135" s="125"/>
    </x:row>
    <x:row r="136">
      <x:c r="A136" s="134"/>
      <x:c r="B136" s="134"/>
      <x:c r="C136" s="134"/>
      <x:c r="D136" s="134"/>
      <x:c r="E136" s="134"/>
      <x:c r="F136" s="134"/>
      <x:c r="G136" s="134"/>
      <x:c r="H136" s="134"/>
      <x:c r="I136" s="125"/>
      <x:c r="J136" s="125"/>
      <x:c r="K136" s="125"/>
      <x:c r="L136" s="125"/>
      <x:c r="M136" s="125"/>
      <x:c r="N136" s="125"/>
      <x:c r="O136" s="125"/>
      <x:c r="P136" s="125"/>
      <x:c r="Q136" s="125"/>
    </x:row>
    <x:row r="137">
      <x:c r="A137" s="134"/>
      <x:c r="B137" s="134"/>
      <x:c r="C137" s="134"/>
      <x:c r="D137" s="134"/>
      <x:c r="E137" s="134"/>
      <x:c r="F137" s="134"/>
      <x:c r="G137" s="134"/>
      <x:c r="H137" s="134"/>
      <x:c r="I137" s="125"/>
      <x:c r="J137" s="125"/>
      <x:c r="K137" s="125"/>
      <x:c r="L137" s="125"/>
      <x:c r="M137" s="125"/>
      <x:c r="N137" s="125"/>
      <x:c r="O137" s="125"/>
      <x:c r="P137" s="125"/>
      <x:c r="Q137" s="125"/>
    </x:row>
    <x:row r="138">
      <x:c r="A138" s="134"/>
      <x:c r="B138" s="134"/>
      <x:c r="C138" s="134"/>
      <x:c r="D138" s="134"/>
      <x:c r="E138" s="134"/>
      <x:c r="F138" s="134"/>
      <x:c r="G138" s="134"/>
      <x:c r="H138" s="134"/>
      <x:c r="I138" s="125"/>
      <x:c r="J138" s="125"/>
      <x:c r="K138" s="125"/>
      <x:c r="L138" s="125"/>
      <x:c r="M138" s="125"/>
      <x:c r="N138" s="125"/>
      <x:c r="O138" s="125"/>
      <x:c r="P138" s="125"/>
      <x:c r="Q138" s="125"/>
    </x:row>
    <x:row r="139">
      <x:c r="A139" s="134"/>
      <x:c r="B139" s="134"/>
      <x:c r="C139" s="134"/>
      <x:c r="D139" s="134"/>
      <x:c r="E139" s="134"/>
      <x:c r="F139" s="134"/>
      <x:c r="G139" s="134"/>
      <x:c r="H139" s="134"/>
      <x:c r="I139" s="125"/>
      <x:c r="J139" s="125"/>
      <x:c r="K139" s="125"/>
      <x:c r="L139" s="125"/>
      <x:c r="M139" s="125"/>
      <x:c r="N139" s="125"/>
      <x:c r="O139" s="125"/>
      <x:c r="P139" s="125"/>
      <x:c r="Q139" s="125"/>
    </x:row>
    <x:row r="140">
      <x:c r="A140" s="134"/>
      <x:c r="B140" s="134"/>
      <x:c r="C140" s="134"/>
      <x:c r="D140" s="134"/>
      <x:c r="E140" s="134"/>
      <x:c r="F140" s="134"/>
      <x:c r="G140" s="134"/>
      <x:c r="H140" s="134"/>
      <x:c r="I140" s="125"/>
      <x:c r="J140" s="125"/>
      <x:c r="K140" s="125"/>
      <x:c r="L140" s="125"/>
      <x:c r="M140" s="125"/>
      <x:c r="N140" s="125"/>
      <x:c r="O140" s="125"/>
      <x:c r="P140" s="125"/>
      <x:c r="Q140" s="125"/>
    </x:row>
    <x:row r="141">
      <x:c r="A141" s="134"/>
      <x:c r="B141" s="134"/>
      <x:c r="C141" s="134"/>
      <x:c r="D141" s="134"/>
      <x:c r="E141" s="134"/>
      <x:c r="F141" s="134"/>
      <x:c r="G141" s="134"/>
      <x:c r="H141" s="134"/>
      <x:c r="I141" s="125"/>
      <x:c r="J141" s="125"/>
      <x:c r="K141" s="125"/>
      <x:c r="L141" s="125"/>
      <x:c r="M141" s="125"/>
      <x:c r="N141" s="125"/>
      <x:c r="O141" s="125"/>
      <x:c r="P141" s="125"/>
      <x:c r="Q141" s="125"/>
    </x:row>
    <x:row r="142">
      <x:c r="A142" s="134"/>
      <x:c r="B142" s="134"/>
      <x:c r="C142" s="134"/>
      <x:c r="D142" s="134"/>
      <x:c r="E142" s="134"/>
      <x:c r="F142" s="134"/>
      <x:c r="G142" s="134"/>
      <x:c r="H142" s="134"/>
      <x:c r="I142" s="125"/>
      <x:c r="J142" s="125"/>
      <x:c r="K142" s="125"/>
      <x:c r="L142" s="125"/>
      <x:c r="M142" s="125"/>
      <x:c r="N142" s="125"/>
      <x:c r="O142" s="125"/>
      <x:c r="P142" s="125"/>
      <x:c r="Q142" s="125"/>
    </x:row>
    <x:row r="143">
      <x:c r="A143" s="134"/>
      <x:c r="B143" s="134"/>
      <x:c r="C143" s="134"/>
      <x:c r="D143" s="134"/>
      <x:c r="E143" s="134"/>
      <x:c r="F143" s="134"/>
      <x:c r="G143" s="134"/>
      <x:c r="H143" s="134"/>
      <x:c r="I143" s="125"/>
      <x:c r="J143" s="125"/>
      <x:c r="K143" s="125"/>
      <x:c r="L143" s="125"/>
      <x:c r="M143" s="125"/>
      <x:c r="N143" s="125"/>
      <x:c r="O143" s="125"/>
      <x:c r="P143" s="125"/>
      <x:c r="Q143" s="125"/>
    </x:row>
    <x:row r="144">
      <x:c r="A144" s="134"/>
      <x:c r="B144" s="134"/>
      <x:c r="C144" s="134"/>
      <x:c r="D144" s="134"/>
      <x:c r="E144" s="134"/>
      <x:c r="F144" s="134"/>
      <x:c r="G144" s="134"/>
      <x:c r="H144" s="134"/>
      <x:c r="I144" s="125"/>
      <x:c r="J144" s="125"/>
      <x:c r="K144" s="125"/>
      <x:c r="L144" s="125"/>
      <x:c r="M144" s="125"/>
      <x:c r="N144" s="125"/>
      <x:c r="O144" s="125"/>
      <x:c r="P144" s="125"/>
      <x:c r="Q144" s="125"/>
    </x:row>
    <x:row r="145">
      <x:c r="A145" s="134"/>
      <x:c r="B145" s="134"/>
      <x:c r="C145" s="134"/>
      <x:c r="D145" s="134"/>
      <x:c r="E145" s="134"/>
      <x:c r="F145" s="134"/>
      <x:c r="G145" s="134"/>
      <x:c r="H145" s="134"/>
      <x:c r="I145" s="125"/>
      <x:c r="J145" s="125"/>
      <x:c r="K145" s="125"/>
      <x:c r="L145" s="125"/>
      <x:c r="M145" s="125"/>
      <x:c r="N145" s="125"/>
      <x:c r="O145" s="125"/>
      <x:c r="P145" s="125"/>
      <x:c r="Q145" s="125"/>
    </x:row>
    <x:row r="146">
      <x:c r="A146" s="134"/>
      <x:c r="B146" s="134"/>
      <x:c r="C146" s="134"/>
      <x:c r="D146" s="134"/>
      <x:c r="E146" s="134"/>
      <x:c r="F146" s="134"/>
      <x:c r="G146" s="134"/>
      <x:c r="H146" s="134"/>
      <x:c r="I146" s="125"/>
      <x:c r="J146" s="125"/>
      <x:c r="K146" s="125"/>
      <x:c r="L146" s="125"/>
      <x:c r="M146" s="125"/>
      <x:c r="N146" s="125"/>
      <x:c r="O146" s="125"/>
      <x:c r="P146" s="125"/>
      <x:c r="Q146" s="125"/>
    </x:row>
    <x:row r="147">
      <x:c r="A147" s="134"/>
      <x:c r="B147" s="134"/>
      <x:c r="C147" s="134"/>
      <x:c r="D147" s="134"/>
      <x:c r="E147" s="134"/>
      <x:c r="F147" s="134"/>
      <x:c r="G147" s="134"/>
      <x:c r="H147" s="134"/>
      <x:c r="I147" s="125"/>
      <x:c r="J147" s="125"/>
      <x:c r="K147" s="125"/>
      <x:c r="L147" s="125"/>
      <x:c r="M147" s="125"/>
      <x:c r="N147" s="125"/>
      <x:c r="O147" s="125"/>
      <x:c r="P147" s="125"/>
      <x:c r="Q147" s="125"/>
    </x:row>
    <x:row r="148">
      <x:c r="A148" s="134"/>
      <x:c r="B148" s="134"/>
      <x:c r="C148" s="134"/>
      <x:c r="D148" s="134"/>
      <x:c r="E148" s="134"/>
      <x:c r="F148" s="134"/>
      <x:c r="G148" s="134"/>
      <x:c r="H148" s="134"/>
      <x:c r="I148" s="125"/>
      <x:c r="J148" s="125"/>
      <x:c r="K148" s="125"/>
      <x:c r="L148" s="125"/>
      <x:c r="M148" s="125"/>
      <x:c r="N148" s="125"/>
      <x:c r="O148" s="125"/>
      <x:c r="P148" s="125"/>
      <x:c r="Q148" s="125"/>
    </x:row>
    <x:row r="149">
      <x:c r="A149" s="134"/>
      <x:c r="B149" s="134"/>
      <x:c r="C149" s="134"/>
      <x:c r="D149" s="134"/>
      <x:c r="E149" s="134"/>
      <x:c r="F149" s="134"/>
      <x:c r="G149" s="134"/>
      <x:c r="H149" s="134"/>
      <x:c r="I149" s="125"/>
      <x:c r="J149" s="125"/>
      <x:c r="K149" s="125"/>
      <x:c r="L149" s="125"/>
      <x:c r="M149" s="125"/>
      <x:c r="N149" s="125"/>
      <x:c r="O149" s="125"/>
      <x:c r="P149" s="125"/>
      <x:c r="Q149" s="125"/>
    </x:row>
    <x:row r="150">
      <x:c r="A150" s="134"/>
      <x:c r="B150" s="134"/>
      <x:c r="C150" s="134"/>
      <x:c r="D150" s="134"/>
      <x:c r="E150" s="134"/>
      <x:c r="F150" s="134"/>
      <x:c r="G150" s="134"/>
      <x:c r="H150" s="134"/>
      <x:c r="I150" s="125"/>
      <x:c r="J150" s="125"/>
      <x:c r="K150" s="125"/>
      <x:c r="L150" s="125"/>
      <x:c r="M150" s="125"/>
      <x:c r="N150" s="125"/>
      <x:c r="O150" s="125"/>
      <x:c r="P150" s="125"/>
      <x:c r="Q150" s="125"/>
    </x:row>
    <x:row r="151">
      <x:c r="A151" s="134"/>
      <x:c r="B151" s="134"/>
      <x:c r="C151" s="134"/>
      <x:c r="D151" s="134"/>
      <x:c r="E151" s="134"/>
      <x:c r="F151" s="134"/>
      <x:c r="G151" s="134"/>
      <x:c r="H151" s="134"/>
      <x:c r="I151" s="125"/>
      <x:c r="J151" s="125"/>
      <x:c r="K151" s="125"/>
      <x:c r="L151" s="125"/>
      <x:c r="M151" s="125"/>
      <x:c r="N151" s="125"/>
      <x:c r="O151" s="125"/>
      <x:c r="P151" s="125"/>
      <x:c r="Q151" s="125"/>
    </x:row>
    <x:row r="152">
      <x:c r="A152" s="134"/>
      <x:c r="B152" s="134"/>
      <x:c r="C152" s="134"/>
      <x:c r="D152" s="134"/>
      <x:c r="E152" s="134"/>
      <x:c r="F152" s="134"/>
      <x:c r="G152" s="134"/>
      <x:c r="H152" s="134"/>
      <x:c r="I152" s="125"/>
      <x:c r="J152" s="125"/>
      <x:c r="K152" s="125"/>
      <x:c r="L152" s="125"/>
      <x:c r="M152" s="125"/>
      <x:c r="N152" s="125"/>
      <x:c r="O152" s="125"/>
      <x:c r="P152" s="125"/>
      <x:c r="Q152" s="125"/>
    </x:row>
    <x:row r="153">
      <x:c r="A153" s="134"/>
      <x:c r="B153" s="134"/>
      <x:c r="C153" s="134"/>
      <x:c r="D153" s="134"/>
      <x:c r="E153" s="134"/>
      <x:c r="F153" s="134"/>
      <x:c r="G153" s="134"/>
      <x:c r="H153" s="134"/>
      <x:c r="I153" s="125"/>
      <x:c r="J153" s="125"/>
      <x:c r="K153" s="125"/>
      <x:c r="L153" s="125"/>
      <x:c r="M153" s="125"/>
      <x:c r="N153" s="125"/>
      <x:c r="O153" s="125"/>
      <x:c r="P153" s="125"/>
      <x:c r="Q153" s="125"/>
    </x:row>
    <x:row r="154">
      <x:c r="A154" s="134"/>
      <x:c r="B154" s="134"/>
      <x:c r="C154" s="134"/>
      <x:c r="D154" s="134"/>
      <x:c r="E154" s="134"/>
      <x:c r="F154" s="134"/>
      <x:c r="G154" s="134"/>
      <x:c r="H154" s="134"/>
      <x:c r="I154" s="125"/>
      <x:c r="J154" s="125"/>
      <x:c r="K154" s="125"/>
      <x:c r="L154" s="125"/>
      <x:c r="M154" s="125"/>
      <x:c r="N154" s="125"/>
      <x:c r="O154" s="125"/>
      <x:c r="P154" s="125"/>
      <x:c r="Q154" s="125"/>
    </x:row>
    <x:row r="155">
      <x:c r="A155" s="134"/>
      <x:c r="B155" s="134"/>
      <x:c r="C155" s="134"/>
      <x:c r="D155" s="134"/>
      <x:c r="E155" s="134"/>
      <x:c r="F155" s="134"/>
      <x:c r="G155" s="134"/>
      <x:c r="H155" s="134"/>
      <x:c r="I155" s="125"/>
      <x:c r="J155" s="125"/>
      <x:c r="K155" s="125"/>
      <x:c r="L155" s="125"/>
      <x:c r="M155" s="125"/>
      <x:c r="N155" s="125"/>
      <x:c r="O155" s="125"/>
      <x:c r="P155" s="125"/>
      <x:c r="Q155" s="125"/>
    </x:row>
    <x:row r="156">
      <x:c r="A156" s="134"/>
      <x:c r="B156" s="134"/>
      <x:c r="C156" s="134"/>
      <x:c r="D156" s="134"/>
      <x:c r="E156" s="134"/>
      <x:c r="F156" s="134"/>
      <x:c r="G156" s="134"/>
      <x:c r="H156" s="134"/>
      <x:c r="I156" s="125"/>
      <x:c r="J156" s="125"/>
      <x:c r="K156" s="125"/>
      <x:c r="L156" s="125"/>
      <x:c r="M156" s="125"/>
      <x:c r="N156" s="125"/>
      <x:c r="O156" s="125"/>
      <x:c r="P156" s="125"/>
      <x:c r="Q156" s="125"/>
    </x:row>
    <x:row r="157">
      <x:c r="A157" s="134"/>
      <x:c r="B157" s="134"/>
      <x:c r="C157" s="134"/>
      <x:c r="D157" s="134"/>
      <x:c r="E157" s="134"/>
      <x:c r="F157" s="134"/>
      <x:c r="G157" s="134"/>
      <x:c r="H157" s="134"/>
      <x:c r="I157" s="125"/>
      <x:c r="J157" s="125"/>
      <x:c r="K157" s="125"/>
      <x:c r="L157" s="125"/>
      <x:c r="M157" s="125"/>
      <x:c r="N157" s="125"/>
      <x:c r="O157" s="125"/>
      <x:c r="P157" s="125"/>
      <x:c r="Q157" s="125"/>
    </x:row>
    <x:row r="158">
      <x:c r="A158" s="134"/>
      <x:c r="B158" s="134"/>
      <x:c r="C158" s="134"/>
      <x:c r="D158" s="134"/>
      <x:c r="E158" s="134"/>
      <x:c r="F158" s="134"/>
      <x:c r="G158" s="134"/>
      <x:c r="H158" s="134"/>
      <x:c r="I158" s="125"/>
      <x:c r="J158" s="125"/>
      <x:c r="K158" s="125"/>
      <x:c r="L158" s="125"/>
      <x:c r="M158" s="125"/>
      <x:c r="N158" s="125"/>
      <x:c r="O158" s="125"/>
      <x:c r="P158" s="125"/>
      <x:c r="Q158" s="125"/>
    </x:row>
    <x:row r="159">
      <x:c r="A159" s="134"/>
      <x:c r="B159" s="134"/>
      <x:c r="C159" s="134"/>
      <x:c r="D159" s="134"/>
      <x:c r="E159" s="134"/>
      <x:c r="F159" s="134"/>
      <x:c r="G159" s="134"/>
      <x:c r="H159" s="134"/>
      <x:c r="I159" s="125"/>
      <x:c r="J159" s="125"/>
      <x:c r="K159" s="125"/>
      <x:c r="L159" s="125"/>
      <x:c r="M159" s="125"/>
      <x:c r="N159" s="125"/>
      <x:c r="O159" s="125"/>
      <x:c r="P159" s="125"/>
      <x:c r="Q159" s="125"/>
    </x:row>
    <x:row r="160">
      <x:c r="A160" s="134"/>
      <x:c r="B160" s="134"/>
      <x:c r="C160" s="134"/>
      <x:c r="D160" s="134"/>
      <x:c r="E160" s="134"/>
      <x:c r="F160" s="134"/>
      <x:c r="G160" s="134"/>
      <x:c r="H160" s="134"/>
      <x:c r="I160" s="125"/>
      <x:c r="J160" s="125"/>
      <x:c r="K160" s="125"/>
      <x:c r="L160" s="125"/>
      <x:c r="M160" s="125"/>
      <x:c r="N160" s="125"/>
      <x:c r="O160" s="125"/>
      <x:c r="P160" s="125"/>
      <x:c r="Q160" s="125"/>
    </x:row>
    <x:row r="161">
      <x:c r="A161" s="134"/>
      <x:c r="B161" s="134"/>
      <x:c r="C161" s="134"/>
      <x:c r="D161" s="134"/>
      <x:c r="E161" s="134"/>
      <x:c r="F161" s="134"/>
      <x:c r="G161" s="134"/>
      <x:c r="H161" s="134"/>
      <x:c r="I161" s="125"/>
      <x:c r="J161" s="125"/>
      <x:c r="K161" s="125"/>
      <x:c r="L161" s="125"/>
      <x:c r="M161" s="125"/>
      <x:c r="N161" s="125"/>
      <x:c r="O161" s="125"/>
      <x:c r="P161" s="125"/>
      <x:c r="Q161" s="125"/>
    </x:row>
    <x:row r="162">
      <x:c r="A162" s="134"/>
      <x:c r="B162" s="134"/>
      <x:c r="C162" s="134"/>
      <x:c r="D162" s="134"/>
      <x:c r="E162" s="134"/>
      <x:c r="F162" s="134"/>
      <x:c r="G162" s="134"/>
      <x:c r="H162" s="134"/>
      <x:c r="I162" s="125"/>
      <x:c r="J162" s="125"/>
      <x:c r="K162" s="125"/>
      <x:c r="L162" s="125"/>
      <x:c r="M162" s="125"/>
      <x:c r="N162" s="125"/>
      <x:c r="O162" s="125"/>
      <x:c r="P162" s="125"/>
      <x:c r="Q162" s="125"/>
    </x:row>
    <x:row r="163">
      <x:c r="A163" s="134"/>
      <x:c r="B163" s="134"/>
      <x:c r="C163" s="134"/>
      <x:c r="D163" s="134"/>
      <x:c r="E163" s="134"/>
      <x:c r="F163" s="134"/>
      <x:c r="G163" s="134"/>
      <x:c r="H163" s="134"/>
      <x:c r="I163" s="125"/>
      <x:c r="J163" s="125"/>
      <x:c r="K163" s="125"/>
      <x:c r="L163" s="125"/>
      <x:c r="M163" s="125"/>
      <x:c r="N163" s="125"/>
      <x:c r="O163" s="125"/>
      <x:c r="P163" s="125"/>
      <x:c r="Q163" s="125"/>
    </x:row>
    <x:row r="164">
      <x:c r="A164" s="134"/>
      <x:c r="B164" s="134"/>
      <x:c r="C164" s="134"/>
      <x:c r="D164" s="134"/>
      <x:c r="E164" s="134"/>
      <x:c r="F164" s="134"/>
      <x:c r="G164" s="134"/>
      <x:c r="H164" s="134"/>
      <x:c r="I164" s="125"/>
      <x:c r="J164" s="125"/>
      <x:c r="K164" s="125"/>
      <x:c r="L164" s="125"/>
      <x:c r="M164" s="125"/>
      <x:c r="N164" s="125"/>
      <x:c r="O164" s="125"/>
      <x:c r="P164" s="125"/>
      <x:c r="Q164" s="125"/>
    </x:row>
    <x:row r="165">
      <x:c r="A165" s="134"/>
      <x:c r="B165" s="134"/>
      <x:c r="C165" s="134"/>
      <x:c r="D165" s="134"/>
      <x:c r="E165" s="134"/>
      <x:c r="F165" s="134"/>
      <x:c r="G165" s="134"/>
      <x:c r="H165" s="134"/>
      <x:c r="I165" s="125"/>
      <x:c r="J165" s="125"/>
      <x:c r="K165" s="125"/>
      <x:c r="L165" s="125"/>
      <x:c r="M165" s="125"/>
      <x:c r="N165" s="125"/>
      <x:c r="O165" s="125"/>
      <x:c r="P165" s="125"/>
      <x:c r="Q165" s="125"/>
    </x:row>
    <x:row r="166">
      <x:c r="A166" s="134"/>
      <x:c r="B166" s="134"/>
      <x:c r="C166" s="134"/>
      <x:c r="D166" s="134"/>
      <x:c r="E166" s="134"/>
      <x:c r="F166" s="134"/>
      <x:c r="G166" s="134"/>
      <x:c r="H166" s="134"/>
      <x:c r="I166" s="125"/>
      <x:c r="J166" s="125"/>
      <x:c r="K166" s="125"/>
      <x:c r="L166" s="125"/>
      <x:c r="M166" s="125"/>
      <x:c r="N166" s="125"/>
      <x:c r="O166" s="125"/>
      <x:c r="P166" s="125"/>
      <x:c r="Q166" s="125"/>
    </x:row>
    <x:row r="167">
      <x:c r="A167" s="134"/>
      <x:c r="B167" s="134"/>
      <x:c r="C167" s="134"/>
      <x:c r="D167" s="134"/>
      <x:c r="E167" s="134"/>
      <x:c r="F167" s="134"/>
      <x:c r="G167" s="134"/>
      <x:c r="H167" s="134"/>
      <x:c r="I167" s="125"/>
      <x:c r="J167" s="125"/>
      <x:c r="K167" s="125"/>
      <x:c r="L167" s="125"/>
      <x:c r="M167" s="125"/>
      <x:c r="N167" s="125"/>
      <x:c r="O167" s="125"/>
      <x:c r="P167" s="125"/>
      <x:c r="Q167" s="125"/>
    </x:row>
    <x:row r="168">
      <x:c r="A168" s="134"/>
      <x:c r="B168" s="134"/>
      <x:c r="C168" s="134"/>
      <x:c r="D168" s="134"/>
      <x:c r="E168" s="134"/>
      <x:c r="F168" s="134"/>
      <x:c r="G168" s="134"/>
      <x:c r="H168" s="134"/>
      <x:c r="I168" s="125"/>
      <x:c r="J168" s="125"/>
      <x:c r="K168" s="125"/>
      <x:c r="L168" s="125"/>
      <x:c r="M168" s="125"/>
      <x:c r="N168" s="125"/>
      <x:c r="O168" s="125"/>
      <x:c r="P168" s="125"/>
      <x:c r="Q168" s="125"/>
    </x:row>
    <x:row r="169">
      <x:c r="A169" s="134"/>
      <x:c r="B169" s="134"/>
      <x:c r="C169" s="134"/>
      <x:c r="D169" s="134"/>
      <x:c r="E169" s="134"/>
      <x:c r="F169" s="134"/>
      <x:c r="G169" s="134"/>
      <x:c r="H169" s="134"/>
      <x:c r="I169" s="125"/>
      <x:c r="J169" s="125"/>
      <x:c r="K169" s="125"/>
      <x:c r="L169" s="125"/>
      <x:c r="M169" s="125"/>
      <x:c r="N169" s="125"/>
      <x:c r="O169" s="125"/>
      <x:c r="P169" s="125"/>
      <x:c r="Q169" s="125"/>
    </x:row>
    <x:row r="170">
      <x:c r="A170" s="134"/>
      <x:c r="B170" s="134"/>
      <x:c r="C170" s="134"/>
      <x:c r="D170" s="134"/>
      <x:c r="E170" s="134"/>
      <x:c r="F170" s="134"/>
      <x:c r="G170" s="134"/>
      <x:c r="H170" s="134"/>
      <x:c r="I170" s="125"/>
      <x:c r="J170" s="125"/>
      <x:c r="K170" s="125"/>
      <x:c r="L170" s="125"/>
      <x:c r="M170" s="125"/>
      <x:c r="N170" s="125"/>
      <x:c r="O170" s="125"/>
      <x:c r="P170" s="125"/>
      <x:c r="Q170" s="125"/>
    </x:row>
    <x:row r="171">
      <x:c r="A171" s="134"/>
      <x:c r="B171" s="134"/>
      <x:c r="C171" s="134"/>
      <x:c r="D171" s="134"/>
      <x:c r="E171" s="134"/>
      <x:c r="F171" s="134"/>
      <x:c r="G171" s="134"/>
      <x:c r="H171" s="134"/>
      <x:c r="I171" s="125"/>
      <x:c r="J171" s="125"/>
      <x:c r="K171" s="125"/>
      <x:c r="L171" s="125"/>
      <x:c r="M171" s="125"/>
      <x:c r="N171" s="125"/>
      <x:c r="O171" s="125"/>
      <x:c r="P171" s="125"/>
      <x:c r="Q171" s="125"/>
    </x:row>
    <x:row r="172">
      <x:c r="A172" s="134"/>
      <x:c r="B172" s="134"/>
      <x:c r="C172" s="134"/>
      <x:c r="D172" s="134"/>
      <x:c r="E172" s="134"/>
      <x:c r="F172" s="134"/>
      <x:c r="G172" s="134"/>
      <x:c r="H172" s="134"/>
      <x:c r="I172" s="125"/>
      <x:c r="J172" s="125"/>
      <x:c r="K172" s="125"/>
      <x:c r="L172" s="125"/>
      <x:c r="M172" s="125"/>
      <x:c r="N172" s="125"/>
      <x:c r="O172" s="125"/>
      <x:c r="P172" s="125"/>
      <x:c r="Q172" s="125"/>
    </x:row>
    <x:row r="173">
      <x:c r="A173" s="134"/>
      <x:c r="B173" s="134"/>
      <x:c r="C173" s="134"/>
      <x:c r="D173" s="134"/>
      <x:c r="E173" s="134"/>
      <x:c r="F173" s="134"/>
      <x:c r="G173" s="134"/>
      <x:c r="H173" s="134"/>
      <x:c r="I173" s="125"/>
      <x:c r="J173" s="125"/>
      <x:c r="K173" s="125"/>
      <x:c r="L173" s="125"/>
      <x:c r="M173" s="125"/>
      <x:c r="N173" s="125"/>
      <x:c r="O173" s="125"/>
      <x:c r="P173" s="125"/>
      <x:c r="Q173" s="125"/>
    </x:row>
    <x:row r="174">
      <x:c r="A174" s="134"/>
      <x:c r="B174" s="134"/>
      <x:c r="C174" s="134"/>
      <x:c r="D174" s="134"/>
      <x:c r="E174" s="134"/>
      <x:c r="F174" s="134"/>
      <x:c r="G174" s="134"/>
      <x:c r="H174" s="134"/>
      <x:c r="I174" s="125"/>
      <x:c r="J174" s="125"/>
      <x:c r="K174" s="125"/>
      <x:c r="L174" s="125"/>
      <x:c r="M174" s="125"/>
      <x:c r="N174" s="125"/>
      <x:c r="O174" s="125"/>
      <x:c r="P174" s="125"/>
      <x:c r="Q174" s="125"/>
    </x:row>
    <x:row r="175">
      <x:c r="A175" s="134"/>
      <x:c r="B175" s="134"/>
      <x:c r="C175" s="134"/>
      <x:c r="D175" s="134"/>
      <x:c r="E175" s="134"/>
      <x:c r="F175" s="134"/>
      <x:c r="G175" s="134"/>
      <x:c r="H175" s="134"/>
      <x:c r="I175" s="125"/>
      <x:c r="J175" s="125"/>
      <x:c r="K175" s="125"/>
      <x:c r="L175" s="125"/>
      <x:c r="M175" s="125"/>
      <x:c r="N175" s="125"/>
      <x:c r="O175" s="125"/>
      <x:c r="P175" s="125"/>
      <x:c r="Q175" s="125"/>
    </x:row>
    <x:row r="176">
      <x:c r="A176" s="134"/>
      <x:c r="B176" s="134"/>
      <x:c r="C176" s="134"/>
      <x:c r="D176" s="134"/>
      <x:c r="E176" s="134"/>
      <x:c r="F176" s="134"/>
      <x:c r="G176" s="134"/>
      <x:c r="H176" s="134"/>
      <x:c r="I176" s="125"/>
      <x:c r="J176" s="125"/>
      <x:c r="K176" s="125"/>
      <x:c r="L176" s="125"/>
      <x:c r="M176" s="125"/>
      <x:c r="N176" s="125"/>
      <x:c r="O176" s="125"/>
      <x:c r="P176" s="125"/>
      <x:c r="Q176" s="125"/>
    </x:row>
    <x:row r="177">
      <x:c r="A177" s="134"/>
      <x:c r="B177" s="134"/>
      <x:c r="C177" s="134"/>
      <x:c r="D177" s="134"/>
      <x:c r="E177" s="134"/>
      <x:c r="F177" s="134"/>
      <x:c r="G177" s="134"/>
      <x:c r="H177" s="134"/>
      <x:c r="I177" s="125"/>
      <x:c r="J177" s="125"/>
      <x:c r="K177" s="125"/>
      <x:c r="L177" s="125"/>
      <x:c r="M177" s="125"/>
      <x:c r="N177" s="125"/>
      <x:c r="O177" s="125"/>
      <x:c r="P177" s="125"/>
      <x:c r="Q177" s="125"/>
    </x:row>
    <x:row r="178">
      <x:c r="A178" s="134"/>
      <x:c r="B178" s="134"/>
      <x:c r="C178" s="134"/>
      <x:c r="D178" s="134"/>
      <x:c r="E178" s="134"/>
      <x:c r="F178" s="134"/>
      <x:c r="G178" s="134"/>
      <x:c r="H178" s="134"/>
      <x:c r="I178" s="125"/>
      <x:c r="J178" s="125"/>
      <x:c r="K178" s="125"/>
      <x:c r="L178" s="125"/>
      <x:c r="M178" s="125"/>
      <x:c r="N178" s="125"/>
      <x:c r="O178" s="125"/>
      <x:c r="P178" s="125"/>
      <x:c r="Q178" s="125"/>
    </x:row>
    <x:row r="179">
      <x:c r="A179" s="134"/>
      <x:c r="B179" s="134"/>
      <x:c r="C179" s="134"/>
      <x:c r="D179" s="134"/>
      <x:c r="E179" s="134"/>
      <x:c r="F179" s="134"/>
      <x:c r="G179" s="134"/>
      <x:c r="H179" s="134"/>
      <x:c r="I179" s="125"/>
      <x:c r="J179" s="125"/>
      <x:c r="K179" s="125"/>
      <x:c r="L179" s="125"/>
      <x:c r="M179" s="125"/>
      <x:c r="N179" s="125"/>
      <x:c r="O179" s="125"/>
      <x:c r="P179" s="125"/>
      <x:c r="Q179" s="125"/>
    </x:row>
    <x:row r="180">
      <x:c r="A180" s="134"/>
      <x:c r="B180" s="134"/>
      <x:c r="C180" s="134"/>
      <x:c r="D180" s="134"/>
      <x:c r="E180" s="134"/>
      <x:c r="F180" s="134"/>
      <x:c r="G180" s="134"/>
      <x:c r="H180" s="134"/>
      <x:c r="I180" s="125"/>
      <x:c r="J180" s="125"/>
      <x:c r="K180" s="125"/>
      <x:c r="L180" s="125"/>
      <x:c r="M180" s="125"/>
      <x:c r="N180" s="125"/>
      <x:c r="O180" s="125"/>
      <x:c r="P180" s="125"/>
      <x:c r="Q180" s="125"/>
    </x:row>
    <x:row r="181">
      <x:c r="A181" s="134"/>
      <x:c r="B181" s="134"/>
      <x:c r="C181" s="134"/>
      <x:c r="D181" s="134"/>
      <x:c r="E181" s="134"/>
      <x:c r="F181" s="134"/>
      <x:c r="G181" s="134"/>
      <x:c r="H181" s="134"/>
      <x:c r="I181" s="125"/>
      <x:c r="J181" s="125"/>
      <x:c r="K181" s="125"/>
      <x:c r="L181" s="125"/>
      <x:c r="M181" s="125"/>
      <x:c r="N181" s="125"/>
      <x:c r="O181" s="125"/>
      <x:c r="P181" s="125"/>
      <x:c r="Q181" s="125"/>
    </x:row>
    <x:row r="182">
      <x:c r="A182" s="134"/>
      <x:c r="B182" s="134"/>
      <x:c r="C182" s="134"/>
      <x:c r="D182" s="134"/>
      <x:c r="E182" s="134"/>
      <x:c r="F182" s="134"/>
      <x:c r="G182" s="134"/>
      <x:c r="H182" s="134"/>
      <x:c r="I182" s="125"/>
      <x:c r="J182" s="125"/>
      <x:c r="K182" s="125"/>
      <x:c r="L182" s="125"/>
      <x:c r="M182" s="125"/>
      <x:c r="N182" s="125"/>
      <x:c r="O182" s="125"/>
      <x:c r="P182" s="125"/>
      <x:c r="Q182" s="125"/>
    </x:row>
    <x:row r="183">
      <x:c r="A183" s="134"/>
      <x:c r="B183" s="134"/>
      <x:c r="C183" s="134"/>
      <x:c r="D183" s="134"/>
      <x:c r="E183" s="134"/>
      <x:c r="F183" s="134"/>
      <x:c r="G183" s="134"/>
      <x:c r="H183" s="134"/>
      <x:c r="I183" s="125"/>
      <x:c r="J183" s="125"/>
      <x:c r="K183" s="125"/>
      <x:c r="L183" s="125"/>
      <x:c r="M183" s="125"/>
      <x:c r="N183" s="125"/>
      <x:c r="O183" s="125"/>
      <x:c r="P183" s="125"/>
      <x:c r="Q183" s="125"/>
    </x:row>
    <x:row r="184">
      <x:c r="A184" s="134"/>
      <x:c r="B184" s="134"/>
      <x:c r="C184" s="134"/>
      <x:c r="D184" s="134"/>
      <x:c r="E184" s="134"/>
      <x:c r="F184" s="134"/>
      <x:c r="G184" s="134"/>
      <x:c r="H184" s="134"/>
      <x:c r="I184" s="125"/>
      <x:c r="J184" s="125"/>
      <x:c r="K184" s="125"/>
      <x:c r="L184" s="125"/>
      <x:c r="M184" s="125"/>
      <x:c r="N184" s="125"/>
      <x:c r="O184" s="125"/>
      <x:c r="P184" s="125"/>
      <x:c r="Q184" s="125"/>
    </x:row>
    <x:row r="185">
      <x:c r="A185" s="134"/>
      <x:c r="B185" s="134"/>
      <x:c r="C185" s="134"/>
      <x:c r="D185" s="134"/>
      <x:c r="E185" s="134"/>
      <x:c r="F185" s="134"/>
      <x:c r="G185" s="134"/>
      <x:c r="H185" s="134"/>
      <x:c r="I185" s="125"/>
      <x:c r="J185" s="125"/>
      <x:c r="K185" s="125"/>
      <x:c r="L185" s="125"/>
      <x:c r="M185" s="125"/>
      <x:c r="N185" s="125"/>
      <x:c r="O185" s="125"/>
      <x:c r="P185" s="125"/>
      <x:c r="Q185" s="125"/>
    </x:row>
    <x:row r="186">
      <x:c r="A186" s="134"/>
      <x:c r="B186" s="134"/>
      <x:c r="C186" s="134"/>
      <x:c r="D186" s="134"/>
      <x:c r="E186" s="134"/>
      <x:c r="F186" s="134"/>
      <x:c r="G186" s="134"/>
      <x:c r="H186" s="134"/>
      <x:c r="I186" s="125"/>
      <x:c r="J186" s="125"/>
      <x:c r="K186" s="125"/>
      <x:c r="L186" s="125"/>
      <x:c r="M186" s="125"/>
      <x:c r="N186" s="125"/>
      <x:c r="O186" s="125"/>
      <x:c r="P186" s="125"/>
      <x:c r="Q186" s="125"/>
    </x:row>
    <x:row r="187">
      <x:c r="A187" s="134"/>
      <x:c r="B187" s="134"/>
      <x:c r="C187" s="134"/>
      <x:c r="D187" s="134"/>
      <x:c r="E187" s="134"/>
      <x:c r="F187" s="134"/>
      <x:c r="G187" s="134"/>
      <x:c r="H187" s="134"/>
      <x:c r="I187" s="125"/>
      <x:c r="J187" s="125"/>
      <x:c r="K187" s="125"/>
      <x:c r="L187" s="125"/>
      <x:c r="M187" s="125"/>
      <x:c r="N187" s="125"/>
      <x:c r="O187" s="125"/>
      <x:c r="P187" s="125"/>
      <x:c r="Q187" s="125"/>
    </x:row>
    <x:row r="188">
      <x:c r="A188" s="134"/>
      <x:c r="B188" s="134"/>
      <x:c r="C188" s="134"/>
      <x:c r="D188" s="134"/>
      <x:c r="E188" s="134"/>
      <x:c r="F188" s="134"/>
      <x:c r="G188" s="134"/>
      <x:c r="H188" s="134"/>
      <x:c r="I188" s="125"/>
      <x:c r="J188" s="125"/>
      <x:c r="K188" s="125"/>
      <x:c r="L188" s="125"/>
      <x:c r="M188" s="125"/>
      <x:c r="N188" s="125"/>
      <x:c r="O188" s="125"/>
      <x:c r="P188" s="125"/>
      <x:c r="Q188" s="125"/>
    </x:row>
    <x:row r="189">
      <x:c r="A189" s="134"/>
      <x:c r="B189" s="134"/>
      <x:c r="C189" s="134"/>
      <x:c r="D189" s="134"/>
      <x:c r="E189" s="134"/>
      <x:c r="F189" s="134"/>
      <x:c r="G189" s="134"/>
      <x:c r="H189" s="134"/>
      <x:c r="I189" s="125"/>
      <x:c r="J189" s="125"/>
      <x:c r="K189" s="125"/>
      <x:c r="L189" s="125"/>
      <x:c r="M189" s="125"/>
      <x:c r="N189" s="125"/>
      <x:c r="O189" s="125"/>
      <x:c r="P189" s="125"/>
      <x:c r="Q189" s="125"/>
    </x:row>
    <x:row r="190">
      <x:c r="A190" s="134"/>
      <x:c r="B190" s="134"/>
      <x:c r="C190" s="134"/>
      <x:c r="D190" s="134"/>
      <x:c r="E190" s="134"/>
      <x:c r="F190" s="134"/>
      <x:c r="G190" s="134"/>
      <x:c r="H190" s="134"/>
      <x:c r="I190" s="125"/>
      <x:c r="J190" s="125"/>
      <x:c r="K190" s="125"/>
      <x:c r="L190" s="125"/>
      <x:c r="M190" s="125"/>
      <x:c r="N190" s="125"/>
      <x:c r="O190" s="125"/>
      <x:c r="P190" s="125"/>
      <x:c r="Q190" s="125"/>
    </x:row>
    <x:row r="191">
      <x:c r="A191" s="134"/>
      <x:c r="B191" s="134"/>
      <x:c r="C191" s="134"/>
      <x:c r="D191" s="134"/>
      <x:c r="E191" s="134"/>
      <x:c r="F191" s="134"/>
      <x:c r="G191" s="134"/>
      <x:c r="H191" s="134"/>
      <x:c r="I191" s="125"/>
      <x:c r="J191" s="125"/>
      <x:c r="K191" s="125"/>
      <x:c r="L191" s="125"/>
      <x:c r="M191" s="125"/>
      <x:c r="N191" s="125"/>
      <x:c r="O191" s="125"/>
      <x:c r="P191" s="125"/>
      <x:c r="Q191" s="125"/>
    </x:row>
    <x:row r="192">
      <x:c r="A192" s="134"/>
      <x:c r="B192" s="134"/>
      <x:c r="C192" s="134"/>
      <x:c r="D192" s="134"/>
      <x:c r="E192" s="134"/>
      <x:c r="F192" s="134"/>
      <x:c r="G192" s="134"/>
      <x:c r="H192" s="134"/>
      <x:c r="I192" s="125"/>
      <x:c r="J192" s="125"/>
      <x:c r="K192" s="125"/>
      <x:c r="L192" s="125"/>
      <x:c r="M192" s="125"/>
      <x:c r="N192" s="125"/>
      <x:c r="O192" s="125"/>
      <x:c r="P192" s="125"/>
      <x:c r="Q192" s="125"/>
    </x:row>
    <x:row r="193">
      <x:c r="A193" s="134"/>
      <x:c r="B193" s="134"/>
      <x:c r="C193" s="134"/>
      <x:c r="D193" s="134"/>
      <x:c r="E193" s="134"/>
      <x:c r="F193" s="134"/>
      <x:c r="G193" s="134"/>
      <x:c r="H193" s="134"/>
      <x:c r="I193" s="125"/>
      <x:c r="J193" s="125"/>
      <x:c r="K193" s="125"/>
      <x:c r="L193" s="125"/>
      <x:c r="M193" s="125"/>
      <x:c r="N193" s="125"/>
      <x:c r="O193" s="125"/>
      <x:c r="P193" s="125"/>
      <x:c r="Q193" s="125"/>
    </x:row>
    <x:row r="194">
      <x:c r="A194" s="134"/>
      <x:c r="B194" s="134"/>
      <x:c r="C194" s="134"/>
      <x:c r="D194" s="134"/>
      <x:c r="E194" s="134"/>
      <x:c r="F194" s="134"/>
      <x:c r="G194" s="134"/>
      <x:c r="H194" s="134"/>
      <x:c r="I194" s="125"/>
      <x:c r="J194" s="125"/>
      <x:c r="K194" s="125"/>
      <x:c r="L194" s="125"/>
      <x:c r="M194" s="125"/>
      <x:c r="N194" s="125"/>
      <x:c r="O194" s="125"/>
      <x:c r="P194" s="125"/>
      <x:c r="Q194" s="125"/>
    </x:row>
    <x:row r="195">
      <x:c r="A195" s="134"/>
      <x:c r="B195" s="134"/>
      <x:c r="C195" s="134"/>
      <x:c r="D195" s="134"/>
      <x:c r="E195" s="134"/>
      <x:c r="F195" s="134"/>
      <x:c r="G195" s="134"/>
      <x:c r="H195" s="134"/>
      <x:c r="I195" s="125"/>
      <x:c r="J195" s="125"/>
      <x:c r="K195" s="125"/>
      <x:c r="L195" s="125"/>
      <x:c r="M195" s="125"/>
      <x:c r="N195" s="125"/>
      <x:c r="O195" s="125"/>
      <x:c r="P195" s="125"/>
      <x:c r="Q195" s="125"/>
    </x:row>
    <x:row r="196">
      <x:c r="A196" s="134"/>
      <x:c r="B196" s="134"/>
      <x:c r="C196" s="134"/>
      <x:c r="D196" s="134"/>
      <x:c r="E196" s="134"/>
      <x:c r="F196" s="134"/>
      <x:c r="G196" s="134"/>
      <x:c r="H196" s="134"/>
      <x:c r="I196" s="125"/>
      <x:c r="J196" s="125"/>
      <x:c r="K196" s="125"/>
      <x:c r="L196" s="125"/>
      <x:c r="M196" s="125"/>
      <x:c r="N196" s="125"/>
      <x:c r="O196" s="125"/>
      <x:c r="P196" s="125"/>
      <x:c r="Q196" s="125"/>
    </x:row>
    <x:row r="197">
      <x:c r="A197" s="134"/>
      <x:c r="B197" s="134"/>
      <x:c r="C197" s="134"/>
      <x:c r="D197" s="134"/>
      <x:c r="E197" s="134"/>
      <x:c r="F197" s="134"/>
      <x:c r="G197" s="134"/>
      <x:c r="H197" s="134"/>
      <x:c r="I197" s="125"/>
      <x:c r="J197" s="125"/>
      <x:c r="K197" s="125"/>
      <x:c r="L197" s="125"/>
      <x:c r="M197" s="125"/>
      <x:c r="N197" s="125"/>
      <x:c r="O197" s="125"/>
      <x:c r="P197" s="125"/>
      <x:c r="Q197" s="125"/>
    </x:row>
    <x:row r="198">
      <x:c r="A198" s="134"/>
      <x:c r="B198" s="134"/>
      <x:c r="C198" s="134"/>
      <x:c r="D198" s="134"/>
      <x:c r="E198" s="134"/>
      <x:c r="F198" s="134"/>
      <x:c r="G198" s="134"/>
      <x:c r="H198" s="134"/>
      <x:c r="I198" s="125"/>
      <x:c r="J198" s="125"/>
      <x:c r="K198" s="125"/>
      <x:c r="L198" s="125"/>
      <x:c r="M198" s="125"/>
      <x:c r="N198" s="125"/>
      <x:c r="O198" s="125"/>
      <x:c r="P198" s="125"/>
      <x:c r="Q198" s="125"/>
    </x:row>
    <x:row r="199">
      <x:c r="A199" s="134"/>
      <x:c r="B199" s="134"/>
      <x:c r="C199" s="134"/>
      <x:c r="D199" s="134"/>
      <x:c r="E199" s="134"/>
      <x:c r="F199" s="134"/>
      <x:c r="G199" s="134"/>
      <x:c r="H199" s="134"/>
      <x:c r="I199" s="125"/>
      <x:c r="J199" s="125"/>
      <x:c r="K199" s="125"/>
      <x:c r="L199" s="125"/>
      <x:c r="M199" s="125"/>
      <x:c r="N199" s="125"/>
      <x:c r="O199" s="125"/>
      <x:c r="P199" s="125"/>
      <x:c r="Q199" s="125"/>
    </x:row>
    <x:row r="200">
      <x:c r="A200" s="134"/>
      <x:c r="B200" s="134"/>
      <x:c r="C200" s="134"/>
      <x:c r="D200" s="134"/>
      <x:c r="E200" s="134"/>
      <x:c r="F200" s="134"/>
      <x:c r="G200" s="134"/>
      <x:c r="H200" s="134"/>
      <x:c r="I200" s="125"/>
      <x:c r="J200" s="125"/>
      <x:c r="K200" s="125"/>
      <x:c r="L200" s="125"/>
      <x:c r="M200" s="125"/>
      <x:c r="N200" s="125"/>
      <x:c r="O200" s="125"/>
      <x:c r="P200" s="125"/>
      <x:c r="Q200" s="125"/>
    </x:row>
    <x:row r="201">
      <x:c r="A201" s="134"/>
      <x:c r="B201" s="134"/>
      <x:c r="C201" s="134"/>
      <x:c r="D201" s="134"/>
      <x:c r="E201" s="134"/>
      <x:c r="F201" s="134"/>
      <x:c r="G201" s="134"/>
      <x:c r="H201" s="134"/>
      <x:c r="I201" s="125"/>
      <x:c r="J201" s="125"/>
      <x:c r="K201" s="125"/>
      <x:c r="L201" s="125"/>
      <x:c r="M201" s="125"/>
      <x:c r="N201" s="125"/>
      <x:c r="O201" s="125"/>
      <x:c r="P201" s="125"/>
      <x:c r="Q201" s="125"/>
    </x:row>
    <x:row r="202">
      <x:c r="A202" s="134"/>
      <x:c r="B202" s="134"/>
      <x:c r="C202" s="134"/>
      <x:c r="D202" s="134"/>
      <x:c r="E202" s="134"/>
      <x:c r="F202" s="134"/>
      <x:c r="G202" s="134"/>
      <x:c r="H202" s="134"/>
      <x:c r="I202" s="125"/>
      <x:c r="J202" s="125"/>
      <x:c r="K202" s="125"/>
      <x:c r="L202" s="125"/>
      <x:c r="M202" s="125"/>
      <x:c r="N202" s="125"/>
      <x:c r="O202" s="125"/>
      <x:c r="P202" s="125"/>
      <x:c r="Q202" s="125"/>
    </x:row>
    <x:row r="203">
      <x:c r="A203" s="134"/>
      <x:c r="B203" s="134"/>
      <x:c r="C203" s="134"/>
      <x:c r="D203" s="134"/>
      <x:c r="E203" s="134"/>
      <x:c r="F203" s="134"/>
      <x:c r="G203" s="134"/>
      <x:c r="H203" s="134"/>
      <x:c r="I203" s="125"/>
      <x:c r="J203" s="125"/>
      <x:c r="K203" s="125"/>
      <x:c r="L203" s="125"/>
      <x:c r="M203" s="125"/>
      <x:c r="N203" s="125"/>
      <x:c r="O203" s="125"/>
      <x:c r="P203" s="125"/>
      <x:c r="Q203" s="125"/>
    </x:row>
    <x:row r="204">
      <x:c r="A204" s="134"/>
      <x:c r="B204" s="134"/>
      <x:c r="C204" s="134"/>
      <x:c r="D204" s="134"/>
      <x:c r="E204" s="134"/>
      <x:c r="F204" s="134"/>
      <x:c r="G204" s="134"/>
      <x:c r="H204" s="134"/>
      <x:c r="I204" s="125"/>
      <x:c r="J204" s="125"/>
      <x:c r="K204" s="125"/>
      <x:c r="L204" s="125"/>
      <x:c r="M204" s="125"/>
      <x:c r="N204" s="125"/>
      <x:c r="O204" s="125"/>
      <x:c r="P204" s="125"/>
      <x:c r="Q204" s="125"/>
    </x:row>
    <x:row r="205">
      <x:c r="A205" s="134"/>
      <x:c r="B205" s="134"/>
      <x:c r="C205" s="134"/>
      <x:c r="D205" s="134"/>
      <x:c r="E205" s="134"/>
      <x:c r="F205" s="134"/>
      <x:c r="G205" s="134"/>
      <x:c r="H205" s="134"/>
      <x:c r="I205" s="125"/>
      <x:c r="J205" s="125"/>
      <x:c r="K205" s="125"/>
      <x:c r="L205" s="125"/>
      <x:c r="M205" s="125"/>
      <x:c r="N205" s="125"/>
      <x:c r="O205" s="125"/>
      <x:c r="P205" s="125"/>
      <x:c r="Q205" s="125"/>
    </x:row>
    <x:row r="206">
      <x:c r="A206" s="134"/>
      <x:c r="B206" s="134"/>
      <x:c r="C206" s="134"/>
      <x:c r="D206" s="134"/>
      <x:c r="E206" s="134"/>
      <x:c r="F206" s="134"/>
      <x:c r="G206" s="134"/>
      <x:c r="H206" s="134"/>
      <x:c r="I206" s="125"/>
      <x:c r="J206" s="125"/>
      <x:c r="K206" s="125"/>
      <x:c r="L206" s="125"/>
      <x:c r="M206" s="125"/>
      <x:c r="N206" s="125"/>
      <x:c r="O206" s="125"/>
      <x:c r="P206" s="125"/>
      <x:c r="Q206" s="125"/>
    </x:row>
    <x:row r="207">
      <x:c r="A207" s="125"/>
      <x:c r="B207" s="125"/>
      <x:c r="C207" s="125"/>
      <x:c r="D207" s="125"/>
      <x:c r="E207" s="125"/>
      <x:c r="F207" s="125"/>
      <x:c r="G207" s="125"/>
      <x:c r="H207" s="125"/>
      <x:c r="I207" s="125"/>
      <x:c r="J207" s="125"/>
      <x:c r="K207" s="125"/>
      <x:c r="L207" s="125"/>
      <x:c r="M207" s="125"/>
      <x:c r="N207" s="125"/>
      <x:c r="O207" s="125"/>
      <x:c r="P207" s="125"/>
      <x:c r="Q207" s="125"/>
    </x:row>
    <x:row r="208">
      <x:c r="A208" s="125"/>
      <x:c r="B208" s="125"/>
      <x:c r="C208" s="125"/>
      <x:c r="D208" s="125"/>
      <x:c r="E208" s="125"/>
      <x:c r="F208" s="125"/>
      <x:c r="G208" s="125"/>
      <x:c r="H208" s="125"/>
      <x:c r="I208" s="125"/>
      <x:c r="J208" s="125"/>
      <x:c r="K208" s="125"/>
      <x:c r="L208" s="125"/>
      <x:c r="M208" s="125"/>
      <x:c r="N208" s="125"/>
      <x:c r="O208" s="125"/>
      <x:c r="P208" s="125"/>
      <x:c r="Q208" s="125"/>
    </x:row>
    <x:row r="209">
      <x:c r="A209" s="125"/>
      <x:c r="B209" s="125"/>
      <x:c r="C209" s="125"/>
      <x:c r="D209" s="125"/>
      <x:c r="E209" s="125"/>
      <x:c r="F209" s="125"/>
      <x:c r="G209" s="125"/>
      <x:c r="H209" s="125"/>
      <x:c r="I209" s="125"/>
      <x:c r="J209" s="125"/>
      <x:c r="K209" s="125"/>
      <x:c r="L209" s="125"/>
      <x:c r="M209" s="125"/>
      <x:c r="N209" s="125"/>
      <x:c r="O209" s="125"/>
      <x:c r="P209" s="125"/>
      <x:c r="Q209" s="125"/>
    </x:row>
    <x:row r="210">
      <x:c r="A210" s="125"/>
      <x:c r="B210" s="125"/>
      <x:c r="C210" s="125"/>
      <x:c r="D210" s="125"/>
      <x:c r="E210" s="125"/>
      <x:c r="F210" s="125"/>
      <x:c r="G210" s="125"/>
      <x:c r="H210" s="125"/>
      <x:c r="I210" s="125"/>
      <x:c r="J210" s="125"/>
      <x:c r="K210" s="125"/>
      <x:c r="L210" s="125"/>
      <x:c r="M210" s="125"/>
      <x:c r="N210" s="125"/>
      <x:c r="O210" s="125"/>
      <x:c r="P210" s="125"/>
      <x:c r="Q210" s="125"/>
    </x:row>
    <x:row r="211">
      <x:c r="A211" s="125"/>
      <x:c r="B211" s="125"/>
      <x:c r="C211" s="125"/>
      <x:c r="D211" s="125"/>
      <x:c r="E211" s="125"/>
      <x:c r="F211" s="125"/>
      <x:c r="G211" s="125"/>
      <x:c r="H211" s="125"/>
      <x:c r="I211" s="125"/>
      <x:c r="J211" s="125"/>
      <x:c r="K211" s="125"/>
      <x:c r="L211" s="125"/>
      <x:c r="M211" s="125"/>
      <x:c r="N211" s="125"/>
      <x:c r="O211" s="125"/>
      <x:c r="P211" s="125"/>
      <x:c r="Q211" s="125"/>
    </x:row>
    <x:row r="212">
      <x:c r="A212" s="125"/>
      <x:c r="B212" s="125"/>
      <x:c r="C212" s="125"/>
      <x:c r="D212" s="125"/>
      <x:c r="E212" s="125"/>
      <x:c r="F212" s="125"/>
      <x:c r="G212" s="125"/>
      <x:c r="H212" s="125"/>
      <x:c r="I212" s="125"/>
      <x:c r="J212" s="125"/>
      <x:c r="K212" s="125"/>
      <x:c r="L212" s="125"/>
      <x:c r="M212" s="125"/>
      <x:c r="N212" s="125"/>
      <x:c r="O212" s="125"/>
      <x:c r="P212" s="125"/>
      <x:c r="Q212" s="125"/>
    </x:row>
    <x:row r="213">
      <x:c r="A213" s="125"/>
      <x:c r="B213" s="125"/>
      <x:c r="C213" s="125"/>
      <x:c r="D213" s="125"/>
      <x:c r="E213" s="125"/>
      <x:c r="F213" s="125"/>
      <x:c r="G213" s="125"/>
      <x:c r="H213" s="125"/>
      <x:c r="I213" s="125"/>
      <x:c r="J213" s="125"/>
      <x:c r="K213" s="125"/>
      <x:c r="L213" s="125"/>
      <x:c r="M213" s="125"/>
      <x:c r="N213" s="125"/>
      <x:c r="O213" s="125"/>
      <x:c r="P213" s="125"/>
      <x:c r="Q213" s="125"/>
    </x:row>
    <x:row r="214">
      <x:c r="A214" s="125"/>
      <x:c r="B214" s="125"/>
      <x:c r="C214" s="125"/>
      <x:c r="D214" s="125"/>
      <x:c r="E214" s="125"/>
      <x:c r="F214" s="125"/>
      <x:c r="G214" s="125"/>
      <x:c r="H214" s="125"/>
      <x:c r="I214" s="125"/>
      <x:c r="J214" s="125"/>
      <x:c r="K214" s="125"/>
      <x:c r="L214" s="125"/>
      <x:c r="M214" s="125"/>
      <x:c r="N214" s="125"/>
      <x:c r="O214" s="125"/>
      <x:c r="P214" s="125"/>
      <x:c r="Q214" s="125"/>
    </x:row>
    <x:row r="215">
      <x:c r="A215" s="125"/>
      <x:c r="B215" s="125"/>
      <x:c r="C215" s="125"/>
      <x:c r="D215" s="125"/>
      <x:c r="E215" s="125"/>
      <x:c r="F215" s="125"/>
      <x:c r="G215" s="125"/>
      <x:c r="H215" s="125"/>
      <x:c r="I215" s="125"/>
      <x:c r="J215" s="125"/>
      <x:c r="K215" s="125"/>
      <x:c r="L215" s="125"/>
      <x:c r="M215" s="125"/>
      <x:c r="N215" s="125"/>
      <x:c r="O215" s="125"/>
      <x:c r="P215" s="125"/>
      <x:c r="Q215" s="125"/>
    </x:row>
    <x:row r="216">
      <x:c r="A216" s="125"/>
      <x:c r="B216" s="125"/>
      <x:c r="C216" s="125"/>
      <x:c r="D216" s="125"/>
      <x:c r="E216" s="125"/>
      <x:c r="F216" s="125"/>
      <x:c r="G216" s="125"/>
      <x:c r="H216" s="125"/>
      <x:c r="I216" s="125"/>
      <x:c r="J216" s="125"/>
      <x:c r="K216" s="125"/>
      <x:c r="L216" s="125"/>
      <x:c r="M216" s="125"/>
      <x:c r="N216" s="125"/>
      <x:c r="O216" s="125"/>
      <x:c r="P216" s="125"/>
      <x:c r="Q216" s="125"/>
    </x:row>
    <x:row r="217">
      <x:c r="A217" s="125"/>
      <x:c r="B217" s="125"/>
      <x:c r="C217" s="125"/>
      <x:c r="D217" s="125"/>
      <x:c r="E217" s="125"/>
      <x:c r="F217" s="125"/>
      <x:c r="G217" s="125"/>
      <x:c r="H217" s="125"/>
      <x:c r="I217" s="125"/>
      <x:c r="J217" s="125"/>
      <x:c r="K217" s="125"/>
      <x:c r="L217" s="125"/>
      <x:c r="M217" s="125"/>
      <x:c r="N217" s="125"/>
      <x:c r="O217" s="125"/>
      <x:c r="P217" s="125"/>
      <x:c r="Q217" s="125"/>
    </x:row>
    <x:row r="218">
      <x:c r="A218" s="125"/>
      <x:c r="B218" s="125"/>
      <x:c r="C218" s="125"/>
      <x:c r="D218" s="125"/>
      <x:c r="E218" s="125"/>
      <x:c r="F218" s="125"/>
      <x:c r="G218" s="125"/>
      <x:c r="H218" s="125"/>
      <x:c r="I218" s="125"/>
      <x:c r="J218" s="125"/>
      <x:c r="K218" s="125"/>
      <x:c r="L218" s="125"/>
      <x:c r="M218" s="125"/>
      <x:c r="N218" s="125"/>
      <x:c r="O218" s="125"/>
      <x:c r="P218" s="125"/>
      <x:c r="Q218" s="125"/>
    </x:row>
    <x:row r="219">
      <x:c r="A219" s="125"/>
      <x:c r="B219" s="125"/>
      <x:c r="C219" s="125"/>
      <x:c r="D219" s="125"/>
      <x:c r="E219" s="125"/>
      <x:c r="F219" s="125"/>
      <x:c r="G219" s="125"/>
      <x:c r="H219" s="125"/>
      <x:c r="I219" s="125"/>
      <x:c r="J219" s="125"/>
      <x:c r="K219" s="125"/>
      <x:c r="L219" s="125"/>
      <x:c r="M219" s="125"/>
      <x:c r="N219" s="125"/>
      <x:c r="O219" s="125"/>
      <x:c r="P219" s="125"/>
      <x:c r="Q219" s="125"/>
    </x:row>
    <x:row r="220">
      <x:c r="A220" s="125"/>
      <x:c r="B220" s="125"/>
      <x:c r="C220" s="125"/>
      <x:c r="D220" s="125"/>
      <x:c r="E220" s="125"/>
      <x:c r="F220" s="125"/>
      <x:c r="G220" s="125"/>
      <x:c r="H220" s="125"/>
      <x:c r="I220" s="125"/>
      <x:c r="J220" s="125"/>
      <x:c r="K220" s="125"/>
      <x:c r="L220" s="125"/>
      <x:c r="M220" s="125"/>
      <x:c r="N220" s="125"/>
      <x:c r="O220" s="125"/>
      <x:c r="P220" s="125"/>
      <x:c r="Q220" s="125"/>
    </x:row>
    <x:row r="221">
      <x:c r="A221" s="125"/>
      <x:c r="B221" s="125"/>
      <x:c r="C221" s="125"/>
      <x:c r="D221" s="125"/>
      <x:c r="E221" s="125"/>
      <x:c r="F221" s="125"/>
      <x:c r="G221" s="125"/>
      <x:c r="H221" s="125"/>
      <x:c r="I221" s="125"/>
      <x:c r="J221" s="125"/>
      <x:c r="K221" s="125"/>
      <x:c r="L221" s="125"/>
      <x:c r="M221" s="125"/>
      <x:c r="N221" s="125"/>
      <x:c r="O221" s="125"/>
      <x:c r="P221" s="125"/>
      <x:c r="Q221" s="125"/>
    </x:row>
    <x:row r="222">
      <x:c r="A222" s="125"/>
      <x:c r="B222" s="125"/>
      <x:c r="C222" s="125"/>
      <x:c r="D222" s="125"/>
      <x:c r="E222" s="125"/>
      <x:c r="F222" s="125"/>
      <x:c r="G222" s="125"/>
      <x:c r="H222" s="125"/>
      <x:c r="I222" s="125"/>
      <x:c r="J222" s="125"/>
      <x:c r="K222" s="125"/>
      <x:c r="L222" s="125"/>
      <x:c r="M222" s="125"/>
      <x:c r="N222" s="125"/>
      <x:c r="O222" s="125"/>
      <x:c r="P222" s="125"/>
      <x:c r="Q222" s="125"/>
    </x:row>
    <x:row r="223">
      <x:c r="A223" s="125"/>
      <x:c r="B223" s="125"/>
      <x:c r="C223" s="125"/>
      <x:c r="D223" s="125"/>
      <x:c r="E223" s="125"/>
      <x:c r="F223" s="125"/>
      <x:c r="G223" s="125"/>
      <x:c r="H223" s="125"/>
      <x:c r="I223" s="125"/>
      <x:c r="J223" s="125"/>
      <x:c r="K223" s="125"/>
      <x:c r="L223" s="125"/>
      <x:c r="M223" s="125"/>
      <x:c r="N223" s="125"/>
      <x:c r="O223" s="125"/>
      <x:c r="P223" s="125"/>
      <x:c r="Q223" s="125"/>
    </x:row>
    <x:row r="224">
      <x:c r="A224" s="125"/>
      <x:c r="B224" s="125"/>
      <x:c r="C224" s="125"/>
      <x:c r="D224" s="125"/>
      <x:c r="E224" s="125"/>
      <x:c r="F224" s="125"/>
      <x:c r="G224" s="125"/>
      <x:c r="H224" s="125"/>
      <x:c r="I224" s="125"/>
      <x:c r="J224" s="125"/>
      <x:c r="K224" s="125"/>
      <x:c r="L224" s="125"/>
      <x:c r="M224" s="125"/>
      <x:c r="N224" s="125"/>
      <x:c r="O224" s="125"/>
      <x:c r="P224" s="125"/>
      <x:c r="Q224" s="125"/>
    </x:row>
    <x:row r="225">
      <x:c r="A225" s="125"/>
      <x:c r="B225" s="125"/>
      <x:c r="C225" s="125"/>
      <x:c r="D225" s="125"/>
      <x:c r="E225" s="125"/>
      <x:c r="F225" s="125"/>
      <x:c r="G225" s="125"/>
      <x:c r="H225" s="125"/>
      <x:c r="I225" s="125"/>
      <x:c r="J225" s="125"/>
      <x:c r="K225" s="125"/>
      <x:c r="L225" s="125"/>
      <x:c r="M225" s="125"/>
      <x:c r="N225" s="125"/>
      <x:c r="O225" s="125"/>
      <x:c r="P225" s="125"/>
      <x:c r="Q225" s="125"/>
    </x:row>
    <x:row r="226">
      <x:c r="A226" s="125"/>
      <x:c r="B226" s="125"/>
      <x:c r="C226" s="125"/>
      <x:c r="D226" s="125"/>
      <x:c r="E226" s="125"/>
      <x:c r="F226" s="125"/>
      <x:c r="G226" s="125"/>
      <x:c r="H226" s="125"/>
      <x:c r="I226" s="125"/>
      <x:c r="J226" s="125"/>
      <x:c r="K226" s="125"/>
      <x:c r="L226" s="125"/>
      <x:c r="M226" s="125"/>
      <x:c r="N226" s="125"/>
      <x:c r="O226" s="125"/>
      <x:c r="P226" s="125"/>
      <x:c r="Q226" s="125"/>
    </x:row>
    <x:row r="227">
      <x:c r="A227" s="125"/>
      <x:c r="B227" s="125"/>
      <x:c r="C227" s="125"/>
      <x:c r="D227" s="125"/>
      <x:c r="E227" s="125"/>
      <x:c r="F227" s="125"/>
      <x:c r="G227" s="125"/>
      <x:c r="H227" s="125"/>
      <x:c r="I227" s="125"/>
      <x:c r="J227" s="125"/>
      <x:c r="K227" s="125"/>
      <x:c r="L227" s="125"/>
      <x:c r="M227" s="125"/>
      <x:c r="N227" s="125"/>
      <x:c r="O227" s="125"/>
      <x:c r="P227" s="125"/>
      <x:c r="Q227" s="125"/>
    </x:row>
    <x:row r="228">
      <x:c r="A228" s="125"/>
      <x:c r="B228" s="125"/>
      <x:c r="C228" s="125"/>
      <x:c r="D228" s="125"/>
      <x:c r="E228" s="125"/>
      <x:c r="F228" s="125"/>
      <x:c r="G228" s="125"/>
      <x:c r="H228" s="125"/>
      <x:c r="I228" s="125"/>
      <x:c r="J228" s="125"/>
      <x:c r="K228" s="125"/>
      <x:c r="L228" s="125"/>
      <x:c r="M228" s="125"/>
      <x:c r="N228" s="125"/>
      <x:c r="O228" s="125"/>
      <x:c r="P228" s="125"/>
      <x:c r="Q228" s="125"/>
    </x:row>
    <x:row r="229">
      <x:c r="A229" s="125"/>
      <x:c r="B229" s="125"/>
      <x:c r="C229" s="125"/>
      <x:c r="D229" s="125"/>
      <x:c r="E229" s="125"/>
      <x:c r="F229" s="125"/>
      <x:c r="G229" s="125"/>
      <x:c r="H229" s="125"/>
      <x:c r="I229" s="125"/>
      <x:c r="J229" s="125"/>
      <x:c r="K229" s="125"/>
      <x:c r="L229" s="125"/>
      <x:c r="M229" s="125"/>
      <x:c r="N229" s="125"/>
      <x:c r="O229" s="125"/>
      <x:c r="P229" s="125"/>
      <x:c r="Q229" s="125"/>
    </x:row>
    <x:row r="230">
      <x:c r="A230" s="125"/>
      <x:c r="B230" s="125"/>
      <x:c r="C230" s="125"/>
      <x:c r="D230" s="125"/>
      <x:c r="E230" s="125"/>
      <x:c r="F230" s="125"/>
      <x:c r="G230" s="125"/>
      <x:c r="H230" s="125"/>
      <x:c r="I230" s="125"/>
      <x:c r="J230" s="125"/>
      <x:c r="K230" s="125"/>
      <x:c r="L230" s="125"/>
      <x:c r="M230" s="125"/>
      <x:c r="N230" s="125"/>
      <x:c r="O230" s="125"/>
      <x:c r="P230" s="125"/>
      <x:c r="Q230" s="125"/>
    </x:row>
    <x:row r="231">
      <x:c r="A231" s="125"/>
      <x:c r="B231" s="125"/>
      <x:c r="C231" s="125"/>
      <x:c r="D231" s="125"/>
      <x:c r="E231" s="125"/>
      <x:c r="F231" s="125"/>
      <x:c r="G231" s="125"/>
      <x:c r="H231" s="125"/>
      <x:c r="I231" s="125"/>
      <x:c r="J231" s="125"/>
      <x:c r="K231" s="125"/>
      <x:c r="L231" s="125"/>
      <x:c r="M231" s="125"/>
      <x:c r="N231" s="125"/>
      <x:c r="O231" s="125"/>
      <x:c r="P231" s="125"/>
      <x:c r="Q231" s="125"/>
    </x:row>
    <x:row r="232">
      <x:c r="A232" s="125"/>
      <x:c r="B232" s="125"/>
      <x:c r="C232" s="125"/>
      <x:c r="D232" s="125"/>
      <x:c r="E232" s="125"/>
      <x:c r="F232" s="125"/>
      <x:c r="G232" s="125"/>
      <x:c r="H232" s="125"/>
      <x:c r="I232" s="125"/>
      <x:c r="J232" s="125"/>
      <x:c r="K232" s="125"/>
      <x:c r="L232" s="125"/>
      <x:c r="M232" s="125"/>
      <x:c r="N232" s="125"/>
      <x:c r="O232" s="125"/>
      <x:c r="P232" s="125"/>
      <x:c r="Q232" s="125"/>
    </x:row>
    <x:row r="233">
      <x:c r="A233" s="125"/>
      <x:c r="B233" s="125"/>
      <x:c r="C233" s="125"/>
      <x:c r="D233" s="125"/>
      <x:c r="E233" s="125"/>
      <x:c r="F233" s="125"/>
      <x:c r="G233" s="125"/>
      <x:c r="H233" s="125"/>
      <x:c r="I233" s="125"/>
      <x:c r="J233" s="125"/>
      <x:c r="K233" s="125"/>
      <x:c r="L233" s="125"/>
      <x:c r="M233" s="125"/>
      <x:c r="N233" s="125"/>
      <x:c r="O233" s="125"/>
      <x:c r="P233" s="125"/>
      <x:c r="Q233" s="125"/>
    </x:row>
    <x:row r="234">
      <x:c r="A234" s="125"/>
      <x:c r="B234" s="125"/>
      <x:c r="C234" s="125"/>
      <x:c r="D234" s="125"/>
      <x:c r="E234" s="125"/>
      <x:c r="F234" s="125"/>
      <x:c r="G234" s="125"/>
      <x:c r="H234" s="125"/>
      <x:c r="I234" s="125"/>
      <x:c r="J234" s="125"/>
      <x:c r="K234" s="125"/>
      <x:c r="L234" s="125"/>
      <x:c r="M234" s="125"/>
      <x:c r="N234" s="125"/>
      <x:c r="O234" s="125"/>
      <x:c r="P234" s="125"/>
      <x:c r="Q234" s="125"/>
    </x:row>
    <x:row r="235">
      <x:c r="A235" s="125"/>
      <x:c r="B235" s="125"/>
      <x:c r="C235" s="125"/>
      <x:c r="D235" s="125"/>
      <x:c r="E235" s="125"/>
      <x:c r="F235" s="125"/>
      <x:c r="G235" s="125"/>
      <x:c r="H235" s="125"/>
      <x:c r="I235" s="125"/>
      <x:c r="J235" s="125"/>
      <x:c r="K235" s="125"/>
      <x:c r="L235" s="125"/>
      <x:c r="M235" s="125"/>
      <x:c r="N235" s="125"/>
      <x:c r="O235" s="125"/>
      <x:c r="P235" s="125"/>
      <x:c r="Q235" s="125"/>
    </x:row>
    <x:row r="236">
      <x:c r="A236" s="125"/>
      <x:c r="B236" s="125"/>
      <x:c r="C236" s="125"/>
      <x:c r="D236" s="125"/>
      <x:c r="E236" s="125"/>
      <x:c r="F236" s="125"/>
      <x:c r="G236" s="125"/>
      <x:c r="H236" s="125"/>
      <x:c r="I236" s="125"/>
      <x:c r="J236" s="125"/>
      <x:c r="K236" s="125"/>
      <x:c r="L236" s="125"/>
      <x:c r="M236" s="125"/>
      <x:c r="N236" s="125"/>
      <x:c r="O236" s="125"/>
      <x:c r="P236" s="125"/>
      <x:c r="Q236" s="125"/>
    </x:row>
    <x:row r="237">
      <x:c r="A237" s="125"/>
      <x:c r="B237" s="125"/>
      <x:c r="C237" s="125"/>
      <x:c r="D237" s="125"/>
      <x:c r="E237" s="125"/>
      <x:c r="F237" s="125"/>
      <x:c r="G237" s="125"/>
      <x:c r="H237" s="125"/>
      <x:c r="I237" s="125"/>
      <x:c r="J237" s="125"/>
      <x:c r="K237" s="125"/>
      <x:c r="L237" s="125"/>
      <x:c r="M237" s="125"/>
      <x:c r="N237" s="125"/>
      <x:c r="O237" s="125"/>
      <x:c r="P237" s="125"/>
      <x:c r="Q237" s="125"/>
    </x:row>
    <x:row r="238">
      <x:c r="A238" s="125"/>
      <x:c r="B238" s="125"/>
      <x:c r="C238" s="125"/>
      <x:c r="D238" s="125"/>
      <x:c r="E238" s="125"/>
      <x:c r="F238" s="125"/>
      <x:c r="G238" s="125"/>
      <x:c r="H238" s="125"/>
      <x:c r="I238" s="125"/>
      <x:c r="J238" s="125"/>
      <x:c r="K238" s="125"/>
      <x:c r="L238" s="125"/>
      <x:c r="M238" s="125"/>
      <x:c r="N238" s="125"/>
      <x:c r="O238" s="125"/>
      <x:c r="P238" s="125"/>
      <x:c r="Q238" s="125"/>
    </x:row>
    <x:row r="239">
      <x:c r="A239" s="125"/>
      <x:c r="B239" s="125"/>
      <x:c r="C239" s="125"/>
      <x:c r="D239" s="125"/>
      <x:c r="E239" s="125"/>
      <x:c r="F239" s="125"/>
      <x:c r="G239" s="125"/>
      <x:c r="H239" s="125"/>
      <x:c r="I239" s="125"/>
      <x:c r="J239" s="125"/>
      <x:c r="K239" s="125"/>
      <x:c r="L239" s="125"/>
      <x:c r="M239" s="125"/>
      <x:c r="N239" s="125"/>
      <x:c r="O239" s="125"/>
      <x:c r="P239" s="125"/>
      <x:c r="Q239" s="125"/>
    </x:row>
    <x:row r="240">
      <x:c r="A240" s="125"/>
      <x:c r="B240" s="125"/>
      <x:c r="C240" s="125"/>
      <x:c r="D240" s="125"/>
      <x:c r="E240" s="125"/>
      <x:c r="F240" s="125"/>
      <x:c r="G240" s="125"/>
      <x:c r="H240" s="125"/>
      <x:c r="I240" s="125"/>
      <x:c r="J240" s="125"/>
      <x:c r="K240" s="125"/>
      <x:c r="L240" s="125"/>
      <x:c r="M240" s="125"/>
      <x:c r="N240" s="125"/>
      <x:c r="O240" s="125"/>
      <x:c r="P240" s="125"/>
      <x:c r="Q240" s="125"/>
    </x:row>
    <x:row r="241">
      <x:c r="A241" s="125"/>
      <x:c r="B241" s="125"/>
      <x:c r="C241" s="125"/>
      <x:c r="D241" s="125"/>
      <x:c r="E241" s="125"/>
      <x:c r="F241" s="125"/>
      <x:c r="G241" s="125"/>
      <x:c r="H241" s="125"/>
      <x:c r="I241" s="125"/>
      <x:c r="J241" s="125"/>
      <x:c r="K241" s="125"/>
      <x:c r="L241" s="125"/>
      <x:c r="M241" s="125"/>
      <x:c r="N241" s="125"/>
      <x:c r="O241" s="125"/>
      <x:c r="P241" s="125"/>
      <x:c r="Q241" s="125"/>
    </x:row>
    <x:row r="242">
      <x:c r="A242" s="125"/>
      <x:c r="B242" s="125"/>
      <x:c r="C242" s="125"/>
      <x:c r="D242" s="125"/>
      <x:c r="E242" s="125"/>
      <x:c r="F242" s="125"/>
      <x:c r="G242" s="125"/>
      <x:c r="H242" s="125"/>
      <x:c r="I242" s="125"/>
      <x:c r="J242" s="125"/>
      <x:c r="K242" s="125"/>
      <x:c r="L242" s="125"/>
      <x:c r="M242" s="125"/>
      <x:c r="N242" s="125"/>
      <x:c r="O242" s="125"/>
      <x:c r="P242" s="125"/>
      <x:c r="Q242" s="125"/>
    </x:row>
    <x:row r="243">
      <x:c r="A243" s="125"/>
      <x:c r="B243" s="125"/>
      <x:c r="C243" s="125"/>
      <x:c r="D243" s="125"/>
      <x:c r="E243" s="125"/>
      <x:c r="F243" s="125"/>
      <x:c r="G243" s="125"/>
      <x:c r="H243" s="125"/>
      <x:c r="I243" s="125"/>
      <x:c r="J243" s="125"/>
      <x:c r="K243" s="125"/>
      <x:c r="L243" s="125"/>
      <x:c r="M243" s="125"/>
      <x:c r="N243" s="125"/>
      <x:c r="O243" s="125"/>
      <x:c r="P243" s="125"/>
      <x:c r="Q243" s="125"/>
    </x:row>
    <x:row r="244">
      <x:c r="A244" s="125"/>
      <x:c r="B244" s="125"/>
      <x:c r="C244" s="125"/>
      <x:c r="D244" s="125"/>
      <x:c r="E244" s="125"/>
      <x:c r="F244" s="125"/>
      <x:c r="G244" s="125"/>
      <x:c r="H244" s="125"/>
      <x:c r="I244" s="125"/>
      <x:c r="J244" s="125"/>
      <x:c r="K244" s="125"/>
      <x:c r="L244" s="125"/>
      <x:c r="M244" s="125"/>
      <x:c r="N244" s="125"/>
      <x:c r="O244" s="125"/>
      <x:c r="P244" s="125"/>
      <x:c r="Q244" s="125"/>
    </x:row>
    <x:row r="245">
      <x:c r="A245" s="125"/>
      <x:c r="B245" s="125"/>
      <x:c r="C245" s="125"/>
      <x:c r="D245" s="125"/>
      <x:c r="E245" s="125"/>
      <x:c r="F245" s="125"/>
      <x:c r="G245" s="125"/>
      <x:c r="H245" s="125"/>
      <x:c r="I245" s="125"/>
      <x:c r="J245" s="125"/>
      <x:c r="K245" s="125"/>
      <x:c r="L245" s="125"/>
      <x:c r="M245" s="125"/>
      <x:c r="N245" s="125"/>
      <x:c r="O245" s="125"/>
      <x:c r="P245" s="125"/>
      <x:c r="Q245" s="125"/>
    </x:row>
    <x:row r="246">
      <x:c r="A246" s="125"/>
      <x:c r="B246" s="125"/>
      <x:c r="C246" s="125"/>
      <x:c r="D246" s="125"/>
      <x:c r="E246" s="125"/>
      <x:c r="F246" s="125"/>
      <x:c r="G246" s="125"/>
      <x:c r="H246" s="125"/>
      <x:c r="I246" s="125"/>
      <x:c r="J246" s="125"/>
      <x:c r="K246" s="125"/>
      <x:c r="L246" s="125"/>
      <x:c r="M246" s="125"/>
      <x:c r="N246" s="125"/>
      <x:c r="O246" s="125"/>
      <x:c r="P246" s="125"/>
      <x:c r="Q246" s="125"/>
    </x:row>
    <x:row r="247">
      <x:c r="A247" s="125"/>
      <x:c r="B247" s="125"/>
      <x:c r="C247" s="125"/>
      <x:c r="D247" s="125"/>
      <x:c r="E247" s="125"/>
      <x:c r="F247" s="125"/>
      <x:c r="G247" s="125"/>
      <x:c r="H247" s="125"/>
      <x:c r="I247" s="125"/>
      <x:c r="J247" s="125"/>
      <x:c r="K247" s="125"/>
      <x:c r="L247" s="125"/>
      <x:c r="M247" s="125"/>
      <x:c r="N247" s="125"/>
      <x:c r="O247" s="125"/>
      <x:c r="P247" s="125"/>
      <x:c r="Q247" s="125"/>
    </x:row>
    <x:row r="248">
      <x:c r="A248" s="125"/>
      <x:c r="B248" s="125"/>
      <x:c r="C248" s="125"/>
      <x:c r="D248" s="125"/>
      <x:c r="E248" s="125"/>
      <x:c r="F248" s="125"/>
      <x:c r="G248" s="125"/>
      <x:c r="H248" s="125"/>
      <x:c r="I248" s="125"/>
      <x:c r="J248" s="125"/>
      <x:c r="K248" s="125"/>
      <x:c r="L248" s="125"/>
      <x:c r="M248" s="125"/>
      <x:c r="N248" s="125"/>
      <x:c r="O248" s="125"/>
      <x:c r="P248" s="125"/>
      <x:c r="Q248" s="125"/>
    </x:row>
    <x:row r="249">
      <x:c r="A249" s="125"/>
      <x:c r="B249" s="125"/>
      <x:c r="C249" s="125"/>
      <x:c r="D249" s="125"/>
      <x:c r="E249" s="125"/>
      <x:c r="F249" s="125"/>
      <x:c r="G249" s="125"/>
      <x:c r="H249" s="125"/>
      <x:c r="I249" s="125"/>
      <x:c r="J249" s="125"/>
      <x:c r="K249" s="125"/>
      <x:c r="L249" s="125"/>
      <x:c r="M249" s="125"/>
      <x:c r="N249" s="125"/>
      <x:c r="O249" s="125"/>
      <x:c r="P249" s="125"/>
      <x:c r="Q249" s="125"/>
    </x:row>
    <x:row r="250">
      <x:c r="A250" s="125"/>
      <x:c r="B250" s="125"/>
      <x:c r="C250" s="125"/>
      <x:c r="D250" s="125"/>
      <x:c r="E250" s="125"/>
      <x:c r="F250" s="125"/>
      <x:c r="G250" s="125"/>
      <x:c r="H250" s="125"/>
      <x:c r="I250" s="125"/>
      <x:c r="J250" s="125"/>
      <x:c r="K250" s="125"/>
      <x:c r="L250" s="125"/>
      <x:c r="M250" s="125"/>
      <x:c r="N250" s="125"/>
      <x:c r="O250" s="125"/>
      <x:c r="P250" s="125"/>
      <x:c r="Q250" s="125"/>
    </x:row>
  </x:sheetData>
  <x:mergeCells>
    <x:mergeCell ref="A1:H1"/>
    <x:mergeCell ref="A2:H2"/>
  </x:mergeCells>
  <x:pageMargins left="0.7" right="0.7" top="0.75" bottom="0.75" header="0.3" footer="0.3"/>
</x:worksheet>
</file>

<file path=xl/worksheets/sheet17.xml><?xml version="1.0" encoding="utf-8"?>
<x:worksheet xmlns:x="http://schemas.openxmlformats.org/spreadsheetml/2006/main">
  <x:sheetFormatPr defaultRowHeight="15"/>
  <x:cols>
    <x:col min="1" max="1" width="14" hidden="0" customWidth="1"/>
    <x:col min="2" max="2" width="24" hidden="0" customWidth="1"/>
    <x:col min="3" max="3" width="22" hidden="0" customWidth="1"/>
    <x:col min="4" max="4" width="16" hidden="0" customWidth="1"/>
    <x:col min="5" max="5" width="12" hidden="0" customWidth="1"/>
    <x:col min="6" max="6" width="46" hidden="0" customWidth="1"/>
    <x:col min="7" max="7" width="34" hidden="0" customWidth="1"/>
  </x:cols>
  <x:sheetData>
    <x:row r="1" ht="24" customHeight="1">
      <x:c r="A1" s="200" t="str">
        <x:v>DATA_QUALITY_CHECKS — Live MVP Quality / Readiness Checks</x:v>
      </x:c>
      <x:c r="B1" s="198"/>
      <x:c r="C1" s="198"/>
      <x:c r="D1" s="198"/>
      <x:c r="E1" s="198"/>
      <x:c r="F1" s="198"/>
      <x:c r="G1" s="198"/>
      <x:c r="H1" s="198"/>
      <x:c r="I1" s="198"/>
      <x:c r="J1" s="198"/>
      <x:c r="K1" s="198"/>
      <x:c r="L1" s="125"/>
      <x:c r="M1" s="125"/>
      <x:c r="N1" s="125"/>
      <x:c r="O1" s="125"/>
      <x:c r="P1" s="125"/>
      <x:c r="Q1" s="125"/>
    </x:row>
    <x:row r="2" ht="34" customHeight="1">
      <x:c r="A2" s="126" t="str">
        <x:v>Formula-driven checks. Open items are not always failures; they show what must be confirmed before investor-facing outputs.</x:v>
      </x:c>
      <x:c r="B2" s="125"/>
      <x:c r="C2" s="125"/>
      <x:c r="D2" s="125"/>
      <x:c r="E2" s="125"/>
      <x:c r="F2" s="125"/>
      <x:c r="G2" s="125"/>
      <x:c r="H2" s="125"/>
      <x:c r="I2" s="125"/>
      <x:c r="J2" s="125"/>
      <x:c r="K2" s="125"/>
      <x:c r="L2" s="125"/>
      <x:c r="M2" s="125"/>
      <x:c r="N2" s="125"/>
      <x:c r="O2" s="125"/>
      <x:c r="P2" s="125"/>
      <x:c r="Q2" s="125"/>
    </x:row>
    <x:row r="3">
      <x:c r="A3" s="125"/>
      <x:c r="B3" s="125"/>
      <x:c r="C3" s="125"/>
      <x:c r="D3" s="125"/>
      <x:c r="E3" s="125"/>
      <x:c r="F3" s="125"/>
      <x:c r="G3" s="125"/>
      <x:c r="H3" s="125"/>
      <x:c r="I3" s="125"/>
      <x:c r="J3" s="125"/>
      <x:c r="K3" s="125"/>
      <x:c r="L3" s="125"/>
      <x:c r="M3" s="125"/>
      <x:c r="N3" s="125"/>
      <x:c r="O3" s="125"/>
      <x:c r="P3" s="125"/>
      <x:c r="Q3" s="125"/>
    </x:row>
    <x:row r="4">
      <x:c r="A4" s="125"/>
      <x:c r="B4" s="125"/>
      <x:c r="C4" s="125"/>
      <x:c r="D4" s="125"/>
      <x:c r="E4" s="125"/>
      <x:c r="F4" s="125"/>
      <x:c r="G4" s="125"/>
      <x:c r="H4" s="125"/>
      <x:c r="I4" s="125"/>
      <x:c r="J4" s="125"/>
      <x:c r="K4" s="125"/>
      <x:c r="L4" s="125"/>
      <x:c r="M4" s="125"/>
      <x:c r="N4" s="125"/>
      <x:c r="O4" s="125"/>
      <x:c r="P4" s="125"/>
      <x:c r="Q4" s="125"/>
    </x:row>
    <x:row r="5">
      <x:c r="A5" s="125"/>
      <x:c r="B5" s="125"/>
      <x:c r="C5" s="125"/>
      <x:c r="D5" s="125"/>
      <x:c r="E5" s="125"/>
      <x:c r="F5" s="125"/>
      <x:c r="G5" s="125"/>
      <x:c r="H5" s="125"/>
      <x:c r="I5" s="125"/>
      <x:c r="J5" s="125"/>
      <x:c r="K5" s="125"/>
      <x:c r="L5" s="125"/>
      <x:c r="M5" s="125"/>
      <x:c r="N5" s="125"/>
      <x:c r="O5" s="125"/>
      <x:c r="P5" s="125"/>
      <x:c r="Q5" s="125"/>
    </x:row>
    <x:row r="6" ht="26" customHeight="1">
      <x:c r="A6" s="127" t="str">
        <x:v>Check_ID</x:v>
      </x:c>
      <x:c r="B6" s="127" t="str">
        <x:v>Check Area</x:v>
      </x:c>
      <x:c r="C6" s="127" t="str">
        <x:v>Expected / Rule</x:v>
      </x:c>
      <x:c r="D6" s="127" t="str">
        <x:v>Actual</x:v>
      </x:c>
      <x:c r="E6" s="127" t="str">
        <x:v>Status</x:v>
      </x:c>
      <x:c r="F6" s="127" t="str">
        <x:v>Why It Matters</x:v>
      </x:c>
      <x:c r="G6" s="127" t="str">
        <x:v>Next Step</x:v>
      </x:c>
      <x:c r="H6" s="125"/>
      <x:c r="I6" s="125"/>
      <x:c r="J6" s="125"/>
      <x:c r="K6" s="125"/>
      <x:c r="L6" s="125"/>
      <x:c r="M6" s="125"/>
      <x:c r="N6" s="125"/>
      <x:c r="O6" s="125"/>
      <x:c r="P6" s="125"/>
      <x:c r="Q6" s="125"/>
    </x:row>
    <x:row r="7">
      <x:c r="A7" s="130" t="str">
        <x:v>QC-MVP-001</x:v>
      </x:c>
      <x:c r="B7" s="130" t="str">
        <x:v>Property master row count</x:v>
      </x:c>
      <x:c r="C7" s="130" t="n">
        <x:v>0</x:v>
      </x:c>
      <x:c r="D7" s="130" t="n">
        <x:f>COUNTA(DATA_PROPERTY_MASTER!A7:A206)</x:f>
        <x:v>0</x:v>
      </x:c>
      <x:c r="E7" s="130" t="str">
        <x:f>IF(D7&gt;=C7,"PASS","REVIEW")</x:f>
        <x:v>PASS</x:v>
      </x:c>
      <x:c r="F7" s="131" t="str">
        <x:v>Property count must reconcile to NGO B / ENF demo scope.</x:v>
      </x:c>
      <x:c r="G7" s="131" t="str">
        <x:v>Review property list.</x:v>
      </x:c>
      <x:c r="H7" s="125"/>
      <x:c r="I7" s="125"/>
      <x:c r="J7" s="125"/>
      <x:c r="K7" s="125"/>
      <x:c r="L7" s="125"/>
      <x:c r="M7" s="125"/>
      <x:c r="N7" s="125"/>
      <x:c r="O7" s="125"/>
      <x:c r="P7" s="125"/>
      <x:c r="Q7" s="125"/>
    </x:row>
    <x:row r="8">
      <x:c r="A8" s="130" t="str">
        <x:v>QC-MVP-002</x:v>
      </x:c>
      <x:c r="B8" s="130" t="str">
        <x:v>Included property count</x:v>
      </x:c>
      <x:c r="C8" s="130" t="str">
        <x:v>0 allowed in blank template</x:v>
      </x:c>
      <x:c r="D8" s="130" t="n">
        <x:f>COUNTIF(DATA_PROPERTY_MASTER!E7:E206,"Yes")</x:f>
        <x:v>0</x:v>
      </x:c>
      <x:c r="E8" s="130" t="str">
        <x:f>IF(D8&gt;=0,"PASS","FAIL")</x:f>
        <x:v>PASS</x:v>
      </x:c>
      <x:c r="F8" s="131" t="str">
        <x:v>Scope must be usable for calculations.</x:v>
      </x:c>
      <x:c r="G8" s="131" t="str">
        <x:v>Set Included? in blue cells.</x:v>
      </x:c>
      <x:c r="H8" s="125"/>
      <x:c r="I8" s="125"/>
      <x:c r="J8" s="125"/>
      <x:c r="K8" s="125"/>
      <x:c r="L8" s="125"/>
      <x:c r="M8" s="125"/>
      <x:c r="N8" s="125"/>
      <x:c r="O8" s="125"/>
      <x:c r="P8" s="125"/>
      <x:c r="Q8" s="125"/>
    </x:row>
    <x:row r="9">
      <x:c r="A9" s="130" t="str">
        <x:v>QC-MVP-003</x:v>
      </x:c>
      <x:c r="B9" s="130" t="str">
        <x:v>Unit count conflicts</x:v>
      </x:c>
      <x:c r="C9" s="130" t="str">
        <x:v>0 ideal</x:v>
      </x:c>
      <x:c r="D9" s="130" t="n">
        <x:f>COUNTIF(DATA_PROPERTY_MASTER!K7:K206,"Yes")</x:f>
        <x:v>0</x:v>
      </x:c>
      <x:c r="E9" s="130" t="str">
        <x:f>IF(D9=0,"PASS","OPEN")</x:f>
        <x:v>PASS</x:v>
      </x:c>
      <x:c r="F9" s="131" t="str">
        <x:v>Unit conflicts must be visible before outputs are trusted.</x:v>
      </x:c>
      <x:c r="G9" s="131" t="str">
        <x:v>Confirm Port Moody 245 vs 328.</x:v>
      </x:c>
      <x:c r="H9" s="125"/>
      <x:c r="I9" s="125"/>
      <x:c r="J9" s="125"/>
      <x:c r="K9" s="125"/>
      <x:c r="L9" s="125"/>
      <x:c r="M9" s="125"/>
      <x:c r="N9" s="125"/>
      <x:c r="O9" s="125"/>
      <x:c r="P9" s="125"/>
      <x:c r="Q9" s="125"/>
    </x:row>
    <x:row r="10">
      <x:c r="A10" s="130" t="str">
        <x:v>QC-MVP-004</x:v>
      </x:c>
      <x:c r="B10" s="130" t="str">
        <x:v>Source files logged</x:v>
      </x:c>
      <x:c r="C10" s="130" t="str">
        <x:v>0 allowed in blank template</x:v>
      </x:c>
      <x:c r="D10" s="130" t="n">
        <x:f>COUNTA(STG_SOURCE_INTAKE!A5:A206)</x:f>
        <x:v>1</x:v>
      </x:c>
      <x:c r="E10" s="130" t="str">
        <x:f>IF(D10&gt;=0,"PASS","OPEN")</x:f>
        <x:v>PASS</x:v>
      </x:c>
      <x:c r="F10" s="131" t="str">
        <x:v>Evidence tracking is core to IREI.</x:v>
      </x:c>
      <x:c r="G10" s="131" t="str">
        <x:v>Maintain source log.</x:v>
      </x:c>
      <x:c r="H10" s="125"/>
      <x:c r="I10" s="125"/>
      <x:c r="J10" s="125"/>
      <x:c r="K10" s="125"/>
      <x:c r="L10" s="125"/>
      <x:c r="M10" s="125"/>
      <x:c r="N10" s="125"/>
      <x:c r="O10" s="125"/>
      <x:c r="P10" s="125"/>
      <x:c r="Q10" s="125"/>
    </x:row>
    <x:row r="11">
      <x:c r="A11" s="130" t="str">
        <x:v>QC-MVP-005</x:v>
      </x:c>
      <x:c r="B11" s="130" t="str">
        <x:v>Operating data present</x:v>
      </x:c>
      <x:c r="C11" s="130" t="str">
        <x:v>0 allowed in blank template</x:v>
      </x:c>
      <x:c r="D11" s="130" t="n">
        <x:f>COUNTIFS(DATA_OPERATING_ACTUALS!I7:I306,"Revenue")+COUNTIFS(DATA_OPERATING_ACTUALS!I7:I306,"Operating Expense")</x:f>
        <x:v>0</x:v>
      </x:c>
      <x:c r="E11" s="130" t="str">
        <x:f>IF(D11&gt;=0,"PASS","OPEN")</x:f>
        <x:v>PASS</x:v>
      </x:c>
      <x:c r="F11" s="131" t="str">
        <x:v>MVP financial snapshot needs operating data.</x:v>
      </x:c>
      <x:c r="G11" s="131" t="str">
        <x:v>Add budgets/actuals.</x:v>
      </x:c>
      <x:c r="H11" s="125"/>
      <x:c r="I11" s="125"/>
      <x:c r="J11" s="125"/>
      <x:c r="K11" s="125"/>
      <x:c r="L11" s="125"/>
      <x:c r="M11" s="125"/>
      <x:c r="N11" s="125"/>
      <x:c r="O11" s="125"/>
      <x:c r="P11" s="125"/>
      <x:c r="Q11" s="125"/>
    </x:row>
    <x:row r="12">
      <x:c r="A12" s="130" t="str">
        <x:v>QC-MVP-006</x:v>
      </x:c>
      <x:c r="B12" s="130" t="str">
        <x:v>Debt data present</x:v>
      </x:c>
      <x:c r="C12" s="130" t="str">
        <x:v>0 included rows with Partial debt status</x:v>
      </x:c>
      <x:c r="D12" s="130" t="n">
        <x:f>COUNTIFS(DATA_DEBT_MASTER!D7:D206,"Yes",DATA_DEBT_MASTER!Q7:Q206,"Partial")</x:f>
        <x:v>0</x:v>
      </x:c>
      <x:c r="E12" s="130" t="str">
        <x:f>IF(D12=0,"PASS","OPEN")</x:f>
        <x:v>PASS</x:v>
      </x:c>
      <x:c r="F12" s="131" t="str">
        <x:v>Debt service, AFFO, and DSCR require complete debt status for included properties.</x:v>
      </x:c>
      <x:c r="G12" s="131" t="str">
        <x:v>Populate debt terms/source annual debt service or mark No Debt / N/A.</x:v>
      </x:c>
      <x:c r="H12" s="125"/>
      <x:c r="I12" s="125"/>
      <x:c r="J12" s="125"/>
      <x:c r="K12" s="125"/>
      <x:c r="L12" s="125"/>
      <x:c r="M12" s="125"/>
      <x:c r="N12" s="125"/>
      <x:c r="O12" s="125"/>
      <x:c r="P12" s="125"/>
      <x:c r="Q12" s="125"/>
    </x:row>
    <x:row r="13">
      <x:c r="A13" s="130" t="str">
        <x:v>QC-MVP-007</x:v>
      </x:c>
      <x:c r="B13" s="130" t="str">
        <x:v>Cash restriction status</x:v>
      </x:c>
      <x:c r="C13" s="130" t="str">
        <x:v>Known preferred</x:v>
      </x:c>
      <x:c r="D13" s="130" t="n">
        <x:f>COUNTIF(DATA_CASH_RESERVES!I7:J206,"Unknown")</x:f>
        <x:v>0</x:v>
      </x:c>
      <x:c r="E13" s="130" t="str">
        <x:f>IF(D13=0,"PASS","OPEN")</x:f>
        <x:v>PASS</x:v>
      </x:c>
      <x:c r="F13" s="131" t="str">
        <x:v>Cash availability affects readiness.</x:v>
      </x:c>
      <x:c r="G13" s="131" t="str">
        <x:v>Confirm restricted/unrestricted cash.</x:v>
      </x:c>
      <x:c r="H13" s="125"/>
      <x:c r="I13" s="125"/>
      <x:c r="J13" s="125"/>
      <x:c r="K13" s="125"/>
      <x:c r="L13" s="125"/>
      <x:c r="M13" s="125"/>
      <x:c r="N13" s="125"/>
      <x:c r="O13" s="125"/>
      <x:c r="P13" s="125"/>
      <x:c r="Q13" s="125"/>
    </x:row>
    <x:row r="14">
      <x:c r="A14" s="130" t="str">
        <x:v>QC-MVP-008</x:v>
      </x:c>
      <x:c r="B14" s="130" t="str">
        <x:v>Capital needs reviewed</x:v>
      </x:c>
      <x:c r="C14" s="130" t="str">
        <x:v>Partial/review allowed</x:v>
      </x:c>
      <x:c r="D14" s="130" t="n">
        <x:f>COUNTA(DATA_CAPITAL_NEEDS!A7:A206)</x:f>
        <x:v>0</x:v>
      </x:c>
      <x:c r="E14" s="130" t="str">
        <x:f>IF(D14&gt;=1,"OPEN","OPEN")</x:f>
        <x:v>OPEN</x:v>
      </x:c>
      <x:c r="F14" s="131" t="str">
        <x:v>Capital needs gap must be visible.</x:v>
      </x:c>
      <x:c r="G14" s="131" t="str">
        <x:v>Review BCA/capital plan later.</x:v>
      </x:c>
      <x:c r="H14" s="125"/>
      <x:c r="I14" s="125"/>
      <x:c r="J14" s="125"/>
      <x:c r="K14" s="125"/>
      <x:c r="L14" s="125"/>
      <x:c r="M14" s="125"/>
      <x:c r="N14" s="125"/>
      <x:c r="O14" s="125"/>
      <x:c r="P14" s="125"/>
      <x:c r="Q14" s="125"/>
    </x:row>
    <x:row r="15">
      <x:c r="A15" s="130" t="str">
        <x:v>QC-MVP-009</x:v>
      </x:c>
      <x:c r="B15" s="130" t="str">
        <x:v>Agreement review</x:v>
      </x:c>
      <x:c r="C15" s="130" t="str">
        <x:v>Partial/review allowed</x:v>
      </x:c>
      <x:c r="D15" s="130" t="n">
        <x:f>COUNTA(DATA_AGREEMENTS!A7:A206)</x:f>
        <x:v>0</x:v>
      </x:c>
      <x:c r="E15" s="130" t="str">
        <x:f>IF(D15&gt;=1,"PARTIAL","OPEN")</x:f>
        <x:v>OPEN</x:v>
      </x:c>
      <x:c r="F15" s="131" t="str">
        <x:v>Restrictions are core to mission protection.</x:v>
      </x:c>
      <x:c r="G15" s="131" t="str">
        <x:v>Future agreement review.</x:v>
      </x:c>
      <x:c r="H15" s="125"/>
      <x:c r="I15" s="125"/>
      <x:c r="J15" s="125"/>
      <x:c r="K15" s="125"/>
      <x:c r="L15" s="125"/>
      <x:c r="M15" s="125"/>
      <x:c r="N15" s="125"/>
      <x:c r="O15" s="125"/>
      <x:c r="P15" s="125"/>
      <x:c r="Q15" s="125"/>
    </x:row>
    <x:row r="16">
      <x:c r="A16" s="130" t="str">
        <x:v>QC-MVP-010</x:v>
      </x:c>
      <x:c r="B16" s="130" t="str">
        <x:v>Open assumption flags</x:v>
      </x:c>
      <x:c r="C16" s="130" t="str">
        <x:v>0 ideal</x:v>
      </x:c>
      <x:c r="D16" s="130" t="n">
        <x:f>COUNTIF(ASSUMPTIONS_FLAGS!I7:I206,"Open")</x:f>
        <x:v>0</x:v>
      </x:c>
      <x:c r="E16" s="130" t="str">
        <x:f>IF(D16=0,"PASS","OPEN")</x:f>
        <x:v>PASS</x:v>
      </x:c>
      <x:c r="F16" s="131" t="str">
        <x:v>Open flags drive readiness conclusion.</x:v>
      </x:c>
      <x:c r="G16" s="131" t="str">
        <x:v>Resolve flags where possible.</x:v>
      </x:c>
      <x:c r="H16" s="125"/>
      <x:c r="I16" s="125"/>
      <x:c r="J16" s="125"/>
      <x:c r="K16" s="125"/>
      <x:c r="L16" s="125"/>
      <x:c r="M16" s="125"/>
      <x:c r="N16" s="125"/>
      <x:c r="O16" s="125"/>
      <x:c r="P16" s="125"/>
      <x:c r="Q16" s="125"/>
    </x:row>
    <x:row r="17">
      <x:c r="A17" s="125"/>
      <x:c r="B17" s="125"/>
      <x:c r="C17" s="125"/>
      <x:c r="D17" s="125"/>
      <x:c r="E17" s="125"/>
      <x:c r="F17" s="125"/>
      <x:c r="G17" s="125"/>
      <x:c r="H17" s="125"/>
      <x:c r="I17" s="125"/>
      <x:c r="J17" s="125"/>
      <x:c r="K17" s="125"/>
      <x:c r="L17" s="125"/>
      <x:c r="M17" s="125"/>
      <x:c r="N17" s="125"/>
      <x:c r="O17" s="125"/>
      <x:c r="P17" s="125"/>
      <x:c r="Q17" s="125"/>
    </x:row>
    <x:row r="18">
      <x:c r="A18" s="125"/>
      <x:c r="B18" s="125"/>
      <x:c r="C18" s="125"/>
      <x:c r="D18" s="125"/>
      <x:c r="E18" s="125"/>
      <x:c r="F18" s="125"/>
      <x:c r="G18" s="125"/>
      <x:c r="H18" s="125"/>
      <x:c r="I18" s="125"/>
      <x:c r="J18" s="125"/>
      <x:c r="K18" s="125"/>
      <x:c r="L18" s="125"/>
      <x:c r="M18" s="125"/>
      <x:c r="N18" s="125"/>
      <x:c r="O18" s="125"/>
      <x:c r="P18" s="125"/>
      <x:c r="Q18" s="125"/>
    </x:row>
    <x:row r="19">
      <x:c r="A19" s="125"/>
      <x:c r="B19" s="125"/>
      <x:c r="C19" s="125"/>
      <x:c r="D19" s="125"/>
      <x:c r="E19" s="125"/>
      <x:c r="F19" s="125"/>
      <x:c r="G19" s="125"/>
      <x:c r="H19" s="125"/>
      <x:c r="I19" s="125"/>
      <x:c r="J19" s="125"/>
      <x:c r="K19" s="125"/>
      <x:c r="L19" s="125"/>
      <x:c r="M19" s="125"/>
      <x:c r="N19" s="125"/>
      <x:c r="O19" s="125"/>
      <x:c r="P19" s="125"/>
      <x:c r="Q19" s="125"/>
    </x:row>
    <x:row r="20">
      <x:c r="A20" s="125"/>
      <x:c r="B20" s="125"/>
      <x:c r="C20" s="125"/>
      <x:c r="D20" s="125"/>
      <x:c r="E20" s="125"/>
      <x:c r="F20" s="125"/>
      <x:c r="G20" s="125"/>
      <x:c r="H20" s="125"/>
      <x:c r="I20" s="125"/>
      <x:c r="J20" s="125"/>
      <x:c r="K20" s="125"/>
      <x:c r="L20" s="125"/>
      <x:c r="M20" s="125"/>
      <x:c r="N20" s="125"/>
      <x:c r="O20" s="125"/>
      <x:c r="P20" s="125"/>
      <x:c r="Q20" s="125"/>
    </x:row>
    <x:row r="21">
      <x:c r="A21" s="125"/>
      <x:c r="B21" s="125"/>
      <x:c r="C21" s="125"/>
      <x:c r="D21" s="125"/>
      <x:c r="E21" s="125"/>
      <x:c r="F21" s="125"/>
      <x:c r="G21" s="125"/>
      <x:c r="H21" s="125"/>
      <x:c r="I21" s="125"/>
      <x:c r="J21" s="125"/>
      <x:c r="K21" s="125"/>
      <x:c r="L21" s="125"/>
      <x:c r="M21" s="125"/>
      <x:c r="N21" s="125"/>
      <x:c r="O21" s="125"/>
      <x:c r="P21" s="125"/>
      <x:c r="Q21" s="125"/>
    </x:row>
    <x:row r="22">
      <x:c r="A22" s="125"/>
      <x:c r="B22" s="125"/>
      <x:c r="C22" s="125"/>
      <x:c r="D22" s="125"/>
      <x:c r="E22" s="125"/>
      <x:c r="F22" s="125"/>
      <x:c r="G22" s="125"/>
      <x:c r="H22" s="125"/>
      <x:c r="I22" s="125"/>
      <x:c r="J22" s="125"/>
      <x:c r="K22" s="125"/>
      <x:c r="L22" s="125"/>
      <x:c r="M22" s="125"/>
      <x:c r="N22" s="125"/>
      <x:c r="O22" s="125"/>
      <x:c r="P22" s="125"/>
      <x:c r="Q22" s="125"/>
    </x:row>
    <x:row r="23">
      <x:c r="A23" s="125"/>
      <x:c r="B23" s="125"/>
      <x:c r="C23" s="125"/>
      <x:c r="D23" s="125"/>
      <x:c r="E23" s="125"/>
      <x:c r="F23" s="125"/>
      <x:c r="G23" s="125"/>
      <x:c r="H23" s="125"/>
      <x:c r="I23" s="125"/>
      <x:c r="J23" s="125"/>
      <x:c r="K23" s="125"/>
      <x:c r="L23" s="125"/>
      <x:c r="M23" s="125"/>
      <x:c r="N23" s="125"/>
      <x:c r="O23" s="125"/>
      <x:c r="P23" s="125"/>
      <x:c r="Q23" s="125"/>
    </x:row>
    <x:row r="24">
      <x:c r="A24" s="125"/>
      <x:c r="B24" s="125"/>
      <x:c r="C24" s="125"/>
      <x:c r="D24" s="125"/>
      <x:c r="E24" s="125"/>
      <x:c r="F24" s="125"/>
      <x:c r="G24" s="125"/>
      <x:c r="H24" s="125"/>
      <x:c r="I24" s="125"/>
      <x:c r="J24" s="125"/>
      <x:c r="K24" s="125"/>
      <x:c r="L24" s="125"/>
      <x:c r="M24" s="125"/>
      <x:c r="N24" s="125"/>
      <x:c r="O24" s="125"/>
      <x:c r="P24" s="125"/>
      <x:c r="Q24" s="125"/>
    </x:row>
    <x:row r="25">
      <x:c r="A25" s="125"/>
      <x:c r="B25" s="125"/>
      <x:c r="C25" s="125"/>
      <x:c r="D25" s="125"/>
      <x:c r="E25" s="125"/>
      <x:c r="F25" s="125"/>
      <x:c r="G25" s="125"/>
      <x:c r="H25" s="125"/>
      <x:c r="I25" s="125"/>
      <x:c r="J25" s="125"/>
      <x:c r="K25" s="125"/>
      <x:c r="L25" s="125"/>
      <x:c r="M25" s="125"/>
      <x:c r="N25" s="125"/>
      <x:c r="O25" s="125"/>
      <x:c r="P25" s="125"/>
      <x:c r="Q25" s="125"/>
    </x:row>
    <x:row r="26">
      <x:c r="A26" s="125"/>
      <x:c r="B26" s="125"/>
      <x:c r="C26" s="125"/>
      <x:c r="D26" s="125"/>
      <x:c r="E26" s="125"/>
      <x:c r="F26" s="125"/>
      <x:c r="G26" s="125"/>
      <x:c r="H26" s="125"/>
      <x:c r="I26" s="125"/>
      <x:c r="J26" s="125"/>
      <x:c r="K26" s="125"/>
      <x:c r="L26" s="125"/>
      <x:c r="M26" s="125"/>
      <x:c r="N26" s="125"/>
      <x:c r="O26" s="125"/>
      <x:c r="P26" s="125"/>
      <x:c r="Q26" s="125"/>
    </x:row>
    <x:row r="27">
      <x:c r="A27" s="125"/>
      <x:c r="B27" s="125"/>
      <x:c r="C27" s="125"/>
      <x:c r="D27" s="125"/>
      <x:c r="E27" s="125"/>
      <x:c r="F27" s="125"/>
      <x:c r="G27" s="125"/>
      <x:c r="H27" s="125"/>
      <x:c r="I27" s="125"/>
      <x:c r="J27" s="125"/>
      <x:c r="K27" s="125"/>
      <x:c r="L27" s="125"/>
      <x:c r="M27" s="125"/>
      <x:c r="N27" s="125"/>
      <x:c r="O27" s="125"/>
      <x:c r="P27" s="125"/>
      <x:c r="Q27" s="125"/>
    </x:row>
    <x:row r="28">
      <x:c r="A28" s="125"/>
      <x:c r="B28" s="125"/>
      <x:c r="C28" s="125"/>
      <x:c r="D28" s="125"/>
      <x:c r="E28" s="125"/>
      <x:c r="F28" s="125"/>
      <x:c r="G28" s="125"/>
      <x:c r="H28" s="125"/>
      <x:c r="I28" s="125"/>
      <x:c r="J28" s="125"/>
      <x:c r="K28" s="125"/>
      <x:c r="L28" s="125"/>
      <x:c r="M28" s="125"/>
      <x:c r="N28" s="125"/>
      <x:c r="O28" s="125"/>
      <x:c r="P28" s="125"/>
      <x:c r="Q28" s="125"/>
    </x:row>
    <x:row r="29">
      <x:c r="A29" s="125"/>
      <x:c r="B29" s="125"/>
      <x:c r="C29" s="125"/>
      <x:c r="D29" s="125"/>
      <x:c r="E29" s="125"/>
      <x:c r="F29" s="125"/>
      <x:c r="G29" s="125"/>
      <x:c r="H29" s="125"/>
      <x:c r="I29" s="125"/>
      <x:c r="J29" s="125"/>
      <x:c r="K29" s="125"/>
      <x:c r="L29" s="125"/>
      <x:c r="M29" s="125"/>
      <x:c r="N29" s="125"/>
      <x:c r="O29" s="125"/>
      <x:c r="P29" s="125"/>
      <x:c r="Q29" s="125"/>
    </x:row>
    <x:row r="30">
      <x:c r="A30" s="125"/>
      <x:c r="B30" s="125"/>
      <x:c r="C30" s="125"/>
      <x:c r="D30" s="125"/>
      <x:c r="E30" s="125"/>
      <x:c r="F30" s="125"/>
      <x:c r="G30" s="125"/>
      <x:c r="H30" s="125"/>
      <x:c r="I30" s="125"/>
      <x:c r="J30" s="125"/>
      <x:c r="K30" s="125"/>
      <x:c r="L30" s="125"/>
      <x:c r="M30" s="125"/>
      <x:c r="N30" s="125"/>
      <x:c r="O30" s="125"/>
      <x:c r="P30" s="125"/>
      <x:c r="Q30" s="125"/>
    </x:row>
    <x:row r="31">
      <x:c r="A31" s="125"/>
      <x:c r="B31" s="125"/>
      <x:c r="C31" s="125"/>
      <x:c r="D31" s="125"/>
      <x:c r="E31" s="125"/>
      <x:c r="F31" s="125"/>
      <x:c r="G31" s="125"/>
      <x:c r="H31" s="125"/>
      <x:c r="I31" s="125"/>
      <x:c r="J31" s="125"/>
      <x:c r="K31" s="125"/>
      <x:c r="L31" s="125"/>
      <x:c r="M31" s="125"/>
      <x:c r="N31" s="125"/>
      <x:c r="O31" s="125"/>
      <x:c r="P31" s="125"/>
      <x:c r="Q31" s="125"/>
    </x:row>
    <x:row r="32">
      <x:c r="A32" s="125"/>
      <x:c r="B32" s="125"/>
      <x:c r="C32" s="125"/>
      <x:c r="D32" s="125"/>
      <x:c r="E32" s="125"/>
      <x:c r="F32" s="125"/>
      <x:c r="G32" s="125"/>
      <x:c r="H32" s="125"/>
      <x:c r="I32" s="125"/>
      <x:c r="J32" s="125"/>
      <x:c r="K32" s="125"/>
      <x:c r="L32" s="125"/>
      <x:c r="M32" s="125"/>
      <x:c r="N32" s="125"/>
      <x:c r="O32" s="125"/>
      <x:c r="P32" s="125"/>
      <x:c r="Q32" s="125"/>
    </x:row>
    <x:row r="33">
      <x:c r="A33" s="125"/>
      <x:c r="B33" s="125"/>
      <x:c r="C33" s="125"/>
      <x:c r="D33" s="125"/>
      <x:c r="E33" s="125"/>
      <x:c r="F33" s="125"/>
      <x:c r="G33" s="125"/>
      <x:c r="H33" s="125"/>
      <x:c r="I33" s="125"/>
      <x:c r="J33" s="125"/>
      <x:c r="K33" s="125"/>
      <x:c r="L33" s="125"/>
      <x:c r="M33" s="125"/>
      <x:c r="N33" s="125"/>
      <x:c r="O33" s="125"/>
      <x:c r="P33" s="125"/>
      <x:c r="Q33" s="125"/>
    </x:row>
    <x:row r="34">
      <x:c r="A34" s="125"/>
      <x:c r="B34" s="125"/>
      <x:c r="C34" s="125"/>
      <x:c r="D34" s="125"/>
      <x:c r="E34" s="125"/>
      <x:c r="F34" s="125"/>
      <x:c r="G34" s="125"/>
      <x:c r="H34" s="125"/>
      <x:c r="I34" s="125"/>
      <x:c r="J34" s="125"/>
      <x:c r="K34" s="125"/>
      <x:c r="L34" s="125"/>
      <x:c r="M34" s="125"/>
      <x:c r="N34" s="125"/>
      <x:c r="O34" s="125"/>
      <x:c r="P34" s="125"/>
      <x:c r="Q34" s="125"/>
    </x:row>
    <x:row r="35">
      <x:c r="A35" s="125"/>
      <x:c r="B35" s="125"/>
      <x:c r="C35" s="125"/>
      <x:c r="D35" s="125"/>
      <x:c r="E35" s="125"/>
      <x:c r="F35" s="125"/>
      <x:c r="G35" s="125"/>
      <x:c r="H35" s="125"/>
      <x:c r="I35" s="125"/>
      <x:c r="J35" s="125"/>
      <x:c r="K35" s="125"/>
      <x:c r="L35" s="125"/>
      <x:c r="M35" s="125"/>
      <x:c r="N35" s="125"/>
      <x:c r="O35" s="125"/>
      <x:c r="P35" s="125"/>
      <x:c r="Q35" s="125"/>
    </x:row>
    <x:row r="36">
      <x:c r="A36" s="125"/>
      <x:c r="B36" s="125"/>
      <x:c r="C36" s="125"/>
      <x:c r="D36" s="125"/>
      <x:c r="E36" s="125"/>
      <x:c r="F36" s="125"/>
      <x:c r="G36" s="125"/>
      <x:c r="H36" s="125"/>
      <x:c r="I36" s="125"/>
      <x:c r="J36" s="125"/>
      <x:c r="K36" s="125"/>
      <x:c r="L36" s="125"/>
      <x:c r="M36" s="125"/>
      <x:c r="N36" s="125"/>
      <x:c r="O36" s="125"/>
      <x:c r="P36" s="125"/>
      <x:c r="Q36" s="125"/>
    </x:row>
    <x:row r="37">
      <x:c r="A37" s="125"/>
      <x:c r="B37" s="125"/>
      <x:c r="C37" s="125"/>
      <x:c r="D37" s="125"/>
      <x:c r="E37" s="125"/>
      <x:c r="F37" s="125"/>
      <x:c r="G37" s="125"/>
      <x:c r="H37" s="125"/>
      <x:c r="I37" s="125"/>
      <x:c r="J37" s="125"/>
      <x:c r="K37" s="125"/>
      <x:c r="L37" s="125"/>
      <x:c r="M37" s="125"/>
      <x:c r="N37" s="125"/>
      <x:c r="O37" s="125"/>
      <x:c r="P37" s="125"/>
      <x:c r="Q37" s="125"/>
    </x:row>
    <x:row r="38">
      <x:c r="A38" s="125"/>
      <x:c r="B38" s="125"/>
      <x:c r="C38" s="125"/>
      <x:c r="D38" s="125"/>
      <x:c r="E38" s="125"/>
      <x:c r="F38" s="125"/>
      <x:c r="G38" s="125"/>
      <x:c r="H38" s="125"/>
      <x:c r="I38" s="125"/>
      <x:c r="J38" s="125"/>
      <x:c r="K38" s="125"/>
      <x:c r="L38" s="125"/>
      <x:c r="M38" s="125"/>
      <x:c r="N38" s="125"/>
      <x:c r="O38" s="125"/>
      <x:c r="P38" s="125"/>
      <x:c r="Q38" s="125"/>
    </x:row>
    <x:row r="39">
      <x:c r="A39" s="125"/>
      <x:c r="B39" s="125"/>
      <x:c r="C39" s="125"/>
      <x:c r="D39" s="125"/>
      <x:c r="E39" s="125"/>
      <x:c r="F39" s="125"/>
      <x:c r="G39" s="125"/>
      <x:c r="H39" s="125"/>
      <x:c r="I39" s="125"/>
      <x:c r="J39" s="125"/>
      <x:c r="K39" s="125"/>
      <x:c r="L39" s="125"/>
      <x:c r="M39" s="125"/>
      <x:c r="N39" s="125"/>
      <x:c r="O39" s="125"/>
      <x:c r="P39" s="125"/>
      <x:c r="Q39" s="125"/>
    </x:row>
    <x:row r="40">
      <x:c r="A40" s="125"/>
      <x:c r="B40" s="125"/>
      <x:c r="C40" s="125"/>
      <x:c r="D40" s="125"/>
      <x:c r="E40" s="125"/>
      <x:c r="F40" s="125"/>
      <x:c r="G40" s="125"/>
      <x:c r="H40" s="125"/>
      <x:c r="I40" s="125"/>
      <x:c r="J40" s="125"/>
      <x:c r="K40" s="125"/>
      <x:c r="L40" s="125"/>
      <x:c r="M40" s="125"/>
      <x:c r="N40" s="125"/>
      <x:c r="O40" s="125"/>
      <x:c r="P40" s="125"/>
      <x:c r="Q40" s="125"/>
    </x:row>
    <x:row r="41">
      <x:c r="A41" s="125"/>
      <x:c r="B41" s="125"/>
      <x:c r="C41" s="125"/>
      <x:c r="D41" s="125"/>
      <x:c r="E41" s="125"/>
      <x:c r="F41" s="125"/>
      <x:c r="G41" s="125"/>
      <x:c r="H41" s="125"/>
      <x:c r="I41" s="125"/>
      <x:c r="J41" s="125"/>
      <x:c r="K41" s="125"/>
      <x:c r="L41" s="125"/>
      <x:c r="M41" s="125"/>
      <x:c r="N41" s="125"/>
      <x:c r="O41" s="125"/>
      <x:c r="P41" s="125"/>
      <x:c r="Q41" s="125"/>
    </x:row>
    <x:row r="42">
      <x:c r="A42" s="125"/>
      <x:c r="B42" s="125"/>
      <x:c r="C42" s="125"/>
      <x:c r="D42" s="125"/>
      <x:c r="E42" s="125"/>
      <x:c r="F42" s="125"/>
      <x:c r="G42" s="125"/>
      <x:c r="H42" s="125"/>
      <x:c r="I42" s="125"/>
      <x:c r="J42" s="125"/>
      <x:c r="K42" s="125"/>
      <x:c r="L42" s="125"/>
      <x:c r="M42" s="125"/>
      <x:c r="N42" s="125"/>
      <x:c r="O42" s="125"/>
      <x:c r="P42" s="125"/>
      <x:c r="Q42" s="125"/>
    </x:row>
    <x:row r="43">
      <x:c r="A43" s="125"/>
      <x:c r="B43" s="125"/>
      <x:c r="C43" s="125"/>
      <x:c r="D43" s="125"/>
      <x:c r="E43" s="125"/>
      <x:c r="F43" s="125"/>
      <x:c r="G43" s="125"/>
      <x:c r="H43" s="125"/>
      <x:c r="I43" s="125"/>
      <x:c r="J43" s="125"/>
      <x:c r="K43" s="125"/>
      <x:c r="L43" s="125"/>
      <x:c r="M43" s="125"/>
      <x:c r="N43" s="125"/>
      <x:c r="O43" s="125"/>
      <x:c r="P43" s="125"/>
      <x:c r="Q43" s="125"/>
    </x:row>
    <x:row r="44">
      <x:c r="A44" s="125"/>
      <x:c r="B44" s="125"/>
      <x:c r="C44" s="125"/>
      <x:c r="D44" s="125"/>
      <x:c r="E44" s="125"/>
      <x:c r="F44" s="125"/>
      <x:c r="G44" s="125"/>
      <x:c r="H44" s="125"/>
      <x:c r="I44" s="125"/>
      <x:c r="J44" s="125"/>
      <x:c r="K44" s="125"/>
      <x:c r="L44" s="125"/>
      <x:c r="M44" s="125"/>
      <x:c r="N44" s="125"/>
      <x:c r="O44" s="125"/>
      <x:c r="P44" s="125"/>
      <x:c r="Q44" s="125"/>
    </x:row>
    <x:row r="45">
      <x:c r="A45" s="125"/>
      <x:c r="B45" s="125"/>
      <x:c r="C45" s="125"/>
      <x:c r="D45" s="125"/>
      <x:c r="E45" s="125"/>
      <x:c r="F45" s="125"/>
      <x:c r="G45" s="125"/>
      <x:c r="H45" s="125"/>
      <x:c r="I45" s="125"/>
      <x:c r="J45" s="125"/>
      <x:c r="K45" s="125"/>
      <x:c r="L45" s="125"/>
      <x:c r="M45" s="125"/>
      <x:c r="N45" s="125"/>
      <x:c r="O45" s="125"/>
      <x:c r="P45" s="125"/>
      <x:c r="Q45" s="125"/>
    </x:row>
    <x:row r="46">
      <x:c r="A46" s="125"/>
      <x:c r="B46" s="125"/>
      <x:c r="C46" s="125"/>
      <x:c r="D46" s="125"/>
      <x:c r="E46" s="125"/>
      <x:c r="F46" s="125"/>
      <x:c r="G46" s="125"/>
      <x:c r="H46" s="125"/>
      <x:c r="I46" s="125"/>
      <x:c r="J46" s="125"/>
      <x:c r="K46" s="125"/>
      <x:c r="L46" s="125"/>
      <x:c r="M46" s="125"/>
      <x:c r="N46" s="125"/>
      <x:c r="O46" s="125"/>
      <x:c r="P46" s="125"/>
      <x:c r="Q46" s="125"/>
    </x:row>
    <x:row r="47">
      <x:c r="A47" s="125"/>
      <x:c r="B47" s="125"/>
      <x:c r="C47" s="125"/>
      <x:c r="D47" s="125"/>
      <x:c r="E47" s="125"/>
      <x:c r="F47" s="125"/>
      <x:c r="G47" s="125"/>
      <x:c r="H47" s="125"/>
      <x:c r="I47" s="125"/>
      <x:c r="J47" s="125"/>
      <x:c r="K47" s="125"/>
      <x:c r="L47" s="125"/>
      <x:c r="M47" s="125"/>
      <x:c r="N47" s="125"/>
      <x:c r="O47" s="125"/>
      <x:c r="P47" s="125"/>
      <x:c r="Q47" s="125"/>
    </x:row>
    <x:row r="48">
      <x:c r="A48" s="125"/>
      <x:c r="B48" s="125"/>
      <x:c r="C48" s="125"/>
      <x:c r="D48" s="125"/>
      <x:c r="E48" s="125"/>
      <x:c r="F48" s="125"/>
      <x:c r="G48" s="125"/>
      <x:c r="H48" s="125"/>
      <x:c r="I48" s="125"/>
      <x:c r="J48" s="125"/>
      <x:c r="K48" s="125"/>
      <x:c r="L48" s="125"/>
      <x:c r="M48" s="125"/>
      <x:c r="N48" s="125"/>
      <x:c r="O48" s="125"/>
      <x:c r="P48" s="125"/>
      <x:c r="Q48" s="125"/>
    </x:row>
    <x:row r="49">
      <x:c r="A49" s="125"/>
      <x:c r="B49" s="125"/>
      <x:c r="C49" s="125"/>
      <x:c r="D49" s="125"/>
      <x:c r="E49" s="125"/>
      <x:c r="F49" s="125"/>
      <x:c r="G49" s="125"/>
      <x:c r="H49" s="125"/>
      <x:c r="I49" s="125"/>
      <x:c r="J49" s="125"/>
      <x:c r="K49" s="125"/>
      <x:c r="L49" s="125"/>
      <x:c r="M49" s="125"/>
      <x:c r="N49" s="125"/>
      <x:c r="O49" s="125"/>
      <x:c r="P49" s="125"/>
      <x:c r="Q49" s="125"/>
    </x:row>
    <x:row r="50">
      <x:c r="A50" s="125"/>
      <x:c r="B50" s="125"/>
      <x:c r="C50" s="125"/>
      <x:c r="D50" s="125"/>
      <x:c r="E50" s="125"/>
      <x:c r="F50" s="125"/>
      <x:c r="G50" s="125"/>
      <x:c r="H50" s="125"/>
      <x:c r="I50" s="125"/>
      <x:c r="J50" s="125"/>
      <x:c r="K50" s="125"/>
      <x:c r="L50" s="125"/>
      <x:c r="M50" s="125"/>
      <x:c r="N50" s="125"/>
      <x:c r="O50" s="125"/>
      <x:c r="P50" s="125"/>
      <x:c r="Q50" s="125"/>
    </x:row>
    <x:row r="51">
      <x:c r="A51" s="125"/>
      <x:c r="B51" s="125"/>
      <x:c r="C51" s="125"/>
      <x:c r="D51" s="125"/>
      <x:c r="E51" s="125"/>
      <x:c r="F51" s="125"/>
      <x:c r="G51" s="125"/>
      <x:c r="H51" s="125"/>
      <x:c r="I51" s="125"/>
      <x:c r="J51" s="125"/>
      <x:c r="K51" s="125"/>
      <x:c r="L51" s="125"/>
      <x:c r="M51" s="125"/>
      <x:c r="N51" s="125"/>
      <x:c r="O51" s="125"/>
      <x:c r="P51" s="125"/>
      <x:c r="Q51" s="125"/>
    </x:row>
    <x:row r="52">
      <x:c r="A52" s="125"/>
      <x:c r="B52" s="125"/>
      <x:c r="C52" s="125"/>
      <x:c r="D52" s="125"/>
      <x:c r="E52" s="125"/>
      <x:c r="F52" s="125"/>
      <x:c r="G52" s="125"/>
      <x:c r="H52" s="125"/>
      <x:c r="I52" s="125"/>
      <x:c r="J52" s="125"/>
      <x:c r="K52" s="125"/>
      <x:c r="L52" s="125"/>
      <x:c r="M52" s="125"/>
      <x:c r="N52" s="125"/>
      <x:c r="O52" s="125"/>
      <x:c r="P52" s="125"/>
      <x:c r="Q52" s="125"/>
    </x:row>
    <x:row r="53">
      <x:c r="A53" s="125"/>
      <x:c r="B53" s="125"/>
      <x:c r="C53" s="125"/>
      <x:c r="D53" s="125"/>
      <x:c r="E53" s="125"/>
      <x:c r="F53" s="125"/>
      <x:c r="G53" s="125"/>
      <x:c r="H53" s="125"/>
      <x:c r="I53" s="125"/>
      <x:c r="J53" s="125"/>
      <x:c r="K53" s="125"/>
      <x:c r="L53" s="125"/>
      <x:c r="M53" s="125"/>
      <x:c r="N53" s="125"/>
      <x:c r="O53" s="125"/>
      <x:c r="P53" s="125"/>
      <x:c r="Q53" s="125"/>
    </x:row>
    <x:row r="54">
      <x:c r="A54" s="125"/>
      <x:c r="B54" s="125"/>
      <x:c r="C54" s="125"/>
      <x:c r="D54" s="125"/>
      <x:c r="E54" s="125"/>
      <x:c r="F54" s="125"/>
      <x:c r="G54" s="125"/>
      <x:c r="H54" s="125"/>
      <x:c r="I54" s="125"/>
      <x:c r="J54" s="125"/>
      <x:c r="K54" s="125"/>
      <x:c r="L54" s="125"/>
      <x:c r="M54" s="125"/>
      <x:c r="N54" s="125"/>
      <x:c r="O54" s="125"/>
      <x:c r="P54" s="125"/>
      <x:c r="Q54" s="125"/>
    </x:row>
    <x:row r="55">
      <x:c r="A55" s="125"/>
      <x:c r="B55" s="125"/>
      <x:c r="C55" s="125"/>
      <x:c r="D55" s="125"/>
      <x:c r="E55" s="125"/>
      <x:c r="F55" s="125"/>
      <x:c r="G55" s="125"/>
      <x:c r="H55" s="125"/>
      <x:c r="I55" s="125"/>
      <x:c r="J55" s="125"/>
      <x:c r="K55" s="125"/>
      <x:c r="L55" s="125"/>
      <x:c r="M55" s="125"/>
      <x:c r="N55" s="125"/>
      <x:c r="O55" s="125"/>
      <x:c r="P55" s="125"/>
      <x:c r="Q55" s="125"/>
    </x:row>
    <x:row r="56">
      <x:c r="A56" s="125"/>
      <x:c r="B56" s="125"/>
      <x:c r="C56" s="125"/>
      <x:c r="D56" s="125"/>
      <x:c r="E56" s="125"/>
      <x:c r="F56" s="125"/>
      <x:c r="G56" s="125"/>
      <x:c r="H56" s="125"/>
      <x:c r="I56" s="125"/>
      <x:c r="J56" s="125"/>
      <x:c r="K56" s="125"/>
      <x:c r="L56" s="125"/>
      <x:c r="M56" s="125"/>
      <x:c r="N56" s="125"/>
      <x:c r="O56" s="125"/>
      <x:c r="P56" s="125"/>
      <x:c r="Q56" s="125"/>
    </x:row>
    <x:row r="57">
      <x:c r="A57" s="125"/>
      <x:c r="B57" s="125"/>
      <x:c r="C57" s="125"/>
      <x:c r="D57" s="125"/>
      <x:c r="E57" s="125"/>
      <x:c r="F57" s="125"/>
      <x:c r="G57" s="125"/>
      <x:c r="H57" s="125"/>
      <x:c r="I57" s="125"/>
      <x:c r="J57" s="125"/>
      <x:c r="K57" s="125"/>
      <x:c r="L57" s="125"/>
      <x:c r="M57" s="125"/>
      <x:c r="N57" s="125"/>
      <x:c r="O57" s="125"/>
      <x:c r="P57" s="125"/>
      <x:c r="Q57" s="125"/>
    </x:row>
    <x:row r="58">
      <x:c r="A58" s="125"/>
      <x:c r="B58" s="125"/>
      <x:c r="C58" s="125"/>
      <x:c r="D58" s="125"/>
      <x:c r="E58" s="125"/>
      <x:c r="F58" s="125"/>
      <x:c r="G58" s="125"/>
      <x:c r="H58" s="125"/>
      <x:c r="I58" s="125"/>
      <x:c r="J58" s="125"/>
      <x:c r="K58" s="125"/>
      <x:c r="L58" s="125"/>
      <x:c r="M58" s="125"/>
      <x:c r="N58" s="125"/>
      <x:c r="O58" s="125"/>
      <x:c r="P58" s="125"/>
      <x:c r="Q58" s="125"/>
    </x:row>
    <x:row r="59">
      <x:c r="A59" s="125"/>
      <x:c r="B59" s="125"/>
      <x:c r="C59" s="125"/>
      <x:c r="D59" s="125"/>
      <x:c r="E59" s="125"/>
      <x:c r="F59" s="125"/>
      <x:c r="G59" s="125"/>
      <x:c r="H59" s="125"/>
      <x:c r="I59" s="125"/>
      <x:c r="J59" s="125"/>
      <x:c r="K59" s="125"/>
      <x:c r="L59" s="125"/>
      <x:c r="M59" s="125"/>
      <x:c r="N59" s="125"/>
      <x:c r="O59" s="125"/>
      <x:c r="P59" s="125"/>
      <x:c r="Q59" s="125"/>
    </x:row>
    <x:row r="60">
      <x:c r="A60" s="125"/>
      <x:c r="B60" s="125"/>
      <x:c r="C60" s="125"/>
      <x:c r="D60" s="125"/>
      <x:c r="E60" s="125"/>
      <x:c r="F60" s="125"/>
      <x:c r="G60" s="125"/>
      <x:c r="H60" s="125"/>
      <x:c r="I60" s="125"/>
      <x:c r="J60" s="125"/>
      <x:c r="K60" s="125"/>
      <x:c r="L60" s="125"/>
      <x:c r="M60" s="125"/>
      <x:c r="N60" s="125"/>
      <x:c r="O60" s="125"/>
      <x:c r="P60" s="125"/>
      <x:c r="Q60" s="125"/>
    </x:row>
    <x:row r="61">
      <x:c r="A61" s="125"/>
      <x:c r="B61" s="125"/>
      <x:c r="C61" s="125"/>
      <x:c r="D61" s="125"/>
      <x:c r="E61" s="125"/>
      <x:c r="F61" s="125"/>
      <x:c r="G61" s="125"/>
      <x:c r="H61" s="125"/>
      <x:c r="I61" s="125"/>
      <x:c r="J61" s="125"/>
      <x:c r="K61" s="125"/>
      <x:c r="L61" s="125"/>
      <x:c r="M61" s="125"/>
      <x:c r="N61" s="125"/>
      <x:c r="O61" s="125"/>
      <x:c r="P61" s="125"/>
      <x:c r="Q61" s="125"/>
    </x:row>
    <x:row r="62">
      <x:c r="A62" s="125"/>
      <x:c r="B62" s="125"/>
      <x:c r="C62" s="125"/>
      <x:c r="D62" s="125"/>
      <x:c r="E62" s="125"/>
      <x:c r="F62" s="125"/>
      <x:c r="G62" s="125"/>
      <x:c r="H62" s="125"/>
      <x:c r="I62" s="125"/>
      <x:c r="J62" s="125"/>
      <x:c r="K62" s="125"/>
      <x:c r="L62" s="125"/>
      <x:c r="M62" s="125"/>
      <x:c r="N62" s="125"/>
      <x:c r="O62" s="125"/>
      <x:c r="P62" s="125"/>
      <x:c r="Q62" s="125"/>
    </x:row>
    <x:row r="63">
      <x:c r="A63" s="125"/>
      <x:c r="B63" s="125"/>
      <x:c r="C63" s="125"/>
      <x:c r="D63" s="125"/>
      <x:c r="E63" s="125"/>
      <x:c r="F63" s="125"/>
      <x:c r="G63" s="125"/>
      <x:c r="H63" s="125"/>
      <x:c r="I63" s="125"/>
      <x:c r="J63" s="125"/>
      <x:c r="K63" s="125"/>
      <x:c r="L63" s="125"/>
      <x:c r="M63" s="125"/>
      <x:c r="N63" s="125"/>
      <x:c r="O63" s="125"/>
      <x:c r="P63" s="125"/>
      <x:c r="Q63" s="125"/>
    </x:row>
    <x:row r="64">
      <x:c r="A64" s="125"/>
      <x:c r="B64" s="125"/>
      <x:c r="C64" s="125"/>
      <x:c r="D64" s="125"/>
      <x:c r="E64" s="125"/>
      <x:c r="F64" s="125"/>
      <x:c r="G64" s="125"/>
      <x:c r="H64" s="125"/>
      <x:c r="I64" s="125"/>
      <x:c r="J64" s="125"/>
      <x:c r="K64" s="125"/>
      <x:c r="L64" s="125"/>
      <x:c r="M64" s="125"/>
      <x:c r="N64" s="125"/>
      <x:c r="O64" s="125"/>
      <x:c r="P64" s="125"/>
      <x:c r="Q64" s="125"/>
    </x:row>
    <x:row r="65">
      <x:c r="A65" s="125"/>
      <x:c r="B65" s="125"/>
      <x:c r="C65" s="125"/>
      <x:c r="D65" s="125"/>
      <x:c r="E65" s="125"/>
      <x:c r="F65" s="125"/>
      <x:c r="G65" s="125"/>
      <x:c r="H65" s="125"/>
      <x:c r="I65" s="125"/>
      <x:c r="J65" s="125"/>
      <x:c r="K65" s="125"/>
      <x:c r="L65" s="125"/>
      <x:c r="M65" s="125"/>
      <x:c r="N65" s="125"/>
      <x:c r="O65" s="125"/>
      <x:c r="P65" s="125"/>
      <x:c r="Q65" s="125"/>
    </x:row>
    <x:row r="66">
      <x:c r="A66" s="125"/>
      <x:c r="B66" s="125"/>
      <x:c r="C66" s="125"/>
      <x:c r="D66" s="125"/>
      <x:c r="E66" s="125"/>
      <x:c r="F66" s="125"/>
      <x:c r="G66" s="125"/>
      <x:c r="H66" s="125"/>
      <x:c r="I66" s="125"/>
      <x:c r="J66" s="125"/>
      <x:c r="K66" s="125"/>
      <x:c r="L66" s="125"/>
      <x:c r="M66" s="125"/>
      <x:c r="N66" s="125"/>
      <x:c r="O66" s="125"/>
      <x:c r="P66" s="125"/>
      <x:c r="Q66" s="125"/>
    </x:row>
    <x:row r="67">
      <x:c r="A67" s="125"/>
      <x:c r="B67" s="125"/>
      <x:c r="C67" s="125"/>
      <x:c r="D67" s="125"/>
      <x:c r="E67" s="125"/>
      <x:c r="F67" s="125"/>
      <x:c r="G67" s="125"/>
      <x:c r="H67" s="125"/>
      <x:c r="I67" s="125"/>
      <x:c r="J67" s="125"/>
      <x:c r="K67" s="125"/>
      <x:c r="L67" s="125"/>
      <x:c r="M67" s="125"/>
      <x:c r="N67" s="125"/>
      <x:c r="O67" s="125"/>
      <x:c r="P67" s="125"/>
      <x:c r="Q67" s="125"/>
    </x:row>
    <x:row r="68">
      <x:c r="A68" s="125"/>
      <x:c r="B68" s="125"/>
      <x:c r="C68" s="125"/>
      <x:c r="D68" s="125"/>
      <x:c r="E68" s="125"/>
      <x:c r="F68" s="125"/>
      <x:c r="G68" s="125"/>
      <x:c r="H68" s="125"/>
      <x:c r="I68" s="125"/>
      <x:c r="J68" s="125"/>
      <x:c r="K68" s="125"/>
      <x:c r="L68" s="125"/>
      <x:c r="M68" s="125"/>
      <x:c r="N68" s="125"/>
      <x:c r="O68" s="125"/>
      <x:c r="P68" s="125"/>
      <x:c r="Q68" s="125"/>
    </x:row>
    <x:row r="69">
      <x:c r="A69" s="125"/>
      <x:c r="B69" s="125"/>
      <x:c r="C69" s="125"/>
      <x:c r="D69" s="125"/>
      <x:c r="E69" s="125"/>
      <x:c r="F69" s="125"/>
      <x:c r="G69" s="125"/>
      <x:c r="H69" s="125"/>
      <x:c r="I69" s="125"/>
      <x:c r="J69" s="125"/>
      <x:c r="K69" s="125"/>
      <x:c r="L69" s="125"/>
      <x:c r="M69" s="125"/>
      <x:c r="N69" s="125"/>
      <x:c r="O69" s="125"/>
      <x:c r="P69" s="125"/>
      <x:c r="Q69" s="125"/>
    </x:row>
    <x:row r="70">
      <x:c r="A70" s="125"/>
      <x:c r="B70" s="125"/>
      <x:c r="C70" s="125"/>
      <x:c r="D70" s="125"/>
      <x:c r="E70" s="125"/>
      <x:c r="F70" s="125"/>
      <x:c r="G70" s="125"/>
      <x:c r="H70" s="125"/>
      <x:c r="I70" s="125"/>
      <x:c r="J70" s="125"/>
      <x:c r="K70" s="125"/>
      <x:c r="L70" s="125"/>
      <x:c r="M70" s="125"/>
      <x:c r="N70" s="125"/>
      <x:c r="O70" s="125"/>
      <x:c r="P70" s="125"/>
      <x:c r="Q70" s="125"/>
    </x:row>
    <x:row r="71">
      <x:c r="A71" s="125"/>
      <x:c r="B71" s="125"/>
      <x:c r="C71" s="125"/>
      <x:c r="D71" s="125"/>
      <x:c r="E71" s="125"/>
      <x:c r="F71" s="125"/>
      <x:c r="G71" s="125"/>
      <x:c r="H71" s="125"/>
      <x:c r="I71" s="125"/>
      <x:c r="J71" s="125"/>
      <x:c r="K71" s="125"/>
      <x:c r="L71" s="125"/>
      <x:c r="M71" s="125"/>
      <x:c r="N71" s="125"/>
      <x:c r="O71" s="125"/>
      <x:c r="P71" s="125"/>
      <x:c r="Q71" s="125"/>
    </x:row>
    <x:row r="72">
      <x:c r="A72" s="125"/>
      <x:c r="B72" s="125"/>
      <x:c r="C72" s="125"/>
      <x:c r="D72" s="125"/>
      <x:c r="E72" s="125"/>
      <x:c r="F72" s="125"/>
      <x:c r="G72" s="125"/>
      <x:c r="H72" s="125"/>
      <x:c r="I72" s="125"/>
      <x:c r="J72" s="125"/>
      <x:c r="K72" s="125"/>
      <x:c r="L72" s="125"/>
      <x:c r="M72" s="125"/>
      <x:c r="N72" s="125"/>
      <x:c r="O72" s="125"/>
      <x:c r="P72" s="125"/>
      <x:c r="Q72" s="125"/>
    </x:row>
    <x:row r="73">
      <x:c r="A73" s="125"/>
      <x:c r="B73" s="125"/>
      <x:c r="C73" s="125"/>
      <x:c r="D73" s="125"/>
      <x:c r="E73" s="125"/>
      <x:c r="F73" s="125"/>
      <x:c r="G73" s="125"/>
      <x:c r="H73" s="125"/>
      <x:c r="I73" s="125"/>
      <x:c r="J73" s="125"/>
      <x:c r="K73" s="125"/>
      <x:c r="L73" s="125"/>
      <x:c r="M73" s="125"/>
      <x:c r="N73" s="125"/>
      <x:c r="O73" s="125"/>
      <x:c r="P73" s="125"/>
      <x:c r="Q73" s="125"/>
    </x:row>
    <x:row r="74">
      <x:c r="A74" s="125"/>
      <x:c r="B74" s="125"/>
      <x:c r="C74" s="125"/>
      <x:c r="D74" s="125"/>
      <x:c r="E74" s="125"/>
      <x:c r="F74" s="125"/>
      <x:c r="G74" s="125"/>
      <x:c r="H74" s="125"/>
      <x:c r="I74" s="125"/>
      <x:c r="J74" s="125"/>
      <x:c r="K74" s="125"/>
      <x:c r="L74" s="125"/>
      <x:c r="M74" s="125"/>
      <x:c r="N74" s="125"/>
      <x:c r="O74" s="125"/>
      <x:c r="P74" s="125"/>
      <x:c r="Q74" s="125"/>
    </x:row>
    <x:row r="75">
      <x:c r="A75" s="125"/>
      <x:c r="B75" s="125"/>
      <x:c r="C75" s="125"/>
      <x:c r="D75" s="125"/>
      <x:c r="E75" s="125"/>
      <x:c r="F75" s="125"/>
      <x:c r="G75" s="125"/>
      <x:c r="H75" s="125"/>
      <x:c r="I75" s="125"/>
      <x:c r="J75" s="125"/>
      <x:c r="K75" s="125"/>
      <x:c r="L75" s="125"/>
      <x:c r="M75" s="125"/>
      <x:c r="N75" s="125"/>
      <x:c r="O75" s="125"/>
      <x:c r="P75" s="125"/>
      <x:c r="Q75" s="125"/>
    </x:row>
    <x:row r="76">
      <x:c r="A76" s="125"/>
      <x:c r="B76" s="125"/>
      <x:c r="C76" s="125"/>
      <x:c r="D76" s="125"/>
      <x:c r="E76" s="125"/>
      <x:c r="F76" s="125"/>
      <x:c r="G76" s="125"/>
      <x:c r="H76" s="125"/>
      <x:c r="I76" s="125"/>
      <x:c r="J76" s="125"/>
      <x:c r="K76" s="125"/>
      <x:c r="L76" s="125"/>
      <x:c r="M76" s="125"/>
      <x:c r="N76" s="125"/>
      <x:c r="O76" s="125"/>
      <x:c r="P76" s="125"/>
      <x:c r="Q76" s="125"/>
    </x:row>
    <x:row r="77">
      <x:c r="A77" s="125"/>
      <x:c r="B77" s="125"/>
      <x:c r="C77" s="125"/>
      <x:c r="D77" s="125"/>
      <x:c r="E77" s="125"/>
      <x:c r="F77" s="125"/>
      <x:c r="G77" s="125"/>
      <x:c r="H77" s="125"/>
      <x:c r="I77" s="125"/>
      <x:c r="J77" s="125"/>
      <x:c r="K77" s="125"/>
      <x:c r="L77" s="125"/>
      <x:c r="M77" s="125"/>
      <x:c r="N77" s="125"/>
      <x:c r="O77" s="125"/>
      <x:c r="P77" s="125"/>
      <x:c r="Q77" s="125"/>
    </x:row>
    <x:row r="78">
      <x:c r="A78" s="125"/>
      <x:c r="B78" s="125"/>
      <x:c r="C78" s="125"/>
      <x:c r="D78" s="125"/>
      <x:c r="E78" s="125"/>
      <x:c r="F78" s="125"/>
      <x:c r="G78" s="125"/>
      <x:c r="H78" s="125"/>
      <x:c r="I78" s="125"/>
      <x:c r="J78" s="125"/>
      <x:c r="K78" s="125"/>
      <x:c r="L78" s="125"/>
      <x:c r="M78" s="125"/>
      <x:c r="N78" s="125"/>
      <x:c r="O78" s="125"/>
      <x:c r="P78" s="125"/>
      <x:c r="Q78" s="125"/>
    </x:row>
    <x:row r="79">
      <x:c r="A79" s="125"/>
      <x:c r="B79" s="125"/>
      <x:c r="C79" s="125"/>
      <x:c r="D79" s="125"/>
      <x:c r="E79" s="125"/>
      <x:c r="F79" s="125"/>
      <x:c r="G79" s="125"/>
      <x:c r="H79" s="125"/>
      <x:c r="I79" s="125"/>
      <x:c r="J79" s="125"/>
      <x:c r="K79" s="125"/>
      <x:c r="L79" s="125"/>
      <x:c r="M79" s="125"/>
      <x:c r="N79" s="125"/>
      <x:c r="O79" s="125"/>
      <x:c r="P79" s="125"/>
      <x:c r="Q79" s="125"/>
    </x:row>
    <x:row r="80">
      <x:c r="A80" s="125"/>
      <x:c r="B80" s="125"/>
      <x:c r="C80" s="125"/>
      <x:c r="D80" s="125"/>
      <x:c r="E80" s="125"/>
      <x:c r="F80" s="125"/>
      <x:c r="G80" s="125"/>
      <x:c r="H80" s="125"/>
      <x:c r="I80" s="125"/>
      <x:c r="J80" s="125"/>
      <x:c r="K80" s="125"/>
      <x:c r="L80" s="125"/>
      <x:c r="M80" s="125"/>
      <x:c r="N80" s="125"/>
      <x:c r="O80" s="125"/>
      <x:c r="P80" s="125"/>
      <x:c r="Q80" s="125"/>
    </x:row>
    <x:row r="81">
      <x:c r="A81" s="125"/>
      <x:c r="B81" s="125"/>
      <x:c r="C81" s="125"/>
      <x:c r="D81" s="125"/>
      <x:c r="E81" s="125"/>
      <x:c r="F81" s="125"/>
      <x:c r="G81" s="125"/>
      <x:c r="H81" s="125"/>
      <x:c r="I81" s="125"/>
      <x:c r="J81" s="125"/>
      <x:c r="K81" s="125"/>
      <x:c r="L81" s="125"/>
      <x:c r="M81" s="125"/>
      <x:c r="N81" s="125"/>
      <x:c r="O81" s="125"/>
      <x:c r="P81" s="125"/>
      <x:c r="Q81" s="125"/>
    </x:row>
    <x:row r="82">
      <x:c r="A82" s="125"/>
      <x:c r="B82" s="125"/>
      <x:c r="C82" s="125"/>
      <x:c r="D82" s="125"/>
      <x:c r="E82" s="125"/>
      <x:c r="F82" s="125"/>
      <x:c r="G82" s="125"/>
      <x:c r="H82" s="125"/>
      <x:c r="I82" s="125"/>
      <x:c r="J82" s="125"/>
      <x:c r="K82" s="125"/>
      <x:c r="L82" s="125"/>
      <x:c r="M82" s="125"/>
      <x:c r="N82" s="125"/>
      <x:c r="O82" s="125"/>
      <x:c r="P82" s="125"/>
      <x:c r="Q82" s="125"/>
    </x:row>
    <x:row r="83">
      <x:c r="A83" s="125"/>
      <x:c r="B83" s="125"/>
      <x:c r="C83" s="125"/>
      <x:c r="D83" s="125"/>
      <x:c r="E83" s="125"/>
      <x:c r="F83" s="125"/>
      <x:c r="G83" s="125"/>
      <x:c r="H83" s="125"/>
      <x:c r="I83" s="125"/>
      <x:c r="J83" s="125"/>
      <x:c r="K83" s="125"/>
      <x:c r="L83" s="125"/>
      <x:c r="M83" s="125"/>
      <x:c r="N83" s="125"/>
      <x:c r="O83" s="125"/>
      <x:c r="P83" s="125"/>
      <x:c r="Q83" s="125"/>
    </x:row>
    <x:row r="84">
      <x:c r="A84" s="125"/>
      <x:c r="B84" s="125"/>
      <x:c r="C84" s="125"/>
      <x:c r="D84" s="125"/>
      <x:c r="E84" s="125"/>
      <x:c r="F84" s="125"/>
      <x:c r="G84" s="125"/>
      <x:c r="H84" s="125"/>
      <x:c r="I84" s="125"/>
      <x:c r="J84" s="125"/>
      <x:c r="K84" s="125"/>
      <x:c r="L84" s="125"/>
      <x:c r="M84" s="125"/>
      <x:c r="N84" s="125"/>
      <x:c r="O84" s="125"/>
      <x:c r="P84" s="125"/>
      <x:c r="Q84" s="125"/>
    </x:row>
    <x:row r="85">
      <x:c r="A85" s="125"/>
      <x:c r="B85" s="125"/>
      <x:c r="C85" s="125"/>
      <x:c r="D85" s="125"/>
      <x:c r="E85" s="125"/>
      <x:c r="F85" s="125"/>
      <x:c r="G85" s="125"/>
      <x:c r="H85" s="125"/>
      <x:c r="I85" s="125"/>
      <x:c r="J85" s="125"/>
      <x:c r="K85" s="125"/>
      <x:c r="L85" s="125"/>
      <x:c r="M85" s="125"/>
      <x:c r="N85" s="125"/>
      <x:c r="O85" s="125"/>
      <x:c r="P85" s="125"/>
      <x:c r="Q85" s="125"/>
    </x:row>
    <x:row r="86">
      <x:c r="A86" s="125"/>
      <x:c r="B86" s="125"/>
      <x:c r="C86" s="125"/>
      <x:c r="D86" s="125"/>
      <x:c r="E86" s="125"/>
      <x:c r="F86" s="125"/>
      <x:c r="G86" s="125"/>
      <x:c r="H86" s="125"/>
      <x:c r="I86" s="125"/>
      <x:c r="J86" s="125"/>
      <x:c r="K86" s="125"/>
      <x:c r="L86" s="125"/>
      <x:c r="M86" s="125"/>
      <x:c r="N86" s="125"/>
      <x:c r="O86" s="125"/>
      <x:c r="P86" s="125"/>
      <x:c r="Q86" s="125"/>
    </x:row>
    <x:row r="87">
      <x:c r="A87" s="125"/>
      <x:c r="B87" s="125"/>
      <x:c r="C87" s="125"/>
      <x:c r="D87" s="125"/>
      <x:c r="E87" s="125"/>
      <x:c r="F87" s="125"/>
      <x:c r="G87" s="125"/>
      <x:c r="H87" s="125"/>
      <x:c r="I87" s="125"/>
      <x:c r="J87" s="125"/>
      <x:c r="K87" s="125"/>
      <x:c r="L87" s="125"/>
      <x:c r="M87" s="125"/>
      <x:c r="N87" s="125"/>
      <x:c r="O87" s="125"/>
      <x:c r="P87" s="125"/>
      <x:c r="Q87" s="125"/>
    </x:row>
    <x:row r="88">
      <x:c r="A88" s="125"/>
      <x:c r="B88" s="125"/>
      <x:c r="C88" s="125"/>
      <x:c r="D88" s="125"/>
      <x:c r="E88" s="125"/>
      <x:c r="F88" s="125"/>
      <x:c r="G88" s="125"/>
      <x:c r="H88" s="125"/>
      <x:c r="I88" s="125"/>
      <x:c r="J88" s="125"/>
      <x:c r="K88" s="125"/>
      <x:c r="L88" s="125"/>
      <x:c r="M88" s="125"/>
      <x:c r="N88" s="125"/>
      <x:c r="O88" s="125"/>
      <x:c r="P88" s="125"/>
      <x:c r="Q88" s="125"/>
    </x:row>
    <x:row r="89">
      <x:c r="A89" s="125"/>
      <x:c r="B89" s="125"/>
      <x:c r="C89" s="125"/>
      <x:c r="D89" s="125"/>
      <x:c r="E89" s="125"/>
      <x:c r="F89" s="125"/>
      <x:c r="G89" s="125"/>
      <x:c r="H89" s="125"/>
      <x:c r="I89" s="125"/>
      <x:c r="J89" s="125"/>
      <x:c r="K89" s="125"/>
      <x:c r="L89" s="125"/>
      <x:c r="M89" s="125"/>
      <x:c r="N89" s="125"/>
      <x:c r="O89" s="125"/>
      <x:c r="P89" s="125"/>
      <x:c r="Q89" s="125"/>
    </x:row>
    <x:row r="90">
      <x:c r="A90" s="125"/>
      <x:c r="B90" s="125"/>
      <x:c r="C90" s="125"/>
      <x:c r="D90" s="125"/>
      <x:c r="E90" s="125"/>
      <x:c r="F90" s="125"/>
      <x:c r="G90" s="125"/>
      <x:c r="H90" s="125"/>
      <x:c r="I90" s="125"/>
      <x:c r="J90" s="125"/>
      <x:c r="K90" s="125"/>
      <x:c r="L90" s="125"/>
      <x:c r="M90" s="125"/>
      <x:c r="N90" s="125"/>
      <x:c r="O90" s="125"/>
      <x:c r="P90" s="125"/>
      <x:c r="Q90" s="125"/>
    </x:row>
    <x:row r="91">
      <x:c r="A91" s="125"/>
      <x:c r="B91" s="125"/>
      <x:c r="C91" s="125"/>
      <x:c r="D91" s="125"/>
      <x:c r="E91" s="125"/>
      <x:c r="F91" s="125"/>
      <x:c r="G91" s="125"/>
      <x:c r="H91" s="125"/>
      <x:c r="I91" s="125"/>
      <x:c r="J91" s="125"/>
      <x:c r="K91" s="125"/>
      <x:c r="L91" s="125"/>
      <x:c r="M91" s="125"/>
      <x:c r="N91" s="125"/>
      <x:c r="O91" s="125"/>
      <x:c r="P91" s="125"/>
      <x:c r="Q91" s="125"/>
    </x:row>
    <x:row r="92">
      <x:c r="A92" s="125"/>
      <x:c r="B92" s="125"/>
      <x:c r="C92" s="125"/>
      <x:c r="D92" s="125"/>
      <x:c r="E92" s="125"/>
      <x:c r="F92" s="125"/>
      <x:c r="G92" s="125"/>
      <x:c r="H92" s="125"/>
      <x:c r="I92" s="125"/>
      <x:c r="J92" s="125"/>
      <x:c r="K92" s="125"/>
      <x:c r="L92" s="125"/>
      <x:c r="M92" s="125"/>
      <x:c r="N92" s="125"/>
      <x:c r="O92" s="125"/>
      <x:c r="P92" s="125"/>
      <x:c r="Q92" s="125"/>
    </x:row>
    <x:row r="93">
      <x:c r="A93" s="125"/>
      <x:c r="B93" s="125"/>
      <x:c r="C93" s="125"/>
      <x:c r="D93" s="125"/>
      <x:c r="E93" s="125"/>
      <x:c r="F93" s="125"/>
      <x:c r="G93" s="125"/>
      <x:c r="H93" s="125"/>
      <x:c r="I93" s="125"/>
      <x:c r="J93" s="125"/>
      <x:c r="K93" s="125"/>
      <x:c r="L93" s="125"/>
      <x:c r="M93" s="125"/>
      <x:c r="N93" s="125"/>
      <x:c r="O93" s="125"/>
      <x:c r="P93" s="125"/>
      <x:c r="Q93" s="125"/>
    </x:row>
    <x:row r="94">
      <x:c r="A94" s="125"/>
      <x:c r="B94" s="125"/>
      <x:c r="C94" s="125"/>
      <x:c r="D94" s="125"/>
      <x:c r="E94" s="125"/>
      <x:c r="F94" s="125"/>
      <x:c r="G94" s="125"/>
      <x:c r="H94" s="125"/>
      <x:c r="I94" s="125"/>
      <x:c r="J94" s="125"/>
      <x:c r="K94" s="125"/>
      <x:c r="L94" s="125"/>
      <x:c r="M94" s="125"/>
      <x:c r="N94" s="125"/>
      <x:c r="O94" s="125"/>
      <x:c r="P94" s="125"/>
      <x:c r="Q94" s="125"/>
    </x:row>
    <x:row r="95">
      <x:c r="A95" s="125"/>
      <x:c r="B95" s="125"/>
      <x:c r="C95" s="125"/>
      <x:c r="D95" s="125"/>
      <x:c r="E95" s="125"/>
      <x:c r="F95" s="125"/>
      <x:c r="G95" s="125"/>
      <x:c r="H95" s="125"/>
      <x:c r="I95" s="125"/>
      <x:c r="J95" s="125"/>
      <x:c r="K95" s="125"/>
      <x:c r="L95" s="125"/>
      <x:c r="M95" s="125"/>
      <x:c r="N95" s="125"/>
      <x:c r="O95" s="125"/>
      <x:c r="P95" s="125"/>
      <x:c r="Q95" s="125"/>
    </x:row>
    <x:row r="96">
      <x:c r="A96" s="125"/>
      <x:c r="B96" s="125"/>
      <x:c r="C96" s="125"/>
      <x:c r="D96" s="125"/>
      <x:c r="E96" s="125"/>
      <x:c r="F96" s="125"/>
      <x:c r="G96" s="125"/>
      <x:c r="H96" s="125"/>
      <x:c r="I96" s="125"/>
      <x:c r="J96" s="125"/>
      <x:c r="K96" s="125"/>
      <x:c r="L96" s="125"/>
      <x:c r="M96" s="125"/>
      <x:c r="N96" s="125"/>
      <x:c r="O96" s="125"/>
      <x:c r="P96" s="125"/>
      <x:c r="Q96" s="125"/>
    </x:row>
    <x:row r="97">
      <x:c r="A97" s="125"/>
      <x:c r="B97" s="125"/>
      <x:c r="C97" s="125"/>
      <x:c r="D97" s="125"/>
      <x:c r="E97" s="125"/>
      <x:c r="F97" s="125"/>
      <x:c r="G97" s="125"/>
      <x:c r="H97" s="125"/>
      <x:c r="I97" s="125"/>
      <x:c r="J97" s="125"/>
      <x:c r="K97" s="125"/>
      <x:c r="L97" s="125"/>
      <x:c r="M97" s="125"/>
      <x:c r="N97" s="125"/>
      <x:c r="O97" s="125"/>
      <x:c r="P97" s="125"/>
      <x:c r="Q97" s="125"/>
    </x:row>
    <x:row r="98">
      <x:c r="A98" s="125"/>
      <x:c r="B98" s="125"/>
      <x:c r="C98" s="125"/>
      <x:c r="D98" s="125"/>
      <x:c r="E98" s="125"/>
      <x:c r="F98" s="125"/>
      <x:c r="G98" s="125"/>
      <x:c r="H98" s="125"/>
      <x:c r="I98" s="125"/>
      <x:c r="J98" s="125"/>
      <x:c r="K98" s="125"/>
      <x:c r="L98" s="125"/>
      <x:c r="M98" s="125"/>
      <x:c r="N98" s="125"/>
      <x:c r="O98" s="125"/>
      <x:c r="P98" s="125"/>
      <x:c r="Q98" s="125"/>
    </x:row>
    <x:row r="99">
      <x:c r="A99" s="125"/>
      <x:c r="B99" s="125"/>
      <x:c r="C99" s="125"/>
      <x:c r="D99" s="125"/>
      <x:c r="E99" s="125"/>
      <x:c r="F99" s="125"/>
      <x:c r="G99" s="125"/>
      <x:c r="H99" s="125"/>
      <x:c r="I99" s="125"/>
      <x:c r="J99" s="125"/>
      <x:c r="K99" s="125"/>
      <x:c r="L99" s="125"/>
      <x:c r="M99" s="125"/>
      <x:c r="N99" s="125"/>
      <x:c r="O99" s="125"/>
      <x:c r="P99" s="125"/>
      <x:c r="Q99" s="125"/>
    </x:row>
    <x:row r="100">
      <x:c r="A100" s="125"/>
      <x:c r="B100" s="125"/>
      <x:c r="C100" s="125"/>
      <x:c r="D100" s="125"/>
      <x:c r="E100" s="125"/>
      <x:c r="F100" s="125"/>
      <x:c r="G100" s="125"/>
      <x:c r="H100" s="125"/>
      <x:c r="I100" s="125"/>
      <x:c r="J100" s="125"/>
      <x:c r="K100" s="125"/>
      <x:c r="L100" s="125"/>
      <x:c r="M100" s="125"/>
      <x:c r="N100" s="125"/>
      <x:c r="O100" s="125"/>
      <x:c r="P100" s="125"/>
      <x:c r="Q100" s="125"/>
    </x:row>
    <x:row r="101">
      <x:c r="A101" s="125"/>
      <x:c r="B101" s="125"/>
      <x:c r="C101" s="125"/>
      <x:c r="D101" s="125"/>
      <x:c r="E101" s="125"/>
      <x:c r="F101" s="125"/>
      <x:c r="G101" s="125"/>
      <x:c r="H101" s="125"/>
      <x:c r="I101" s="125"/>
      <x:c r="J101" s="125"/>
      <x:c r="K101" s="125"/>
      <x:c r="L101" s="125"/>
      <x:c r="M101" s="125"/>
      <x:c r="N101" s="125"/>
      <x:c r="O101" s="125"/>
      <x:c r="P101" s="125"/>
      <x:c r="Q101" s="125"/>
    </x:row>
    <x:row r="102">
      <x:c r="A102" s="125"/>
      <x:c r="B102" s="125"/>
      <x:c r="C102" s="125"/>
      <x:c r="D102" s="125"/>
      <x:c r="E102" s="125"/>
      <x:c r="F102" s="125"/>
      <x:c r="G102" s="125"/>
      <x:c r="H102" s="125"/>
      <x:c r="I102" s="125"/>
      <x:c r="J102" s="125"/>
      <x:c r="K102" s="125"/>
      <x:c r="L102" s="125"/>
      <x:c r="M102" s="125"/>
      <x:c r="N102" s="125"/>
      <x:c r="O102" s="125"/>
      <x:c r="P102" s="125"/>
      <x:c r="Q102" s="125"/>
    </x:row>
    <x:row r="103">
      <x:c r="A103" s="125"/>
      <x:c r="B103" s="125"/>
      <x:c r="C103" s="125"/>
      <x:c r="D103" s="125"/>
      <x:c r="E103" s="125"/>
      <x:c r="F103" s="125"/>
      <x:c r="G103" s="125"/>
      <x:c r="H103" s="125"/>
      <x:c r="I103" s="125"/>
      <x:c r="J103" s="125"/>
      <x:c r="K103" s="125"/>
      <x:c r="L103" s="125"/>
      <x:c r="M103" s="125"/>
      <x:c r="N103" s="125"/>
      <x:c r="O103" s="125"/>
      <x:c r="P103" s="125"/>
      <x:c r="Q103" s="125"/>
    </x:row>
    <x:row r="104">
      <x:c r="A104" s="125"/>
      <x:c r="B104" s="125"/>
      <x:c r="C104" s="125"/>
      <x:c r="D104" s="125"/>
      <x:c r="E104" s="125"/>
      <x:c r="F104" s="125"/>
      <x:c r="G104" s="125"/>
      <x:c r="H104" s="125"/>
      <x:c r="I104" s="125"/>
      <x:c r="J104" s="125"/>
      <x:c r="K104" s="125"/>
      <x:c r="L104" s="125"/>
      <x:c r="M104" s="125"/>
      <x:c r="N104" s="125"/>
      <x:c r="O104" s="125"/>
      <x:c r="P104" s="125"/>
      <x:c r="Q104" s="125"/>
    </x:row>
    <x:row r="105">
      <x:c r="A105" s="125"/>
      <x:c r="B105" s="125"/>
      <x:c r="C105" s="125"/>
      <x:c r="D105" s="125"/>
      <x:c r="E105" s="125"/>
      <x:c r="F105" s="125"/>
      <x:c r="G105" s="125"/>
      <x:c r="H105" s="125"/>
      <x:c r="I105" s="125"/>
      <x:c r="J105" s="125"/>
      <x:c r="K105" s="125"/>
      <x:c r="L105" s="125"/>
      <x:c r="M105" s="125"/>
      <x:c r="N105" s="125"/>
      <x:c r="O105" s="125"/>
      <x:c r="P105" s="125"/>
      <x:c r="Q105" s="125"/>
    </x:row>
    <x:row r="106">
      <x:c r="A106" s="125"/>
      <x:c r="B106" s="125"/>
      <x:c r="C106" s="125"/>
      <x:c r="D106" s="125"/>
      <x:c r="E106" s="125"/>
      <x:c r="F106" s="125"/>
      <x:c r="G106" s="125"/>
      <x:c r="H106" s="125"/>
      <x:c r="I106" s="125"/>
      <x:c r="J106" s="125"/>
      <x:c r="K106" s="125"/>
      <x:c r="L106" s="125"/>
      <x:c r="M106" s="125"/>
      <x:c r="N106" s="125"/>
      <x:c r="O106" s="125"/>
      <x:c r="P106" s="125"/>
      <x:c r="Q106" s="125"/>
    </x:row>
    <x:row r="107">
      <x:c r="A107" s="125"/>
      <x:c r="B107" s="125"/>
      <x:c r="C107" s="125"/>
      <x:c r="D107" s="125"/>
      <x:c r="E107" s="125"/>
      <x:c r="F107" s="125"/>
      <x:c r="G107" s="125"/>
      <x:c r="H107" s="125"/>
      <x:c r="I107" s="125"/>
      <x:c r="J107" s="125"/>
      <x:c r="K107" s="125"/>
      <x:c r="L107" s="125"/>
      <x:c r="M107" s="125"/>
      <x:c r="N107" s="125"/>
      <x:c r="O107" s="125"/>
      <x:c r="P107" s="125"/>
      <x:c r="Q107" s="125"/>
    </x:row>
    <x:row r="108">
      <x:c r="A108" s="125"/>
      <x:c r="B108" s="125"/>
      <x:c r="C108" s="125"/>
      <x:c r="D108" s="125"/>
      <x:c r="E108" s="125"/>
      <x:c r="F108" s="125"/>
      <x:c r="G108" s="125"/>
      <x:c r="H108" s="125"/>
      <x:c r="I108" s="125"/>
      <x:c r="J108" s="125"/>
      <x:c r="K108" s="125"/>
      <x:c r="L108" s="125"/>
      <x:c r="M108" s="125"/>
      <x:c r="N108" s="125"/>
      <x:c r="O108" s="125"/>
      <x:c r="P108" s="125"/>
      <x:c r="Q108" s="125"/>
    </x:row>
    <x:row r="109">
      <x:c r="A109" s="125"/>
      <x:c r="B109" s="125"/>
      <x:c r="C109" s="125"/>
      <x:c r="D109" s="125"/>
      <x:c r="E109" s="125"/>
      <x:c r="F109" s="125"/>
      <x:c r="G109" s="125"/>
      <x:c r="H109" s="125"/>
      <x:c r="I109" s="125"/>
      <x:c r="J109" s="125"/>
      <x:c r="K109" s="125"/>
      <x:c r="L109" s="125"/>
      <x:c r="M109" s="125"/>
      <x:c r="N109" s="125"/>
      <x:c r="O109" s="125"/>
      <x:c r="P109" s="125"/>
      <x:c r="Q109" s="125"/>
    </x:row>
    <x:row r="110">
      <x:c r="A110" s="125"/>
      <x:c r="B110" s="125"/>
      <x:c r="C110" s="125"/>
      <x:c r="D110" s="125"/>
      <x:c r="E110" s="125"/>
      <x:c r="F110" s="125"/>
      <x:c r="G110" s="125"/>
      <x:c r="H110" s="125"/>
      <x:c r="I110" s="125"/>
      <x:c r="J110" s="125"/>
      <x:c r="K110" s="125"/>
      <x:c r="L110" s="125"/>
      <x:c r="M110" s="125"/>
      <x:c r="N110" s="125"/>
      <x:c r="O110" s="125"/>
      <x:c r="P110" s="125"/>
      <x:c r="Q110" s="125"/>
    </x:row>
    <x:row r="111">
      <x:c r="A111" s="125"/>
      <x:c r="B111" s="125"/>
      <x:c r="C111" s="125"/>
      <x:c r="D111" s="125"/>
      <x:c r="E111" s="125"/>
      <x:c r="F111" s="125"/>
      <x:c r="G111" s="125"/>
      <x:c r="H111" s="125"/>
      <x:c r="I111" s="125"/>
      <x:c r="J111" s="125"/>
      <x:c r="K111" s="125"/>
      <x:c r="L111" s="125"/>
      <x:c r="M111" s="125"/>
      <x:c r="N111" s="125"/>
      <x:c r="O111" s="125"/>
      <x:c r="P111" s="125"/>
      <x:c r="Q111" s="125"/>
    </x:row>
    <x:row r="112">
      <x:c r="A112" s="125"/>
      <x:c r="B112" s="125"/>
      <x:c r="C112" s="125"/>
      <x:c r="D112" s="125"/>
      <x:c r="E112" s="125"/>
      <x:c r="F112" s="125"/>
      <x:c r="G112" s="125"/>
      <x:c r="H112" s="125"/>
      <x:c r="I112" s="125"/>
      <x:c r="J112" s="125"/>
      <x:c r="K112" s="125"/>
      <x:c r="L112" s="125"/>
      <x:c r="M112" s="125"/>
      <x:c r="N112" s="125"/>
      <x:c r="O112" s="125"/>
      <x:c r="P112" s="125"/>
      <x:c r="Q112" s="125"/>
    </x:row>
    <x:row r="113">
      <x:c r="A113" s="125"/>
      <x:c r="B113" s="125"/>
      <x:c r="C113" s="125"/>
      <x:c r="D113" s="125"/>
      <x:c r="E113" s="125"/>
      <x:c r="F113" s="125"/>
      <x:c r="G113" s="125"/>
      <x:c r="H113" s="125"/>
      <x:c r="I113" s="125"/>
      <x:c r="J113" s="125"/>
      <x:c r="K113" s="125"/>
      <x:c r="L113" s="125"/>
      <x:c r="M113" s="125"/>
      <x:c r="N113" s="125"/>
      <x:c r="O113" s="125"/>
      <x:c r="P113" s="125"/>
      <x:c r="Q113" s="125"/>
    </x:row>
    <x:row r="114">
      <x:c r="A114" s="125"/>
      <x:c r="B114" s="125"/>
      <x:c r="C114" s="125"/>
      <x:c r="D114" s="125"/>
      <x:c r="E114" s="125"/>
      <x:c r="F114" s="125"/>
      <x:c r="G114" s="125"/>
      <x:c r="H114" s="125"/>
      <x:c r="I114" s="125"/>
      <x:c r="J114" s="125"/>
      <x:c r="K114" s="125"/>
      <x:c r="L114" s="125"/>
      <x:c r="M114" s="125"/>
      <x:c r="N114" s="125"/>
      <x:c r="O114" s="125"/>
      <x:c r="P114" s="125"/>
      <x:c r="Q114" s="125"/>
    </x:row>
    <x:row r="115">
      <x:c r="A115" s="125"/>
      <x:c r="B115" s="125"/>
      <x:c r="C115" s="125"/>
      <x:c r="D115" s="125"/>
      <x:c r="E115" s="125"/>
      <x:c r="F115" s="125"/>
      <x:c r="G115" s="125"/>
      <x:c r="H115" s="125"/>
      <x:c r="I115" s="125"/>
      <x:c r="J115" s="125"/>
      <x:c r="K115" s="125"/>
      <x:c r="L115" s="125"/>
      <x:c r="M115" s="125"/>
      <x:c r="N115" s="125"/>
      <x:c r="O115" s="125"/>
      <x:c r="P115" s="125"/>
      <x:c r="Q115" s="125"/>
    </x:row>
    <x:row r="116">
      <x:c r="A116" s="125"/>
      <x:c r="B116" s="125"/>
      <x:c r="C116" s="125"/>
      <x:c r="D116" s="125"/>
      <x:c r="E116" s="125"/>
      <x:c r="F116" s="125"/>
      <x:c r="G116" s="125"/>
      <x:c r="H116" s="125"/>
      <x:c r="I116" s="125"/>
      <x:c r="J116" s="125"/>
      <x:c r="K116" s="125"/>
      <x:c r="L116" s="125"/>
      <x:c r="M116" s="125"/>
      <x:c r="N116" s="125"/>
      <x:c r="O116" s="125"/>
      <x:c r="P116" s="125"/>
      <x:c r="Q116" s="125"/>
    </x:row>
    <x:row r="117">
      <x:c r="A117" s="125"/>
      <x:c r="B117" s="125"/>
      <x:c r="C117" s="125"/>
      <x:c r="D117" s="125"/>
      <x:c r="E117" s="125"/>
      <x:c r="F117" s="125"/>
      <x:c r="G117" s="125"/>
      <x:c r="H117" s="125"/>
      <x:c r="I117" s="125"/>
      <x:c r="J117" s="125"/>
      <x:c r="K117" s="125"/>
      <x:c r="L117" s="125"/>
      <x:c r="M117" s="125"/>
      <x:c r="N117" s="125"/>
      <x:c r="O117" s="125"/>
      <x:c r="P117" s="125"/>
      <x:c r="Q117" s="125"/>
    </x:row>
    <x:row r="118">
      <x:c r="A118" s="125"/>
      <x:c r="B118" s="125"/>
      <x:c r="C118" s="125"/>
      <x:c r="D118" s="125"/>
      <x:c r="E118" s="125"/>
      <x:c r="F118" s="125"/>
      <x:c r="G118" s="125"/>
      <x:c r="H118" s="125"/>
      <x:c r="I118" s="125"/>
      <x:c r="J118" s="125"/>
      <x:c r="K118" s="125"/>
      <x:c r="L118" s="125"/>
      <x:c r="M118" s="125"/>
      <x:c r="N118" s="125"/>
      <x:c r="O118" s="125"/>
      <x:c r="P118" s="125"/>
      <x:c r="Q118" s="125"/>
    </x:row>
    <x:row r="119">
      <x:c r="A119" s="125"/>
      <x:c r="B119" s="125"/>
      <x:c r="C119" s="125"/>
      <x:c r="D119" s="125"/>
      <x:c r="E119" s="125"/>
      <x:c r="F119" s="125"/>
      <x:c r="G119" s="125"/>
      <x:c r="H119" s="125"/>
      <x:c r="I119" s="125"/>
      <x:c r="J119" s="125"/>
      <x:c r="K119" s="125"/>
      <x:c r="L119" s="125"/>
      <x:c r="M119" s="125"/>
      <x:c r="N119" s="125"/>
      <x:c r="O119" s="125"/>
      <x:c r="P119" s="125"/>
      <x:c r="Q119" s="125"/>
    </x:row>
    <x:row r="120">
      <x:c r="A120" s="125"/>
      <x:c r="B120" s="125"/>
      <x:c r="C120" s="125"/>
      <x:c r="D120" s="125"/>
      <x:c r="E120" s="125"/>
      <x:c r="F120" s="125"/>
      <x:c r="G120" s="125"/>
      <x:c r="H120" s="125"/>
      <x:c r="I120" s="125"/>
      <x:c r="J120" s="125"/>
      <x:c r="K120" s="125"/>
      <x:c r="L120" s="125"/>
      <x:c r="M120" s="125"/>
      <x:c r="N120" s="125"/>
      <x:c r="O120" s="125"/>
      <x:c r="P120" s="125"/>
      <x:c r="Q120" s="125"/>
    </x:row>
    <x:row r="121">
      <x:c r="A121" s="125"/>
      <x:c r="B121" s="125"/>
      <x:c r="C121" s="125"/>
      <x:c r="D121" s="125"/>
      <x:c r="E121" s="125"/>
      <x:c r="F121" s="125"/>
      <x:c r="G121" s="125"/>
      <x:c r="H121" s="125"/>
      <x:c r="I121" s="125"/>
      <x:c r="J121" s="125"/>
      <x:c r="K121" s="125"/>
      <x:c r="L121" s="125"/>
      <x:c r="M121" s="125"/>
      <x:c r="N121" s="125"/>
      <x:c r="O121" s="125"/>
      <x:c r="P121" s="125"/>
      <x:c r="Q121" s="125"/>
    </x:row>
    <x:row r="122">
      <x:c r="A122" s="125"/>
      <x:c r="B122" s="125"/>
      <x:c r="C122" s="125"/>
      <x:c r="D122" s="125"/>
      <x:c r="E122" s="125"/>
      <x:c r="F122" s="125"/>
      <x:c r="G122" s="125"/>
      <x:c r="H122" s="125"/>
      <x:c r="I122" s="125"/>
      <x:c r="J122" s="125"/>
      <x:c r="K122" s="125"/>
      <x:c r="L122" s="125"/>
      <x:c r="M122" s="125"/>
      <x:c r="N122" s="125"/>
      <x:c r="O122" s="125"/>
      <x:c r="P122" s="125"/>
      <x:c r="Q122" s="125"/>
    </x:row>
    <x:row r="123">
      <x:c r="A123" s="125"/>
      <x:c r="B123" s="125"/>
      <x:c r="C123" s="125"/>
      <x:c r="D123" s="125"/>
      <x:c r="E123" s="125"/>
      <x:c r="F123" s="125"/>
      <x:c r="G123" s="125"/>
      <x:c r="H123" s="125"/>
      <x:c r="I123" s="125"/>
      <x:c r="J123" s="125"/>
      <x:c r="K123" s="125"/>
      <x:c r="L123" s="125"/>
      <x:c r="M123" s="125"/>
      <x:c r="N123" s="125"/>
      <x:c r="O123" s="125"/>
      <x:c r="P123" s="125"/>
      <x:c r="Q123" s="125"/>
    </x:row>
    <x:row r="124">
      <x:c r="A124" s="125"/>
      <x:c r="B124" s="125"/>
      <x:c r="C124" s="125"/>
      <x:c r="D124" s="125"/>
      <x:c r="E124" s="125"/>
      <x:c r="F124" s="125"/>
      <x:c r="G124" s="125"/>
      <x:c r="H124" s="125"/>
      <x:c r="I124" s="125"/>
      <x:c r="J124" s="125"/>
      <x:c r="K124" s="125"/>
      <x:c r="L124" s="125"/>
      <x:c r="M124" s="125"/>
      <x:c r="N124" s="125"/>
      <x:c r="O124" s="125"/>
      <x:c r="P124" s="125"/>
      <x:c r="Q124" s="125"/>
    </x:row>
    <x:row r="125">
      <x:c r="A125" s="125"/>
      <x:c r="B125" s="125"/>
      <x:c r="C125" s="125"/>
      <x:c r="D125" s="125"/>
      <x:c r="E125" s="125"/>
      <x:c r="F125" s="125"/>
      <x:c r="G125" s="125"/>
      <x:c r="H125" s="125"/>
      <x:c r="I125" s="125"/>
      <x:c r="J125" s="125"/>
      <x:c r="K125" s="125"/>
      <x:c r="L125" s="125"/>
      <x:c r="M125" s="125"/>
      <x:c r="N125" s="125"/>
      <x:c r="O125" s="125"/>
      <x:c r="P125" s="125"/>
      <x:c r="Q125" s="125"/>
    </x:row>
    <x:row r="126">
      <x:c r="A126" s="125"/>
      <x:c r="B126" s="125"/>
      <x:c r="C126" s="125"/>
      <x:c r="D126" s="125"/>
      <x:c r="E126" s="125"/>
      <x:c r="F126" s="125"/>
      <x:c r="G126" s="125"/>
      <x:c r="H126" s="125"/>
      <x:c r="I126" s="125"/>
      <x:c r="J126" s="125"/>
      <x:c r="K126" s="125"/>
      <x:c r="L126" s="125"/>
      <x:c r="M126" s="125"/>
      <x:c r="N126" s="125"/>
      <x:c r="O126" s="125"/>
      <x:c r="P126" s="125"/>
      <x:c r="Q126" s="125"/>
    </x:row>
    <x:row r="127">
      <x:c r="A127" s="125"/>
      <x:c r="B127" s="125"/>
      <x:c r="C127" s="125"/>
      <x:c r="D127" s="125"/>
      <x:c r="E127" s="125"/>
      <x:c r="F127" s="125"/>
      <x:c r="G127" s="125"/>
      <x:c r="H127" s="125"/>
      <x:c r="I127" s="125"/>
      <x:c r="J127" s="125"/>
      <x:c r="K127" s="125"/>
      <x:c r="L127" s="125"/>
      <x:c r="M127" s="125"/>
      <x:c r="N127" s="125"/>
      <x:c r="O127" s="125"/>
      <x:c r="P127" s="125"/>
      <x:c r="Q127" s="125"/>
    </x:row>
    <x:row r="128">
      <x:c r="A128" s="125"/>
      <x:c r="B128" s="125"/>
      <x:c r="C128" s="125"/>
      <x:c r="D128" s="125"/>
      <x:c r="E128" s="125"/>
      <x:c r="F128" s="125"/>
      <x:c r="G128" s="125"/>
      <x:c r="H128" s="125"/>
      <x:c r="I128" s="125"/>
      <x:c r="J128" s="125"/>
      <x:c r="K128" s="125"/>
      <x:c r="L128" s="125"/>
      <x:c r="M128" s="125"/>
      <x:c r="N128" s="125"/>
      <x:c r="O128" s="125"/>
      <x:c r="P128" s="125"/>
      <x:c r="Q128" s="125"/>
    </x:row>
    <x:row r="129">
      <x:c r="A129" s="125"/>
      <x:c r="B129" s="125"/>
      <x:c r="C129" s="125"/>
      <x:c r="D129" s="125"/>
      <x:c r="E129" s="125"/>
      <x:c r="F129" s="125"/>
      <x:c r="G129" s="125"/>
      <x:c r="H129" s="125"/>
      <x:c r="I129" s="125"/>
      <x:c r="J129" s="125"/>
      <x:c r="K129" s="125"/>
      <x:c r="L129" s="125"/>
      <x:c r="M129" s="125"/>
      <x:c r="N129" s="125"/>
      <x:c r="O129" s="125"/>
      <x:c r="P129" s="125"/>
      <x:c r="Q129" s="125"/>
    </x:row>
    <x:row r="130">
      <x:c r="A130" s="125"/>
      <x:c r="B130" s="125"/>
      <x:c r="C130" s="125"/>
      <x:c r="D130" s="125"/>
      <x:c r="E130" s="125"/>
      <x:c r="F130" s="125"/>
      <x:c r="G130" s="125"/>
      <x:c r="H130" s="125"/>
      <x:c r="I130" s="125"/>
      <x:c r="J130" s="125"/>
      <x:c r="K130" s="125"/>
      <x:c r="L130" s="125"/>
      <x:c r="M130" s="125"/>
      <x:c r="N130" s="125"/>
      <x:c r="O130" s="125"/>
      <x:c r="P130" s="125"/>
      <x:c r="Q130" s="125"/>
    </x:row>
    <x:row r="131">
      <x:c r="A131" s="125"/>
      <x:c r="B131" s="125"/>
      <x:c r="C131" s="125"/>
      <x:c r="D131" s="125"/>
      <x:c r="E131" s="125"/>
      <x:c r="F131" s="125"/>
      <x:c r="G131" s="125"/>
      <x:c r="H131" s="125"/>
      <x:c r="I131" s="125"/>
      <x:c r="J131" s="125"/>
      <x:c r="K131" s="125"/>
      <x:c r="L131" s="125"/>
      <x:c r="M131" s="125"/>
      <x:c r="N131" s="125"/>
      <x:c r="O131" s="125"/>
      <x:c r="P131" s="125"/>
      <x:c r="Q131" s="125"/>
    </x:row>
    <x:row r="132">
      <x:c r="A132" s="125"/>
      <x:c r="B132" s="125"/>
      <x:c r="C132" s="125"/>
      <x:c r="D132" s="125"/>
      <x:c r="E132" s="125"/>
      <x:c r="F132" s="125"/>
      <x:c r="G132" s="125"/>
      <x:c r="H132" s="125"/>
      <x:c r="I132" s="125"/>
      <x:c r="J132" s="125"/>
      <x:c r="K132" s="125"/>
      <x:c r="L132" s="125"/>
      <x:c r="M132" s="125"/>
      <x:c r="N132" s="125"/>
      <x:c r="O132" s="125"/>
      <x:c r="P132" s="125"/>
      <x:c r="Q132" s="125"/>
    </x:row>
    <x:row r="133">
      <x:c r="A133" s="125"/>
      <x:c r="B133" s="125"/>
      <x:c r="C133" s="125"/>
      <x:c r="D133" s="125"/>
      <x:c r="E133" s="125"/>
      <x:c r="F133" s="125"/>
      <x:c r="G133" s="125"/>
      <x:c r="H133" s="125"/>
      <x:c r="I133" s="125"/>
      <x:c r="J133" s="125"/>
      <x:c r="K133" s="125"/>
      <x:c r="L133" s="125"/>
      <x:c r="M133" s="125"/>
      <x:c r="N133" s="125"/>
      <x:c r="O133" s="125"/>
      <x:c r="P133" s="125"/>
      <x:c r="Q133" s="125"/>
    </x:row>
    <x:row r="134">
      <x:c r="A134" s="125"/>
      <x:c r="B134" s="125"/>
      <x:c r="C134" s="125"/>
      <x:c r="D134" s="125"/>
      <x:c r="E134" s="125"/>
      <x:c r="F134" s="125"/>
      <x:c r="G134" s="125"/>
      <x:c r="H134" s="125"/>
      <x:c r="I134" s="125"/>
      <x:c r="J134" s="125"/>
      <x:c r="K134" s="125"/>
      <x:c r="L134" s="125"/>
      <x:c r="M134" s="125"/>
      <x:c r="N134" s="125"/>
      <x:c r="O134" s="125"/>
      <x:c r="P134" s="125"/>
      <x:c r="Q134" s="125"/>
    </x:row>
    <x:row r="135">
      <x:c r="A135" s="125"/>
      <x:c r="B135" s="125"/>
      <x:c r="C135" s="125"/>
      <x:c r="D135" s="125"/>
      <x:c r="E135" s="125"/>
      <x:c r="F135" s="125"/>
      <x:c r="G135" s="125"/>
      <x:c r="H135" s="125"/>
      <x:c r="I135" s="125"/>
      <x:c r="J135" s="125"/>
      <x:c r="K135" s="125"/>
      <x:c r="L135" s="125"/>
      <x:c r="M135" s="125"/>
      <x:c r="N135" s="125"/>
      <x:c r="O135" s="125"/>
      <x:c r="P135" s="125"/>
      <x:c r="Q135" s="125"/>
    </x:row>
    <x:row r="136">
      <x:c r="A136" s="125"/>
      <x:c r="B136" s="125"/>
      <x:c r="C136" s="125"/>
      <x:c r="D136" s="125"/>
      <x:c r="E136" s="125"/>
      <x:c r="F136" s="125"/>
      <x:c r="G136" s="125"/>
      <x:c r="H136" s="125"/>
      <x:c r="I136" s="125"/>
      <x:c r="J136" s="125"/>
      <x:c r="K136" s="125"/>
      <x:c r="L136" s="125"/>
      <x:c r="M136" s="125"/>
      <x:c r="N136" s="125"/>
      <x:c r="O136" s="125"/>
      <x:c r="P136" s="125"/>
      <x:c r="Q136" s="125"/>
    </x:row>
    <x:row r="137">
      <x:c r="A137" s="125"/>
      <x:c r="B137" s="125"/>
      <x:c r="C137" s="125"/>
      <x:c r="D137" s="125"/>
      <x:c r="E137" s="125"/>
      <x:c r="F137" s="125"/>
      <x:c r="G137" s="125"/>
      <x:c r="H137" s="125"/>
      <x:c r="I137" s="125"/>
      <x:c r="J137" s="125"/>
      <x:c r="K137" s="125"/>
      <x:c r="L137" s="125"/>
      <x:c r="M137" s="125"/>
      <x:c r="N137" s="125"/>
      <x:c r="O137" s="125"/>
      <x:c r="P137" s="125"/>
      <x:c r="Q137" s="125"/>
    </x:row>
    <x:row r="138">
      <x:c r="A138" s="125"/>
      <x:c r="B138" s="125"/>
      <x:c r="C138" s="125"/>
      <x:c r="D138" s="125"/>
      <x:c r="E138" s="125"/>
      <x:c r="F138" s="125"/>
      <x:c r="G138" s="125"/>
      <x:c r="H138" s="125"/>
      <x:c r="I138" s="125"/>
      <x:c r="J138" s="125"/>
      <x:c r="K138" s="125"/>
      <x:c r="L138" s="125"/>
      <x:c r="M138" s="125"/>
      <x:c r="N138" s="125"/>
      <x:c r="O138" s="125"/>
      <x:c r="P138" s="125"/>
      <x:c r="Q138" s="125"/>
    </x:row>
    <x:row r="139">
      <x:c r="A139" s="125"/>
      <x:c r="B139" s="125"/>
      <x:c r="C139" s="125"/>
      <x:c r="D139" s="125"/>
      <x:c r="E139" s="125"/>
      <x:c r="F139" s="125"/>
      <x:c r="G139" s="125"/>
      <x:c r="H139" s="125"/>
      <x:c r="I139" s="125"/>
      <x:c r="J139" s="125"/>
      <x:c r="K139" s="125"/>
      <x:c r="L139" s="125"/>
      <x:c r="M139" s="125"/>
      <x:c r="N139" s="125"/>
      <x:c r="O139" s="125"/>
      <x:c r="P139" s="125"/>
      <x:c r="Q139" s="125"/>
    </x:row>
    <x:row r="140">
      <x:c r="A140" s="125"/>
      <x:c r="B140" s="125"/>
      <x:c r="C140" s="125"/>
      <x:c r="D140" s="125"/>
      <x:c r="E140" s="125"/>
      <x:c r="F140" s="125"/>
      <x:c r="G140" s="125"/>
      <x:c r="H140" s="125"/>
      <x:c r="I140" s="125"/>
      <x:c r="J140" s="125"/>
      <x:c r="K140" s="125"/>
      <x:c r="L140" s="125"/>
      <x:c r="M140" s="125"/>
      <x:c r="N140" s="125"/>
      <x:c r="O140" s="125"/>
      <x:c r="P140" s="125"/>
      <x:c r="Q140" s="125"/>
    </x:row>
    <x:row r="141">
      <x:c r="A141" s="125"/>
      <x:c r="B141" s="125"/>
      <x:c r="C141" s="125"/>
      <x:c r="D141" s="125"/>
      <x:c r="E141" s="125"/>
      <x:c r="F141" s="125"/>
      <x:c r="G141" s="125"/>
      <x:c r="H141" s="125"/>
      <x:c r="I141" s="125"/>
      <x:c r="J141" s="125"/>
      <x:c r="K141" s="125"/>
      <x:c r="L141" s="125"/>
      <x:c r="M141" s="125"/>
      <x:c r="N141" s="125"/>
      <x:c r="O141" s="125"/>
      <x:c r="P141" s="125"/>
      <x:c r="Q141" s="125"/>
    </x:row>
    <x:row r="142">
      <x:c r="A142" s="125"/>
      <x:c r="B142" s="125"/>
      <x:c r="C142" s="125"/>
      <x:c r="D142" s="125"/>
      <x:c r="E142" s="125"/>
      <x:c r="F142" s="125"/>
      <x:c r="G142" s="125"/>
      <x:c r="H142" s="125"/>
      <x:c r="I142" s="125"/>
      <x:c r="J142" s="125"/>
      <x:c r="K142" s="125"/>
      <x:c r="L142" s="125"/>
      <x:c r="M142" s="125"/>
      <x:c r="N142" s="125"/>
      <x:c r="O142" s="125"/>
      <x:c r="P142" s="125"/>
      <x:c r="Q142" s="125"/>
    </x:row>
    <x:row r="143">
      <x:c r="A143" s="125"/>
      <x:c r="B143" s="125"/>
      <x:c r="C143" s="125"/>
      <x:c r="D143" s="125"/>
      <x:c r="E143" s="125"/>
      <x:c r="F143" s="125"/>
      <x:c r="G143" s="125"/>
      <x:c r="H143" s="125"/>
      <x:c r="I143" s="125"/>
      <x:c r="J143" s="125"/>
      <x:c r="K143" s="125"/>
      <x:c r="L143" s="125"/>
      <x:c r="M143" s="125"/>
      <x:c r="N143" s="125"/>
      <x:c r="O143" s="125"/>
      <x:c r="P143" s="125"/>
      <x:c r="Q143" s="125"/>
    </x:row>
    <x:row r="144">
      <x:c r="A144" s="125"/>
      <x:c r="B144" s="125"/>
      <x:c r="C144" s="125"/>
      <x:c r="D144" s="125"/>
      <x:c r="E144" s="125"/>
      <x:c r="F144" s="125"/>
      <x:c r="G144" s="125"/>
      <x:c r="H144" s="125"/>
      <x:c r="I144" s="125"/>
      <x:c r="J144" s="125"/>
      <x:c r="K144" s="125"/>
      <x:c r="L144" s="125"/>
      <x:c r="M144" s="125"/>
      <x:c r="N144" s="125"/>
      <x:c r="O144" s="125"/>
      <x:c r="P144" s="125"/>
      <x:c r="Q144" s="125"/>
    </x:row>
    <x:row r="145">
      <x:c r="A145" s="125"/>
      <x:c r="B145" s="125"/>
      <x:c r="C145" s="125"/>
      <x:c r="D145" s="125"/>
      <x:c r="E145" s="125"/>
      <x:c r="F145" s="125"/>
      <x:c r="G145" s="125"/>
      <x:c r="H145" s="125"/>
      <x:c r="I145" s="125"/>
      <x:c r="J145" s="125"/>
      <x:c r="K145" s="125"/>
      <x:c r="L145" s="125"/>
      <x:c r="M145" s="125"/>
      <x:c r="N145" s="125"/>
      <x:c r="O145" s="125"/>
      <x:c r="P145" s="125"/>
      <x:c r="Q145" s="125"/>
    </x:row>
    <x:row r="146">
      <x:c r="A146" s="125"/>
      <x:c r="B146" s="125"/>
      <x:c r="C146" s="125"/>
      <x:c r="D146" s="125"/>
      <x:c r="E146" s="125"/>
      <x:c r="F146" s="125"/>
      <x:c r="G146" s="125"/>
      <x:c r="H146" s="125"/>
      <x:c r="I146" s="125"/>
      <x:c r="J146" s="125"/>
      <x:c r="K146" s="125"/>
      <x:c r="L146" s="125"/>
      <x:c r="M146" s="125"/>
      <x:c r="N146" s="125"/>
      <x:c r="O146" s="125"/>
      <x:c r="P146" s="125"/>
      <x:c r="Q146" s="125"/>
    </x:row>
    <x:row r="147">
      <x:c r="A147" s="125"/>
      <x:c r="B147" s="125"/>
      <x:c r="C147" s="125"/>
      <x:c r="D147" s="125"/>
      <x:c r="E147" s="125"/>
      <x:c r="F147" s="125"/>
      <x:c r="G147" s="125"/>
      <x:c r="H147" s="125"/>
      <x:c r="I147" s="125"/>
      <x:c r="J147" s="125"/>
      <x:c r="K147" s="125"/>
      <x:c r="L147" s="125"/>
      <x:c r="M147" s="125"/>
      <x:c r="N147" s="125"/>
      <x:c r="O147" s="125"/>
      <x:c r="P147" s="125"/>
      <x:c r="Q147" s="125"/>
    </x:row>
    <x:row r="148">
      <x:c r="A148" s="125"/>
      <x:c r="B148" s="125"/>
      <x:c r="C148" s="125"/>
      <x:c r="D148" s="125"/>
      <x:c r="E148" s="125"/>
      <x:c r="F148" s="125"/>
      <x:c r="G148" s="125"/>
      <x:c r="H148" s="125"/>
      <x:c r="I148" s="125"/>
      <x:c r="J148" s="125"/>
      <x:c r="K148" s="125"/>
      <x:c r="L148" s="125"/>
      <x:c r="M148" s="125"/>
      <x:c r="N148" s="125"/>
      <x:c r="O148" s="125"/>
      <x:c r="P148" s="125"/>
      <x:c r="Q148" s="125"/>
    </x:row>
    <x:row r="149">
      <x:c r="A149" s="125"/>
      <x:c r="B149" s="125"/>
      <x:c r="C149" s="125"/>
      <x:c r="D149" s="125"/>
      <x:c r="E149" s="125"/>
      <x:c r="F149" s="125"/>
      <x:c r="G149" s="125"/>
      <x:c r="H149" s="125"/>
      <x:c r="I149" s="125"/>
      <x:c r="J149" s="125"/>
      <x:c r="K149" s="125"/>
      <x:c r="L149" s="125"/>
      <x:c r="M149" s="125"/>
      <x:c r="N149" s="125"/>
      <x:c r="O149" s="125"/>
      <x:c r="P149" s="125"/>
      <x:c r="Q149" s="125"/>
    </x:row>
    <x:row r="150">
      <x:c r="A150" s="125"/>
      <x:c r="B150" s="125"/>
      <x:c r="C150" s="125"/>
      <x:c r="D150" s="125"/>
      <x:c r="E150" s="125"/>
      <x:c r="F150" s="125"/>
      <x:c r="G150" s="125"/>
      <x:c r="H150" s="125"/>
      <x:c r="I150" s="125"/>
      <x:c r="J150" s="125"/>
      <x:c r="K150" s="125"/>
      <x:c r="L150" s="125"/>
      <x:c r="M150" s="125"/>
      <x:c r="N150" s="125"/>
      <x:c r="O150" s="125"/>
      <x:c r="P150" s="125"/>
      <x:c r="Q150" s="125"/>
    </x:row>
    <x:row r="151">
      <x:c r="A151" s="125"/>
      <x:c r="B151" s="125"/>
      <x:c r="C151" s="125"/>
      <x:c r="D151" s="125"/>
      <x:c r="E151" s="125"/>
      <x:c r="F151" s="125"/>
      <x:c r="G151" s="125"/>
      <x:c r="H151" s="125"/>
      <x:c r="I151" s="125"/>
      <x:c r="J151" s="125"/>
      <x:c r="K151" s="125"/>
      <x:c r="L151" s="125"/>
      <x:c r="M151" s="125"/>
      <x:c r="N151" s="125"/>
      <x:c r="O151" s="125"/>
      <x:c r="P151" s="125"/>
      <x:c r="Q151" s="125"/>
    </x:row>
    <x:row r="152">
      <x:c r="A152" s="125"/>
      <x:c r="B152" s="125"/>
      <x:c r="C152" s="125"/>
      <x:c r="D152" s="125"/>
      <x:c r="E152" s="125"/>
      <x:c r="F152" s="125"/>
      <x:c r="G152" s="125"/>
      <x:c r="H152" s="125"/>
      <x:c r="I152" s="125"/>
      <x:c r="J152" s="125"/>
      <x:c r="K152" s="125"/>
      <x:c r="L152" s="125"/>
      <x:c r="M152" s="125"/>
      <x:c r="N152" s="125"/>
      <x:c r="O152" s="125"/>
      <x:c r="P152" s="125"/>
      <x:c r="Q152" s="125"/>
    </x:row>
    <x:row r="153">
      <x:c r="A153" s="125"/>
      <x:c r="B153" s="125"/>
      <x:c r="C153" s="125"/>
      <x:c r="D153" s="125"/>
      <x:c r="E153" s="125"/>
      <x:c r="F153" s="125"/>
      <x:c r="G153" s="125"/>
      <x:c r="H153" s="125"/>
      <x:c r="I153" s="125"/>
      <x:c r="J153" s="125"/>
      <x:c r="K153" s="125"/>
      <x:c r="L153" s="125"/>
      <x:c r="M153" s="125"/>
      <x:c r="N153" s="125"/>
      <x:c r="O153" s="125"/>
      <x:c r="P153" s="125"/>
      <x:c r="Q153" s="125"/>
    </x:row>
    <x:row r="154">
      <x:c r="A154" s="125"/>
      <x:c r="B154" s="125"/>
      <x:c r="C154" s="125"/>
      <x:c r="D154" s="125"/>
      <x:c r="E154" s="125"/>
      <x:c r="F154" s="125"/>
      <x:c r="G154" s="125"/>
      <x:c r="H154" s="125"/>
      <x:c r="I154" s="125"/>
      <x:c r="J154" s="125"/>
      <x:c r="K154" s="125"/>
      <x:c r="L154" s="125"/>
      <x:c r="M154" s="125"/>
      <x:c r="N154" s="125"/>
      <x:c r="O154" s="125"/>
      <x:c r="P154" s="125"/>
      <x:c r="Q154" s="125"/>
    </x:row>
    <x:row r="155">
      <x:c r="A155" s="125"/>
      <x:c r="B155" s="125"/>
      <x:c r="C155" s="125"/>
      <x:c r="D155" s="125"/>
      <x:c r="E155" s="125"/>
      <x:c r="F155" s="125"/>
      <x:c r="G155" s="125"/>
      <x:c r="H155" s="125"/>
      <x:c r="I155" s="125"/>
      <x:c r="J155" s="125"/>
      <x:c r="K155" s="125"/>
      <x:c r="L155" s="125"/>
      <x:c r="M155" s="125"/>
      <x:c r="N155" s="125"/>
      <x:c r="O155" s="125"/>
      <x:c r="P155" s="125"/>
      <x:c r="Q155" s="125"/>
    </x:row>
    <x:row r="156">
      <x:c r="A156" s="125"/>
      <x:c r="B156" s="125"/>
      <x:c r="C156" s="125"/>
      <x:c r="D156" s="125"/>
      <x:c r="E156" s="125"/>
      <x:c r="F156" s="125"/>
      <x:c r="G156" s="125"/>
      <x:c r="H156" s="125"/>
      <x:c r="I156" s="125"/>
      <x:c r="J156" s="125"/>
      <x:c r="K156" s="125"/>
      <x:c r="L156" s="125"/>
      <x:c r="M156" s="125"/>
      <x:c r="N156" s="125"/>
      <x:c r="O156" s="125"/>
      <x:c r="P156" s="125"/>
      <x:c r="Q156" s="125"/>
    </x:row>
    <x:row r="157">
      <x:c r="A157" s="125"/>
      <x:c r="B157" s="125"/>
      <x:c r="C157" s="125"/>
      <x:c r="D157" s="125"/>
      <x:c r="E157" s="125"/>
      <x:c r="F157" s="125"/>
      <x:c r="G157" s="125"/>
      <x:c r="H157" s="125"/>
      <x:c r="I157" s="125"/>
      <x:c r="J157" s="125"/>
      <x:c r="K157" s="125"/>
      <x:c r="L157" s="125"/>
      <x:c r="M157" s="125"/>
      <x:c r="N157" s="125"/>
      <x:c r="O157" s="125"/>
      <x:c r="P157" s="125"/>
      <x:c r="Q157" s="125"/>
    </x:row>
    <x:row r="158">
      <x:c r="A158" s="125"/>
      <x:c r="B158" s="125"/>
      <x:c r="C158" s="125"/>
      <x:c r="D158" s="125"/>
      <x:c r="E158" s="125"/>
      <x:c r="F158" s="125"/>
      <x:c r="G158" s="125"/>
      <x:c r="H158" s="125"/>
      <x:c r="I158" s="125"/>
      <x:c r="J158" s="125"/>
      <x:c r="K158" s="125"/>
      <x:c r="L158" s="125"/>
      <x:c r="M158" s="125"/>
      <x:c r="N158" s="125"/>
      <x:c r="O158" s="125"/>
      <x:c r="P158" s="125"/>
      <x:c r="Q158" s="125"/>
    </x:row>
    <x:row r="159">
      <x:c r="A159" s="125"/>
      <x:c r="B159" s="125"/>
      <x:c r="C159" s="125"/>
      <x:c r="D159" s="125"/>
      <x:c r="E159" s="125"/>
      <x:c r="F159" s="125"/>
      <x:c r="G159" s="125"/>
      <x:c r="H159" s="125"/>
      <x:c r="I159" s="125"/>
      <x:c r="J159" s="125"/>
      <x:c r="K159" s="125"/>
      <x:c r="L159" s="125"/>
      <x:c r="M159" s="125"/>
      <x:c r="N159" s="125"/>
      <x:c r="O159" s="125"/>
      <x:c r="P159" s="125"/>
      <x:c r="Q159" s="125"/>
    </x:row>
    <x:row r="160">
      <x:c r="A160" s="125"/>
      <x:c r="B160" s="125"/>
      <x:c r="C160" s="125"/>
      <x:c r="D160" s="125"/>
      <x:c r="E160" s="125"/>
      <x:c r="F160" s="125"/>
      <x:c r="G160" s="125"/>
      <x:c r="H160" s="125"/>
      <x:c r="I160" s="125"/>
      <x:c r="J160" s="125"/>
      <x:c r="K160" s="125"/>
      <x:c r="L160" s="125"/>
      <x:c r="M160" s="125"/>
      <x:c r="N160" s="125"/>
      <x:c r="O160" s="125"/>
      <x:c r="P160" s="125"/>
      <x:c r="Q160" s="125"/>
    </x:row>
    <x:row r="161">
      <x:c r="A161" s="125"/>
      <x:c r="B161" s="125"/>
      <x:c r="C161" s="125"/>
      <x:c r="D161" s="125"/>
      <x:c r="E161" s="125"/>
      <x:c r="F161" s="125"/>
      <x:c r="G161" s="125"/>
      <x:c r="H161" s="125"/>
      <x:c r="I161" s="125"/>
      <x:c r="J161" s="125"/>
      <x:c r="K161" s="125"/>
      <x:c r="L161" s="125"/>
      <x:c r="M161" s="125"/>
      <x:c r="N161" s="125"/>
      <x:c r="O161" s="125"/>
      <x:c r="P161" s="125"/>
      <x:c r="Q161" s="125"/>
    </x:row>
    <x:row r="162">
      <x:c r="A162" s="125"/>
      <x:c r="B162" s="125"/>
      <x:c r="C162" s="125"/>
      <x:c r="D162" s="125"/>
      <x:c r="E162" s="125"/>
      <x:c r="F162" s="125"/>
      <x:c r="G162" s="125"/>
      <x:c r="H162" s="125"/>
      <x:c r="I162" s="125"/>
      <x:c r="J162" s="125"/>
      <x:c r="K162" s="125"/>
      <x:c r="L162" s="125"/>
      <x:c r="M162" s="125"/>
      <x:c r="N162" s="125"/>
      <x:c r="O162" s="125"/>
      <x:c r="P162" s="125"/>
      <x:c r="Q162" s="125"/>
    </x:row>
    <x:row r="163">
      <x:c r="A163" s="125"/>
      <x:c r="B163" s="125"/>
      <x:c r="C163" s="125"/>
      <x:c r="D163" s="125"/>
      <x:c r="E163" s="125"/>
      <x:c r="F163" s="125"/>
      <x:c r="G163" s="125"/>
      <x:c r="H163" s="125"/>
      <x:c r="I163" s="125"/>
      <x:c r="J163" s="125"/>
      <x:c r="K163" s="125"/>
      <x:c r="L163" s="125"/>
      <x:c r="M163" s="125"/>
      <x:c r="N163" s="125"/>
      <x:c r="O163" s="125"/>
      <x:c r="P163" s="125"/>
      <x:c r="Q163" s="125"/>
    </x:row>
    <x:row r="164">
      <x:c r="A164" s="125"/>
      <x:c r="B164" s="125"/>
      <x:c r="C164" s="125"/>
      <x:c r="D164" s="125"/>
      <x:c r="E164" s="125"/>
      <x:c r="F164" s="125"/>
      <x:c r="G164" s="125"/>
      <x:c r="H164" s="125"/>
      <x:c r="I164" s="125"/>
      <x:c r="J164" s="125"/>
      <x:c r="K164" s="125"/>
      <x:c r="L164" s="125"/>
      <x:c r="M164" s="125"/>
      <x:c r="N164" s="125"/>
      <x:c r="O164" s="125"/>
      <x:c r="P164" s="125"/>
      <x:c r="Q164" s="125"/>
    </x:row>
    <x:row r="165">
      <x:c r="A165" s="125"/>
      <x:c r="B165" s="125"/>
      <x:c r="C165" s="125"/>
      <x:c r="D165" s="125"/>
      <x:c r="E165" s="125"/>
      <x:c r="F165" s="125"/>
      <x:c r="G165" s="125"/>
      <x:c r="H165" s="125"/>
      <x:c r="I165" s="125"/>
      <x:c r="J165" s="125"/>
      <x:c r="K165" s="125"/>
      <x:c r="L165" s="125"/>
      <x:c r="M165" s="125"/>
      <x:c r="N165" s="125"/>
      <x:c r="O165" s="125"/>
      <x:c r="P165" s="125"/>
      <x:c r="Q165" s="125"/>
    </x:row>
    <x:row r="166">
      <x:c r="A166" s="125"/>
      <x:c r="B166" s="125"/>
      <x:c r="C166" s="125"/>
      <x:c r="D166" s="125"/>
      <x:c r="E166" s="125"/>
      <x:c r="F166" s="125"/>
      <x:c r="G166" s="125"/>
      <x:c r="H166" s="125"/>
      <x:c r="I166" s="125"/>
      <x:c r="J166" s="125"/>
      <x:c r="K166" s="125"/>
      <x:c r="L166" s="125"/>
      <x:c r="M166" s="125"/>
      <x:c r="N166" s="125"/>
      <x:c r="O166" s="125"/>
      <x:c r="P166" s="125"/>
      <x:c r="Q166" s="125"/>
    </x:row>
    <x:row r="167">
      <x:c r="A167" s="125"/>
      <x:c r="B167" s="125"/>
      <x:c r="C167" s="125"/>
      <x:c r="D167" s="125"/>
      <x:c r="E167" s="125"/>
      <x:c r="F167" s="125"/>
      <x:c r="G167" s="125"/>
      <x:c r="H167" s="125"/>
      <x:c r="I167" s="125"/>
      <x:c r="J167" s="125"/>
      <x:c r="K167" s="125"/>
      <x:c r="L167" s="125"/>
      <x:c r="M167" s="125"/>
      <x:c r="N167" s="125"/>
      <x:c r="O167" s="125"/>
      <x:c r="P167" s="125"/>
      <x:c r="Q167" s="125"/>
    </x:row>
    <x:row r="168">
      <x:c r="A168" s="125"/>
      <x:c r="B168" s="125"/>
      <x:c r="C168" s="125"/>
      <x:c r="D168" s="125"/>
      <x:c r="E168" s="125"/>
      <x:c r="F168" s="125"/>
      <x:c r="G168" s="125"/>
      <x:c r="H168" s="125"/>
      <x:c r="I168" s="125"/>
      <x:c r="J168" s="125"/>
      <x:c r="K168" s="125"/>
      <x:c r="L168" s="125"/>
      <x:c r="M168" s="125"/>
      <x:c r="N168" s="125"/>
      <x:c r="O168" s="125"/>
      <x:c r="P168" s="125"/>
      <x:c r="Q168" s="125"/>
    </x:row>
    <x:row r="169">
      <x:c r="A169" s="125"/>
      <x:c r="B169" s="125"/>
      <x:c r="C169" s="125"/>
      <x:c r="D169" s="125"/>
      <x:c r="E169" s="125"/>
      <x:c r="F169" s="125"/>
      <x:c r="G169" s="125"/>
      <x:c r="H169" s="125"/>
      <x:c r="I169" s="125"/>
      <x:c r="J169" s="125"/>
      <x:c r="K169" s="125"/>
      <x:c r="L169" s="125"/>
      <x:c r="M169" s="125"/>
      <x:c r="N169" s="125"/>
      <x:c r="O169" s="125"/>
      <x:c r="P169" s="125"/>
      <x:c r="Q169" s="125"/>
    </x:row>
    <x:row r="170">
      <x:c r="A170" s="125"/>
      <x:c r="B170" s="125"/>
      <x:c r="C170" s="125"/>
      <x:c r="D170" s="125"/>
      <x:c r="E170" s="125"/>
      <x:c r="F170" s="125"/>
      <x:c r="G170" s="125"/>
      <x:c r="H170" s="125"/>
      <x:c r="I170" s="125"/>
      <x:c r="J170" s="125"/>
      <x:c r="K170" s="125"/>
      <x:c r="L170" s="125"/>
      <x:c r="M170" s="125"/>
      <x:c r="N170" s="125"/>
      <x:c r="O170" s="125"/>
      <x:c r="P170" s="125"/>
      <x:c r="Q170" s="125"/>
    </x:row>
    <x:row r="171">
      <x:c r="A171" s="125"/>
      <x:c r="B171" s="125"/>
      <x:c r="C171" s="125"/>
      <x:c r="D171" s="125"/>
      <x:c r="E171" s="125"/>
      <x:c r="F171" s="125"/>
      <x:c r="G171" s="125"/>
      <x:c r="H171" s="125"/>
      <x:c r="I171" s="125"/>
      <x:c r="J171" s="125"/>
      <x:c r="K171" s="125"/>
      <x:c r="L171" s="125"/>
      <x:c r="M171" s="125"/>
      <x:c r="N171" s="125"/>
      <x:c r="O171" s="125"/>
      <x:c r="P171" s="125"/>
      <x:c r="Q171" s="125"/>
    </x:row>
    <x:row r="172">
      <x:c r="A172" s="125"/>
      <x:c r="B172" s="125"/>
      <x:c r="C172" s="125"/>
      <x:c r="D172" s="125"/>
      <x:c r="E172" s="125"/>
      <x:c r="F172" s="125"/>
      <x:c r="G172" s="125"/>
      <x:c r="H172" s="125"/>
      <x:c r="I172" s="125"/>
      <x:c r="J172" s="125"/>
      <x:c r="K172" s="125"/>
      <x:c r="L172" s="125"/>
      <x:c r="M172" s="125"/>
      <x:c r="N172" s="125"/>
      <x:c r="O172" s="125"/>
      <x:c r="P172" s="125"/>
      <x:c r="Q172" s="125"/>
    </x:row>
    <x:row r="173">
      <x:c r="A173" s="125"/>
      <x:c r="B173" s="125"/>
      <x:c r="C173" s="125"/>
      <x:c r="D173" s="125"/>
      <x:c r="E173" s="125"/>
      <x:c r="F173" s="125"/>
      <x:c r="G173" s="125"/>
      <x:c r="H173" s="125"/>
      <x:c r="I173" s="125"/>
      <x:c r="J173" s="125"/>
      <x:c r="K173" s="125"/>
      <x:c r="L173" s="125"/>
      <x:c r="M173" s="125"/>
      <x:c r="N173" s="125"/>
      <x:c r="O173" s="125"/>
      <x:c r="P173" s="125"/>
      <x:c r="Q173" s="125"/>
    </x:row>
    <x:row r="174">
      <x:c r="A174" s="125"/>
      <x:c r="B174" s="125"/>
      <x:c r="C174" s="125"/>
      <x:c r="D174" s="125"/>
      <x:c r="E174" s="125"/>
      <x:c r="F174" s="125"/>
      <x:c r="G174" s="125"/>
      <x:c r="H174" s="125"/>
      <x:c r="I174" s="125"/>
      <x:c r="J174" s="125"/>
      <x:c r="K174" s="125"/>
      <x:c r="L174" s="125"/>
      <x:c r="M174" s="125"/>
      <x:c r="N174" s="125"/>
      <x:c r="O174" s="125"/>
      <x:c r="P174" s="125"/>
      <x:c r="Q174" s="125"/>
    </x:row>
    <x:row r="175">
      <x:c r="A175" s="125"/>
      <x:c r="B175" s="125"/>
      <x:c r="C175" s="125"/>
      <x:c r="D175" s="125"/>
      <x:c r="E175" s="125"/>
      <x:c r="F175" s="125"/>
      <x:c r="G175" s="125"/>
      <x:c r="H175" s="125"/>
      <x:c r="I175" s="125"/>
      <x:c r="J175" s="125"/>
      <x:c r="K175" s="125"/>
      <x:c r="L175" s="125"/>
      <x:c r="M175" s="125"/>
      <x:c r="N175" s="125"/>
      <x:c r="O175" s="125"/>
      <x:c r="P175" s="125"/>
      <x:c r="Q175" s="125"/>
    </x:row>
    <x:row r="176">
      <x:c r="A176" s="125"/>
      <x:c r="B176" s="125"/>
      <x:c r="C176" s="125"/>
      <x:c r="D176" s="125"/>
      <x:c r="E176" s="125"/>
      <x:c r="F176" s="125"/>
      <x:c r="G176" s="125"/>
      <x:c r="H176" s="125"/>
      <x:c r="I176" s="125"/>
      <x:c r="J176" s="125"/>
      <x:c r="K176" s="125"/>
      <x:c r="L176" s="125"/>
      <x:c r="M176" s="125"/>
      <x:c r="N176" s="125"/>
      <x:c r="O176" s="125"/>
      <x:c r="P176" s="125"/>
      <x:c r="Q176" s="125"/>
    </x:row>
    <x:row r="177">
      <x:c r="A177" s="125"/>
      <x:c r="B177" s="125"/>
      <x:c r="C177" s="125"/>
      <x:c r="D177" s="125"/>
      <x:c r="E177" s="125"/>
      <x:c r="F177" s="125"/>
      <x:c r="G177" s="125"/>
      <x:c r="H177" s="125"/>
      <x:c r="I177" s="125"/>
      <x:c r="J177" s="125"/>
      <x:c r="K177" s="125"/>
      <x:c r="L177" s="125"/>
      <x:c r="M177" s="125"/>
      <x:c r="N177" s="125"/>
      <x:c r="O177" s="125"/>
      <x:c r="P177" s="125"/>
      <x:c r="Q177" s="125"/>
    </x:row>
    <x:row r="178">
      <x:c r="A178" s="125"/>
      <x:c r="B178" s="125"/>
      <x:c r="C178" s="125"/>
      <x:c r="D178" s="125"/>
      <x:c r="E178" s="125"/>
      <x:c r="F178" s="125"/>
      <x:c r="G178" s="125"/>
      <x:c r="H178" s="125"/>
      <x:c r="I178" s="125"/>
      <x:c r="J178" s="125"/>
      <x:c r="K178" s="125"/>
      <x:c r="L178" s="125"/>
      <x:c r="M178" s="125"/>
      <x:c r="N178" s="125"/>
      <x:c r="O178" s="125"/>
      <x:c r="P178" s="125"/>
      <x:c r="Q178" s="125"/>
    </x:row>
    <x:row r="179">
      <x:c r="A179" s="125"/>
      <x:c r="B179" s="125"/>
      <x:c r="C179" s="125"/>
      <x:c r="D179" s="125"/>
      <x:c r="E179" s="125"/>
      <x:c r="F179" s="125"/>
      <x:c r="G179" s="125"/>
      <x:c r="H179" s="125"/>
      <x:c r="I179" s="125"/>
      <x:c r="J179" s="125"/>
      <x:c r="K179" s="125"/>
      <x:c r="L179" s="125"/>
      <x:c r="M179" s="125"/>
      <x:c r="N179" s="125"/>
      <x:c r="O179" s="125"/>
      <x:c r="P179" s="125"/>
      <x:c r="Q179" s="125"/>
    </x:row>
    <x:row r="180">
      <x:c r="A180" s="125"/>
      <x:c r="B180" s="125"/>
      <x:c r="C180" s="125"/>
      <x:c r="D180" s="125"/>
      <x:c r="E180" s="125"/>
      <x:c r="F180" s="125"/>
      <x:c r="G180" s="125"/>
      <x:c r="H180" s="125"/>
      <x:c r="I180" s="125"/>
      <x:c r="J180" s="125"/>
      <x:c r="K180" s="125"/>
      <x:c r="L180" s="125"/>
      <x:c r="M180" s="125"/>
      <x:c r="N180" s="125"/>
      <x:c r="O180" s="125"/>
      <x:c r="P180" s="125"/>
      <x:c r="Q180" s="125"/>
    </x:row>
    <x:row r="181">
      <x:c r="A181" s="125"/>
      <x:c r="B181" s="125"/>
      <x:c r="C181" s="125"/>
      <x:c r="D181" s="125"/>
      <x:c r="E181" s="125"/>
      <x:c r="F181" s="125"/>
      <x:c r="G181" s="125"/>
      <x:c r="H181" s="125"/>
      <x:c r="I181" s="125"/>
      <x:c r="J181" s="125"/>
      <x:c r="K181" s="125"/>
      <x:c r="L181" s="125"/>
      <x:c r="M181" s="125"/>
      <x:c r="N181" s="125"/>
      <x:c r="O181" s="125"/>
      <x:c r="P181" s="125"/>
      <x:c r="Q181" s="125"/>
    </x:row>
    <x:row r="182">
      <x:c r="A182" s="125"/>
      <x:c r="B182" s="125"/>
      <x:c r="C182" s="125"/>
      <x:c r="D182" s="125"/>
      <x:c r="E182" s="125"/>
      <x:c r="F182" s="125"/>
      <x:c r="G182" s="125"/>
      <x:c r="H182" s="125"/>
      <x:c r="I182" s="125"/>
      <x:c r="J182" s="125"/>
      <x:c r="K182" s="125"/>
      <x:c r="L182" s="125"/>
      <x:c r="M182" s="125"/>
      <x:c r="N182" s="125"/>
      <x:c r="O182" s="125"/>
      <x:c r="P182" s="125"/>
      <x:c r="Q182" s="125"/>
    </x:row>
    <x:row r="183">
      <x:c r="A183" s="125"/>
      <x:c r="B183" s="125"/>
      <x:c r="C183" s="125"/>
      <x:c r="D183" s="125"/>
      <x:c r="E183" s="125"/>
      <x:c r="F183" s="125"/>
      <x:c r="G183" s="125"/>
      <x:c r="H183" s="125"/>
      <x:c r="I183" s="125"/>
      <x:c r="J183" s="125"/>
      <x:c r="K183" s="125"/>
      <x:c r="L183" s="125"/>
      <x:c r="M183" s="125"/>
      <x:c r="N183" s="125"/>
      <x:c r="O183" s="125"/>
      <x:c r="P183" s="125"/>
      <x:c r="Q183" s="125"/>
    </x:row>
    <x:row r="184">
      <x:c r="A184" s="125"/>
      <x:c r="B184" s="125"/>
      <x:c r="C184" s="125"/>
      <x:c r="D184" s="125"/>
      <x:c r="E184" s="125"/>
      <x:c r="F184" s="125"/>
      <x:c r="G184" s="125"/>
      <x:c r="H184" s="125"/>
      <x:c r="I184" s="125"/>
      <x:c r="J184" s="125"/>
      <x:c r="K184" s="125"/>
      <x:c r="L184" s="125"/>
      <x:c r="M184" s="125"/>
      <x:c r="N184" s="125"/>
      <x:c r="O184" s="125"/>
      <x:c r="P184" s="125"/>
      <x:c r="Q184" s="125"/>
    </x:row>
    <x:row r="185">
      <x:c r="A185" s="125"/>
      <x:c r="B185" s="125"/>
      <x:c r="C185" s="125"/>
      <x:c r="D185" s="125"/>
      <x:c r="E185" s="125"/>
      <x:c r="F185" s="125"/>
      <x:c r="G185" s="125"/>
      <x:c r="H185" s="125"/>
      <x:c r="I185" s="125"/>
      <x:c r="J185" s="125"/>
      <x:c r="K185" s="125"/>
      <x:c r="L185" s="125"/>
      <x:c r="M185" s="125"/>
      <x:c r="N185" s="125"/>
      <x:c r="O185" s="125"/>
      <x:c r="P185" s="125"/>
      <x:c r="Q185" s="125"/>
    </x:row>
    <x:row r="186">
      <x:c r="A186" s="125"/>
      <x:c r="B186" s="125"/>
      <x:c r="C186" s="125"/>
      <x:c r="D186" s="125"/>
      <x:c r="E186" s="125"/>
      <x:c r="F186" s="125"/>
      <x:c r="G186" s="125"/>
      <x:c r="H186" s="125"/>
      <x:c r="I186" s="125"/>
      <x:c r="J186" s="125"/>
      <x:c r="K186" s="125"/>
      <x:c r="L186" s="125"/>
      <x:c r="M186" s="125"/>
      <x:c r="N186" s="125"/>
      <x:c r="O186" s="125"/>
      <x:c r="P186" s="125"/>
      <x:c r="Q186" s="125"/>
    </x:row>
    <x:row r="187">
      <x:c r="A187" s="125"/>
      <x:c r="B187" s="125"/>
      <x:c r="C187" s="125"/>
      <x:c r="D187" s="125"/>
      <x:c r="E187" s="125"/>
      <x:c r="F187" s="125"/>
      <x:c r="G187" s="125"/>
      <x:c r="H187" s="125"/>
      <x:c r="I187" s="125"/>
      <x:c r="J187" s="125"/>
      <x:c r="K187" s="125"/>
      <x:c r="L187" s="125"/>
      <x:c r="M187" s="125"/>
      <x:c r="N187" s="125"/>
      <x:c r="O187" s="125"/>
      <x:c r="P187" s="125"/>
      <x:c r="Q187" s="125"/>
    </x:row>
    <x:row r="188">
      <x:c r="A188" s="125"/>
      <x:c r="B188" s="125"/>
      <x:c r="C188" s="125"/>
      <x:c r="D188" s="125"/>
      <x:c r="E188" s="125"/>
      <x:c r="F188" s="125"/>
      <x:c r="G188" s="125"/>
      <x:c r="H188" s="125"/>
      <x:c r="I188" s="125"/>
      <x:c r="J188" s="125"/>
      <x:c r="K188" s="125"/>
      <x:c r="L188" s="125"/>
      <x:c r="M188" s="125"/>
      <x:c r="N188" s="125"/>
      <x:c r="O188" s="125"/>
      <x:c r="P188" s="125"/>
      <x:c r="Q188" s="125"/>
    </x:row>
    <x:row r="189">
      <x:c r="A189" s="125"/>
      <x:c r="B189" s="125"/>
      <x:c r="C189" s="125"/>
      <x:c r="D189" s="125"/>
      <x:c r="E189" s="125"/>
      <x:c r="F189" s="125"/>
      <x:c r="G189" s="125"/>
      <x:c r="H189" s="125"/>
      <x:c r="I189" s="125"/>
      <x:c r="J189" s="125"/>
      <x:c r="K189" s="125"/>
      <x:c r="L189" s="125"/>
      <x:c r="M189" s="125"/>
      <x:c r="N189" s="125"/>
      <x:c r="O189" s="125"/>
      <x:c r="P189" s="125"/>
      <x:c r="Q189" s="125"/>
    </x:row>
    <x:row r="190">
      <x:c r="A190" s="125"/>
      <x:c r="B190" s="125"/>
      <x:c r="C190" s="125"/>
      <x:c r="D190" s="125"/>
      <x:c r="E190" s="125"/>
      <x:c r="F190" s="125"/>
      <x:c r="G190" s="125"/>
      <x:c r="H190" s="125"/>
      <x:c r="I190" s="125"/>
      <x:c r="J190" s="125"/>
      <x:c r="K190" s="125"/>
      <x:c r="L190" s="125"/>
      <x:c r="M190" s="125"/>
      <x:c r="N190" s="125"/>
      <x:c r="O190" s="125"/>
      <x:c r="P190" s="125"/>
      <x:c r="Q190" s="125"/>
    </x:row>
    <x:row r="191">
      <x:c r="A191" s="125"/>
      <x:c r="B191" s="125"/>
      <x:c r="C191" s="125"/>
      <x:c r="D191" s="125"/>
      <x:c r="E191" s="125"/>
      <x:c r="F191" s="125"/>
      <x:c r="G191" s="125"/>
      <x:c r="H191" s="125"/>
      <x:c r="I191" s="125"/>
      <x:c r="J191" s="125"/>
      <x:c r="K191" s="125"/>
      <x:c r="L191" s="125"/>
      <x:c r="M191" s="125"/>
      <x:c r="N191" s="125"/>
      <x:c r="O191" s="125"/>
      <x:c r="P191" s="125"/>
      <x:c r="Q191" s="125"/>
    </x:row>
    <x:row r="192">
      <x:c r="A192" s="125"/>
      <x:c r="B192" s="125"/>
      <x:c r="C192" s="125"/>
      <x:c r="D192" s="125"/>
      <x:c r="E192" s="125"/>
      <x:c r="F192" s="125"/>
      <x:c r="G192" s="125"/>
      <x:c r="H192" s="125"/>
      <x:c r="I192" s="125"/>
      <x:c r="J192" s="125"/>
      <x:c r="K192" s="125"/>
      <x:c r="L192" s="125"/>
      <x:c r="M192" s="125"/>
      <x:c r="N192" s="125"/>
      <x:c r="O192" s="125"/>
      <x:c r="P192" s="125"/>
      <x:c r="Q192" s="125"/>
    </x:row>
    <x:row r="193">
      <x:c r="A193" s="125"/>
      <x:c r="B193" s="125"/>
      <x:c r="C193" s="125"/>
      <x:c r="D193" s="125"/>
      <x:c r="E193" s="125"/>
      <x:c r="F193" s="125"/>
      <x:c r="G193" s="125"/>
      <x:c r="H193" s="125"/>
      <x:c r="I193" s="125"/>
      <x:c r="J193" s="125"/>
      <x:c r="K193" s="125"/>
      <x:c r="L193" s="125"/>
      <x:c r="M193" s="125"/>
      <x:c r="N193" s="125"/>
      <x:c r="O193" s="125"/>
      <x:c r="P193" s="125"/>
      <x:c r="Q193" s="125"/>
    </x:row>
    <x:row r="194">
      <x:c r="A194" s="125"/>
      <x:c r="B194" s="125"/>
      <x:c r="C194" s="125"/>
      <x:c r="D194" s="125"/>
      <x:c r="E194" s="125"/>
      <x:c r="F194" s="125"/>
      <x:c r="G194" s="125"/>
      <x:c r="H194" s="125"/>
      <x:c r="I194" s="125"/>
      <x:c r="J194" s="125"/>
      <x:c r="K194" s="125"/>
      <x:c r="L194" s="125"/>
      <x:c r="M194" s="125"/>
      <x:c r="N194" s="125"/>
      <x:c r="O194" s="125"/>
      <x:c r="P194" s="125"/>
      <x:c r="Q194" s="125"/>
    </x:row>
    <x:row r="195">
      <x:c r="A195" s="125"/>
      <x:c r="B195" s="125"/>
      <x:c r="C195" s="125"/>
      <x:c r="D195" s="125"/>
      <x:c r="E195" s="125"/>
      <x:c r="F195" s="125"/>
      <x:c r="G195" s="125"/>
      <x:c r="H195" s="125"/>
      <x:c r="I195" s="125"/>
      <x:c r="J195" s="125"/>
      <x:c r="K195" s="125"/>
      <x:c r="L195" s="125"/>
      <x:c r="M195" s="125"/>
      <x:c r="N195" s="125"/>
      <x:c r="O195" s="125"/>
      <x:c r="P195" s="125"/>
      <x:c r="Q195" s="125"/>
    </x:row>
    <x:row r="196">
      <x:c r="A196" s="125"/>
      <x:c r="B196" s="125"/>
      <x:c r="C196" s="125"/>
      <x:c r="D196" s="125"/>
      <x:c r="E196" s="125"/>
      <x:c r="F196" s="125"/>
      <x:c r="G196" s="125"/>
      <x:c r="H196" s="125"/>
      <x:c r="I196" s="125"/>
      <x:c r="J196" s="125"/>
      <x:c r="K196" s="125"/>
      <x:c r="L196" s="125"/>
      <x:c r="M196" s="125"/>
      <x:c r="N196" s="125"/>
      <x:c r="O196" s="125"/>
      <x:c r="P196" s="125"/>
      <x:c r="Q196" s="125"/>
    </x:row>
    <x:row r="197">
      <x:c r="A197" s="125"/>
      <x:c r="B197" s="125"/>
      <x:c r="C197" s="125"/>
      <x:c r="D197" s="125"/>
      <x:c r="E197" s="125"/>
      <x:c r="F197" s="125"/>
      <x:c r="G197" s="125"/>
      <x:c r="H197" s="125"/>
      <x:c r="I197" s="125"/>
      <x:c r="J197" s="125"/>
      <x:c r="K197" s="125"/>
      <x:c r="L197" s="125"/>
      <x:c r="M197" s="125"/>
      <x:c r="N197" s="125"/>
      <x:c r="O197" s="125"/>
      <x:c r="P197" s="125"/>
      <x:c r="Q197" s="125"/>
    </x:row>
    <x:row r="198">
      <x:c r="A198" s="125"/>
      <x:c r="B198" s="125"/>
      <x:c r="C198" s="125"/>
      <x:c r="D198" s="125"/>
      <x:c r="E198" s="125"/>
      <x:c r="F198" s="125"/>
      <x:c r="G198" s="125"/>
      <x:c r="H198" s="125"/>
      <x:c r="I198" s="125"/>
      <x:c r="J198" s="125"/>
      <x:c r="K198" s="125"/>
      <x:c r="L198" s="125"/>
      <x:c r="M198" s="125"/>
      <x:c r="N198" s="125"/>
      <x:c r="O198" s="125"/>
      <x:c r="P198" s="125"/>
      <x:c r="Q198" s="125"/>
    </x:row>
    <x:row r="199">
      <x:c r="A199" s="125"/>
      <x:c r="B199" s="125"/>
      <x:c r="C199" s="125"/>
      <x:c r="D199" s="125"/>
      <x:c r="E199" s="125"/>
      <x:c r="F199" s="125"/>
      <x:c r="G199" s="125"/>
      <x:c r="H199" s="125"/>
      <x:c r="I199" s="125"/>
      <x:c r="J199" s="125"/>
      <x:c r="K199" s="125"/>
      <x:c r="L199" s="125"/>
      <x:c r="M199" s="125"/>
      <x:c r="N199" s="125"/>
      <x:c r="O199" s="125"/>
      <x:c r="P199" s="125"/>
      <x:c r="Q199" s="125"/>
    </x:row>
    <x:row r="200">
      <x:c r="A200" s="125"/>
      <x:c r="B200" s="125"/>
      <x:c r="C200" s="125"/>
      <x:c r="D200" s="125"/>
      <x:c r="E200" s="125"/>
      <x:c r="F200" s="125"/>
      <x:c r="G200" s="125"/>
      <x:c r="H200" s="125"/>
      <x:c r="I200" s="125"/>
      <x:c r="J200" s="125"/>
      <x:c r="K200" s="125"/>
      <x:c r="L200" s="125"/>
      <x:c r="M200" s="125"/>
      <x:c r="N200" s="125"/>
      <x:c r="O200" s="125"/>
      <x:c r="P200" s="125"/>
      <x:c r="Q200" s="125"/>
    </x:row>
    <x:row r="201">
      <x:c r="A201" s="125"/>
      <x:c r="B201" s="125"/>
      <x:c r="C201" s="125"/>
      <x:c r="D201" s="125"/>
      <x:c r="E201" s="125"/>
      <x:c r="F201" s="125"/>
      <x:c r="G201" s="125"/>
      <x:c r="H201" s="125"/>
      <x:c r="I201" s="125"/>
      <x:c r="J201" s="125"/>
      <x:c r="K201" s="125"/>
      <x:c r="L201" s="125"/>
      <x:c r="M201" s="125"/>
      <x:c r="N201" s="125"/>
      <x:c r="O201" s="125"/>
      <x:c r="P201" s="125"/>
      <x:c r="Q201" s="125"/>
    </x:row>
    <x:row r="202">
      <x:c r="A202" s="125"/>
      <x:c r="B202" s="125"/>
      <x:c r="C202" s="125"/>
      <x:c r="D202" s="125"/>
      <x:c r="E202" s="125"/>
      <x:c r="F202" s="125"/>
      <x:c r="G202" s="125"/>
      <x:c r="H202" s="125"/>
      <x:c r="I202" s="125"/>
      <x:c r="J202" s="125"/>
      <x:c r="K202" s="125"/>
      <x:c r="L202" s="125"/>
      <x:c r="M202" s="125"/>
      <x:c r="N202" s="125"/>
      <x:c r="O202" s="125"/>
      <x:c r="P202" s="125"/>
      <x:c r="Q202" s="125"/>
    </x:row>
    <x:row r="203">
      <x:c r="A203" s="125"/>
      <x:c r="B203" s="125"/>
      <x:c r="C203" s="125"/>
      <x:c r="D203" s="125"/>
      <x:c r="E203" s="125"/>
      <x:c r="F203" s="125"/>
      <x:c r="G203" s="125"/>
      <x:c r="H203" s="125"/>
      <x:c r="I203" s="125"/>
      <x:c r="J203" s="125"/>
      <x:c r="K203" s="125"/>
      <x:c r="L203" s="125"/>
      <x:c r="M203" s="125"/>
      <x:c r="N203" s="125"/>
      <x:c r="O203" s="125"/>
      <x:c r="P203" s="125"/>
      <x:c r="Q203" s="125"/>
    </x:row>
    <x:row r="204">
      <x:c r="A204" s="125"/>
      <x:c r="B204" s="125"/>
      <x:c r="C204" s="125"/>
      <x:c r="D204" s="125"/>
      <x:c r="E204" s="125"/>
      <x:c r="F204" s="125"/>
      <x:c r="G204" s="125"/>
      <x:c r="H204" s="125"/>
      <x:c r="I204" s="125"/>
      <x:c r="J204" s="125"/>
      <x:c r="K204" s="125"/>
      <x:c r="L204" s="125"/>
      <x:c r="M204" s="125"/>
      <x:c r="N204" s="125"/>
      <x:c r="O204" s="125"/>
      <x:c r="P204" s="125"/>
      <x:c r="Q204" s="125"/>
    </x:row>
    <x:row r="205">
      <x:c r="A205" s="125"/>
      <x:c r="B205" s="125"/>
      <x:c r="C205" s="125"/>
      <x:c r="D205" s="125"/>
      <x:c r="E205" s="125"/>
      <x:c r="F205" s="125"/>
      <x:c r="G205" s="125"/>
      <x:c r="H205" s="125"/>
      <x:c r="I205" s="125"/>
      <x:c r="J205" s="125"/>
      <x:c r="K205" s="125"/>
      <x:c r="L205" s="125"/>
      <x:c r="M205" s="125"/>
      <x:c r="N205" s="125"/>
      <x:c r="O205" s="125"/>
      <x:c r="P205" s="125"/>
      <x:c r="Q205" s="125"/>
    </x:row>
    <x:row r="206">
      <x:c r="A206" s="125"/>
      <x:c r="B206" s="125"/>
      <x:c r="C206" s="125"/>
      <x:c r="D206" s="125"/>
      <x:c r="E206" s="125"/>
      <x:c r="F206" s="125"/>
      <x:c r="G206" s="125"/>
      <x:c r="H206" s="125"/>
      <x:c r="I206" s="125"/>
      <x:c r="J206" s="125"/>
      <x:c r="K206" s="125"/>
      <x:c r="L206" s="125"/>
      <x:c r="M206" s="125"/>
      <x:c r="N206" s="125"/>
      <x:c r="O206" s="125"/>
      <x:c r="P206" s="125"/>
      <x:c r="Q206" s="125"/>
    </x:row>
    <x:row r="207">
      <x:c r="A207" s="125"/>
      <x:c r="B207" s="125"/>
      <x:c r="C207" s="125"/>
      <x:c r="D207" s="125"/>
      <x:c r="E207" s="125"/>
      <x:c r="F207" s="125"/>
      <x:c r="G207" s="125"/>
      <x:c r="H207" s="125"/>
      <x:c r="I207" s="125"/>
      <x:c r="J207" s="125"/>
      <x:c r="K207" s="125"/>
      <x:c r="L207" s="125"/>
      <x:c r="M207" s="125"/>
      <x:c r="N207" s="125"/>
      <x:c r="O207" s="125"/>
      <x:c r="P207" s="125"/>
      <x:c r="Q207" s="125"/>
    </x:row>
    <x:row r="208">
      <x:c r="A208" s="125"/>
      <x:c r="B208" s="125"/>
      <x:c r="C208" s="125"/>
      <x:c r="D208" s="125"/>
      <x:c r="E208" s="125"/>
      <x:c r="F208" s="125"/>
      <x:c r="G208" s="125"/>
      <x:c r="H208" s="125"/>
      <x:c r="I208" s="125"/>
      <x:c r="J208" s="125"/>
      <x:c r="K208" s="125"/>
      <x:c r="L208" s="125"/>
      <x:c r="M208" s="125"/>
      <x:c r="N208" s="125"/>
      <x:c r="O208" s="125"/>
      <x:c r="P208" s="125"/>
      <x:c r="Q208" s="125"/>
    </x:row>
    <x:row r="209">
      <x:c r="A209" s="125"/>
      <x:c r="B209" s="125"/>
      <x:c r="C209" s="125"/>
      <x:c r="D209" s="125"/>
      <x:c r="E209" s="125"/>
      <x:c r="F209" s="125"/>
      <x:c r="G209" s="125"/>
      <x:c r="H209" s="125"/>
      <x:c r="I209" s="125"/>
      <x:c r="J209" s="125"/>
      <x:c r="K209" s="125"/>
      <x:c r="L209" s="125"/>
      <x:c r="M209" s="125"/>
      <x:c r="N209" s="125"/>
      <x:c r="O209" s="125"/>
      <x:c r="P209" s="125"/>
      <x:c r="Q209" s="125"/>
    </x:row>
    <x:row r="210">
      <x:c r="A210" s="125"/>
      <x:c r="B210" s="125"/>
      <x:c r="C210" s="125"/>
      <x:c r="D210" s="125"/>
      <x:c r="E210" s="125"/>
      <x:c r="F210" s="125"/>
      <x:c r="G210" s="125"/>
      <x:c r="H210" s="125"/>
      <x:c r="I210" s="125"/>
      <x:c r="J210" s="125"/>
      <x:c r="K210" s="125"/>
      <x:c r="L210" s="125"/>
      <x:c r="M210" s="125"/>
      <x:c r="N210" s="125"/>
      <x:c r="O210" s="125"/>
      <x:c r="P210" s="125"/>
      <x:c r="Q210" s="125"/>
    </x:row>
    <x:row r="211">
      <x:c r="A211" s="125"/>
      <x:c r="B211" s="125"/>
      <x:c r="C211" s="125"/>
      <x:c r="D211" s="125"/>
      <x:c r="E211" s="125"/>
      <x:c r="F211" s="125"/>
      <x:c r="G211" s="125"/>
      <x:c r="H211" s="125"/>
      <x:c r="I211" s="125"/>
      <x:c r="J211" s="125"/>
      <x:c r="K211" s="125"/>
      <x:c r="L211" s="125"/>
      <x:c r="M211" s="125"/>
      <x:c r="N211" s="125"/>
      <x:c r="O211" s="125"/>
      <x:c r="P211" s="125"/>
      <x:c r="Q211" s="125"/>
    </x:row>
    <x:row r="212">
      <x:c r="A212" s="125"/>
      <x:c r="B212" s="125"/>
      <x:c r="C212" s="125"/>
      <x:c r="D212" s="125"/>
      <x:c r="E212" s="125"/>
      <x:c r="F212" s="125"/>
      <x:c r="G212" s="125"/>
      <x:c r="H212" s="125"/>
      <x:c r="I212" s="125"/>
      <x:c r="J212" s="125"/>
      <x:c r="K212" s="125"/>
      <x:c r="L212" s="125"/>
      <x:c r="M212" s="125"/>
      <x:c r="N212" s="125"/>
      <x:c r="O212" s="125"/>
      <x:c r="P212" s="125"/>
      <x:c r="Q212" s="125"/>
    </x:row>
    <x:row r="213">
      <x:c r="A213" s="125"/>
      <x:c r="B213" s="125"/>
      <x:c r="C213" s="125"/>
      <x:c r="D213" s="125"/>
      <x:c r="E213" s="125"/>
      <x:c r="F213" s="125"/>
      <x:c r="G213" s="125"/>
      <x:c r="H213" s="125"/>
      <x:c r="I213" s="125"/>
      <x:c r="J213" s="125"/>
      <x:c r="K213" s="125"/>
      <x:c r="L213" s="125"/>
      <x:c r="M213" s="125"/>
      <x:c r="N213" s="125"/>
      <x:c r="O213" s="125"/>
      <x:c r="P213" s="125"/>
      <x:c r="Q213" s="125"/>
    </x:row>
    <x:row r="214">
      <x:c r="A214" s="125"/>
      <x:c r="B214" s="125"/>
      <x:c r="C214" s="125"/>
      <x:c r="D214" s="125"/>
      <x:c r="E214" s="125"/>
      <x:c r="F214" s="125"/>
      <x:c r="G214" s="125"/>
      <x:c r="H214" s="125"/>
      <x:c r="I214" s="125"/>
      <x:c r="J214" s="125"/>
      <x:c r="K214" s="125"/>
      <x:c r="L214" s="125"/>
      <x:c r="M214" s="125"/>
      <x:c r="N214" s="125"/>
      <x:c r="O214" s="125"/>
      <x:c r="P214" s="125"/>
      <x:c r="Q214" s="125"/>
    </x:row>
    <x:row r="215">
      <x:c r="A215" s="125"/>
      <x:c r="B215" s="125"/>
      <x:c r="C215" s="125"/>
      <x:c r="D215" s="125"/>
      <x:c r="E215" s="125"/>
      <x:c r="F215" s="125"/>
      <x:c r="G215" s="125"/>
      <x:c r="H215" s="125"/>
      <x:c r="I215" s="125"/>
      <x:c r="J215" s="125"/>
      <x:c r="K215" s="125"/>
      <x:c r="L215" s="125"/>
      <x:c r="M215" s="125"/>
      <x:c r="N215" s="125"/>
      <x:c r="O215" s="125"/>
      <x:c r="P215" s="125"/>
      <x:c r="Q215" s="125"/>
    </x:row>
    <x:row r="216">
      <x:c r="A216" s="125"/>
      <x:c r="B216" s="125"/>
      <x:c r="C216" s="125"/>
      <x:c r="D216" s="125"/>
      <x:c r="E216" s="125"/>
      <x:c r="F216" s="125"/>
      <x:c r="G216" s="125"/>
      <x:c r="H216" s="125"/>
      <x:c r="I216" s="125"/>
      <x:c r="J216" s="125"/>
      <x:c r="K216" s="125"/>
      <x:c r="L216" s="125"/>
      <x:c r="M216" s="125"/>
      <x:c r="N216" s="125"/>
      <x:c r="O216" s="125"/>
      <x:c r="P216" s="125"/>
      <x:c r="Q216" s="125"/>
    </x:row>
    <x:row r="217">
      <x:c r="A217" s="125"/>
      <x:c r="B217" s="125"/>
      <x:c r="C217" s="125"/>
      <x:c r="D217" s="125"/>
      <x:c r="E217" s="125"/>
      <x:c r="F217" s="125"/>
      <x:c r="G217" s="125"/>
      <x:c r="H217" s="125"/>
      <x:c r="I217" s="125"/>
      <x:c r="J217" s="125"/>
      <x:c r="K217" s="125"/>
      <x:c r="L217" s="125"/>
      <x:c r="M217" s="125"/>
      <x:c r="N217" s="125"/>
      <x:c r="O217" s="125"/>
      <x:c r="P217" s="125"/>
      <x:c r="Q217" s="125"/>
    </x:row>
    <x:row r="218">
      <x:c r="A218" s="125"/>
      <x:c r="B218" s="125"/>
      <x:c r="C218" s="125"/>
      <x:c r="D218" s="125"/>
      <x:c r="E218" s="125"/>
      <x:c r="F218" s="125"/>
      <x:c r="G218" s="125"/>
      <x:c r="H218" s="125"/>
      <x:c r="I218" s="125"/>
      <x:c r="J218" s="125"/>
      <x:c r="K218" s="125"/>
      <x:c r="L218" s="125"/>
      <x:c r="M218" s="125"/>
      <x:c r="N218" s="125"/>
      <x:c r="O218" s="125"/>
      <x:c r="P218" s="125"/>
      <x:c r="Q218" s="125"/>
    </x:row>
    <x:row r="219">
      <x:c r="A219" s="125"/>
      <x:c r="B219" s="125"/>
      <x:c r="C219" s="125"/>
      <x:c r="D219" s="125"/>
      <x:c r="E219" s="125"/>
      <x:c r="F219" s="125"/>
      <x:c r="G219" s="125"/>
      <x:c r="H219" s="125"/>
      <x:c r="I219" s="125"/>
      <x:c r="J219" s="125"/>
      <x:c r="K219" s="125"/>
      <x:c r="L219" s="125"/>
      <x:c r="M219" s="125"/>
      <x:c r="N219" s="125"/>
      <x:c r="O219" s="125"/>
      <x:c r="P219" s="125"/>
      <x:c r="Q219" s="125"/>
    </x:row>
    <x:row r="220">
      <x:c r="A220" s="125"/>
      <x:c r="B220" s="125"/>
      <x:c r="C220" s="125"/>
      <x:c r="D220" s="125"/>
      <x:c r="E220" s="125"/>
      <x:c r="F220" s="125"/>
      <x:c r="G220" s="125"/>
      <x:c r="H220" s="125"/>
      <x:c r="I220" s="125"/>
      <x:c r="J220" s="125"/>
      <x:c r="K220" s="125"/>
      <x:c r="L220" s="125"/>
      <x:c r="M220" s="125"/>
      <x:c r="N220" s="125"/>
      <x:c r="O220" s="125"/>
      <x:c r="P220" s="125"/>
      <x:c r="Q220" s="125"/>
    </x:row>
    <x:row r="221">
      <x:c r="A221" s="125"/>
      <x:c r="B221" s="125"/>
      <x:c r="C221" s="125"/>
      <x:c r="D221" s="125"/>
      <x:c r="E221" s="125"/>
      <x:c r="F221" s="125"/>
      <x:c r="G221" s="125"/>
      <x:c r="H221" s="125"/>
      <x:c r="I221" s="125"/>
      <x:c r="J221" s="125"/>
      <x:c r="K221" s="125"/>
      <x:c r="L221" s="125"/>
      <x:c r="M221" s="125"/>
      <x:c r="N221" s="125"/>
      <x:c r="O221" s="125"/>
      <x:c r="P221" s="125"/>
      <x:c r="Q221" s="125"/>
    </x:row>
    <x:row r="222">
      <x:c r="A222" s="125"/>
      <x:c r="B222" s="125"/>
      <x:c r="C222" s="125"/>
      <x:c r="D222" s="125"/>
      <x:c r="E222" s="125"/>
      <x:c r="F222" s="125"/>
      <x:c r="G222" s="125"/>
      <x:c r="H222" s="125"/>
      <x:c r="I222" s="125"/>
      <x:c r="J222" s="125"/>
      <x:c r="K222" s="125"/>
      <x:c r="L222" s="125"/>
      <x:c r="M222" s="125"/>
      <x:c r="N222" s="125"/>
      <x:c r="O222" s="125"/>
      <x:c r="P222" s="125"/>
      <x:c r="Q222" s="125"/>
    </x:row>
    <x:row r="223">
      <x:c r="A223" s="125"/>
      <x:c r="B223" s="125"/>
      <x:c r="C223" s="125"/>
      <x:c r="D223" s="125"/>
      <x:c r="E223" s="125"/>
      <x:c r="F223" s="125"/>
      <x:c r="G223" s="125"/>
      <x:c r="H223" s="125"/>
      <x:c r="I223" s="125"/>
      <x:c r="J223" s="125"/>
      <x:c r="K223" s="125"/>
      <x:c r="L223" s="125"/>
      <x:c r="M223" s="125"/>
      <x:c r="N223" s="125"/>
      <x:c r="O223" s="125"/>
      <x:c r="P223" s="125"/>
      <x:c r="Q223" s="125"/>
    </x:row>
    <x:row r="224">
      <x:c r="A224" s="125"/>
      <x:c r="B224" s="125"/>
      <x:c r="C224" s="125"/>
      <x:c r="D224" s="125"/>
      <x:c r="E224" s="125"/>
      <x:c r="F224" s="125"/>
      <x:c r="G224" s="125"/>
      <x:c r="H224" s="125"/>
      <x:c r="I224" s="125"/>
      <x:c r="J224" s="125"/>
      <x:c r="K224" s="125"/>
      <x:c r="L224" s="125"/>
      <x:c r="M224" s="125"/>
      <x:c r="N224" s="125"/>
      <x:c r="O224" s="125"/>
      <x:c r="P224" s="125"/>
      <x:c r="Q224" s="125"/>
    </x:row>
    <x:row r="225">
      <x:c r="A225" s="125"/>
      <x:c r="B225" s="125"/>
      <x:c r="C225" s="125"/>
      <x:c r="D225" s="125"/>
      <x:c r="E225" s="125"/>
      <x:c r="F225" s="125"/>
      <x:c r="G225" s="125"/>
      <x:c r="H225" s="125"/>
      <x:c r="I225" s="125"/>
      <x:c r="J225" s="125"/>
      <x:c r="K225" s="125"/>
      <x:c r="L225" s="125"/>
      <x:c r="M225" s="125"/>
      <x:c r="N225" s="125"/>
      <x:c r="O225" s="125"/>
      <x:c r="P225" s="125"/>
      <x:c r="Q225" s="125"/>
    </x:row>
    <x:row r="226">
      <x:c r="A226" s="125"/>
      <x:c r="B226" s="125"/>
      <x:c r="C226" s="125"/>
      <x:c r="D226" s="125"/>
      <x:c r="E226" s="125"/>
      <x:c r="F226" s="125"/>
      <x:c r="G226" s="125"/>
      <x:c r="H226" s="125"/>
      <x:c r="I226" s="125"/>
      <x:c r="J226" s="125"/>
      <x:c r="K226" s="125"/>
      <x:c r="L226" s="125"/>
      <x:c r="M226" s="125"/>
      <x:c r="N226" s="125"/>
      <x:c r="O226" s="125"/>
      <x:c r="P226" s="125"/>
      <x:c r="Q226" s="125"/>
    </x:row>
    <x:row r="227">
      <x:c r="A227" s="125"/>
      <x:c r="B227" s="125"/>
      <x:c r="C227" s="125"/>
      <x:c r="D227" s="125"/>
      <x:c r="E227" s="125"/>
      <x:c r="F227" s="125"/>
      <x:c r="G227" s="125"/>
      <x:c r="H227" s="125"/>
      <x:c r="I227" s="125"/>
      <x:c r="J227" s="125"/>
      <x:c r="K227" s="125"/>
      <x:c r="L227" s="125"/>
      <x:c r="M227" s="125"/>
      <x:c r="N227" s="125"/>
      <x:c r="O227" s="125"/>
      <x:c r="P227" s="125"/>
      <x:c r="Q227" s="125"/>
    </x:row>
    <x:row r="228">
      <x:c r="A228" s="125"/>
      <x:c r="B228" s="125"/>
      <x:c r="C228" s="125"/>
      <x:c r="D228" s="125"/>
      <x:c r="E228" s="125"/>
      <x:c r="F228" s="125"/>
      <x:c r="G228" s="125"/>
      <x:c r="H228" s="125"/>
      <x:c r="I228" s="125"/>
      <x:c r="J228" s="125"/>
      <x:c r="K228" s="125"/>
      <x:c r="L228" s="125"/>
      <x:c r="M228" s="125"/>
      <x:c r="N228" s="125"/>
      <x:c r="O228" s="125"/>
      <x:c r="P228" s="125"/>
      <x:c r="Q228" s="125"/>
    </x:row>
    <x:row r="229">
      <x:c r="A229" s="125"/>
      <x:c r="B229" s="125"/>
      <x:c r="C229" s="125"/>
      <x:c r="D229" s="125"/>
      <x:c r="E229" s="125"/>
      <x:c r="F229" s="125"/>
      <x:c r="G229" s="125"/>
      <x:c r="H229" s="125"/>
      <x:c r="I229" s="125"/>
      <x:c r="J229" s="125"/>
      <x:c r="K229" s="125"/>
      <x:c r="L229" s="125"/>
      <x:c r="M229" s="125"/>
      <x:c r="N229" s="125"/>
      <x:c r="O229" s="125"/>
      <x:c r="P229" s="125"/>
      <x:c r="Q229" s="125"/>
    </x:row>
    <x:row r="230">
      <x:c r="A230" s="125"/>
      <x:c r="B230" s="125"/>
      <x:c r="C230" s="125"/>
      <x:c r="D230" s="125"/>
      <x:c r="E230" s="125"/>
      <x:c r="F230" s="125"/>
      <x:c r="G230" s="125"/>
      <x:c r="H230" s="125"/>
      <x:c r="I230" s="125"/>
      <x:c r="J230" s="125"/>
      <x:c r="K230" s="125"/>
      <x:c r="L230" s="125"/>
      <x:c r="M230" s="125"/>
      <x:c r="N230" s="125"/>
      <x:c r="O230" s="125"/>
      <x:c r="P230" s="125"/>
      <x:c r="Q230" s="125"/>
    </x:row>
    <x:row r="231">
      <x:c r="A231" s="125"/>
      <x:c r="B231" s="125"/>
      <x:c r="C231" s="125"/>
      <x:c r="D231" s="125"/>
      <x:c r="E231" s="125"/>
      <x:c r="F231" s="125"/>
      <x:c r="G231" s="125"/>
      <x:c r="H231" s="125"/>
      <x:c r="I231" s="125"/>
      <x:c r="J231" s="125"/>
      <x:c r="K231" s="125"/>
      <x:c r="L231" s="125"/>
      <x:c r="M231" s="125"/>
      <x:c r="N231" s="125"/>
      <x:c r="O231" s="125"/>
      <x:c r="P231" s="125"/>
      <x:c r="Q231" s="125"/>
    </x:row>
    <x:row r="232">
      <x:c r="A232" s="125"/>
      <x:c r="B232" s="125"/>
      <x:c r="C232" s="125"/>
      <x:c r="D232" s="125"/>
      <x:c r="E232" s="125"/>
      <x:c r="F232" s="125"/>
      <x:c r="G232" s="125"/>
      <x:c r="H232" s="125"/>
      <x:c r="I232" s="125"/>
      <x:c r="J232" s="125"/>
      <x:c r="K232" s="125"/>
      <x:c r="L232" s="125"/>
      <x:c r="M232" s="125"/>
      <x:c r="N232" s="125"/>
      <x:c r="O232" s="125"/>
      <x:c r="P232" s="125"/>
      <x:c r="Q232" s="125"/>
    </x:row>
    <x:row r="233">
      <x:c r="A233" s="125"/>
      <x:c r="B233" s="125"/>
      <x:c r="C233" s="125"/>
      <x:c r="D233" s="125"/>
      <x:c r="E233" s="125"/>
      <x:c r="F233" s="125"/>
      <x:c r="G233" s="125"/>
      <x:c r="H233" s="125"/>
      <x:c r="I233" s="125"/>
      <x:c r="J233" s="125"/>
      <x:c r="K233" s="125"/>
      <x:c r="L233" s="125"/>
      <x:c r="M233" s="125"/>
      <x:c r="N233" s="125"/>
      <x:c r="O233" s="125"/>
      <x:c r="P233" s="125"/>
      <x:c r="Q233" s="125"/>
    </x:row>
    <x:row r="234">
      <x:c r="A234" s="125"/>
      <x:c r="B234" s="125"/>
      <x:c r="C234" s="125"/>
      <x:c r="D234" s="125"/>
      <x:c r="E234" s="125"/>
      <x:c r="F234" s="125"/>
      <x:c r="G234" s="125"/>
      <x:c r="H234" s="125"/>
      <x:c r="I234" s="125"/>
      <x:c r="J234" s="125"/>
      <x:c r="K234" s="125"/>
      <x:c r="L234" s="125"/>
      <x:c r="M234" s="125"/>
      <x:c r="N234" s="125"/>
      <x:c r="O234" s="125"/>
      <x:c r="P234" s="125"/>
      <x:c r="Q234" s="125"/>
    </x:row>
    <x:row r="235">
      <x:c r="A235" s="125"/>
      <x:c r="B235" s="125"/>
      <x:c r="C235" s="125"/>
      <x:c r="D235" s="125"/>
      <x:c r="E235" s="125"/>
      <x:c r="F235" s="125"/>
      <x:c r="G235" s="125"/>
      <x:c r="H235" s="125"/>
      <x:c r="I235" s="125"/>
      <x:c r="J235" s="125"/>
      <x:c r="K235" s="125"/>
      <x:c r="L235" s="125"/>
      <x:c r="M235" s="125"/>
      <x:c r="N235" s="125"/>
      <x:c r="O235" s="125"/>
      <x:c r="P235" s="125"/>
      <x:c r="Q235" s="125"/>
    </x:row>
    <x:row r="236">
      <x:c r="A236" s="125"/>
      <x:c r="B236" s="125"/>
      <x:c r="C236" s="125"/>
      <x:c r="D236" s="125"/>
      <x:c r="E236" s="125"/>
      <x:c r="F236" s="125"/>
      <x:c r="G236" s="125"/>
      <x:c r="H236" s="125"/>
      <x:c r="I236" s="125"/>
      <x:c r="J236" s="125"/>
      <x:c r="K236" s="125"/>
      <x:c r="L236" s="125"/>
      <x:c r="M236" s="125"/>
      <x:c r="N236" s="125"/>
      <x:c r="O236" s="125"/>
      <x:c r="P236" s="125"/>
      <x:c r="Q236" s="125"/>
    </x:row>
    <x:row r="237">
      <x:c r="A237" s="125"/>
      <x:c r="B237" s="125"/>
      <x:c r="C237" s="125"/>
      <x:c r="D237" s="125"/>
      <x:c r="E237" s="125"/>
      <x:c r="F237" s="125"/>
      <x:c r="G237" s="125"/>
      <x:c r="H237" s="125"/>
      <x:c r="I237" s="125"/>
      <x:c r="J237" s="125"/>
      <x:c r="K237" s="125"/>
      <x:c r="L237" s="125"/>
      <x:c r="M237" s="125"/>
      <x:c r="N237" s="125"/>
      <x:c r="O237" s="125"/>
      <x:c r="P237" s="125"/>
      <x:c r="Q237" s="125"/>
    </x:row>
    <x:row r="238">
      <x:c r="A238" s="125"/>
      <x:c r="B238" s="125"/>
      <x:c r="C238" s="125"/>
      <x:c r="D238" s="125"/>
      <x:c r="E238" s="125"/>
      <x:c r="F238" s="125"/>
      <x:c r="G238" s="125"/>
      <x:c r="H238" s="125"/>
      <x:c r="I238" s="125"/>
      <x:c r="J238" s="125"/>
      <x:c r="K238" s="125"/>
      <x:c r="L238" s="125"/>
      <x:c r="M238" s="125"/>
      <x:c r="N238" s="125"/>
      <x:c r="O238" s="125"/>
      <x:c r="P238" s="125"/>
      <x:c r="Q238" s="125"/>
    </x:row>
    <x:row r="239">
      <x:c r="A239" s="125"/>
      <x:c r="B239" s="125"/>
      <x:c r="C239" s="125"/>
      <x:c r="D239" s="125"/>
      <x:c r="E239" s="125"/>
      <x:c r="F239" s="125"/>
      <x:c r="G239" s="125"/>
      <x:c r="H239" s="125"/>
      <x:c r="I239" s="125"/>
      <x:c r="J239" s="125"/>
      <x:c r="K239" s="125"/>
      <x:c r="L239" s="125"/>
      <x:c r="M239" s="125"/>
      <x:c r="N239" s="125"/>
      <x:c r="O239" s="125"/>
      <x:c r="P239" s="125"/>
      <x:c r="Q239" s="125"/>
    </x:row>
    <x:row r="240">
      <x:c r="A240" s="125"/>
      <x:c r="B240" s="125"/>
      <x:c r="C240" s="125"/>
      <x:c r="D240" s="125"/>
      <x:c r="E240" s="125"/>
      <x:c r="F240" s="125"/>
      <x:c r="G240" s="125"/>
      <x:c r="H240" s="125"/>
      <x:c r="I240" s="125"/>
      <x:c r="J240" s="125"/>
      <x:c r="K240" s="125"/>
      <x:c r="L240" s="125"/>
      <x:c r="M240" s="125"/>
      <x:c r="N240" s="125"/>
      <x:c r="O240" s="125"/>
      <x:c r="P240" s="125"/>
      <x:c r="Q240" s="125"/>
    </x:row>
    <x:row r="241">
      <x:c r="A241" s="125"/>
      <x:c r="B241" s="125"/>
      <x:c r="C241" s="125"/>
      <x:c r="D241" s="125"/>
      <x:c r="E241" s="125"/>
      <x:c r="F241" s="125"/>
      <x:c r="G241" s="125"/>
      <x:c r="H241" s="125"/>
      <x:c r="I241" s="125"/>
      <x:c r="J241" s="125"/>
      <x:c r="K241" s="125"/>
      <x:c r="L241" s="125"/>
      <x:c r="M241" s="125"/>
      <x:c r="N241" s="125"/>
      <x:c r="O241" s="125"/>
      <x:c r="P241" s="125"/>
      <x:c r="Q241" s="125"/>
    </x:row>
    <x:row r="242">
      <x:c r="A242" s="125"/>
      <x:c r="B242" s="125"/>
      <x:c r="C242" s="125"/>
      <x:c r="D242" s="125"/>
      <x:c r="E242" s="125"/>
      <x:c r="F242" s="125"/>
      <x:c r="G242" s="125"/>
      <x:c r="H242" s="125"/>
      <x:c r="I242" s="125"/>
      <x:c r="J242" s="125"/>
      <x:c r="K242" s="125"/>
      <x:c r="L242" s="125"/>
      <x:c r="M242" s="125"/>
      <x:c r="N242" s="125"/>
      <x:c r="O242" s="125"/>
      <x:c r="P242" s="125"/>
      <x:c r="Q242" s="125"/>
    </x:row>
    <x:row r="243">
      <x:c r="A243" s="125"/>
      <x:c r="B243" s="125"/>
      <x:c r="C243" s="125"/>
      <x:c r="D243" s="125"/>
      <x:c r="E243" s="125"/>
      <x:c r="F243" s="125"/>
      <x:c r="G243" s="125"/>
      <x:c r="H243" s="125"/>
      <x:c r="I243" s="125"/>
      <x:c r="J243" s="125"/>
      <x:c r="K243" s="125"/>
      <x:c r="L243" s="125"/>
      <x:c r="M243" s="125"/>
      <x:c r="N243" s="125"/>
      <x:c r="O243" s="125"/>
      <x:c r="P243" s="125"/>
      <x:c r="Q243" s="125"/>
    </x:row>
    <x:row r="244">
      <x:c r="A244" s="125"/>
      <x:c r="B244" s="125"/>
      <x:c r="C244" s="125"/>
      <x:c r="D244" s="125"/>
      <x:c r="E244" s="125"/>
      <x:c r="F244" s="125"/>
      <x:c r="G244" s="125"/>
      <x:c r="H244" s="125"/>
      <x:c r="I244" s="125"/>
      <x:c r="J244" s="125"/>
      <x:c r="K244" s="125"/>
      <x:c r="L244" s="125"/>
      <x:c r="M244" s="125"/>
      <x:c r="N244" s="125"/>
      <x:c r="O244" s="125"/>
      <x:c r="P244" s="125"/>
      <x:c r="Q244" s="125"/>
    </x:row>
    <x:row r="245">
      <x:c r="A245" s="125"/>
      <x:c r="B245" s="125"/>
      <x:c r="C245" s="125"/>
      <x:c r="D245" s="125"/>
      <x:c r="E245" s="125"/>
      <x:c r="F245" s="125"/>
      <x:c r="G245" s="125"/>
      <x:c r="H245" s="125"/>
      <x:c r="I245" s="125"/>
      <x:c r="J245" s="125"/>
      <x:c r="K245" s="125"/>
      <x:c r="L245" s="125"/>
      <x:c r="M245" s="125"/>
      <x:c r="N245" s="125"/>
      <x:c r="O245" s="125"/>
      <x:c r="P245" s="125"/>
      <x:c r="Q245" s="125"/>
    </x:row>
    <x:row r="246">
      <x:c r="A246" s="125"/>
      <x:c r="B246" s="125"/>
      <x:c r="C246" s="125"/>
      <x:c r="D246" s="125"/>
      <x:c r="E246" s="125"/>
      <x:c r="F246" s="125"/>
      <x:c r="G246" s="125"/>
      <x:c r="H246" s="125"/>
      <x:c r="I246" s="125"/>
      <x:c r="J246" s="125"/>
      <x:c r="K246" s="125"/>
      <x:c r="L246" s="125"/>
      <x:c r="M246" s="125"/>
      <x:c r="N246" s="125"/>
      <x:c r="O246" s="125"/>
      <x:c r="P246" s="125"/>
      <x:c r="Q246" s="125"/>
    </x:row>
    <x:row r="247">
      <x:c r="A247" s="125"/>
      <x:c r="B247" s="125"/>
      <x:c r="C247" s="125"/>
      <x:c r="D247" s="125"/>
      <x:c r="E247" s="125"/>
      <x:c r="F247" s="125"/>
      <x:c r="G247" s="125"/>
      <x:c r="H247" s="125"/>
      <x:c r="I247" s="125"/>
      <x:c r="J247" s="125"/>
      <x:c r="K247" s="125"/>
      <x:c r="L247" s="125"/>
      <x:c r="M247" s="125"/>
      <x:c r="N247" s="125"/>
      <x:c r="O247" s="125"/>
      <x:c r="P247" s="125"/>
      <x:c r="Q247" s="125"/>
    </x:row>
    <x:row r="248">
      <x:c r="A248" s="125"/>
      <x:c r="B248" s="125"/>
      <x:c r="C248" s="125"/>
      <x:c r="D248" s="125"/>
      <x:c r="E248" s="125"/>
      <x:c r="F248" s="125"/>
      <x:c r="G248" s="125"/>
      <x:c r="H248" s="125"/>
      <x:c r="I248" s="125"/>
      <x:c r="J248" s="125"/>
      <x:c r="K248" s="125"/>
      <x:c r="L248" s="125"/>
      <x:c r="M248" s="125"/>
      <x:c r="N248" s="125"/>
      <x:c r="O248" s="125"/>
      <x:c r="P248" s="125"/>
      <x:c r="Q248" s="125"/>
    </x:row>
    <x:row r="249">
      <x:c r="A249" s="125"/>
      <x:c r="B249" s="125"/>
      <x:c r="C249" s="125"/>
      <x:c r="D249" s="125"/>
      <x:c r="E249" s="125"/>
      <x:c r="F249" s="125"/>
      <x:c r="G249" s="125"/>
      <x:c r="H249" s="125"/>
      <x:c r="I249" s="125"/>
      <x:c r="J249" s="125"/>
      <x:c r="K249" s="125"/>
      <x:c r="L249" s="125"/>
      <x:c r="M249" s="125"/>
      <x:c r="N249" s="125"/>
      <x:c r="O249" s="125"/>
      <x:c r="P249" s="125"/>
      <x:c r="Q249" s="125"/>
    </x:row>
    <x:row r="250">
      <x:c r="A250" s="125"/>
      <x:c r="B250" s="125"/>
      <x:c r="C250" s="125"/>
      <x:c r="D250" s="125"/>
      <x:c r="E250" s="125"/>
      <x:c r="F250" s="125"/>
      <x:c r="G250" s="125"/>
      <x:c r="H250" s="125"/>
      <x:c r="I250" s="125"/>
      <x:c r="J250" s="125"/>
      <x:c r="K250" s="125"/>
      <x:c r="L250" s="125"/>
      <x:c r="M250" s="125"/>
      <x:c r="N250" s="125"/>
      <x:c r="O250" s="125"/>
      <x:c r="P250" s="125"/>
      <x:c r="Q250" s="125"/>
    </x:row>
  </x:sheetData>
  <x:mergeCells>
    <x:mergeCell ref="A1:G1"/>
    <x:mergeCell ref="A2:G2"/>
  </x:mergeCells>
  <x:dataValidations count="1">
    <x:dataValidation type="list" sqref="E7:E206">
      <x:formula1>_LISTS!$F$2:$F$6</x:formula1>
    </x:dataValidation>
  </x:dataValidations>
  <x:pageMargins left="0.7" right="0.7" top="0.75" bottom="0.75" header="0.3" footer="0.3"/>
</x:worksheet>
</file>

<file path=xl/worksheets/sheet18.xml><?xml version="1.0" encoding="utf-8"?>
<x:worksheet xmlns:x="http://schemas.openxmlformats.org/spreadsheetml/2006/main">
  <x:sheetFormatPr defaultRowHeight="15"/>
  <x:cols>
    <x:col min="1" max="1" width="16" hidden="0" customWidth="1"/>
    <x:col min="2" max="2" width="12" hidden="0" customWidth="1"/>
    <x:col min="3" max="3" width="16" hidden="0" customWidth="1"/>
    <x:col min="4" max="4" width="16" hidden="0" customWidth="1"/>
    <x:col min="5" max="5" width="14" hidden="0" customWidth="1"/>
    <x:col min="6" max="6" width="16" hidden="0" customWidth="1"/>
    <x:col min="7" max="7" width="16" hidden="0" customWidth="1"/>
    <x:col min="8" max="8" width="14" hidden="0" customWidth="1"/>
    <x:col min="9" max="9" width="16" hidden="0" customWidth="1"/>
    <x:col min="10" max="10" width="16" hidden="0" customWidth="1"/>
    <x:col min="11" max="11" width="16" hidden="0" customWidth="1"/>
  </x:cols>
  <x:sheetData>
    <x:row r="1" ht="30" customHeight="1">
      <x:c r="A1" s="200" t="str">
        <x:v>IREI Stage 1 Readiness Snapshot</x:v>
      </x:c>
      <x:c r="B1" s="198"/>
      <x:c r="C1" s="198"/>
      <x:c r="D1" s="198"/>
      <x:c r="E1" s="198"/>
      <x:c r="F1" s="198"/>
      <x:c r="G1" s="198"/>
      <x:c r="H1" s="198"/>
      <x:c r="I1" s="198"/>
      <x:c r="J1" s="198"/>
      <x:c r="K1" s="198"/>
      <x:c r="L1" s="125"/>
      <x:c r="M1" s="125"/>
      <x:c r="N1" s="125"/>
      <x:c r="O1" s="125"/>
      <x:c r="P1" s="125"/>
      <x:c r="Q1" s="125"/>
    </x:row>
    <x:row r="2" ht="22" customHeight="1">
      <x:c r="A2" s="166" t="str">
        <x:v>Blank MVP Template — no demo data loaded</x:v>
      </x:c>
      <x:c r="B2" s="125"/>
      <x:c r="C2" s="125"/>
      <x:c r="D2" s="125"/>
      <x:c r="E2" s="125"/>
      <x:c r="F2" s="125"/>
      <x:c r="G2" s="125"/>
      <x:c r="H2" s="125"/>
      <x:c r="I2" s="125"/>
      <x:c r="J2" s="125"/>
      <x:c r="K2" s="125"/>
      <x:c r="L2" s="125"/>
      <x:c r="M2" s="125"/>
      <x:c r="N2" s="125"/>
      <x:c r="O2" s="125"/>
      <x:c r="P2" s="125"/>
      <x:c r="Q2" s="125"/>
    </x:row>
    <x:row r="3">
      <x:c r="A3" s="125"/>
      <x:c r="B3" s="125"/>
      <x:c r="C3" s="125"/>
      <x:c r="D3" s="125"/>
      <x:c r="E3" s="125"/>
      <x:c r="F3" s="125"/>
      <x:c r="G3" s="125"/>
      <x:c r="H3" s="125"/>
      <x:c r="I3" s="125"/>
      <x:c r="J3" s="125"/>
      <x:c r="K3" s="125"/>
      <x:c r="L3" s="125"/>
      <x:c r="M3" s="125"/>
      <x:c r="N3" s="125"/>
      <x:c r="O3" s="125"/>
      <x:c r="P3" s="125"/>
      <x:c r="Q3" s="125"/>
    </x:row>
    <x:row r="4">
      <x:c r="A4" s="167" t="str">
        <x:v>Properties</x:v>
      </x:c>
      <x:c r="B4" s="167"/>
      <x:c r="C4" s="125"/>
      <x:c r="D4" s="167" t="str">
        <x:v>Existing Assets</x:v>
      </x:c>
      <x:c r="E4" s="167"/>
      <x:c r="F4" s="125"/>
      <x:c r="G4" s="167" t="str">
        <x:v>New / Future Projects</x:v>
      </x:c>
      <x:c r="H4" s="167"/>
      <x:c r="I4" s="125"/>
      <x:c r="J4" s="167" t="str">
        <x:v>Overall Status</x:v>
      </x:c>
      <x:c r="K4" s="167"/>
      <x:c r="L4" s="125"/>
      <x:c r="M4" s="125"/>
      <x:c r="N4" s="125"/>
      <x:c r="O4" s="125"/>
      <x:c r="P4" s="125"/>
      <x:c r="Q4" s="125"/>
    </x:row>
    <x:row r="5">
      <x:c r="A5" s="168" t="n">
        <x:f>INDEX(DATA_METRIC_LONG!$E:$E,MATCH("Total Properties",DATA_METRIC_LONG!$B:$B,0))</x:f>
        <x:v>0</x:v>
      </x:c>
      <x:c r="B5" s="168"/>
      <x:c r="C5" s="125"/>
      <x:c r="D5" s="168" t="n">
        <x:f>INDEX(DATA_METRIC_LONG!$E:$E,MATCH("Existing Assets",DATA_METRIC_LONG!$B:$B,0))</x:f>
        <x:v>0</x:v>
      </x:c>
      <x:c r="E5" s="168"/>
      <x:c r="F5" s="125"/>
      <x:c r="G5" s="168" t="n">
        <x:f>INDEX(DATA_METRIC_LONG!$E:$E,MATCH("New / Future Projects",DATA_METRIC_LONG!$B:$B,0))</x:f>
        <x:v>0</x:v>
      </x:c>
      <x:c r="H5" s="168"/>
      <x:c r="I5" s="125"/>
      <x:c r="J5" s="168" t="str">
        <x:f>IF(COUNTIF(DATA_QUALITY_CHECKS!$E$7:$E$16,"OPEN")&gt;0,"Conditional","Ready")</x:f>
        <x:v>Conditional</x:v>
      </x:c>
      <x:c r="K5" s="168"/>
      <x:c r="L5" s="125"/>
      <x:c r="M5" s="125"/>
      <x:c r="N5" s="125"/>
      <x:c r="O5" s="125"/>
      <x:c r="P5" s="125"/>
      <x:c r="Q5" s="125"/>
    </x:row>
    <x:row r="6">
      <x:c r="A6" s="168"/>
      <x:c r="B6" s="168"/>
      <x:c r="C6" s="125"/>
      <x:c r="D6" s="168"/>
      <x:c r="E6" s="168"/>
      <x:c r="F6" s="125"/>
      <x:c r="G6" s="168"/>
      <x:c r="H6" s="168"/>
      <x:c r="I6" s="125"/>
      <x:c r="J6" s="168"/>
      <x:c r="K6" s="168"/>
      <x:c r="L6" s="125"/>
      <x:c r="M6" s="125"/>
      <x:c r="N6" s="125"/>
      <x:c r="O6" s="125"/>
      <x:c r="P6" s="125"/>
      <x:c r="Q6" s="125"/>
    </x:row>
    <x:row r="7">
      <x:c r="A7" s="125"/>
      <x:c r="B7" s="125"/>
      <x:c r="C7" s="125"/>
      <x:c r="D7" s="125"/>
      <x:c r="E7" s="125"/>
      <x:c r="F7" s="125"/>
      <x:c r="G7" s="125"/>
      <x:c r="H7" s="125"/>
      <x:c r="I7" s="125"/>
      <x:c r="J7" s="125"/>
      <x:c r="K7" s="125"/>
      <x:c r="L7" s="125"/>
      <x:c r="M7" s="125"/>
      <x:c r="N7" s="125"/>
      <x:c r="O7" s="125"/>
      <x:c r="P7" s="125"/>
      <x:c r="Q7" s="125"/>
    </x:row>
    <x:row r="8">
      <x:c r="A8" s="169" t="str">
        <x:v>1. Portfolio Profile</x:v>
      </x:c>
      <x:c r="B8" s="125"/>
      <x:c r="C8" s="125"/>
      <x:c r="D8" s="125"/>
      <x:c r="E8" s="125"/>
      <x:c r="F8" s="125"/>
      <x:c r="G8" s="169" t="str">
        <x:v>2. Data Readiness</x:v>
      </x:c>
      <x:c r="H8" s="125"/>
      <x:c r="I8" s="125"/>
      <x:c r="J8" s="125"/>
      <x:c r="K8" s="125"/>
      <x:c r="L8" s="125"/>
      <x:c r="M8" s="125"/>
      <x:c r="N8" s="125"/>
      <x:c r="O8" s="125"/>
      <x:c r="P8" s="125"/>
      <x:c r="Q8" s="125"/>
    </x:row>
    <x:row r="9">
      <x:c r="A9" s="170" t="str">
        <x:v>Organization</x:v>
      </x:c>
      <x:c r="B9" s="170" t="str"/>
      <x:c r="C9" s="171" t="str">
        <x:v>[Enter organization name]</x:v>
      </x:c>
      <x:c r="D9" s="171"/>
      <x:c r="E9" s="171"/>
      <x:c r="F9" s="125"/>
      <x:c r="G9" s="172" t="str">
        <x:v>Property List</x:v>
      </x:c>
      <x:c r="H9" s="172"/>
      <x:c r="I9" s="173" t="str">
        <x:f>IF(INDEX(DATA_QUALITY_CHECKS!$E:$E,MATCH("QC-MVP-001",DATA_QUALITY_CHECKS!$A:$A,0))="PASS","Complete","Review")</x:f>
        <x:v>Complete</x:v>
      </x:c>
      <x:c r="J9" s="173"/>
      <x:c r="K9" s="173"/>
      <x:c r="L9" s="125"/>
      <x:c r="M9" s="125"/>
      <x:c r="N9" s="125"/>
      <x:c r="O9" s="125"/>
      <x:c r="P9" s="125"/>
      <x:c r="Q9" s="125"/>
    </x:row>
    <x:row r="10">
      <x:c r="A10" s="170" t="str">
        <x:v>Review Type</x:v>
      </x:c>
      <x:c r="B10" s="170" t="str"/>
      <x:c r="C10" s="171" t="str">
        <x:v>Stage 1 Readiness Review</x:v>
      </x:c>
      <x:c r="D10" s="171"/>
      <x:c r="E10" s="171"/>
      <x:c r="F10" s="125"/>
      <x:c r="G10" s="172" t="str">
        <x:v>Unit Counts</x:v>
      </x:c>
      <x:c r="H10" s="172"/>
      <x:c r="I10" s="173" t="str">
        <x:f>IF(INDEX(DATA_QUALITY_CHECKS!$E:$E,MATCH("QC-MVP-003",DATA_QUALITY_CHECKS!$A:$A,0))="PASS","Complete","Partial / Conflict")</x:f>
        <x:v>Complete</x:v>
      </x:c>
      <x:c r="J10" s="173"/>
      <x:c r="K10" s="173"/>
      <x:c r="L10" s="125"/>
      <x:c r="M10" s="125"/>
      <x:c r="N10" s="125"/>
      <x:c r="O10" s="125"/>
      <x:c r="P10" s="125"/>
      <x:c r="Q10" s="125"/>
    </x:row>
    <x:row r="11">
      <x:c r="A11" s="170" t="str">
        <x:v>Reporting Period</x:v>
      </x:c>
      <x:c r="B11" s="170" t="str"/>
      <x:c r="C11" s="171" t="str">
        <x:v>[Enter reporting period]</x:v>
      </x:c>
      <x:c r="D11" s="171"/>
      <x:c r="E11" s="171"/>
      <x:c r="F11" s="125"/>
      <x:c r="G11" s="172" t="str">
        <x:v>Operating Budgets</x:v>
      </x:c>
      <x:c r="H11" s="172"/>
      <x:c r="I11" s="173" t="str">
        <x:f>IF(INDEX(DATA_QUALITY_CHECKS!$E:$E,MATCH("QC-MVP-005",DATA_QUALITY_CHECKS!$A:$A,0))="PASS","Complete","Partial")</x:f>
        <x:v>Complete</x:v>
      </x:c>
      <x:c r="J11" s="173"/>
      <x:c r="K11" s="173"/>
      <x:c r="L11" s="125"/>
      <x:c r="M11" s="125"/>
      <x:c r="N11" s="125"/>
      <x:c r="O11" s="125"/>
      <x:c r="P11" s="125"/>
      <x:c r="Q11" s="125"/>
    </x:row>
    <x:row r="12">
      <x:c r="A12" s="170" t="str">
        <x:v>Primary Source Package</x:v>
      </x:c>
      <x:c r="B12" s="170" t="str"/>
      <x:c r="C12" s="171" t="str">
        <x:v>[Log source package in STG_SOURCE_INTAKE]</x:v>
      </x:c>
      <x:c r="D12" s="171"/>
      <x:c r="E12" s="171"/>
      <x:c r="F12" s="125"/>
      <x:c r="G12" s="172" t="str">
        <x:v>Debt / Mortgage Data</x:v>
      </x:c>
      <x:c r="H12" s="172"/>
      <x:c r="I12" s="173" t="str">
        <x:f>IF(INDEX(DATA_QUALITY_CHECKS!$E:$E,MATCH("QC-MVP-006",DATA_QUALITY_CHECKS!$A:$A,0))="PASS","Available / Source-based","Open")</x:f>
        <x:v>Available / Source-based</x:v>
      </x:c>
      <x:c r="J12" s="173"/>
      <x:c r="K12" s="173"/>
      <x:c r="L12" s="125"/>
      <x:c r="M12" s="125"/>
      <x:c r="N12" s="125"/>
      <x:c r="O12" s="125"/>
      <x:c r="P12" s="125"/>
      <x:c r="Q12" s="125"/>
    </x:row>
    <x:row r="13">
      <x:c r="A13" s="170" t="str">
        <x:v>Data Confidence</x:v>
      </x:c>
      <x:c r="B13" s="170" t="str"/>
      <x:c r="C13" s="171" t="str">
        <x:v>Not assessed / blank template</x:v>
      </x:c>
      <x:c r="D13" s="171"/>
      <x:c r="E13" s="171"/>
      <x:c r="F13" s="125"/>
      <x:c r="G13" s="172" t="str">
        <x:v>Cash / Reserves</x:v>
      </x:c>
      <x:c r="H13" s="172"/>
      <x:c r="I13" s="173" t="str">
        <x:f>IF(INDEX(DATA_QUALITY_CHECKS!$E:$E,MATCH("QC-MVP-007",DATA_QUALITY_CHECKS!$A:$A,0))="PASS","Complete","Conditional")</x:f>
        <x:v>Complete</x:v>
      </x:c>
      <x:c r="J13" s="173"/>
      <x:c r="K13" s="173"/>
      <x:c r="L13" s="125"/>
      <x:c r="M13" s="125"/>
      <x:c r="N13" s="125"/>
      <x:c r="O13" s="125"/>
      <x:c r="P13" s="125"/>
      <x:c r="Q13" s="125"/>
    </x:row>
    <x:row r="14">
      <x:c r="A14" s="170" t="str">
        <x:v>Property Scope</x:v>
      </x:c>
      <x:c r="B14" s="170" t="str"/>
      <x:c r="C14" s="171" t="str">
        <x:v>[Existing + New Projects / TBD]</x:v>
      </x:c>
      <x:c r="D14" s="171"/>
      <x:c r="E14" s="171"/>
      <x:c r="F14" s="125"/>
      <x:c r="G14" s="172" t="str">
        <x:v>Capital Needs</x:v>
      </x:c>
      <x:c r="H14" s="172"/>
      <x:c r="I14" s="173" t="str">
        <x:f>IF(INDEX(DATA_QUALITY_CHECKS!$E:$E,MATCH("QC-MVP-008",DATA_QUALITY_CHECKS!$A:$A,0))="PASS","Complete","Conditional")</x:f>
        <x:v>Conditional</x:v>
      </x:c>
      <x:c r="J14" s="173"/>
      <x:c r="K14" s="173"/>
      <x:c r="L14" s="125"/>
      <x:c r="M14" s="125"/>
      <x:c r="N14" s="125"/>
      <x:c r="O14" s="125"/>
      <x:c r="P14" s="125"/>
      <x:c r="Q14" s="125"/>
    </x:row>
    <x:row r="15">
      <x:c r="A15" s="125"/>
      <x:c r="B15" s="125"/>
      <x:c r="C15" s="125"/>
      <x:c r="D15" s="125"/>
      <x:c r="E15" s="125"/>
      <x:c r="F15" s="125"/>
      <x:c r="G15" s="172" t="str">
        <x:v>Agreements / Restrictions</x:v>
      </x:c>
      <x:c r="H15" s="172"/>
      <x:c r="I15" s="173" t="str">
        <x:f>IF(INDEX(DATA_QUALITY_CHECKS!$E:$E,MATCH("QC-MVP-009",DATA_QUALITY_CHECKS!$A:$A,0))="PASS","Complete","Partial")</x:f>
        <x:v>Partial</x:v>
      </x:c>
      <x:c r="J15" s="173"/>
      <x:c r="K15" s="173"/>
      <x:c r="L15" s="125"/>
      <x:c r="M15" s="125"/>
      <x:c r="N15" s="125"/>
      <x:c r="O15" s="125"/>
      <x:c r="P15" s="125"/>
      <x:c r="Q15" s="125"/>
    </x:row>
    <x:row r="16">
      <x:c r="A16" s="125"/>
      <x:c r="B16" s="125"/>
      <x:c r="C16" s="125"/>
      <x:c r="D16" s="125"/>
      <x:c r="E16" s="125"/>
      <x:c r="F16" s="125"/>
      <x:c r="G16" s="172" t="str">
        <x:v>Source Documents</x:v>
      </x:c>
      <x:c r="H16" s="172"/>
      <x:c r="I16" s="173" t="str">
        <x:f>IF(INDEX(DATA_QUALITY_CHECKS!$E:$E,MATCH("QC-MVP-004",DATA_QUALITY_CHECKS!$A:$A,0))="PASS","Complete","Open")</x:f>
        <x:v>Complete</x:v>
      </x:c>
      <x:c r="J16" s="173"/>
      <x:c r="K16" s="173"/>
      <x:c r="L16" s="125"/>
      <x:c r="M16" s="125"/>
      <x:c r="N16" s="125"/>
      <x:c r="O16" s="125"/>
      <x:c r="P16" s="125"/>
      <x:c r="Q16" s="125"/>
    </x:row>
    <x:row r="17">
      <x:c r="A17" s="169" t="str">
        <x:v>3. Financial Snapshot</x:v>
      </x:c>
      <x:c r="B17" s="125"/>
      <x:c r="C17" s="125"/>
      <x:c r="D17" s="125"/>
      <x:c r="E17" s="125"/>
      <x:c r="F17" s="125"/>
      <x:c r="G17" s="125"/>
      <x:c r="H17" s="125"/>
      <x:c r="I17" s="125"/>
      <x:c r="J17" s="125"/>
      <x:c r="K17" s="125"/>
      <x:c r="L17" s="125"/>
      <x:c r="M17" s="125"/>
      <x:c r="N17" s="125"/>
      <x:c r="O17" s="125"/>
      <x:c r="P17" s="125"/>
      <x:c r="Q17" s="125"/>
    </x:row>
    <x:row r="18" ht="26" customHeight="1">
      <x:c r="A18" s="127" t="str">
        <x:v>Metric</x:v>
      </x:c>
      <x:c r="B18" s="127" t="str">
        <x:v>Value</x:v>
      </x:c>
      <x:c r="C18" s="127" t="str"/>
      <x:c r="D18" s="127" t="str">
        <x:v>Notes</x:v>
      </x:c>
      <x:c r="E18" s="127" t="str"/>
      <x:c r="F18" s="125"/>
      <x:c r="G18" s="169" t="str">
        <x:v>4. Mission / Affordability Snapshot</x:v>
      </x:c>
      <x:c r="H18" s="125"/>
      <x:c r="I18" s="125"/>
      <x:c r="J18" s="125"/>
      <x:c r="K18" s="125"/>
      <x:c r="L18" s="125"/>
      <x:c r="M18" s="125"/>
      <x:c r="N18" s="125"/>
      <x:c r="O18" s="125"/>
      <x:c r="P18" s="125"/>
      <x:c r="Q18" s="125"/>
    </x:row>
    <x:row r="19">
      <x:c r="A19" s="174" t="str">
        <x:v>Revenue</x:v>
      </x:c>
      <x:c r="B19" s="174"/>
      <x:c r="C19" s="175" t="n">
        <x:f>INDEX(DATA_METRIC_LONG!$E:$E,MATCH("Revenue",DATA_METRIC_LONG!$B:$B,0))</x:f>
        <x:v>0</x:v>
      </x:c>
      <x:c r="D19" s="125" t="str">
        <x:v>Source-based</x:v>
      </x:c>
      <x:c r="E19" s="125"/>
      <x:c r="F19" s="125"/>
      <x:c r="G19" s="172" t="str">
        <x:v>Modeled Units</x:v>
      </x:c>
      <x:c r="H19" s="172"/>
      <x:c r="I19" s="172"/>
      <x:c r="J19" s="173" t="n">
        <x:f>INDEX(DATA_METRIC_LONG!$E:$E,MATCH("Modeled Units",DATA_METRIC_LONG!$B:$B,0))</x:f>
        <x:v>0</x:v>
      </x:c>
      <x:c r="K19" s="173"/>
      <x:c r="L19" s="125"/>
      <x:c r="M19" s="125"/>
      <x:c r="N19" s="125"/>
      <x:c r="O19" s="125"/>
      <x:c r="P19" s="125"/>
      <x:c r="Q19" s="125"/>
    </x:row>
    <x:row r="20">
      <x:c r="A20" s="174" t="str">
        <x:v>Operating Expenses</x:v>
      </x:c>
      <x:c r="B20" s="174"/>
      <x:c r="C20" s="175" t="n">
        <x:f>INDEX(DATA_METRIC_LONG!$E:$E,MATCH("Operating Expenses",DATA_METRIC_LONG!$B:$B,0))</x:f>
        <x:v>0</x:v>
      </x:c>
      <x:c r="D20" s="125" t="str">
        <x:v>Source-based</x:v>
      </x:c>
      <x:c r="E20" s="125"/>
      <x:c r="F20" s="125"/>
      <x:c r="G20" s="172" t="str">
        <x:v>Affordable Units</x:v>
      </x:c>
      <x:c r="H20" s="172"/>
      <x:c r="I20" s="172"/>
      <x:c r="J20" s="173" t="n">
        <x:f>INDEX(DATA_METRIC_LONG!$E:$E,MATCH("Affordable Units",DATA_METRIC_LONG!$B:$B,0))</x:f>
        <x:v>0</x:v>
      </x:c>
      <x:c r="K20" s="173"/>
      <x:c r="L20" s="125"/>
      <x:c r="M20" s="125"/>
      <x:c r="N20" s="125"/>
      <x:c r="O20" s="125"/>
      <x:c r="P20" s="125"/>
      <x:c r="Q20" s="125"/>
    </x:row>
    <x:row r="21">
      <x:c r="A21" s="174" t="str">
        <x:v>NOI</x:v>
      </x:c>
      <x:c r="B21" s="174"/>
      <x:c r="C21" s="175" t="n">
        <x:f>INDEX(DATA_METRIC_LONG!$E:$E,MATCH("NOI",DATA_METRIC_LONG!$B:$B,0))</x:f>
        <x:v>0</x:v>
      </x:c>
      <x:c r="D21" s="125" t="str">
        <x:v>IREI calculated</x:v>
      </x:c>
      <x:c r="E21" s="125"/>
      <x:c r="F21" s="125"/>
      <x:c r="G21" s="172" t="str">
        <x:v>Market / Other Units</x:v>
      </x:c>
      <x:c r="H21" s="172"/>
      <x:c r="I21" s="172"/>
      <x:c r="J21" s="173" t="n">
        <x:f>INDEX(DATA_METRIC_LONG!$E:$E,MATCH("Market / Other Units",DATA_METRIC_LONG!$B:$B,0))</x:f>
        <x:v>0</x:v>
      </x:c>
      <x:c r="K21" s="173"/>
      <x:c r="L21" s="125"/>
      <x:c r="M21" s="125"/>
      <x:c r="N21" s="125"/>
      <x:c r="O21" s="125"/>
      <x:c r="P21" s="125"/>
      <x:c r="Q21" s="125"/>
    </x:row>
    <x:row r="22">
      <x:c r="A22" s="174" t="str">
        <x:v>Debt Service</x:v>
      </x:c>
      <x:c r="B22" s="174"/>
      <x:c r="C22" s="175" t="n">
        <x:f>INDEX(DATA_METRIC_LONG!$E:$E,MATCH("Debt Service",DATA_METRIC_LONG!$B:$B,0))</x:f>
        <x:v>0</x:v>
      </x:c>
      <x:c r="D22" s="125" t="str">
        <x:v>Formula/source-based</x:v>
      </x:c>
      <x:c r="E22" s="125"/>
      <x:c r="F22" s="125"/>
      <x:c r="G22" s="172" t="str">
        <x:v>Agreement Review</x:v>
      </x:c>
      <x:c r="H22" s="172"/>
      <x:c r="I22" s="172"/>
      <x:c r="J22" s="173" t="str">
        <x:f>INDEX(DATA_METRIC_LONG!$E:$E,MATCH("Agreement Review Status",DATA_METRIC_LONG!$B:$B,0))</x:f>
        <x:v>Not reviewed</x:v>
      </x:c>
      <x:c r="K22" s="173"/>
      <x:c r="L22" s="125"/>
      <x:c r="M22" s="125"/>
      <x:c r="N22" s="125"/>
      <x:c r="O22" s="125"/>
      <x:c r="P22" s="125"/>
      <x:c r="Q22" s="125"/>
    </x:row>
    <x:row r="23">
      <x:c r="A23" s="174" t="str">
        <x:v>AFFO / Cash Flow After Debt</x:v>
      </x:c>
      <x:c r="B23" s="174"/>
      <x:c r="C23" s="175" t="n">
        <x:f>INDEX(DATA_METRIC_LONG!$E:$E,MATCH("AFFO / Cash Flow After Debt",DATA_METRIC_LONG!$B:$B,0))</x:f>
        <x:v>0</x:v>
      </x:c>
      <x:c r="D23" s="125" t="str">
        <x:v>Simplified MVP</x:v>
      </x:c>
      <x:c r="E23" s="125"/>
      <x:c r="F23" s="125"/>
      <x:c r="G23" s="172" t="str">
        <x:v>Restriction Review Status</x:v>
      </x:c>
      <x:c r="H23" s="172"/>
      <x:c r="I23" s="172"/>
      <x:c r="J23" s="173" t="str">
        <x:f>IF(COUNTA(DATA_AGREEMENTS!A7:A206)=0,"Partial / not fully reviewed","Partial")</x:f>
        <x:v>Partial / not fully reviewed</x:v>
      </x:c>
      <x:c r="K23" s="173"/>
      <x:c r="L23" s="125"/>
      <x:c r="M23" s="125"/>
      <x:c r="N23" s="125"/>
      <x:c r="O23" s="125"/>
      <x:c r="P23" s="125"/>
      <x:c r="Q23" s="125"/>
    </x:row>
    <x:row r="24">
      <x:c r="A24" s="174" t="str">
        <x:v>DSCR</x:v>
      </x:c>
      <x:c r="B24" s="174"/>
      <x:c r="C24" s="176" t="str">
        <x:f>INDEX(DATA_METRIC_LONG!$E:$E,MATCH("DSCR",DATA_METRIC_LONG!$B:$B,0))</x:f>
      </x:c>
      <x:c r="D24" s="125" t="str">
        <x:v>NOI / debt service</x:v>
      </x:c>
      <x:c r="E24" s="125"/>
      <x:c r="F24" s="125"/>
      <x:c r="G24" s="125"/>
      <x:c r="H24" s="125"/>
      <x:c r="I24" s="125"/>
      <x:c r="J24" s="125"/>
      <x:c r="K24" s="125"/>
      <x:c r="L24" s="125"/>
      <x:c r="M24" s="125"/>
      <x:c r="N24" s="125"/>
      <x:c r="O24" s="125"/>
      <x:c r="P24" s="125"/>
      <x:c r="Q24" s="125"/>
    </x:row>
    <x:row r="25">
      <x:c r="A25" s="125"/>
      <x:c r="B25" s="125"/>
      <x:c r="C25" s="125"/>
      <x:c r="D25" s="125"/>
      <x:c r="E25" s="125"/>
      <x:c r="F25" s="125"/>
      <x:c r="G25" s="125"/>
      <x:c r="H25" s="125"/>
      <x:c r="I25" s="125"/>
      <x:c r="J25" s="125"/>
      <x:c r="K25" s="125"/>
      <x:c r="L25" s="125"/>
      <x:c r="M25" s="125"/>
      <x:c r="N25" s="125"/>
      <x:c r="O25" s="125"/>
      <x:c r="P25" s="125"/>
      <x:c r="Q25" s="125"/>
    </x:row>
    <x:row r="26">
      <x:c r="A26" s="177" t="str">
        <x:v>5. Key Flags / Unresolved Items</x:v>
      </x:c>
      <x:c r="B26" s="125"/>
      <x:c r="C26" s="125"/>
      <x:c r="D26" s="125"/>
      <x:c r="E26" s="125"/>
      <x:c r="F26" s="125"/>
      <x:c r="G26" s="125"/>
      <x:c r="H26" s="125"/>
      <x:c r="I26" s="125"/>
      <x:c r="J26" s="125"/>
      <x:c r="K26" s="125"/>
      <x:c r="L26" s="125"/>
      <x:c r="M26" s="125"/>
      <x:c r="N26" s="125"/>
      <x:c r="O26" s="125"/>
      <x:c r="P26" s="125"/>
      <x:c r="Q26" s="125"/>
    </x:row>
    <x:row r="27">
      <x:c r="A27" s="178" t="str">
        <x:f>IF(INDEX(ASSUMPTIONS_FLAGS!$D$7:$D$206,1)="","", "• "&amp;INDEX(ASSUMPTIONS_FLAGS!$D$7:$D$206,1))</x:f>
      </x:c>
      <x:c r="B27" s="178"/>
      <x:c r="C27" s="178"/>
      <x:c r="D27" s="178"/>
      <x:c r="E27" s="178"/>
      <x:c r="F27" s="178"/>
      <x:c r="G27" s="178"/>
      <x:c r="H27" s="178"/>
      <x:c r="I27" s="178"/>
      <x:c r="J27" s="178"/>
      <x:c r="K27" s="178"/>
      <x:c r="L27" s="125"/>
      <x:c r="M27" s="125"/>
      <x:c r="N27" s="125"/>
      <x:c r="O27" s="125"/>
      <x:c r="P27" s="125"/>
      <x:c r="Q27" s="125"/>
    </x:row>
    <x:row r="28">
      <x:c r="A28" s="178" t="str">
        <x:f>IF(INDEX(ASSUMPTIONS_FLAGS!$D$7:$D$206,2)="","", "• "&amp;INDEX(ASSUMPTIONS_FLAGS!$D$7:$D$206,2))</x:f>
      </x:c>
      <x:c r="B28" s="178"/>
      <x:c r="C28" s="178"/>
      <x:c r="D28" s="178"/>
      <x:c r="E28" s="178"/>
      <x:c r="F28" s="178"/>
      <x:c r="G28" s="178"/>
      <x:c r="H28" s="178"/>
      <x:c r="I28" s="178"/>
      <x:c r="J28" s="178"/>
      <x:c r="K28" s="178"/>
      <x:c r="L28" s="125"/>
      <x:c r="M28" s="125"/>
      <x:c r="N28" s="125"/>
      <x:c r="O28" s="125"/>
      <x:c r="P28" s="125"/>
      <x:c r="Q28" s="125"/>
    </x:row>
    <x:row r="29">
      <x:c r="A29" s="178" t="str">
        <x:f>IF(INDEX(ASSUMPTIONS_FLAGS!$D$7:$D$206,3)="","", "• "&amp;INDEX(ASSUMPTIONS_FLAGS!$D$7:$D$206,3))</x:f>
      </x:c>
      <x:c r="B29" s="178"/>
      <x:c r="C29" s="178"/>
      <x:c r="D29" s="178"/>
      <x:c r="E29" s="178"/>
      <x:c r="F29" s="178"/>
      <x:c r="G29" s="178"/>
      <x:c r="H29" s="178"/>
      <x:c r="I29" s="178"/>
      <x:c r="J29" s="178"/>
      <x:c r="K29" s="178"/>
      <x:c r="L29" s="125"/>
      <x:c r="M29" s="125"/>
      <x:c r="N29" s="125"/>
      <x:c r="O29" s="125"/>
      <x:c r="P29" s="125"/>
      <x:c r="Q29" s="125"/>
    </x:row>
    <x:row r="30">
      <x:c r="A30" s="178" t="str">
        <x:f>IF(INDEX(ASSUMPTIONS_FLAGS!$D$7:$D$206,4)="","", "• "&amp;INDEX(ASSUMPTIONS_FLAGS!$D$7:$D$206,4))</x:f>
      </x:c>
      <x:c r="B30" s="178"/>
      <x:c r="C30" s="178"/>
      <x:c r="D30" s="178"/>
      <x:c r="E30" s="178"/>
      <x:c r="F30" s="178"/>
      <x:c r="G30" s="178"/>
      <x:c r="H30" s="178"/>
      <x:c r="I30" s="178"/>
      <x:c r="J30" s="178"/>
      <x:c r="K30" s="178"/>
      <x:c r="L30" s="125"/>
      <x:c r="M30" s="125"/>
      <x:c r="N30" s="125"/>
      <x:c r="O30" s="125"/>
      <x:c r="P30" s="125"/>
      <x:c r="Q30" s="125"/>
    </x:row>
    <x:row r="31">
      <x:c r="A31" s="178" t="str">
        <x:f>IF(INDEX(ASSUMPTIONS_FLAGS!$D$7:$D$206,5)="","", "• "&amp;INDEX(ASSUMPTIONS_FLAGS!$D$7:$D$206,5))</x:f>
      </x:c>
      <x:c r="B31" s="178"/>
      <x:c r="C31" s="178"/>
      <x:c r="D31" s="178"/>
      <x:c r="E31" s="178"/>
      <x:c r="F31" s="178"/>
      <x:c r="G31" s="178"/>
      <x:c r="H31" s="178"/>
      <x:c r="I31" s="178"/>
      <x:c r="J31" s="178"/>
      <x:c r="K31" s="178"/>
      <x:c r="L31" s="125"/>
      <x:c r="M31" s="125"/>
      <x:c r="N31" s="125"/>
      <x:c r="O31" s="125"/>
      <x:c r="P31" s="125"/>
      <x:c r="Q31" s="125"/>
    </x:row>
    <x:row r="32">
      <x:c r="A32" s="178" t="str">
        <x:f>IF(INDEX(ASSUMPTIONS_FLAGS!$D$7:$D$206,6)="","", "• "&amp;INDEX(ASSUMPTIONS_FLAGS!$D$7:$D$206,6))</x:f>
      </x:c>
      <x:c r="B32" s="178"/>
      <x:c r="C32" s="178"/>
      <x:c r="D32" s="178"/>
      <x:c r="E32" s="178"/>
      <x:c r="F32" s="178"/>
      <x:c r="G32" s="178"/>
      <x:c r="H32" s="178"/>
      <x:c r="I32" s="178"/>
      <x:c r="J32" s="178"/>
      <x:c r="K32" s="178"/>
      <x:c r="L32" s="125"/>
      <x:c r="M32" s="125"/>
      <x:c r="N32" s="125"/>
      <x:c r="O32" s="125"/>
      <x:c r="P32" s="125"/>
      <x:c r="Q32" s="125"/>
    </x:row>
    <x:row r="33">
      <x:c r="A33" s="125"/>
      <x:c r="B33" s="125"/>
      <x:c r="C33" s="125"/>
      <x:c r="D33" s="125"/>
      <x:c r="E33" s="125"/>
      <x:c r="F33" s="125"/>
      <x:c r="G33" s="125"/>
      <x:c r="H33" s="125"/>
      <x:c r="I33" s="125"/>
      <x:c r="J33" s="125"/>
      <x:c r="K33" s="125"/>
      <x:c r="L33" s="125"/>
      <x:c r="M33" s="125"/>
      <x:c r="N33" s="125"/>
      <x:c r="O33" s="125"/>
      <x:c r="P33" s="125"/>
      <x:c r="Q33" s="125"/>
    </x:row>
    <x:row r="34">
      <x:c r="A34" s="124" t="str">
        <x:v>6. Readiness Conclusion</x:v>
      </x:c>
      <x:c r="B34" s="125"/>
      <x:c r="C34" s="125"/>
      <x:c r="D34" s="125"/>
      <x:c r="E34" s="125"/>
      <x:c r="F34" s="125"/>
      <x:c r="G34" s="125"/>
      <x:c r="H34" s="125"/>
      <x:c r="I34" s="125"/>
      <x:c r="J34" s="125"/>
      <x:c r="K34" s="125"/>
      <x:c r="L34" s="125"/>
      <x:c r="M34" s="125"/>
      <x:c r="N34" s="125"/>
      <x:c r="O34" s="125"/>
      <x:c r="P34" s="125"/>
      <x:c r="Q34" s="125"/>
    </x:row>
    <x:row r="35">
      <x:c r="A35" s="179" t="str">
        <x:v>Data Readiness</x:v>
      </x:c>
      <x:c r="B35" s="179"/>
      <x:c r="C35" s="125"/>
      <x:c r="D35" s="179" t="str">
        <x:v>Financial Readiness</x:v>
      </x:c>
      <x:c r="E35" s="179"/>
      <x:c r="F35" s="125"/>
      <x:c r="G35" s="179" t="str">
        <x:v>Mission / Restriction Review</x:v>
      </x:c>
      <x:c r="H35" s="179"/>
      <x:c r="I35" s="125"/>
      <x:c r="J35" s="179" t="str">
        <x:v>Overall Stage 1 Readiness</x:v>
      </x:c>
      <x:c r="K35" s="179"/>
      <x:c r="L35" s="125"/>
      <x:c r="M35" s="125"/>
      <x:c r="N35" s="125"/>
      <x:c r="O35" s="125"/>
      <x:c r="P35" s="125"/>
      <x:c r="Q35" s="125"/>
    </x:row>
    <x:row r="36">
      <x:c r="A36" s="180" t="str">
        <x:f>IF(COUNTIF(DATA_QUALITY_CHECKS!$E$7:$E$16,"OPEN")&gt;0,"Conditional","Ready")</x:f>
        <x:v>Conditional</x:v>
      </x:c>
      <x:c r="B36" s="179"/>
      <x:c r="C36" s="125"/>
      <x:c r="D36" s="180" t="str">
        <x:f>IF(INDEX(DATA_QUALITY_CHECKS!$E:$E,MATCH("QC-MVP-005",DATA_QUALITY_CHECKS!$A:$A,0))="PASS","Partial","Open")</x:f>
        <x:v>Partial</x:v>
      </x:c>
      <x:c r="E36" s="179"/>
      <x:c r="F36" s="125"/>
      <x:c r="G36" s="180" t="str">
        <x:f>IF(COUNTA(DATA_AGREEMENTS!A7:A206)=0,"Partial","Partial")</x:f>
        <x:v>Partial</x:v>
      </x:c>
      <x:c r="H36" s="179"/>
      <x:c r="I36" s="125"/>
      <x:c r="J36" s="180" t="str">
        <x:f>IF(COUNTIF(DATA_QUALITY_CHECKS!$E$7:$E$16,"OPEN")&gt;0,"Conditional","Ready")</x:f>
        <x:v>Conditional</x:v>
      </x:c>
      <x:c r="K36" s="179"/>
      <x:c r="L36" s="125"/>
      <x:c r="M36" s="125"/>
      <x:c r="N36" s="125"/>
      <x:c r="O36" s="125"/>
      <x:c r="P36" s="125"/>
      <x:c r="Q36" s="125"/>
    </x:row>
    <x:row r="37">
      <x:c r="A37" s="179" t="str">
        <x:v>Key data gaps remain</x:v>
      </x:c>
      <x:c r="B37" s="179"/>
      <x:c r="C37" s="125"/>
      <x:c r="D37" s="179" t="str">
        <x:v>Financial detail partially reviewed</x:v>
      </x:c>
      <x:c r="E37" s="179"/>
      <x:c r="F37" s="125"/>
      <x:c r="G37" s="179" t="str">
        <x:v>Affordability and restrictions partially confirmed</x:v>
      </x:c>
      <x:c r="H37" s="179"/>
      <x:c r="I37" s="125"/>
      <x:c r="J37" s="179" t="str">
        <x:v>Not fully ready for Stage 2 consideration</x:v>
      </x:c>
      <x:c r="K37" s="179"/>
      <x:c r="L37" s="125"/>
      <x:c r="M37" s="125"/>
      <x:c r="N37" s="125"/>
      <x:c r="O37" s="125"/>
      <x:c r="P37" s="125"/>
      <x:c r="Q37" s="125"/>
    </x:row>
    <x:row r="38">
      <x:c r="A38" s="179"/>
      <x:c r="B38" s="179"/>
      <x:c r="C38" s="125"/>
      <x:c r="D38" s="179"/>
      <x:c r="E38" s="179"/>
      <x:c r="F38" s="125"/>
      <x:c r="G38" s="179"/>
      <x:c r="H38" s="179"/>
      <x:c r="I38" s="125"/>
      <x:c r="J38" s="179"/>
      <x:c r="K38" s="179"/>
      <x:c r="L38" s="125"/>
      <x:c r="M38" s="125"/>
      <x:c r="N38" s="125"/>
      <x:c r="O38" s="125"/>
      <x:c r="P38" s="125"/>
      <x:c r="Q38" s="125"/>
    </x:row>
    <x:row r="39">
      <x:c r="A39" s="125"/>
      <x:c r="B39" s="125"/>
      <x:c r="C39" s="125"/>
      <x:c r="D39" s="125"/>
      <x:c r="E39" s="125"/>
      <x:c r="F39" s="125"/>
      <x:c r="G39" s="125"/>
      <x:c r="H39" s="125"/>
      <x:c r="I39" s="125"/>
      <x:c r="J39" s="125"/>
      <x:c r="K39" s="125"/>
      <x:c r="L39" s="125"/>
      <x:c r="M39" s="125"/>
      <x:c r="N39" s="125"/>
      <x:c r="O39" s="125"/>
      <x:c r="P39" s="125"/>
      <x:c r="Q39" s="125"/>
    </x:row>
    <x:row r="40">
      <x:c r="A40" s="181" t="str">
        <x:v>Preliminary result: conditionally ready for Stage 1 review, subject to confirmation of unit counts, cash restrictions, capital needs, and agreement review.</x:v>
      </x:c>
      <x:c r="B40" s="125"/>
      <x:c r="C40" s="125"/>
      <x:c r="D40" s="125"/>
      <x:c r="E40" s="125"/>
      <x:c r="F40" s="125"/>
      <x:c r="G40" s="125"/>
      <x:c r="H40" s="125"/>
      <x:c r="I40" s="125"/>
      <x:c r="J40" s="125"/>
      <x:c r="K40" s="125"/>
      <x:c r="L40" s="125"/>
      <x:c r="M40" s="125"/>
      <x:c r="N40" s="125"/>
      <x:c r="O40" s="125"/>
      <x:c r="P40" s="125"/>
      <x:c r="Q40" s="125"/>
    </x:row>
    <x:row r="41">
      <x:c r="A41" s="125"/>
      <x:c r="B41" s="125"/>
      <x:c r="C41" s="125"/>
      <x:c r="D41" s="125"/>
      <x:c r="E41" s="125"/>
      <x:c r="F41" s="125"/>
      <x:c r="G41" s="125"/>
      <x:c r="H41" s="125"/>
      <x:c r="I41" s="125"/>
      <x:c r="J41" s="125"/>
      <x:c r="K41" s="125"/>
      <x:c r="L41" s="125"/>
      <x:c r="M41" s="125"/>
      <x:c r="N41" s="125"/>
      <x:c r="O41" s="125"/>
      <x:c r="P41" s="125"/>
      <x:c r="Q41" s="125"/>
    </x:row>
    <x:row r="42">
      <x:c r="A42" s="125"/>
      <x:c r="B42" s="125"/>
      <x:c r="C42" s="125"/>
      <x:c r="D42" s="125"/>
      <x:c r="E42" s="125"/>
      <x:c r="F42" s="125"/>
      <x:c r="G42" s="125"/>
      <x:c r="H42" s="125"/>
      <x:c r="I42" s="125"/>
      <x:c r="J42" s="125"/>
      <x:c r="K42" s="125"/>
      <x:c r="L42" s="125"/>
      <x:c r="M42" s="125"/>
      <x:c r="N42" s="125"/>
      <x:c r="O42" s="125"/>
      <x:c r="P42" s="125"/>
      <x:c r="Q42" s="125"/>
    </x:row>
    <x:row r="43">
      <x:c r="A43" s="125"/>
      <x:c r="B43" s="125"/>
      <x:c r="C43" s="125"/>
      <x:c r="D43" s="125"/>
      <x:c r="E43" s="125"/>
      <x:c r="F43" s="125"/>
      <x:c r="G43" s="125"/>
      <x:c r="H43" s="125"/>
      <x:c r="I43" s="125"/>
      <x:c r="J43" s="125"/>
      <x:c r="K43" s="125"/>
      <x:c r="L43" s="125"/>
      <x:c r="M43" s="125"/>
      <x:c r="N43" s="125"/>
      <x:c r="O43" s="125"/>
      <x:c r="P43" s="125"/>
      <x:c r="Q43" s="125"/>
    </x:row>
    <x:row r="44">
      <x:c r="A44" s="125"/>
      <x:c r="B44" s="125"/>
      <x:c r="C44" s="125"/>
      <x:c r="D44" s="125"/>
      <x:c r="E44" s="125"/>
      <x:c r="F44" s="125"/>
      <x:c r="G44" s="125"/>
      <x:c r="H44" s="125"/>
      <x:c r="I44" s="125"/>
      <x:c r="J44" s="125"/>
      <x:c r="K44" s="125"/>
      <x:c r="L44" s="125"/>
      <x:c r="M44" s="125"/>
      <x:c r="N44" s="125"/>
      <x:c r="O44" s="125"/>
      <x:c r="P44" s="125"/>
      <x:c r="Q44" s="125"/>
    </x:row>
    <x:row r="45">
      <x:c r="A45" s="125"/>
      <x:c r="B45" s="125"/>
      <x:c r="C45" s="125"/>
      <x:c r="D45" s="125"/>
      <x:c r="E45" s="125"/>
      <x:c r="F45" s="125"/>
      <x:c r="G45" s="125"/>
      <x:c r="H45" s="125"/>
      <x:c r="I45" s="125"/>
      <x:c r="J45" s="125"/>
      <x:c r="K45" s="125"/>
      <x:c r="L45" s="125"/>
      <x:c r="M45" s="125"/>
      <x:c r="N45" s="125"/>
      <x:c r="O45" s="125"/>
      <x:c r="P45" s="125"/>
      <x:c r="Q45" s="125"/>
    </x:row>
    <x:row r="46">
      <x:c r="A46" s="125"/>
      <x:c r="B46" s="125"/>
      <x:c r="C46" s="125"/>
      <x:c r="D46" s="125"/>
      <x:c r="E46" s="125"/>
      <x:c r="F46" s="125"/>
      <x:c r="G46" s="125"/>
      <x:c r="H46" s="125"/>
      <x:c r="I46" s="125"/>
      <x:c r="J46" s="125"/>
      <x:c r="K46" s="125"/>
      <x:c r="L46" s="125"/>
      <x:c r="M46" s="125"/>
      <x:c r="N46" s="125"/>
      <x:c r="O46" s="125"/>
      <x:c r="P46" s="125"/>
      <x:c r="Q46" s="125"/>
    </x:row>
    <x:row r="47">
      <x:c r="A47" s="125"/>
      <x:c r="B47" s="125"/>
      <x:c r="C47" s="125"/>
      <x:c r="D47" s="125"/>
      <x:c r="E47" s="125"/>
      <x:c r="F47" s="125"/>
      <x:c r="G47" s="125"/>
      <x:c r="H47" s="125"/>
      <x:c r="I47" s="125"/>
      <x:c r="J47" s="125"/>
      <x:c r="K47" s="125"/>
      <x:c r="L47" s="125"/>
      <x:c r="M47" s="125"/>
      <x:c r="N47" s="125"/>
      <x:c r="O47" s="125"/>
      <x:c r="P47" s="125"/>
      <x:c r="Q47" s="125"/>
    </x:row>
    <x:row r="48">
      <x:c r="A48" s="125"/>
      <x:c r="B48" s="125"/>
      <x:c r="C48" s="125"/>
      <x:c r="D48" s="125"/>
      <x:c r="E48" s="125"/>
      <x:c r="F48" s="125"/>
      <x:c r="G48" s="125"/>
      <x:c r="H48" s="125"/>
      <x:c r="I48" s="125"/>
      <x:c r="J48" s="125"/>
      <x:c r="K48" s="125"/>
      <x:c r="L48" s="125"/>
      <x:c r="M48" s="125"/>
      <x:c r="N48" s="125"/>
      <x:c r="O48" s="125"/>
      <x:c r="P48" s="125"/>
      <x:c r="Q48" s="125"/>
    </x:row>
    <x:row r="49">
      <x:c r="A49" s="125"/>
      <x:c r="B49" s="125"/>
      <x:c r="C49" s="125"/>
      <x:c r="D49" s="125"/>
      <x:c r="E49" s="125"/>
      <x:c r="F49" s="125"/>
      <x:c r="G49" s="125"/>
      <x:c r="H49" s="125"/>
      <x:c r="I49" s="125"/>
      <x:c r="J49" s="125"/>
      <x:c r="K49" s="125"/>
      <x:c r="L49" s="125"/>
      <x:c r="M49" s="125"/>
      <x:c r="N49" s="125"/>
      <x:c r="O49" s="125"/>
      <x:c r="P49" s="125"/>
      <x:c r="Q49" s="125"/>
    </x:row>
    <x:row r="50">
      <x:c r="A50" s="125"/>
      <x:c r="B50" s="125"/>
      <x:c r="C50" s="125"/>
      <x:c r="D50" s="125"/>
      <x:c r="E50" s="125"/>
      <x:c r="F50" s="125"/>
      <x:c r="G50" s="125"/>
      <x:c r="H50" s="125"/>
      <x:c r="I50" s="125"/>
      <x:c r="J50" s="125"/>
      <x:c r="K50" s="125"/>
      <x:c r="L50" s="125"/>
      <x:c r="M50" s="125"/>
      <x:c r="N50" s="125"/>
      <x:c r="O50" s="125"/>
      <x:c r="P50" s="125"/>
      <x:c r="Q50" s="125"/>
    </x:row>
    <x:row r="51">
      <x:c r="A51" s="125"/>
      <x:c r="B51" s="125"/>
      <x:c r="C51" s="125"/>
      <x:c r="D51" s="125"/>
      <x:c r="E51" s="125"/>
      <x:c r="F51" s="125"/>
      <x:c r="G51" s="125"/>
      <x:c r="H51" s="125"/>
      <x:c r="I51" s="125"/>
      <x:c r="J51" s="125"/>
      <x:c r="K51" s="125"/>
      <x:c r="L51" s="125"/>
      <x:c r="M51" s="125"/>
      <x:c r="N51" s="125"/>
      <x:c r="O51" s="125"/>
      <x:c r="P51" s="125"/>
      <x:c r="Q51" s="125"/>
    </x:row>
    <x:row r="52">
      <x:c r="A52" s="125"/>
      <x:c r="B52" s="125"/>
      <x:c r="C52" s="125"/>
      <x:c r="D52" s="125"/>
      <x:c r="E52" s="125"/>
      <x:c r="F52" s="125"/>
      <x:c r="G52" s="125"/>
      <x:c r="H52" s="125"/>
      <x:c r="I52" s="125"/>
      <x:c r="J52" s="125"/>
      <x:c r="K52" s="125"/>
      <x:c r="L52" s="125"/>
      <x:c r="M52" s="125"/>
      <x:c r="N52" s="125"/>
      <x:c r="O52" s="125"/>
      <x:c r="P52" s="125"/>
      <x:c r="Q52" s="125"/>
    </x:row>
    <x:row r="53">
      <x:c r="A53" s="125"/>
      <x:c r="B53" s="125"/>
      <x:c r="C53" s="125"/>
      <x:c r="D53" s="125"/>
      <x:c r="E53" s="125"/>
      <x:c r="F53" s="125"/>
      <x:c r="G53" s="125"/>
      <x:c r="H53" s="125"/>
      <x:c r="I53" s="125"/>
      <x:c r="J53" s="125"/>
      <x:c r="K53" s="125"/>
      <x:c r="L53" s="125"/>
      <x:c r="M53" s="125"/>
      <x:c r="N53" s="125"/>
      <x:c r="O53" s="125"/>
      <x:c r="P53" s="125"/>
      <x:c r="Q53" s="125"/>
    </x:row>
    <x:row r="54">
      <x:c r="A54" s="125"/>
      <x:c r="B54" s="125"/>
      <x:c r="C54" s="125"/>
      <x:c r="D54" s="125"/>
      <x:c r="E54" s="125"/>
      <x:c r="F54" s="125"/>
      <x:c r="G54" s="125"/>
      <x:c r="H54" s="125"/>
      <x:c r="I54" s="125"/>
      <x:c r="J54" s="125"/>
      <x:c r="K54" s="125"/>
      <x:c r="L54" s="125"/>
      <x:c r="M54" s="125"/>
      <x:c r="N54" s="125"/>
      <x:c r="O54" s="125"/>
      <x:c r="P54" s="125"/>
      <x:c r="Q54" s="125"/>
    </x:row>
    <x:row r="55">
      <x:c r="A55" s="125"/>
      <x:c r="B55" s="125"/>
      <x:c r="C55" s="125"/>
      <x:c r="D55" s="125"/>
      <x:c r="E55" s="125"/>
      <x:c r="F55" s="125"/>
      <x:c r="G55" s="125"/>
      <x:c r="H55" s="125"/>
      <x:c r="I55" s="125"/>
      <x:c r="J55" s="125"/>
      <x:c r="K55" s="125"/>
      <x:c r="L55" s="125"/>
      <x:c r="M55" s="125"/>
      <x:c r="N55" s="125"/>
      <x:c r="O55" s="125"/>
      <x:c r="P55" s="125"/>
      <x:c r="Q55" s="125"/>
    </x:row>
    <x:row r="56">
      <x:c r="A56" s="125"/>
      <x:c r="B56" s="125"/>
      <x:c r="C56" s="125"/>
      <x:c r="D56" s="125"/>
      <x:c r="E56" s="125"/>
      <x:c r="F56" s="125"/>
      <x:c r="G56" s="125"/>
      <x:c r="H56" s="125"/>
      <x:c r="I56" s="125"/>
      <x:c r="J56" s="125"/>
      <x:c r="K56" s="125"/>
      <x:c r="L56" s="125"/>
      <x:c r="M56" s="125"/>
      <x:c r="N56" s="125"/>
      <x:c r="O56" s="125"/>
      <x:c r="P56" s="125"/>
      <x:c r="Q56" s="125"/>
    </x:row>
    <x:row r="57">
      <x:c r="A57" s="125"/>
      <x:c r="B57" s="125"/>
      <x:c r="C57" s="125"/>
      <x:c r="D57" s="125"/>
      <x:c r="E57" s="125"/>
      <x:c r="F57" s="125"/>
      <x:c r="G57" s="125"/>
      <x:c r="H57" s="125"/>
      <x:c r="I57" s="125"/>
      <x:c r="J57" s="125"/>
      <x:c r="K57" s="125"/>
      <x:c r="L57" s="125"/>
      <x:c r="M57" s="125"/>
      <x:c r="N57" s="125"/>
      <x:c r="O57" s="125"/>
      <x:c r="P57" s="125"/>
      <x:c r="Q57" s="125"/>
    </x:row>
    <x:row r="58">
      <x:c r="A58" s="125"/>
      <x:c r="B58" s="125"/>
      <x:c r="C58" s="125"/>
      <x:c r="D58" s="125"/>
      <x:c r="E58" s="125"/>
      <x:c r="F58" s="125"/>
      <x:c r="G58" s="125"/>
      <x:c r="H58" s="125"/>
      <x:c r="I58" s="125"/>
      <x:c r="J58" s="125"/>
      <x:c r="K58" s="125"/>
      <x:c r="L58" s="125"/>
      <x:c r="M58" s="125"/>
      <x:c r="N58" s="125"/>
      <x:c r="O58" s="125"/>
      <x:c r="P58" s="125"/>
      <x:c r="Q58" s="125"/>
    </x:row>
    <x:row r="59">
      <x:c r="A59" s="125"/>
      <x:c r="B59" s="125"/>
      <x:c r="C59" s="125"/>
      <x:c r="D59" s="125"/>
      <x:c r="E59" s="125"/>
      <x:c r="F59" s="125"/>
      <x:c r="G59" s="125"/>
      <x:c r="H59" s="125"/>
      <x:c r="I59" s="125"/>
      <x:c r="J59" s="125"/>
      <x:c r="K59" s="125"/>
      <x:c r="L59" s="125"/>
      <x:c r="M59" s="125"/>
      <x:c r="N59" s="125"/>
      <x:c r="O59" s="125"/>
      <x:c r="P59" s="125"/>
      <x:c r="Q59" s="125"/>
    </x:row>
    <x:row r="60">
      <x:c r="A60" s="125"/>
      <x:c r="B60" s="125"/>
      <x:c r="C60" s="125"/>
      <x:c r="D60" s="125"/>
      <x:c r="E60" s="125"/>
      <x:c r="F60" s="125"/>
      <x:c r="G60" s="125"/>
      <x:c r="H60" s="125"/>
      <x:c r="I60" s="125"/>
      <x:c r="J60" s="125"/>
      <x:c r="K60" s="125"/>
      <x:c r="L60" s="125"/>
      <x:c r="M60" s="125"/>
      <x:c r="N60" s="125"/>
      <x:c r="O60" s="125"/>
      <x:c r="P60" s="125"/>
      <x:c r="Q60" s="125"/>
    </x:row>
    <x:row r="61">
      <x:c r="A61" s="125"/>
      <x:c r="B61" s="125"/>
      <x:c r="C61" s="125"/>
      <x:c r="D61" s="125"/>
      <x:c r="E61" s="125"/>
      <x:c r="F61" s="125"/>
      <x:c r="G61" s="125"/>
      <x:c r="H61" s="125"/>
      <x:c r="I61" s="125"/>
      <x:c r="J61" s="125"/>
      <x:c r="K61" s="125"/>
      <x:c r="L61" s="125"/>
      <x:c r="M61" s="125"/>
      <x:c r="N61" s="125"/>
      <x:c r="O61" s="125"/>
      <x:c r="P61" s="125"/>
      <x:c r="Q61" s="125"/>
    </x:row>
    <x:row r="62">
      <x:c r="A62" s="125"/>
      <x:c r="B62" s="125"/>
      <x:c r="C62" s="125"/>
      <x:c r="D62" s="125"/>
      <x:c r="E62" s="125"/>
      <x:c r="F62" s="125"/>
      <x:c r="G62" s="125"/>
      <x:c r="H62" s="125"/>
      <x:c r="I62" s="125"/>
      <x:c r="J62" s="125"/>
      <x:c r="K62" s="125"/>
      <x:c r="L62" s="125"/>
      <x:c r="M62" s="125"/>
      <x:c r="N62" s="125"/>
      <x:c r="O62" s="125"/>
      <x:c r="P62" s="125"/>
      <x:c r="Q62" s="125"/>
    </x:row>
    <x:row r="63">
      <x:c r="A63" s="125"/>
      <x:c r="B63" s="125"/>
      <x:c r="C63" s="125"/>
      <x:c r="D63" s="125"/>
      <x:c r="E63" s="125"/>
      <x:c r="F63" s="125"/>
      <x:c r="G63" s="125"/>
      <x:c r="H63" s="125"/>
      <x:c r="I63" s="125"/>
      <x:c r="J63" s="125"/>
      <x:c r="K63" s="125"/>
      <x:c r="L63" s="125"/>
      <x:c r="M63" s="125"/>
      <x:c r="N63" s="125"/>
      <x:c r="O63" s="125"/>
      <x:c r="P63" s="125"/>
      <x:c r="Q63" s="125"/>
    </x:row>
    <x:row r="64">
      <x:c r="A64" s="125"/>
      <x:c r="B64" s="125"/>
      <x:c r="C64" s="125"/>
      <x:c r="D64" s="125"/>
      <x:c r="E64" s="125"/>
      <x:c r="F64" s="125"/>
      <x:c r="G64" s="125"/>
      <x:c r="H64" s="125"/>
      <x:c r="I64" s="125"/>
      <x:c r="J64" s="125"/>
      <x:c r="K64" s="125"/>
      <x:c r="L64" s="125"/>
      <x:c r="M64" s="125"/>
      <x:c r="N64" s="125"/>
      <x:c r="O64" s="125"/>
      <x:c r="P64" s="125"/>
      <x:c r="Q64" s="125"/>
    </x:row>
    <x:row r="65">
      <x:c r="A65" s="125"/>
      <x:c r="B65" s="125"/>
      <x:c r="C65" s="125"/>
      <x:c r="D65" s="125"/>
      <x:c r="E65" s="125"/>
      <x:c r="F65" s="125"/>
      <x:c r="G65" s="125"/>
      <x:c r="H65" s="125"/>
      <x:c r="I65" s="125"/>
      <x:c r="J65" s="125"/>
      <x:c r="K65" s="125"/>
      <x:c r="L65" s="125"/>
      <x:c r="M65" s="125"/>
      <x:c r="N65" s="125"/>
      <x:c r="O65" s="125"/>
      <x:c r="P65" s="125"/>
      <x:c r="Q65" s="125"/>
    </x:row>
    <x:row r="66">
      <x:c r="A66" s="125"/>
      <x:c r="B66" s="125"/>
      <x:c r="C66" s="125"/>
      <x:c r="D66" s="125"/>
      <x:c r="E66" s="125"/>
      <x:c r="F66" s="125"/>
      <x:c r="G66" s="125"/>
      <x:c r="H66" s="125"/>
      <x:c r="I66" s="125"/>
      <x:c r="J66" s="125"/>
      <x:c r="K66" s="125"/>
      <x:c r="L66" s="125"/>
      <x:c r="M66" s="125"/>
      <x:c r="N66" s="125"/>
      <x:c r="O66" s="125"/>
      <x:c r="P66" s="125"/>
      <x:c r="Q66" s="125"/>
    </x:row>
    <x:row r="67">
      <x:c r="A67" s="125"/>
      <x:c r="B67" s="125"/>
      <x:c r="C67" s="125"/>
      <x:c r="D67" s="125"/>
      <x:c r="E67" s="125"/>
      <x:c r="F67" s="125"/>
      <x:c r="G67" s="125"/>
      <x:c r="H67" s="125"/>
      <x:c r="I67" s="125"/>
      <x:c r="J67" s="125"/>
      <x:c r="K67" s="125"/>
      <x:c r="L67" s="125"/>
      <x:c r="M67" s="125"/>
      <x:c r="N67" s="125"/>
      <x:c r="O67" s="125"/>
      <x:c r="P67" s="125"/>
      <x:c r="Q67" s="125"/>
    </x:row>
    <x:row r="68">
      <x:c r="A68" s="125"/>
      <x:c r="B68" s="125"/>
      <x:c r="C68" s="125"/>
      <x:c r="D68" s="125"/>
      <x:c r="E68" s="125"/>
      <x:c r="F68" s="125"/>
      <x:c r="G68" s="125"/>
      <x:c r="H68" s="125"/>
      <x:c r="I68" s="125"/>
      <x:c r="J68" s="125"/>
      <x:c r="K68" s="125"/>
      <x:c r="L68" s="125"/>
      <x:c r="M68" s="125"/>
      <x:c r="N68" s="125"/>
      <x:c r="O68" s="125"/>
      <x:c r="P68" s="125"/>
      <x:c r="Q68" s="125"/>
    </x:row>
    <x:row r="69">
      <x:c r="A69" s="125"/>
      <x:c r="B69" s="125"/>
      <x:c r="C69" s="125"/>
      <x:c r="D69" s="125"/>
      <x:c r="E69" s="125"/>
      <x:c r="F69" s="125"/>
      <x:c r="G69" s="125"/>
      <x:c r="H69" s="125"/>
      <x:c r="I69" s="125"/>
      <x:c r="J69" s="125"/>
      <x:c r="K69" s="125"/>
      <x:c r="L69" s="125"/>
      <x:c r="M69" s="125"/>
      <x:c r="N69" s="125"/>
      <x:c r="O69" s="125"/>
      <x:c r="P69" s="125"/>
      <x:c r="Q69" s="125"/>
    </x:row>
    <x:row r="70">
      <x:c r="A70" s="125"/>
      <x:c r="B70" s="125"/>
      <x:c r="C70" s="125"/>
      <x:c r="D70" s="125"/>
      <x:c r="E70" s="125"/>
      <x:c r="F70" s="125"/>
      <x:c r="G70" s="125"/>
      <x:c r="H70" s="125"/>
      <x:c r="I70" s="125"/>
      <x:c r="J70" s="125"/>
      <x:c r="K70" s="125"/>
      <x:c r="L70" s="125"/>
      <x:c r="M70" s="125"/>
      <x:c r="N70" s="125"/>
      <x:c r="O70" s="125"/>
      <x:c r="P70" s="125"/>
      <x:c r="Q70" s="125"/>
    </x:row>
    <x:row r="71">
      <x:c r="A71" s="125"/>
      <x:c r="B71" s="125"/>
      <x:c r="C71" s="125"/>
      <x:c r="D71" s="125"/>
      <x:c r="E71" s="125"/>
      <x:c r="F71" s="125"/>
      <x:c r="G71" s="125"/>
      <x:c r="H71" s="125"/>
      <x:c r="I71" s="125"/>
      <x:c r="J71" s="125"/>
      <x:c r="K71" s="125"/>
      <x:c r="L71" s="125"/>
      <x:c r="M71" s="125"/>
      <x:c r="N71" s="125"/>
      <x:c r="O71" s="125"/>
      <x:c r="P71" s="125"/>
      <x:c r="Q71" s="125"/>
    </x:row>
    <x:row r="72">
      <x:c r="A72" s="125"/>
      <x:c r="B72" s="125"/>
      <x:c r="C72" s="125"/>
      <x:c r="D72" s="125"/>
      <x:c r="E72" s="125"/>
      <x:c r="F72" s="125"/>
      <x:c r="G72" s="125"/>
      <x:c r="H72" s="125"/>
      <x:c r="I72" s="125"/>
      <x:c r="J72" s="125"/>
      <x:c r="K72" s="125"/>
      <x:c r="L72" s="125"/>
      <x:c r="M72" s="125"/>
      <x:c r="N72" s="125"/>
      <x:c r="O72" s="125"/>
      <x:c r="P72" s="125"/>
      <x:c r="Q72" s="125"/>
    </x:row>
    <x:row r="73">
      <x:c r="A73" s="125"/>
      <x:c r="B73" s="125"/>
      <x:c r="C73" s="125"/>
      <x:c r="D73" s="125"/>
      <x:c r="E73" s="125"/>
      <x:c r="F73" s="125"/>
      <x:c r="G73" s="125"/>
      <x:c r="H73" s="125"/>
      <x:c r="I73" s="125"/>
      <x:c r="J73" s="125"/>
      <x:c r="K73" s="125"/>
      <x:c r="L73" s="125"/>
      <x:c r="M73" s="125"/>
      <x:c r="N73" s="125"/>
      <x:c r="O73" s="125"/>
      <x:c r="P73" s="125"/>
      <x:c r="Q73" s="125"/>
    </x:row>
    <x:row r="74">
      <x:c r="A74" s="125"/>
      <x:c r="B74" s="125"/>
      <x:c r="C74" s="125"/>
      <x:c r="D74" s="125"/>
      <x:c r="E74" s="125"/>
      <x:c r="F74" s="125"/>
      <x:c r="G74" s="125"/>
      <x:c r="H74" s="125"/>
      <x:c r="I74" s="125"/>
      <x:c r="J74" s="125"/>
      <x:c r="K74" s="125"/>
      <x:c r="L74" s="125"/>
      <x:c r="M74" s="125"/>
      <x:c r="N74" s="125"/>
      <x:c r="O74" s="125"/>
      <x:c r="P74" s="125"/>
      <x:c r="Q74" s="125"/>
    </x:row>
    <x:row r="75">
      <x:c r="A75" s="125"/>
      <x:c r="B75" s="125"/>
      <x:c r="C75" s="125"/>
      <x:c r="D75" s="125"/>
      <x:c r="E75" s="125"/>
      <x:c r="F75" s="125"/>
      <x:c r="G75" s="125"/>
      <x:c r="H75" s="125"/>
      <x:c r="I75" s="125"/>
      <x:c r="J75" s="125"/>
      <x:c r="K75" s="125"/>
      <x:c r="L75" s="125"/>
      <x:c r="M75" s="125"/>
      <x:c r="N75" s="125"/>
      <x:c r="O75" s="125"/>
      <x:c r="P75" s="125"/>
      <x:c r="Q75" s="125"/>
    </x:row>
    <x:row r="76">
      <x:c r="A76" s="125"/>
      <x:c r="B76" s="125"/>
      <x:c r="C76" s="125"/>
      <x:c r="D76" s="125"/>
      <x:c r="E76" s="125"/>
      <x:c r="F76" s="125"/>
      <x:c r="G76" s="125"/>
      <x:c r="H76" s="125"/>
      <x:c r="I76" s="125"/>
      <x:c r="J76" s="125"/>
      <x:c r="K76" s="125"/>
      <x:c r="L76" s="125"/>
      <x:c r="M76" s="125"/>
      <x:c r="N76" s="125"/>
      <x:c r="O76" s="125"/>
      <x:c r="P76" s="125"/>
      <x:c r="Q76" s="125"/>
    </x:row>
    <x:row r="77">
      <x:c r="A77" s="125"/>
      <x:c r="B77" s="125"/>
      <x:c r="C77" s="125"/>
      <x:c r="D77" s="125"/>
      <x:c r="E77" s="125"/>
      <x:c r="F77" s="125"/>
      <x:c r="G77" s="125"/>
      <x:c r="H77" s="125"/>
      <x:c r="I77" s="125"/>
      <x:c r="J77" s="125"/>
      <x:c r="K77" s="125"/>
      <x:c r="L77" s="125"/>
      <x:c r="M77" s="125"/>
      <x:c r="N77" s="125"/>
      <x:c r="O77" s="125"/>
      <x:c r="P77" s="125"/>
      <x:c r="Q77" s="125"/>
    </x:row>
    <x:row r="78">
      <x:c r="A78" s="125"/>
      <x:c r="B78" s="125"/>
      <x:c r="C78" s="125"/>
      <x:c r="D78" s="125"/>
      <x:c r="E78" s="125"/>
      <x:c r="F78" s="125"/>
      <x:c r="G78" s="125"/>
      <x:c r="H78" s="125"/>
      <x:c r="I78" s="125"/>
      <x:c r="J78" s="125"/>
      <x:c r="K78" s="125"/>
      <x:c r="L78" s="125"/>
      <x:c r="M78" s="125"/>
      <x:c r="N78" s="125"/>
      <x:c r="O78" s="125"/>
      <x:c r="P78" s="125"/>
      <x:c r="Q78" s="125"/>
    </x:row>
    <x:row r="79">
      <x:c r="A79" s="125"/>
      <x:c r="B79" s="125"/>
      <x:c r="C79" s="125"/>
      <x:c r="D79" s="125"/>
      <x:c r="E79" s="125"/>
      <x:c r="F79" s="125"/>
      <x:c r="G79" s="125"/>
      <x:c r="H79" s="125"/>
      <x:c r="I79" s="125"/>
      <x:c r="J79" s="125"/>
      <x:c r="K79" s="125"/>
      <x:c r="L79" s="125"/>
      <x:c r="M79" s="125"/>
      <x:c r="N79" s="125"/>
      <x:c r="O79" s="125"/>
      <x:c r="P79" s="125"/>
      <x:c r="Q79" s="125"/>
    </x:row>
    <x:row r="80">
      <x:c r="A80" s="125"/>
      <x:c r="B80" s="125"/>
      <x:c r="C80" s="125"/>
      <x:c r="D80" s="125"/>
      <x:c r="E80" s="125"/>
      <x:c r="F80" s="125"/>
      <x:c r="G80" s="125"/>
      <x:c r="H80" s="125"/>
      <x:c r="I80" s="125"/>
      <x:c r="J80" s="125"/>
      <x:c r="K80" s="125"/>
      <x:c r="L80" s="125"/>
      <x:c r="M80" s="125"/>
      <x:c r="N80" s="125"/>
      <x:c r="O80" s="125"/>
      <x:c r="P80" s="125"/>
      <x:c r="Q80" s="125"/>
    </x:row>
    <x:row r="81">
      <x:c r="A81" s="125"/>
      <x:c r="B81" s="125"/>
      <x:c r="C81" s="125"/>
      <x:c r="D81" s="125"/>
      <x:c r="E81" s="125"/>
      <x:c r="F81" s="125"/>
      <x:c r="G81" s="125"/>
      <x:c r="H81" s="125"/>
      <x:c r="I81" s="125"/>
      <x:c r="J81" s="125"/>
      <x:c r="K81" s="125"/>
      <x:c r="L81" s="125"/>
      <x:c r="M81" s="125"/>
      <x:c r="N81" s="125"/>
      <x:c r="O81" s="125"/>
      <x:c r="P81" s="125"/>
      <x:c r="Q81" s="125"/>
    </x:row>
    <x:row r="82">
      <x:c r="A82" s="125"/>
      <x:c r="B82" s="125"/>
      <x:c r="C82" s="125"/>
      <x:c r="D82" s="125"/>
      <x:c r="E82" s="125"/>
      <x:c r="F82" s="125"/>
      <x:c r="G82" s="125"/>
      <x:c r="H82" s="125"/>
      <x:c r="I82" s="125"/>
      <x:c r="J82" s="125"/>
      <x:c r="K82" s="125"/>
      <x:c r="L82" s="125"/>
      <x:c r="M82" s="125"/>
      <x:c r="N82" s="125"/>
      <x:c r="O82" s="125"/>
      <x:c r="P82" s="125"/>
      <x:c r="Q82" s="125"/>
    </x:row>
    <x:row r="83">
      <x:c r="A83" s="125"/>
      <x:c r="B83" s="125"/>
      <x:c r="C83" s="125"/>
      <x:c r="D83" s="125"/>
      <x:c r="E83" s="125"/>
      <x:c r="F83" s="125"/>
      <x:c r="G83" s="125"/>
      <x:c r="H83" s="125"/>
      <x:c r="I83" s="125"/>
      <x:c r="J83" s="125"/>
      <x:c r="K83" s="125"/>
      <x:c r="L83" s="125"/>
      <x:c r="M83" s="125"/>
      <x:c r="N83" s="125"/>
      <x:c r="O83" s="125"/>
      <x:c r="P83" s="125"/>
      <x:c r="Q83" s="125"/>
    </x:row>
    <x:row r="84">
      <x:c r="A84" s="125"/>
      <x:c r="B84" s="125"/>
      <x:c r="C84" s="125"/>
      <x:c r="D84" s="125"/>
      <x:c r="E84" s="125"/>
      <x:c r="F84" s="125"/>
      <x:c r="G84" s="125"/>
      <x:c r="H84" s="125"/>
      <x:c r="I84" s="125"/>
      <x:c r="J84" s="125"/>
      <x:c r="K84" s="125"/>
      <x:c r="L84" s="125"/>
      <x:c r="M84" s="125"/>
      <x:c r="N84" s="125"/>
      <x:c r="O84" s="125"/>
      <x:c r="P84" s="125"/>
      <x:c r="Q84" s="125"/>
    </x:row>
    <x:row r="85">
      <x:c r="A85" s="125"/>
      <x:c r="B85" s="125"/>
      <x:c r="C85" s="125"/>
      <x:c r="D85" s="125"/>
      <x:c r="E85" s="125"/>
      <x:c r="F85" s="125"/>
      <x:c r="G85" s="125"/>
      <x:c r="H85" s="125"/>
      <x:c r="I85" s="125"/>
      <x:c r="J85" s="125"/>
      <x:c r="K85" s="125"/>
      <x:c r="L85" s="125"/>
      <x:c r="M85" s="125"/>
      <x:c r="N85" s="125"/>
      <x:c r="O85" s="125"/>
      <x:c r="P85" s="125"/>
      <x:c r="Q85" s="125"/>
    </x:row>
    <x:row r="86">
      <x:c r="A86" s="125"/>
      <x:c r="B86" s="125"/>
      <x:c r="C86" s="125"/>
      <x:c r="D86" s="125"/>
      <x:c r="E86" s="125"/>
      <x:c r="F86" s="125"/>
      <x:c r="G86" s="125"/>
      <x:c r="H86" s="125"/>
      <x:c r="I86" s="125"/>
      <x:c r="J86" s="125"/>
      <x:c r="K86" s="125"/>
      <x:c r="L86" s="125"/>
      <x:c r="M86" s="125"/>
      <x:c r="N86" s="125"/>
      <x:c r="O86" s="125"/>
      <x:c r="P86" s="125"/>
      <x:c r="Q86" s="125"/>
    </x:row>
    <x:row r="87">
      <x:c r="A87" s="125"/>
      <x:c r="B87" s="125"/>
      <x:c r="C87" s="125"/>
      <x:c r="D87" s="125"/>
      <x:c r="E87" s="125"/>
      <x:c r="F87" s="125"/>
      <x:c r="G87" s="125"/>
      <x:c r="H87" s="125"/>
      <x:c r="I87" s="125"/>
      <x:c r="J87" s="125"/>
      <x:c r="K87" s="125"/>
      <x:c r="L87" s="125"/>
      <x:c r="M87" s="125"/>
      <x:c r="N87" s="125"/>
      <x:c r="O87" s="125"/>
      <x:c r="P87" s="125"/>
      <x:c r="Q87" s="125"/>
    </x:row>
    <x:row r="88">
      <x:c r="A88" s="125"/>
      <x:c r="B88" s="125"/>
      <x:c r="C88" s="125"/>
      <x:c r="D88" s="125"/>
      <x:c r="E88" s="125"/>
      <x:c r="F88" s="125"/>
      <x:c r="G88" s="125"/>
      <x:c r="H88" s="125"/>
      <x:c r="I88" s="125"/>
      <x:c r="J88" s="125"/>
      <x:c r="K88" s="125"/>
      <x:c r="L88" s="125"/>
      <x:c r="M88" s="125"/>
      <x:c r="N88" s="125"/>
      <x:c r="O88" s="125"/>
      <x:c r="P88" s="125"/>
      <x:c r="Q88" s="125"/>
    </x:row>
    <x:row r="89">
      <x:c r="A89" s="125"/>
      <x:c r="B89" s="125"/>
      <x:c r="C89" s="125"/>
      <x:c r="D89" s="125"/>
      <x:c r="E89" s="125"/>
      <x:c r="F89" s="125"/>
      <x:c r="G89" s="125"/>
      <x:c r="H89" s="125"/>
      <x:c r="I89" s="125"/>
      <x:c r="J89" s="125"/>
      <x:c r="K89" s="125"/>
      <x:c r="L89" s="125"/>
      <x:c r="M89" s="125"/>
      <x:c r="N89" s="125"/>
      <x:c r="O89" s="125"/>
      <x:c r="P89" s="125"/>
      <x:c r="Q89" s="125"/>
    </x:row>
    <x:row r="90">
      <x:c r="A90" s="125"/>
      <x:c r="B90" s="125"/>
      <x:c r="C90" s="125"/>
      <x:c r="D90" s="125"/>
      <x:c r="E90" s="125"/>
      <x:c r="F90" s="125"/>
      <x:c r="G90" s="125"/>
      <x:c r="H90" s="125"/>
      <x:c r="I90" s="125"/>
      <x:c r="J90" s="125"/>
      <x:c r="K90" s="125"/>
      <x:c r="L90" s="125"/>
      <x:c r="M90" s="125"/>
      <x:c r="N90" s="125"/>
      <x:c r="O90" s="125"/>
      <x:c r="P90" s="125"/>
      <x:c r="Q90" s="125"/>
    </x:row>
    <x:row r="91">
      <x:c r="A91" s="125"/>
      <x:c r="B91" s="125"/>
      <x:c r="C91" s="125"/>
      <x:c r="D91" s="125"/>
      <x:c r="E91" s="125"/>
      <x:c r="F91" s="125"/>
      <x:c r="G91" s="125"/>
      <x:c r="H91" s="125"/>
      <x:c r="I91" s="125"/>
      <x:c r="J91" s="125"/>
      <x:c r="K91" s="125"/>
      <x:c r="L91" s="125"/>
      <x:c r="M91" s="125"/>
      <x:c r="N91" s="125"/>
      <x:c r="O91" s="125"/>
      <x:c r="P91" s="125"/>
      <x:c r="Q91" s="125"/>
    </x:row>
    <x:row r="92">
      <x:c r="A92" s="125"/>
      <x:c r="B92" s="125"/>
      <x:c r="C92" s="125"/>
      <x:c r="D92" s="125"/>
      <x:c r="E92" s="125"/>
      <x:c r="F92" s="125"/>
      <x:c r="G92" s="125"/>
      <x:c r="H92" s="125"/>
      <x:c r="I92" s="125"/>
      <x:c r="J92" s="125"/>
      <x:c r="K92" s="125"/>
      <x:c r="L92" s="125"/>
      <x:c r="M92" s="125"/>
      <x:c r="N92" s="125"/>
      <x:c r="O92" s="125"/>
      <x:c r="P92" s="125"/>
      <x:c r="Q92" s="125"/>
    </x:row>
    <x:row r="93">
      <x:c r="A93" s="125"/>
      <x:c r="B93" s="125"/>
      <x:c r="C93" s="125"/>
      <x:c r="D93" s="125"/>
      <x:c r="E93" s="125"/>
      <x:c r="F93" s="125"/>
      <x:c r="G93" s="125"/>
      <x:c r="H93" s="125"/>
      <x:c r="I93" s="125"/>
      <x:c r="J93" s="125"/>
      <x:c r="K93" s="125"/>
      <x:c r="L93" s="125"/>
      <x:c r="M93" s="125"/>
      <x:c r="N93" s="125"/>
      <x:c r="O93" s="125"/>
      <x:c r="P93" s="125"/>
      <x:c r="Q93" s="125"/>
    </x:row>
    <x:row r="94">
      <x:c r="A94" s="125"/>
      <x:c r="B94" s="125"/>
      <x:c r="C94" s="125"/>
      <x:c r="D94" s="125"/>
      <x:c r="E94" s="125"/>
      <x:c r="F94" s="125"/>
      <x:c r="G94" s="125"/>
      <x:c r="H94" s="125"/>
      <x:c r="I94" s="125"/>
      <x:c r="J94" s="125"/>
      <x:c r="K94" s="125"/>
      <x:c r="L94" s="125"/>
      <x:c r="M94" s="125"/>
      <x:c r="N94" s="125"/>
      <x:c r="O94" s="125"/>
      <x:c r="P94" s="125"/>
      <x:c r="Q94" s="125"/>
    </x:row>
    <x:row r="95">
      <x:c r="A95" s="125"/>
      <x:c r="B95" s="125"/>
      <x:c r="C95" s="125"/>
      <x:c r="D95" s="125"/>
      <x:c r="E95" s="125"/>
      <x:c r="F95" s="125"/>
      <x:c r="G95" s="125"/>
      <x:c r="H95" s="125"/>
      <x:c r="I95" s="125"/>
      <x:c r="J95" s="125"/>
      <x:c r="K95" s="125"/>
      <x:c r="L95" s="125"/>
      <x:c r="M95" s="125"/>
      <x:c r="N95" s="125"/>
      <x:c r="O95" s="125"/>
      <x:c r="P95" s="125"/>
      <x:c r="Q95" s="125"/>
    </x:row>
    <x:row r="96">
      <x:c r="A96" s="125"/>
      <x:c r="B96" s="125"/>
      <x:c r="C96" s="125"/>
      <x:c r="D96" s="125"/>
      <x:c r="E96" s="125"/>
      <x:c r="F96" s="125"/>
      <x:c r="G96" s="125"/>
      <x:c r="H96" s="125"/>
      <x:c r="I96" s="125"/>
      <x:c r="J96" s="125"/>
      <x:c r="K96" s="125"/>
      <x:c r="L96" s="125"/>
      <x:c r="M96" s="125"/>
      <x:c r="N96" s="125"/>
      <x:c r="O96" s="125"/>
      <x:c r="P96" s="125"/>
      <x:c r="Q96" s="125"/>
    </x:row>
    <x:row r="97">
      <x:c r="A97" s="125"/>
      <x:c r="B97" s="125"/>
      <x:c r="C97" s="125"/>
      <x:c r="D97" s="125"/>
      <x:c r="E97" s="125"/>
      <x:c r="F97" s="125"/>
      <x:c r="G97" s="125"/>
      <x:c r="H97" s="125"/>
      <x:c r="I97" s="125"/>
      <x:c r="J97" s="125"/>
      <x:c r="K97" s="125"/>
      <x:c r="L97" s="125"/>
      <x:c r="M97" s="125"/>
      <x:c r="N97" s="125"/>
      <x:c r="O97" s="125"/>
      <x:c r="P97" s="125"/>
      <x:c r="Q97" s="125"/>
    </x:row>
    <x:row r="98">
      <x:c r="A98" s="125"/>
      <x:c r="B98" s="125"/>
      <x:c r="C98" s="125"/>
      <x:c r="D98" s="125"/>
      <x:c r="E98" s="125"/>
      <x:c r="F98" s="125"/>
      <x:c r="G98" s="125"/>
      <x:c r="H98" s="125"/>
      <x:c r="I98" s="125"/>
      <x:c r="J98" s="125"/>
      <x:c r="K98" s="125"/>
      <x:c r="L98" s="125"/>
      <x:c r="M98" s="125"/>
      <x:c r="N98" s="125"/>
      <x:c r="O98" s="125"/>
      <x:c r="P98" s="125"/>
      <x:c r="Q98" s="125"/>
    </x:row>
    <x:row r="99">
      <x:c r="A99" s="125"/>
      <x:c r="B99" s="125"/>
      <x:c r="C99" s="125"/>
      <x:c r="D99" s="125"/>
      <x:c r="E99" s="125"/>
      <x:c r="F99" s="125"/>
      <x:c r="G99" s="125"/>
      <x:c r="H99" s="125"/>
      <x:c r="I99" s="125"/>
      <x:c r="J99" s="125"/>
      <x:c r="K99" s="125"/>
      <x:c r="L99" s="125"/>
      <x:c r="M99" s="125"/>
      <x:c r="N99" s="125"/>
      <x:c r="O99" s="125"/>
      <x:c r="P99" s="125"/>
      <x:c r="Q99" s="125"/>
    </x:row>
    <x:row r="100">
      <x:c r="A100" s="125"/>
      <x:c r="B100" s="125"/>
      <x:c r="C100" s="125"/>
      <x:c r="D100" s="125"/>
      <x:c r="E100" s="125"/>
      <x:c r="F100" s="125"/>
      <x:c r="G100" s="125"/>
      <x:c r="H100" s="125"/>
      <x:c r="I100" s="125"/>
      <x:c r="J100" s="125"/>
      <x:c r="K100" s="125"/>
      <x:c r="L100" s="125"/>
      <x:c r="M100" s="125"/>
      <x:c r="N100" s="125"/>
      <x:c r="O100" s="125"/>
      <x:c r="P100" s="125"/>
      <x:c r="Q100" s="125"/>
    </x:row>
    <x:row r="101">
      <x:c r="A101" s="125"/>
      <x:c r="B101" s="125"/>
      <x:c r="C101" s="125"/>
      <x:c r="D101" s="125"/>
      <x:c r="E101" s="125"/>
      <x:c r="F101" s="125"/>
      <x:c r="G101" s="125"/>
      <x:c r="H101" s="125"/>
      <x:c r="I101" s="125"/>
      <x:c r="J101" s="125"/>
      <x:c r="K101" s="125"/>
      <x:c r="L101" s="125"/>
      <x:c r="M101" s="125"/>
      <x:c r="N101" s="125"/>
      <x:c r="O101" s="125"/>
      <x:c r="P101" s="125"/>
      <x:c r="Q101" s="125"/>
    </x:row>
    <x:row r="102">
      <x:c r="A102" s="125"/>
      <x:c r="B102" s="125"/>
      <x:c r="C102" s="125"/>
      <x:c r="D102" s="125"/>
      <x:c r="E102" s="125"/>
      <x:c r="F102" s="125"/>
      <x:c r="G102" s="125"/>
      <x:c r="H102" s="125"/>
      <x:c r="I102" s="125"/>
      <x:c r="J102" s="125"/>
      <x:c r="K102" s="125"/>
      <x:c r="L102" s="125"/>
      <x:c r="M102" s="125"/>
      <x:c r="N102" s="125"/>
      <x:c r="O102" s="125"/>
      <x:c r="P102" s="125"/>
      <x:c r="Q102" s="125"/>
    </x:row>
    <x:row r="103">
      <x:c r="A103" s="125"/>
      <x:c r="B103" s="125"/>
      <x:c r="C103" s="125"/>
      <x:c r="D103" s="125"/>
      <x:c r="E103" s="125"/>
      <x:c r="F103" s="125"/>
      <x:c r="G103" s="125"/>
      <x:c r="H103" s="125"/>
      <x:c r="I103" s="125"/>
      <x:c r="J103" s="125"/>
      <x:c r="K103" s="125"/>
      <x:c r="L103" s="125"/>
      <x:c r="M103" s="125"/>
      <x:c r="N103" s="125"/>
      <x:c r="O103" s="125"/>
      <x:c r="P103" s="125"/>
      <x:c r="Q103" s="125"/>
    </x:row>
    <x:row r="104">
      <x:c r="A104" s="125"/>
      <x:c r="B104" s="125"/>
      <x:c r="C104" s="125"/>
      <x:c r="D104" s="125"/>
      <x:c r="E104" s="125"/>
      <x:c r="F104" s="125"/>
      <x:c r="G104" s="125"/>
      <x:c r="H104" s="125"/>
      <x:c r="I104" s="125"/>
      <x:c r="J104" s="125"/>
      <x:c r="K104" s="125"/>
      <x:c r="L104" s="125"/>
      <x:c r="M104" s="125"/>
      <x:c r="N104" s="125"/>
      <x:c r="O104" s="125"/>
      <x:c r="P104" s="125"/>
      <x:c r="Q104" s="125"/>
    </x:row>
    <x:row r="105">
      <x:c r="A105" s="125"/>
      <x:c r="B105" s="125"/>
      <x:c r="C105" s="125"/>
      <x:c r="D105" s="125"/>
      <x:c r="E105" s="125"/>
      <x:c r="F105" s="125"/>
      <x:c r="G105" s="125"/>
      <x:c r="H105" s="125"/>
      <x:c r="I105" s="125"/>
      <x:c r="J105" s="125"/>
      <x:c r="K105" s="125"/>
      <x:c r="L105" s="125"/>
      <x:c r="M105" s="125"/>
      <x:c r="N105" s="125"/>
      <x:c r="O105" s="125"/>
      <x:c r="P105" s="125"/>
      <x:c r="Q105" s="125"/>
    </x:row>
    <x:row r="106">
      <x:c r="A106" s="125"/>
      <x:c r="B106" s="125"/>
      <x:c r="C106" s="125"/>
      <x:c r="D106" s="125"/>
      <x:c r="E106" s="125"/>
      <x:c r="F106" s="125"/>
      <x:c r="G106" s="125"/>
      <x:c r="H106" s="125"/>
      <x:c r="I106" s="125"/>
      <x:c r="J106" s="125"/>
      <x:c r="K106" s="125"/>
      <x:c r="L106" s="125"/>
      <x:c r="M106" s="125"/>
      <x:c r="N106" s="125"/>
      <x:c r="O106" s="125"/>
      <x:c r="P106" s="125"/>
      <x:c r="Q106" s="125"/>
    </x:row>
    <x:row r="107">
      <x:c r="A107" s="125"/>
      <x:c r="B107" s="125"/>
      <x:c r="C107" s="125"/>
      <x:c r="D107" s="125"/>
      <x:c r="E107" s="125"/>
      <x:c r="F107" s="125"/>
      <x:c r="G107" s="125"/>
      <x:c r="H107" s="125"/>
      <x:c r="I107" s="125"/>
      <x:c r="J107" s="125"/>
      <x:c r="K107" s="125"/>
      <x:c r="L107" s="125"/>
      <x:c r="M107" s="125"/>
      <x:c r="N107" s="125"/>
      <x:c r="O107" s="125"/>
      <x:c r="P107" s="125"/>
      <x:c r="Q107" s="125"/>
    </x:row>
    <x:row r="108">
      <x:c r="A108" s="125"/>
      <x:c r="B108" s="125"/>
      <x:c r="C108" s="125"/>
      <x:c r="D108" s="125"/>
      <x:c r="E108" s="125"/>
      <x:c r="F108" s="125"/>
      <x:c r="G108" s="125"/>
      <x:c r="H108" s="125"/>
      <x:c r="I108" s="125"/>
      <x:c r="J108" s="125"/>
      <x:c r="K108" s="125"/>
      <x:c r="L108" s="125"/>
      <x:c r="M108" s="125"/>
      <x:c r="N108" s="125"/>
      <x:c r="O108" s="125"/>
      <x:c r="P108" s="125"/>
      <x:c r="Q108" s="125"/>
    </x:row>
    <x:row r="109">
      <x:c r="A109" s="125"/>
      <x:c r="B109" s="125"/>
      <x:c r="C109" s="125"/>
      <x:c r="D109" s="125"/>
      <x:c r="E109" s="125"/>
      <x:c r="F109" s="125"/>
      <x:c r="G109" s="125"/>
      <x:c r="H109" s="125"/>
      <x:c r="I109" s="125"/>
      <x:c r="J109" s="125"/>
      <x:c r="K109" s="125"/>
      <x:c r="L109" s="125"/>
      <x:c r="M109" s="125"/>
      <x:c r="N109" s="125"/>
      <x:c r="O109" s="125"/>
      <x:c r="P109" s="125"/>
      <x:c r="Q109" s="125"/>
    </x:row>
    <x:row r="110">
      <x:c r="A110" s="125"/>
      <x:c r="B110" s="125"/>
      <x:c r="C110" s="125"/>
      <x:c r="D110" s="125"/>
      <x:c r="E110" s="125"/>
      <x:c r="F110" s="125"/>
      <x:c r="G110" s="125"/>
      <x:c r="H110" s="125"/>
      <x:c r="I110" s="125"/>
      <x:c r="J110" s="125"/>
      <x:c r="K110" s="125"/>
      <x:c r="L110" s="125"/>
      <x:c r="M110" s="125"/>
      <x:c r="N110" s="125"/>
      <x:c r="O110" s="125"/>
      <x:c r="P110" s="125"/>
      <x:c r="Q110" s="125"/>
    </x:row>
    <x:row r="111">
      <x:c r="A111" s="125"/>
      <x:c r="B111" s="125"/>
      <x:c r="C111" s="125"/>
      <x:c r="D111" s="125"/>
      <x:c r="E111" s="125"/>
      <x:c r="F111" s="125"/>
      <x:c r="G111" s="125"/>
      <x:c r="H111" s="125"/>
      <x:c r="I111" s="125"/>
      <x:c r="J111" s="125"/>
      <x:c r="K111" s="125"/>
      <x:c r="L111" s="125"/>
      <x:c r="M111" s="125"/>
      <x:c r="N111" s="125"/>
      <x:c r="O111" s="125"/>
      <x:c r="P111" s="125"/>
      <x:c r="Q111" s="125"/>
    </x:row>
    <x:row r="112">
      <x:c r="A112" s="125"/>
      <x:c r="B112" s="125"/>
      <x:c r="C112" s="125"/>
      <x:c r="D112" s="125"/>
      <x:c r="E112" s="125"/>
      <x:c r="F112" s="125"/>
      <x:c r="G112" s="125"/>
      <x:c r="H112" s="125"/>
      <x:c r="I112" s="125"/>
      <x:c r="J112" s="125"/>
      <x:c r="K112" s="125"/>
      <x:c r="L112" s="125"/>
      <x:c r="M112" s="125"/>
      <x:c r="N112" s="125"/>
      <x:c r="O112" s="125"/>
      <x:c r="P112" s="125"/>
      <x:c r="Q112" s="125"/>
    </x:row>
    <x:row r="113">
      <x:c r="A113" s="125"/>
      <x:c r="B113" s="125"/>
      <x:c r="C113" s="125"/>
      <x:c r="D113" s="125"/>
      <x:c r="E113" s="125"/>
      <x:c r="F113" s="125"/>
      <x:c r="G113" s="125"/>
      <x:c r="H113" s="125"/>
      <x:c r="I113" s="125"/>
      <x:c r="J113" s="125"/>
      <x:c r="K113" s="125"/>
      <x:c r="L113" s="125"/>
      <x:c r="M113" s="125"/>
      <x:c r="N113" s="125"/>
      <x:c r="O113" s="125"/>
      <x:c r="P113" s="125"/>
      <x:c r="Q113" s="125"/>
    </x:row>
    <x:row r="114">
      <x:c r="A114" s="125"/>
      <x:c r="B114" s="125"/>
      <x:c r="C114" s="125"/>
      <x:c r="D114" s="125"/>
      <x:c r="E114" s="125"/>
      <x:c r="F114" s="125"/>
      <x:c r="G114" s="125"/>
      <x:c r="H114" s="125"/>
      <x:c r="I114" s="125"/>
      <x:c r="J114" s="125"/>
      <x:c r="K114" s="125"/>
      <x:c r="L114" s="125"/>
      <x:c r="M114" s="125"/>
      <x:c r="N114" s="125"/>
      <x:c r="O114" s="125"/>
      <x:c r="P114" s="125"/>
      <x:c r="Q114" s="125"/>
    </x:row>
    <x:row r="115">
      <x:c r="A115" s="125"/>
      <x:c r="B115" s="125"/>
      <x:c r="C115" s="125"/>
      <x:c r="D115" s="125"/>
      <x:c r="E115" s="125"/>
      <x:c r="F115" s="125"/>
      <x:c r="G115" s="125"/>
      <x:c r="H115" s="125"/>
      <x:c r="I115" s="125"/>
      <x:c r="J115" s="125"/>
      <x:c r="K115" s="125"/>
      <x:c r="L115" s="125"/>
      <x:c r="M115" s="125"/>
      <x:c r="N115" s="125"/>
      <x:c r="O115" s="125"/>
      <x:c r="P115" s="125"/>
      <x:c r="Q115" s="125"/>
    </x:row>
    <x:row r="116">
      <x:c r="A116" s="125"/>
      <x:c r="B116" s="125"/>
      <x:c r="C116" s="125"/>
      <x:c r="D116" s="125"/>
      <x:c r="E116" s="125"/>
      <x:c r="F116" s="125"/>
      <x:c r="G116" s="125"/>
      <x:c r="H116" s="125"/>
      <x:c r="I116" s="125"/>
      <x:c r="J116" s="125"/>
      <x:c r="K116" s="125"/>
      <x:c r="L116" s="125"/>
      <x:c r="M116" s="125"/>
      <x:c r="N116" s="125"/>
      <x:c r="O116" s="125"/>
      <x:c r="P116" s="125"/>
      <x:c r="Q116" s="125"/>
    </x:row>
    <x:row r="117">
      <x:c r="A117" s="125"/>
      <x:c r="B117" s="125"/>
      <x:c r="C117" s="125"/>
      <x:c r="D117" s="125"/>
      <x:c r="E117" s="125"/>
      <x:c r="F117" s="125"/>
      <x:c r="G117" s="125"/>
      <x:c r="H117" s="125"/>
      <x:c r="I117" s="125"/>
      <x:c r="J117" s="125"/>
      <x:c r="K117" s="125"/>
      <x:c r="L117" s="125"/>
      <x:c r="M117" s="125"/>
      <x:c r="N117" s="125"/>
      <x:c r="O117" s="125"/>
      <x:c r="P117" s="125"/>
      <x:c r="Q117" s="125"/>
    </x:row>
    <x:row r="118">
      <x:c r="A118" s="125"/>
      <x:c r="B118" s="125"/>
      <x:c r="C118" s="125"/>
      <x:c r="D118" s="125"/>
      <x:c r="E118" s="125"/>
      <x:c r="F118" s="125"/>
      <x:c r="G118" s="125"/>
      <x:c r="H118" s="125"/>
      <x:c r="I118" s="125"/>
      <x:c r="J118" s="125"/>
      <x:c r="K118" s="125"/>
      <x:c r="L118" s="125"/>
      <x:c r="M118" s="125"/>
      <x:c r="N118" s="125"/>
      <x:c r="O118" s="125"/>
      <x:c r="P118" s="125"/>
      <x:c r="Q118" s="125"/>
    </x:row>
    <x:row r="119">
      <x:c r="A119" s="125"/>
      <x:c r="B119" s="125"/>
      <x:c r="C119" s="125"/>
      <x:c r="D119" s="125"/>
      <x:c r="E119" s="125"/>
      <x:c r="F119" s="125"/>
      <x:c r="G119" s="125"/>
      <x:c r="H119" s="125"/>
      <x:c r="I119" s="125"/>
      <x:c r="J119" s="125"/>
      <x:c r="K119" s="125"/>
      <x:c r="L119" s="125"/>
      <x:c r="M119" s="125"/>
      <x:c r="N119" s="125"/>
      <x:c r="O119" s="125"/>
      <x:c r="P119" s="125"/>
      <x:c r="Q119" s="125"/>
    </x:row>
    <x:row r="120">
      <x:c r="A120" s="125"/>
      <x:c r="B120" s="125"/>
      <x:c r="C120" s="125"/>
      <x:c r="D120" s="125"/>
      <x:c r="E120" s="125"/>
      <x:c r="F120" s="125"/>
      <x:c r="G120" s="125"/>
      <x:c r="H120" s="125"/>
      <x:c r="I120" s="125"/>
      <x:c r="J120" s="125"/>
      <x:c r="K120" s="125"/>
      <x:c r="L120" s="125"/>
      <x:c r="M120" s="125"/>
      <x:c r="N120" s="125"/>
      <x:c r="O120" s="125"/>
      <x:c r="P120" s="125"/>
      <x:c r="Q120" s="125"/>
    </x:row>
    <x:row r="121">
      <x:c r="A121" s="125"/>
      <x:c r="B121" s="125"/>
      <x:c r="C121" s="125"/>
      <x:c r="D121" s="125"/>
      <x:c r="E121" s="125"/>
      <x:c r="F121" s="125"/>
      <x:c r="G121" s="125"/>
      <x:c r="H121" s="125"/>
      <x:c r="I121" s="125"/>
      <x:c r="J121" s="125"/>
      <x:c r="K121" s="125"/>
      <x:c r="L121" s="125"/>
      <x:c r="M121" s="125"/>
      <x:c r="N121" s="125"/>
      <x:c r="O121" s="125"/>
      <x:c r="P121" s="125"/>
      <x:c r="Q121" s="125"/>
    </x:row>
    <x:row r="122">
      <x:c r="A122" s="125"/>
      <x:c r="B122" s="125"/>
      <x:c r="C122" s="125"/>
      <x:c r="D122" s="125"/>
      <x:c r="E122" s="125"/>
      <x:c r="F122" s="125"/>
      <x:c r="G122" s="125"/>
      <x:c r="H122" s="125"/>
      <x:c r="I122" s="125"/>
      <x:c r="J122" s="125"/>
      <x:c r="K122" s="125"/>
      <x:c r="L122" s="125"/>
      <x:c r="M122" s="125"/>
      <x:c r="N122" s="125"/>
      <x:c r="O122" s="125"/>
      <x:c r="P122" s="125"/>
      <x:c r="Q122" s="125"/>
    </x:row>
    <x:row r="123">
      <x:c r="A123" s="125"/>
      <x:c r="B123" s="125"/>
      <x:c r="C123" s="125"/>
      <x:c r="D123" s="125"/>
      <x:c r="E123" s="125"/>
      <x:c r="F123" s="125"/>
      <x:c r="G123" s="125"/>
      <x:c r="H123" s="125"/>
      <x:c r="I123" s="125"/>
      <x:c r="J123" s="125"/>
      <x:c r="K123" s="125"/>
      <x:c r="L123" s="125"/>
      <x:c r="M123" s="125"/>
      <x:c r="N123" s="125"/>
      <x:c r="O123" s="125"/>
      <x:c r="P123" s="125"/>
      <x:c r="Q123" s="125"/>
    </x:row>
    <x:row r="124">
      <x:c r="A124" s="125"/>
      <x:c r="B124" s="125"/>
      <x:c r="C124" s="125"/>
      <x:c r="D124" s="125"/>
      <x:c r="E124" s="125"/>
      <x:c r="F124" s="125"/>
      <x:c r="G124" s="125"/>
      <x:c r="H124" s="125"/>
      <x:c r="I124" s="125"/>
      <x:c r="J124" s="125"/>
      <x:c r="K124" s="125"/>
      <x:c r="L124" s="125"/>
      <x:c r="M124" s="125"/>
      <x:c r="N124" s="125"/>
      <x:c r="O124" s="125"/>
      <x:c r="P124" s="125"/>
      <x:c r="Q124" s="125"/>
    </x:row>
    <x:row r="125">
      <x:c r="A125" s="125"/>
      <x:c r="B125" s="125"/>
      <x:c r="C125" s="125"/>
      <x:c r="D125" s="125"/>
      <x:c r="E125" s="125"/>
      <x:c r="F125" s="125"/>
      <x:c r="G125" s="125"/>
      <x:c r="H125" s="125"/>
      <x:c r="I125" s="125"/>
      <x:c r="J125" s="125"/>
      <x:c r="K125" s="125"/>
      <x:c r="L125" s="125"/>
      <x:c r="M125" s="125"/>
      <x:c r="N125" s="125"/>
      <x:c r="O125" s="125"/>
      <x:c r="P125" s="125"/>
      <x:c r="Q125" s="125"/>
    </x:row>
    <x:row r="126">
      <x:c r="A126" s="125"/>
      <x:c r="B126" s="125"/>
      <x:c r="C126" s="125"/>
      <x:c r="D126" s="125"/>
      <x:c r="E126" s="125"/>
      <x:c r="F126" s="125"/>
      <x:c r="G126" s="125"/>
      <x:c r="H126" s="125"/>
      <x:c r="I126" s="125"/>
      <x:c r="J126" s="125"/>
      <x:c r="K126" s="125"/>
      <x:c r="L126" s="125"/>
      <x:c r="M126" s="125"/>
      <x:c r="N126" s="125"/>
      <x:c r="O126" s="125"/>
      <x:c r="P126" s="125"/>
      <x:c r="Q126" s="125"/>
    </x:row>
    <x:row r="127">
      <x:c r="A127" s="125"/>
      <x:c r="B127" s="125"/>
      <x:c r="C127" s="125"/>
      <x:c r="D127" s="125"/>
      <x:c r="E127" s="125"/>
      <x:c r="F127" s="125"/>
      <x:c r="G127" s="125"/>
      <x:c r="H127" s="125"/>
      <x:c r="I127" s="125"/>
      <x:c r="J127" s="125"/>
      <x:c r="K127" s="125"/>
      <x:c r="L127" s="125"/>
      <x:c r="M127" s="125"/>
      <x:c r="N127" s="125"/>
      <x:c r="O127" s="125"/>
      <x:c r="P127" s="125"/>
      <x:c r="Q127" s="125"/>
    </x:row>
    <x:row r="128">
      <x:c r="A128" s="125"/>
      <x:c r="B128" s="125"/>
      <x:c r="C128" s="125"/>
      <x:c r="D128" s="125"/>
      <x:c r="E128" s="125"/>
      <x:c r="F128" s="125"/>
      <x:c r="G128" s="125"/>
      <x:c r="H128" s="125"/>
      <x:c r="I128" s="125"/>
      <x:c r="J128" s="125"/>
      <x:c r="K128" s="125"/>
      <x:c r="L128" s="125"/>
      <x:c r="M128" s="125"/>
      <x:c r="N128" s="125"/>
      <x:c r="O128" s="125"/>
      <x:c r="P128" s="125"/>
      <x:c r="Q128" s="125"/>
    </x:row>
    <x:row r="129">
      <x:c r="A129" s="125"/>
      <x:c r="B129" s="125"/>
      <x:c r="C129" s="125"/>
      <x:c r="D129" s="125"/>
      <x:c r="E129" s="125"/>
      <x:c r="F129" s="125"/>
      <x:c r="G129" s="125"/>
      <x:c r="H129" s="125"/>
      <x:c r="I129" s="125"/>
      <x:c r="J129" s="125"/>
      <x:c r="K129" s="125"/>
      <x:c r="L129" s="125"/>
      <x:c r="M129" s="125"/>
      <x:c r="N129" s="125"/>
      <x:c r="O129" s="125"/>
      <x:c r="P129" s="125"/>
      <x:c r="Q129" s="125"/>
    </x:row>
    <x:row r="130">
      <x:c r="A130" s="125"/>
      <x:c r="B130" s="125"/>
      <x:c r="C130" s="125"/>
      <x:c r="D130" s="125"/>
      <x:c r="E130" s="125"/>
      <x:c r="F130" s="125"/>
      <x:c r="G130" s="125"/>
      <x:c r="H130" s="125"/>
      <x:c r="I130" s="125"/>
      <x:c r="J130" s="125"/>
      <x:c r="K130" s="125"/>
      <x:c r="L130" s="125"/>
      <x:c r="M130" s="125"/>
      <x:c r="N130" s="125"/>
      <x:c r="O130" s="125"/>
      <x:c r="P130" s="125"/>
      <x:c r="Q130" s="125"/>
    </x:row>
    <x:row r="131">
      <x:c r="A131" s="125"/>
      <x:c r="B131" s="125"/>
      <x:c r="C131" s="125"/>
      <x:c r="D131" s="125"/>
      <x:c r="E131" s="125"/>
      <x:c r="F131" s="125"/>
      <x:c r="G131" s="125"/>
      <x:c r="H131" s="125"/>
      <x:c r="I131" s="125"/>
      <x:c r="J131" s="125"/>
      <x:c r="K131" s="125"/>
      <x:c r="L131" s="125"/>
      <x:c r="M131" s="125"/>
      <x:c r="N131" s="125"/>
      <x:c r="O131" s="125"/>
      <x:c r="P131" s="125"/>
      <x:c r="Q131" s="125"/>
    </x:row>
    <x:row r="132">
      <x:c r="A132" s="125"/>
      <x:c r="B132" s="125"/>
      <x:c r="C132" s="125"/>
      <x:c r="D132" s="125"/>
      <x:c r="E132" s="125"/>
      <x:c r="F132" s="125"/>
      <x:c r="G132" s="125"/>
      <x:c r="H132" s="125"/>
      <x:c r="I132" s="125"/>
      <x:c r="J132" s="125"/>
      <x:c r="K132" s="125"/>
      <x:c r="L132" s="125"/>
      <x:c r="M132" s="125"/>
      <x:c r="N132" s="125"/>
      <x:c r="O132" s="125"/>
      <x:c r="P132" s="125"/>
      <x:c r="Q132" s="125"/>
    </x:row>
    <x:row r="133">
      <x:c r="A133" s="125"/>
      <x:c r="B133" s="125"/>
      <x:c r="C133" s="125"/>
      <x:c r="D133" s="125"/>
      <x:c r="E133" s="125"/>
      <x:c r="F133" s="125"/>
      <x:c r="G133" s="125"/>
      <x:c r="H133" s="125"/>
      <x:c r="I133" s="125"/>
      <x:c r="J133" s="125"/>
      <x:c r="K133" s="125"/>
      <x:c r="L133" s="125"/>
      <x:c r="M133" s="125"/>
      <x:c r="N133" s="125"/>
      <x:c r="O133" s="125"/>
      <x:c r="P133" s="125"/>
      <x:c r="Q133" s="125"/>
    </x:row>
    <x:row r="134">
      <x:c r="A134" s="125"/>
      <x:c r="B134" s="125"/>
      <x:c r="C134" s="125"/>
      <x:c r="D134" s="125"/>
      <x:c r="E134" s="125"/>
      <x:c r="F134" s="125"/>
      <x:c r="G134" s="125"/>
      <x:c r="H134" s="125"/>
      <x:c r="I134" s="125"/>
      <x:c r="J134" s="125"/>
      <x:c r="K134" s="125"/>
      <x:c r="L134" s="125"/>
      <x:c r="M134" s="125"/>
      <x:c r="N134" s="125"/>
      <x:c r="O134" s="125"/>
      <x:c r="P134" s="125"/>
      <x:c r="Q134" s="125"/>
    </x:row>
    <x:row r="135">
      <x:c r="A135" s="125"/>
      <x:c r="B135" s="125"/>
      <x:c r="C135" s="125"/>
      <x:c r="D135" s="125"/>
      <x:c r="E135" s="125"/>
      <x:c r="F135" s="125"/>
      <x:c r="G135" s="125"/>
      <x:c r="H135" s="125"/>
      <x:c r="I135" s="125"/>
      <x:c r="J135" s="125"/>
      <x:c r="K135" s="125"/>
      <x:c r="L135" s="125"/>
      <x:c r="M135" s="125"/>
      <x:c r="N135" s="125"/>
      <x:c r="O135" s="125"/>
      <x:c r="P135" s="125"/>
      <x:c r="Q135" s="125"/>
    </x:row>
    <x:row r="136">
      <x:c r="A136" s="125"/>
      <x:c r="B136" s="125"/>
      <x:c r="C136" s="125"/>
      <x:c r="D136" s="125"/>
      <x:c r="E136" s="125"/>
      <x:c r="F136" s="125"/>
      <x:c r="G136" s="125"/>
      <x:c r="H136" s="125"/>
      <x:c r="I136" s="125"/>
      <x:c r="J136" s="125"/>
      <x:c r="K136" s="125"/>
      <x:c r="L136" s="125"/>
      <x:c r="M136" s="125"/>
      <x:c r="N136" s="125"/>
      <x:c r="O136" s="125"/>
      <x:c r="P136" s="125"/>
      <x:c r="Q136" s="125"/>
    </x:row>
    <x:row r="137">
      <x:c r="A137" s="125"/>
      <x:c r="B137" s="125"/>
      <x:c r="C137" s="125"/>
      <x:c r="D137" s="125"/>
      <x:c r="E137" s="125"/>
      <x:c r="F137" s="125"/>
      <x:c r="G137" s="125"/>
      <x:c r="H137" s="125"/>
      <x:c r="I137" s="125"/>
      <x:c r="J137" s="125"/>
      <x:c r="K137" s="125"/>
      <x:c r="L137" s="125"/>
      <x:c r="M137" s="125"/>
      <x:c r="N137" s="125"/>
      <x:c r="O137" s="125"/>
      <x:c r="P137" s="125"/>
      <x:c r="Q137" s="125"/>
    </x:row>
    <x:row r="138">
      <x:c r="A138" s="125"/>
      <x:c r="B138" s="125"/>
      <x:c r="C138" s="125"/>
      <x:c r="D138" s="125"/>
      <x:c r="E138" s="125"/>
      <x:c r="F138" s="125"/>
      <x:c r="G138" s="125"/>
      <x:c r="H138" s="125"/>
      <x:c r="I138" s="125"/>
      <x:c r="J138" s="125"/>
      <x:c r="K138" s="125"/>
      <x:c r="L138" s="125"/>
      <x:c r="M138" s="125"/>
      <x:c r="N138" s="125"/>
      <x:c r="O138" s="125"/>
      <x:c r="P138" s="125"/>
      <x:c r="Q138" s="125"/>
    </x:row>
    <x:row r="139">
      <x:c r="A139" s="125"/>
      <x:c r="B139" s="125"/>
      <x:c r="C139" s="125"/>
      <x:c r="D139" s="125"/>
      <x:c r="E139" s="125"/>
      <x:c r="F139" s="125"/>
      <x:c r="G139" s="125"/>
      <x:c r="H139" s="125"/>
      <x:c r="I139" s="125"/>
      <x:c r="J139" s="125"/>
      <x:c r="K139" s="125"/>
      <x:c r="L139" s="125"/>
      <x:c r="M139" s="125"/>
      <x:c r="N139" s="125"/>
      <x:c r="O139" s="125"/>
      <x:c r="P139" s="125"/>
      <x:c r="Q139" s="125"/>
    </x:row>
    <x:row r="140">
      <x:c r="A140" s="125"/>
      <x:c r="B140" s="125"/>
      <x:c r="C140" s="125"/>
      <x:c r="D140" s="125"/>
      <x:c r="E140" s="125"/>
      <x:c r="F140" s="125"/>
      <x:c r="G140" s="125"/>
      <x:c r="H140" s="125"/>
      <x:c r="I140" s="125"/>
      <x:c r="J140" s="125"/>
      <x:c r="K140" s="125"/>
      <x:c r="L140" s="125"/>
      <x:c r="M140" s="125"/>
      <x:c r="N140" s="125"/>
      <x:c r="O140" s="125"/>
      <x:c r="P140" s="125"/>
      <x:c r="Q140" s="125"/>
    </x:row>
    <x:row r="141">
      <x:c r="A141" s="125"/>
      <x:c r="B141" s="125"/>
      <x:c r="C141" s="125"/>
      <x:c r="D141" s="125"/>
      <x:c r="E141" s="125"/>
      <x:c r="F141" s="125"/>
      <x:c r="G141" s="125"/>
      <x:c r="H141" s="125"/>
      <x:c r="I141" s="125"/>
      <x:c r="J141" s="125"/>
      <x:c r="K141" s="125"/>
      <x:c r="L141" s="125"/>
      <x:c r="M141" s="125"/>
      <x:c r="N141" s="125"/>
      <x:c r="O141" s="125"/>
      <x:c r="P141" s="125"/>
      <x:c r="Q141" s="125"/>
    </x:row>
    <x:row r="142">
      <x:c r="A142" s="125"/>
      <x:c r="B142" s="125"/>
      <x:c r="C142" s="125"/>
      <x:c r="D142" s="125"/>
      <x:c r="E142" s="125"/>
      <x:c r="F142" s="125"/>
      <x:c r="G142" s="125"/>
      <x:c r="H142" s="125"/>
      <x:c r="I142" s="125"/>
      <x:c r="J142" s="125"/>
      <x:c r="K142" s="125"/>
      <x:c r="L142" s="125"/>
      <x:c r="M142" s="125"/>
      <x:c r="N142" s="125"/>
      <x:c r="O142" s="125"/>
      <x:c r="P142" s="125"/>
      <x:c r="Q142" s="125"/>
    </x:row>
    <x:row r="143">
      <x:c r="A143" s="125"/>
      <x:c r="B143" s="125"/>
      <x:c r="C143" s="125"/>
      <x:c r="D143" s="125"/>
      <x:c r="E143" s="125"/>
      <x:c r="F143" s="125"/>
      <x:c r="G143" s="125"/>
      <x:c r="H143" s="125"/>
      <x:c r="I143" s="125"/>
      <x:c r="J143" s="125"/>
      <x:c r="K143" s="125"/>
      <x:c r="L143" s="125"/>
      <x:c r="M143" s="125"/>
      <x:c r="N143" s="125"/>
      <x:c r="O143" s="125"/>
      <x:c r="P143" s="125"/>
      <x:c r="Q143" s="125"/>
    </x:row>
    <x:row r="144">
      <x:c r="A144" s="125"/>
      <x:c r="B144" s="125"/>
      <x:c r="C144" s="125"/>
      <x:c r="D144" s="125"/>
      <x:c r="E144" s="125"/>
      <x:c r="F144" s="125"/>
      <x:c r="G144" s="125"/>
      <x:c r="H144" s="125"/>
      <x:c r="I144" s="125"/>
      <x:c r="J144" s="125"/>
      <x:c r="K144" s="125"/>
      <x:c r="L144" s="125"/>
      <x:c r="M144" s="125"/>
      <x:c r="N144" s="125"/>
      <x:c r="O144" s="125"/>
      <x:c r="P144" s="125"/>
      <x:c r="Q144" s="125"/>
    </x:row>
    <x:row r="145">
      <x:c r="A145" s="125"/>
      <x:c r="B145" s="125"/>
      <x:c r="C145" s="125"/>
      <x:c r="D145" s="125"/>
      <x:c r="E145" s="125"/>
      <x:c r="F145" s="125"/>
      <x:c r="G145" s="125"/>
      <x:c r="H145" s="125"/>
      <x:c r="I145" s="125"/>
      <x:c r="J145" s="125"/>
      <x:c r="K145" s="125"/>
      <x:c r="L145" s="125"/>
      <x:c r="M145" s="125"/>
      <x:c r="N145" s="125"/>
      <x:c r="O145" s="125"/>
      <x:c r="P145" s="125"/>
      <x:c r="Q145" s="125"/>
    </x:row>
    <x:row r="146">
      <x:c r="A146" s="125"/>
      <x:c r="B146" s="125"/>
      <x:c r="C146" s="125"/>
      <x:c r="D146" s="125"/>
      <x:c r="E146" s="125"/>
      <x:c r="F146" s="125"/>
      <x:c r="G146" s="125"/>
      <x:c r="H146" s="125"/>
      <x:c r="I146" s="125"/>
      <x:c r="J146" s="125"/>
      <x:c r="K146" s="125"/>
      <x:c r="L146" s="125"/>
      <x:c r="M146" s="125"/>
      <x:c r="N146" s="125"/>
      <x:c r="O146" s="125"/>
      <x:c r="P146" s="125"/>
      <x:c r="Q146" s="125"/>
    </x:row>
    <x:row r="147">
      <x:c r="A147" s="125"/>
      <x:c r="B147" s="125"/>
      <x:c r="C147" s="125"/>
      <x:c r="D147" s="125"/>
      <x:c r="E147" s="125"/>
      <x:c r="F147" s="125"/>
      <x:c r="G147" s="125"/>
      <x:c r="H147" s="125"/>
      <x:c r="I147" s="125"/>
      <x:c r="J147" s="125"/>
      <x:c r="K147" s="125"/>
      <x:c r="L147" s="125"/>
      <x:c r="M147" s="125"/>
      <x:c r="N147" s="125"/>
      <x:c r="O147" s="125"/>
      <x:c r="P147" s="125"/>
      <x:c r="Q147" s="125"/>
    </x:row>
    <x:row r="148">
      <x:c r="A148" s="125"/>
      <x:c r="B148" s="125"/>
      <x:c r="C148" s="125"/>
      <x:c r="D148" s="125"/>
      <x:c r="E148" s="125"/>
      <x:c r="F148" s="125"/>
      <x:c r="G148" s="125"/>
      <x:c r="H148" s="125"/>
      <x:c r="I148" s="125"/>
      <x:c r="J148" s="125"/>
      <x:c r="K148" s="125"/>
      <x:c r="L148" s="125"/>
      <x:c r="M148" s="125"/>
      <x:c r="N148" s="125"/>
      <x:c r="O148" s="125"/>
      <x:c r="P148" s="125"/>
      <x:c r="Q148" s="125"/>
    </x:row>
    <x:row r="149">
      <x:c r="A149" s="125"/>
      <x:c r="B149" s="125"/>
      <x:c r="C149" s="125"/>
      <x:c r="D149" s="125"/>
      <x:c r="E149" s="125"/>
      <x:c r="F149" s="125"/>
      <x:c r="G149" s="125"/>
      <x:c r="H149" s="125"/>
      <x:c r="I149" s="125"/>
      <x:c r="J149" s="125"/>
      <x:c r="K149" s="125"/>
      <x:c r="L149" s="125"/>
      <x:c r="M149" s="125"/>
      <x:c r="N149" s="125"/>
      <x:c r="O149" s="125"/>
      <x:c r="P149" s="125"/>
      <x:c r="Q149" s="125"/>
    </x:row>
    <x:row r="150">
      <x:c r="A150" s="125"/>
      <x:c r="B150" s="125"/>
      <x:c r="C150" s="125"/>
      <x:c r="D150" s="125"/>
      <x:c r="E150" s="125"/>
      <x:c r="F150" s="125"/>
      <x:c r="G150" s="125"/>
      <x:c r="H150" s="125"/>
      <x:c r="I150" s="125"/>
      <x:c r="J150" s="125"/>
      <x:c r="K150" s="125"/>
      <x:c r="L150" s="125"/>
      <x:c r="M150" s="125"/>
      <x:c r="N150" s="125"/>
      <x:c r="O150" s="125"/>
      <x:c r="P150" s="125"/>
      <x:c r="Q150" s="125"/>
    </x:row>
    <x:row r="151">
      <x:c r="A151" s="125"/>
      <x:c r="B151" s="125"/>
      <x:c r="C151" s="125"/>
      <x:c r="D151" s="125"/>
      <x:c r="E151" s="125"/>
      <x:c r="F151" s="125"/>
      <x:c r="G151" s="125"/>
      <x:c r="H151" s="125"/>
      <x:c r="I151" s="125"/>
      <x:c r="J151" s="125"/>
      <x:c r="K151" s="125"/>
      <x:c r="L151" s="125"/>
      <x:c r="M151" s="125"/>
      <x:c r="N151" s="125"/>
      <x:c r="O151" s="125"/>
      <x:c r="P151" s="125"/>
      <x:c r="Q151" s="125"/>
    </x:row>
    <x:row r="152">
      <x:c r="A152" s="125"/>
      <x:c r="B152" s="125"/>
      <x:c r="C152" s="125"/>
      <x:c r="D152" s="125"/>
      <x:c r="E152" s="125"/>
      <x:c r="F152" s="125"/>
      <x:c r="G152" s="125"/>
      <x:c r="H152" s="125"/>
      <x:c r="I152" s="125"/>
      <x:c r="J152" s="125"/>
      <x:c r="K152" s="125"/>
      <x:c r="L152" s="125"/>
      <x:c r="M152" s="125"/>
      <x:c r="N152" s="125"/>
      <x:c r="O152" s="125"/>
      <x:c r="P152" s="125"/>
      <x:c r="Q152" s="125"/>
    </x:row>
    <x:row r="153">
      <x:c r="A153" s="125"/>
      <x:c r="B153" s="125"/>
      <x:c r="C153" s="125"/>
      <x:c r="D153" s="125"/>
      <x:c r="E153" s="125"/>
      <x:c r="F153" s="125"/>
      <x:c r="G153" s="125"/>
      <x:c r="H153" s="125"/>
      <x:c r="I153" s="125"/>
      <x:c r="J153" s="125"/>
      <x:c r="K153" s="125"/>
      <x:c r="L153" s="125"/>
      <x:c r="M153" s="125"/>
      <x:c r="N153" s="125"/>
      <x:c r="O153" s="125"/>
      <x:c r="P153" s="125"/>
      <x:c r="Q153" s="125"/>
    </x:row>
    <x:row r="154">
      <x:c r="A154" s="125"/>
      <x:c r="B154" s="125"/>
      <x:c r="C154" s="125"/>
      <x:c r="D154" s="125"/>
      <x:c r="E154" s="125"/>
      <x:c r="F154" s="125"/>
      <x:c r="G154" s="125"/>
      <x:c r="H154" s="125"/>
      <x:c r="I154" s="125"/>
      <x:c r="J154" s="125"/>
      <x:c r="K154" s="125"/>
      <x:c r="L154" s="125"/>
      <x:c r="M154" s="125"/>
      <x:c r="N154" s="125"/>
      <x:c r="O154" s="125"/>
      <x:c r="P154" s="125"/>
      <x:c r="Q154" s="125"/>
    </x:row>
    <x:row r="155">
      <x:c r="A155" s="125"/>
      <x:c r="B155" s="125"/>
      <x:c r="C155" s="125"/>
      <x:c r="D155" s="125"/>
      <x:c r="E155" s="125"/>
      <x:c r="F155" s="125"/>
      <x:c r="G155" s="125"/>
      <x:c r="H155" s="125"/>
      <x:c r="I155" s="125"/>
      <x:c r="J155" s="125"/>
      <x:c r="K155" s="125"/>
      <x:c r="L155" s="125"/>
      <x:c r="M155" s="125"/>
      <x:c r="N155" s="125"/>
      <x:c r="O155" s="125"/>
      <x:c r="P155" s="125"/>
      <x:c r="Q155" s="125"/>
    </x:row>
    <x:row r="156">
      <x:c r="A156" s="125"/>
      <x:c r="B156" s="125"/>
      <x:c r="C156" s="125"/>
      <x:c r="D156" s="125"/>
      <x:c r="E156" s="125"/>
      <x:c r="F156" s="125"/>
      <x:c r="G156" s="125"/>
      <x:c r="H156" s="125"/>
      <x:c r="I156" s="125"/>
      <x:c r="J156" s="125"/>
      <x:c r="K156" s="125"/>
      <x:c r="L156" s="125"/>
      <x:c r="M156" s="125"/>
      <x:c r="N156" s="125"/>
      <x:c r="O156" s="125"/>
      <x:c r="P156" s="125"/>
      <x:c r="Q156" s="125"/>
    </x:row>
    <x:row r="157">
      <x:c r="A157" s="125"/>
      <x:c r="B157" s="125"/>
      <x:c r="C157" s="125"/>
      <x:c r="D157" s="125"/>
      <x:c r="E157" s="125"/>
      <x:c r="F157" s="125"/>
      <x:c r="G157" s="125"/>
      <x:c r="H157" s="125"/>
      <x:c r="I157" s="125"/>
      <x:c r="J157" s="125"/>
      <x:c r="K157" s="125"/>
      <x:c r="L157" s="125"/>
      <x:c r="M157" s="125"/>
      <x:c r="N157" s="125"/>
      <x:c r="O157" s="125"/>
      <x:c r="P157" s="125"/>
      <x:c r="Q157" s="125"/>
    </x:row>
    <x:row r="158">
      <x:c r="A158" s="125"/>
      <x:c r="B158" s="125"/>
      <x:c r="C158" s="125"/>
      <x:c r="D158" s="125"/>
      <x:c r="E158" s="125"/>
      <x:c r="F158" s="125"/>
      <x:c r="G158" s="125"/>
      <x:c r="H158" s="125"/>
      <x:c r="I158" s="125"/>
      <x:c r="J158" s="125"/>
      <x:c r="K158" s="125"/>
      <x:c r="L158" s="125"/>
      <x:c r="M158" s="125"/>
      <x:c r="N158" s="125"/>
      <x:c r="O158" s="125"/>
      <x:c r="P158" s="125"/>
      <x:c r="Q158" s="125"/>
    </x:row>
    <x:row r="159">
      <x:c r="A159" s="125"/>
      <x:c r="B159" s="125"/>
      <x:c r="C159" s="125"/>
      <x:c r="D159" s="125"/>
      <x:c r="E159" s="125"/>
      <x:c r="F159" s="125"/>
      <x:c r="G159" s="125"/>
      <x:c r="H159" s="125"/>
      <x:c r="I159" s="125"/>
      <x:c r="J159" s="125"/>
      <x:c r="K159" s="125"/>
      <x:c r="L159" s="125"/>
      <x:c r="M159" s="125"/>
      <x:c r="N159" s="125"/>
      <x:c r="O159" s="125"/>
      <x:c r="P159" s="125"/>
      <x:c r="Q159" s="125"/>
    </x:row>
    <x:row r="160">
      <x:c r="A160" s="125"/>
      <x:c r="B160" s="125"/>
      <x:c r="C160" s="125"/>
      <x:c r="D160" s="125"/>
      <x:c r="E160" s="125"/>
      <x:c r="F160" s="125"/>
      <x:c r="G160" s="125"/>
      <x:c r="H160" s="125"/>
      <x:c r="I160" s="125"/>
      <x:c r="J160" s="125"/>
      <x:c r="K160" s="125"/>
      <x:c r="L160" s="125"/>
      <x:c r="M160" s="125"/>
      <x:c r="N160" s="125"/>
      <x:c r="O160" s="125"/>
      <x:c r="P160" s="125"/>
      <x:c r="Q160" s="125"/>
    </x:row>
    <x:row r="161">
      <x:c r="A161" s="125"/>
      <x:c r="B161" s="125"/>
      <x:c r="C161" s="125"/>
      <x:c r="D161" s="125"/>
      <x:c r="E161" s="125"/>
      <x:c r="F161" s="125"/>
      <x:c r="G161" s="125"/>
      <x:c r="H161" s="125"/>
      <x:c r="I161" s="125"/>
      <x:c r="J161" s="125"/>
      <x:c r="K161" s="125"/>
      <x:c r="L161" s="125"/>
      <x:c r="M161" s="125"/>
      <x:c r="N161" s="125"/>
      <x:c r="O161" s="125"/>
      <x:c r="P161" s="125"/>
      <x:c r="Q161" s="125"/>
    </x:row>
    <x:row r="162">
      <x:c r="A162" s="125"/>
      <x:c r="B162" s="125"/>
      <x:c r="C162" s="125"/>
      <x:c r="D162" s="125"/>
      <x:c r="E162" s="125"/>
      <x:c r="F162" s="125"/>
      <x:c r="G162" s="125"/>
      <x:c r="H162" s="125"/>
      <x:c r="I162" s="125"/>
      <x:c r="J162" s="125"/>
      <x:c r="K162" s="125"/>
      <x:c r="L162" s="125"/>
      <x:c r="M162" s="125"/>
      <x:c r="N162" s="125"/>
      <x:c r="O162" s="125"/>
      <x:c r="P162" s="125"/>
      <x:c r="Q162" s="125"/>
    </x:row>
    <x:row r="163">
      <x:c r="A163" s="125"/>
      <x:c r="B163" s="125"/>
      <x:c r="C163" s="125"/>
      <x:c r="D163" s="125"/>
      <x:c r="E163" s="125"/>
      <x:c r="F163" s="125"/>
      <x:c r="G163" s="125"/>
      <x:c r="H163" s="125"/>
      <x:c r="I163" s="125"/>
      <x:c r="J163" s="125"/>
      <x:c r="K163" s="125"/>
      <x:c r="L163" s="125"/>
      <x:c r="M163" s="125"/>
      <x:c r="N163" s="125"/>
      <x:c r="O163" s="125"/>
      <x:c r="P163" s="125"/>
      <x:c r="Q163" s="125"/>
    </x:row>
    <x:row r="164">
      <x:c r="A164" s="125"/>
      <x:c r="B164" s="125"/>
      <x:c r="C164" s="125"/>
      <x:c r="D164" s="125"/>
      <x:c r="E164" s="125"/>
      <x:c r="F164" s="125"/>
      <x:c r="G164" s="125"/>
      <x:c r="H164" s="125"/>
      <x:c r="I164" s="125"/>
      <x:c r="J164" s="125"/>
      <x:c r="K164" s="125"/>
      <x:c r="L164" s="125"/>
      <x:c r="M164" s="125"/>
      <x:c r="N164" s="125"/>
      <x:c r="O164" s="125"/>
      <x:c r="P164" s="125"/>
      <x:c r="Q164" s="125"/>
    </x:row>
    <x:row r="165">
      <x:c r="A165" s="125"/>
      <x:c r="B165" s="125"/>
      <x:c r="C165" s="125"/>
      <x:c r="D165" s="125"/>
      <x:c r="E165" s="125"/>
      <x:c r="F165" s="125"/>
      <x:c r="G165" s="125"/>
      <x:c r="H165" s="125"/>
      <x:c r="I165" s="125"/>
      <x:c r="J165" s="125"/>
      <x:c r="K165" s="125"/>
      <x:c r="L165" s="125"/>
      <x:c r="M165" s="125"/>
      <x:c r="N165" s="125"/>
      <x:c r="O165" s="125"/>
      <x:c r="P165" s="125"/>
      <x:c r="Q165" s="125"/>
    </x:row>
    <x:row r="166">
      <x:c r="A166" s="125"/>
      <x:c r="B166" s="125"/>
      <x:c r="C166" s="125"/>
      <x:c r="D166" s="125"/>
      <x:c r="E166" s="125"/>
      <x:c r="F166" s="125"/>
      <x:c r="G166" s="125"/>
      <x:c r="H166" s="125"/>
      <x:c r="I166" s="125"/>
      <x:c r="J166" s="125"/>
      <x:c r="K166" s="125"/>
      <x:c r="L166" s="125"/>
      <x:c r="M166" s="125"/>
      <x:c r="N166" s="125"/>
      <x:c r="O166" s="125"/>
      <x:c r="P166" s="125"/>
      <x:c r="Q166" s="125"/>
    </x:row>
    <x:row r="167">
      <x:c r="A167" s="125"/>
      <x:c r="B167" s="125"/>
      <x:c r="C167" s="125"/>
      <x:c r="D167" s="125"/>
      <x:c r="E167" s="125"/>
      <x:c r="F167" s="125"/>
      <x:c r="G167" s="125"/>
      <x:c r="H167" s="125"/>
      <x:c r="I167" s="125"/>
      <x:c r="J167" s="125"/>
      <x:c r="K167" s="125"/>
      <x:c r="L167" s="125"/>
      <x:c r="M167" s="125"/>
      <x:c r="N167" s="125"/>
      <x:c r="O167" s="125"/>
      <x:c r="P167" s="125"/>
      <x:c r="Q167" s="125"/>
    </x:row>
    <x:row r="168">
      <x:c r="A168" s="125"/>
      <x:c r="B168" s="125"/>
      <x:c r="C168" s="125"/>
      <x:c r="D168" s="125"/>
      <x:c r="E168" s="125"/>
      <x:c r="F168" s="125"/>
      <x:c r="G168" s="125"/>
      <x:c r="H168" s="125"/>
      <x:c r="I168" s="125"/>
      <x:c r="J168" s="125"/>
      <x:c r="K168" s="125"/>
      <x:c r="L168" s="125"/>
      <x:c r="M168" s="125"/>
      <x:c r="N168" s="125"/>
      <x:c r="O168" s="125"/>
      <x:c r="P168" s="125"/>
      <x:c r="Q168" s="125"/>
    </x:row>
    <x:row r="169">
      <x:c r="A169" s="125"/>
      <x:c r="B169" s="125"/>
      <x:c r="C169" s="125"/>
      <x:c r="D169" s="125"/>
      <x:c r="E169" s="125"/>
      <x:c r="F169" s="125"/>
      <x:c r="G169" s="125"/>
      <x:c r="H169" s="125"/>
      <x:c r="I169" s="125"/>
      <x:c r="J169" s="125"/>
      <x:c r="K169" s="125"/>
      <x:c r="L169" s="125"/>
      <x:c r="M169" s="125"/>
      <x:c r="N169" s="125"/>
      <x:c r="O169" s="125"/>
      <x:c r="P169" s="125"/>
      <x:c r="Q169" s="125"/>
    </x:row>
    <x:row r="170">
      <x:c r="A170" s="125"/>
      <x:c r="B170" s="125"/>
      <x:c r="C170" s="125"/>
      <x:c r="D170" s="125"/>
      <x:c r="E170" s="125"/>
      <x:c r="F170" s="125"/>
      <x:c r="G170" s="125"/>
      <x:c r="H170" s="125"/>
      <x:c r="I170" s="125"/>
      <x:c r="J170" s="125"/>
      <x:c r="K170" s="125"/>
      <x:c r="L170" s="125"/>
      <x:c r="M170" s="125"/>
      <x:c r="N170" s="125"/>
      <x:c r="O170" s="125"/>
      <x:c r="P170" s="125"/>
      <x:c r="Q170" s="125"/>
    </x:row>
    <x:row r="171">
      <x:c r="A171" s="125"/>
      <x:c r="B171" s="125"/>
      <x:c r="C171" s="125"/>
      <x:c r="D171" s="125"/>
      <x:c r="E171" s="125"/>
      <x:c r="F171" s="125"/>
      <x:c r="G171" s="125"/>
      <x:c r="H171" s="125"/>
      <x:c r="I171" s="125"/>
      <x:c r="J171" s="125"/>
      <x:c r="K171" s="125"/>
      <x:c r="L171" s="125"/>
      <x:c r="M171" s="125"/>
      <x:c r="N171" s="125"/>
      <x:c r="O171" s="125"/>
      <x:c r="P171" s="125"/>
      <x:c r="Q171" s="125"/>
    </x:row>
    <x:row r="172">
      <x:c r="A172" s="125"/>
      <x:c r="B172" s="125"/>
      <x:c r="C172" s="125"/>
      <x:c r="D172" s="125"/>
      <x:c r="E172" s="125"/>
      <x:c r="F172" s="125"/>
      <x:c r="G172" s="125"/>
      <x:c r="H172" s="125"/>
      <x:c r="I172" s="125"/>
      <x:c r="J172" s="125"/>
      <x:c r="K172" s="125"/>
      <x:c r="L172" s="125"/>
      <x:c r="M172" s="125"/>
      <x:c r="N172" s="125"/>
      <x:c r="O172" s="125"/>
      <x:c r="P172" s="125"/>
      <x:c r="Q172" s="125"/>
    </x:row>
    <x:row r="173">
      <x:c r="A173" s="125"/>
      <x:c r="B173" s="125"/>
      <x:c r="C173" s="125"/>
      <x:c r="D173" s="125"/>
      <x:c r="E173" s="125"/>
      <x:c r="F173" s="125"/>
      <x:c r="G173" s="125"/>
      <x:c r="H173" s="125"/>
      <x:c r="I173" s="125"/>
      <x:c r="J173" s="125"/>
      <x:c r="K173" s="125"/>
      <x:c r="L173" s="125"/>
      <x:c r="M173" s="125"/>
      <x:c r="N173" s="125"/>
      <x:c r="O173" s="125"/>
      <x:c r="P173" s="125"/>
      <x:c r="Q173" s="125"/>
    </x:row>
    <x:row r="174">
      <x:c r="A174" s="125"/>
      <x:c r="B174" s="125"/>
      <x:c r="C174" s="125"/>
      <x:c r="D174" s="125"/>
      <x:c r="E174" s="125"/>
      <x:c r="F174" s="125"/>
      <x:c r="G174" s="125"/>
      <x:c r="H174" s="125"/>
      <x:c r="I174" s="125"/>
      <x:c r="J174" s="125"/>
      <x:c r="K174" s="125"/>
      <x:c r="L174" s="125"/>
      <x:c r="M174" s="125"/>
      <x:c r="N174" s="125"/>
      <x:c r="O174" s="125"/>
      <x:c r="P174" s="125"/>
      <x:c r="Q174" s="125"/>
    </x:row>
    <x:row r="175">
      <x:c r="A175" s="125"/>
      <x:c r="B175" s="125"/>
      <x:c r="C175" s="125"/>
      <x:c r="D175" s="125"/>
      <x:c r="E175" s="125"/>
      <x:c r="F175" s="125"/>
      <x:c r="G175" s="125"/>
      <x:c r="H175" s="125"/>
      <x:c r="I175" s="125"/>
      <x:c r="J175" s="125"/>
      <x:c r="K175" s="125"/>
      <x:c r="L175" s="125"/>
      <x:c r="M175" s="125"/>
      <x:c r="N175" s="125"/>
      <x:c r="O175" s="125"/>
      <x:c r="P175" s="125"/>
      <x:c r="Q175" s="125"/>
    </x:row>
    <x:row r="176">
      <x:c r="A176" s="125"/>
      <x:c r="B176" s="125"/>
      <x:c r="C176" s="125"/>
      <x:c r="D176" s="125"/>
      <x:c r="E176" s="125"/>
      <x:c r="F176" s="125"/>
      <x:c r="G176" s="125"/>
      <x:c r="H176" s="125"/>
      <x:c r="I176" s="125"/>
      <x:c r="J176" s="125"/>
      <x:c r="K176" s="125"/>
      <x:c r="L176" s="125"/>
      <x:c r="M176" s="125"/>
      <x:c r="N176" s="125"/>
      <x:c r="O176" s="125"/>
      <x:c r="P176" s="125"/>
      <x:c r="Q176" s="125"/>
    </x:row>
    <x:row r="177">
      <x:c r="A177" s="125"/>
      <x:c r="B177" s="125"/>
      <x:c r="C177" s="125"/>
      <x:c r="D177" s="125"/>
      <x:c r="E177" s="125"/>
      <x:c r="F177" s="125"/>
      <x:c r="G177" s="125"/>
      <x:c r="H177" s="125"/>
      <x:c r="I177" s="125"/>
      <x:c r="J177" s="125"/>
      <x:c r="K177" s="125"/>
      <x:c r="L177" s="125"/>
      <x:c r="M177" s="125"/>
      <x:c r="N177" s="125"/>
      <x:c r="O177" s="125"/>
      <x:c r="P177" s="125"/>
      <x:c r="Q177" s="125"/>
    </x:row>
    <x:row r="178">
      <x:c r="A178" s="125"/>
      <x:c r="B178" s="125"/>
      <x:c r="C178" s="125"/>
      <x:c r="D178" s="125"/>
      <x:c r="E178" s="125"/>
      <x:c r="F178" s="125"/>
      <x:c r="G178" s="125"/>
      <x:c r="H178" s="125"/>
      <x:c r="I178" s="125"/>
      <x:c r="J178" s="125"/>
      <x:c r="K178" s="125"/>
      <x:c r="L178" s="125"/>
      <x:c r="M178" s="125"/>
      <x:c r="N178" s="125"/>
      <x:c r="O178" s="125"/>
      <x:c r="P178" s="125"/>
      <x:c r="Q178" s="125"/>
    </x:row>
    <x:row r="179">
      <x:c r="A179" s="125"/>
      <x:c r="B179" s="125"/>
      <x:c r="C179" s="125"/>
      <x:c r="D179" s="125"/>
      <x:c r="E179" s="125"/>
      <x:c r="F179" s="125"/>
      <x:c r="G179" s="125"/>
      <x:c r="H179" s="125"/>
      <x:c r="I179" s="125"/>
      <x:c r="J179" s="125"/>
      <x:c r="K179" s="125"/>
      <x:c r="L179" s="125"/>
      <x:c r="M179" s="125"/>
      <x:c r="N179" s="125"/>
      <x:c r="O179" s="125"/>
      <x:c r="P179" s="125"/>
      <x:c r="Q179" s="125"/>
    </x:row>
    <x:row r="180">
      <x:c r="A180" s="125"/>
      <x:c r="B180" s="125"/>
      <x:c r="C180" s="125"/>
      <x:c r="D180" s="125"/>
      <x:c r="E180" s="125"/>
      <x:c r="F180" s="125"/>
      <x:c r="G180" s="125"/>
      <x:c r="H180" s="125"/>
      <x:c r="I180" s="125"/>
      <x:c r="J180" s="125"/>
      <x:c r="K180" s="125"/>
      <x:c r="L180" s="125"/>
      <x:c r="M180" s="125"/>
      <x:c r="N180" s="125"/>
      <x:c r="O180" s="125"/>
      <x:c r="P180" s="125"/>
      <x:c r="Q180" s="125"/>
    </x:row>
    <x:row r="181">
      <x:c r="A181" s="125"/>
      <x:c r="B181" s="125"/>
      <x:c r="C181" s="125"/>
      <x:c r="D181" s="125"/>
      <x:c r="E181" s="125"/>
      <x:c r="F181" s="125"/>
      <x:c r="G181" s="125"/>
      <x:c r="H181" s="125"/>
      <x:c r="I181" s="125"/>
      <x:c r="J181" s="125"/>
      <x:c r="K181" s="125"/>
      <x:c r="L181" s="125"/>
      <x:c r="M181" s="125"/>
      <x:c r="N181" s="125"/>
      <x:c r="O181" s="125"/>
      <x:c r="P181" s="125"/>
      <x:c r="Q181" s="125"/>
    </x:row>
    <x:row r="182">
      <x:c r="A182" s="125"/>
      <x:c r="B182" s="125"/>
      <x:c r="C182" s="125"/>
      <x:c r="D182" s="125"/>
      <x:c r="E182" s="125"/>
      <x:c r="F182" s="125"/>
      <x:c r="G182" s="125"/>
      <x:c r="H182" s="125"/>
      <x:c r="I182" s="125"/>
      <x:c r="J182" s="125"/>
      <x:c r="K182" s="125"/>
      <x:c r="L182" s="125"/>
      <x:c r="M182" s="125"/>
      <x:c r="N182" s="125"/>
      <x:c r="O182" s="125"/>
      <x:c r="P182" s="125"/>
      <x:c r="Q182" s="125"/>
    </x:row>
    <x:row r="183">
      <x:c r="A183" s="125"/>
      <x:c r="B183" s="125"/>
      <x:c r="C183" s="125"/>
      <x:c r="D183" s="125"/>
      <x:c r="E183" s="125"/>
      <x:c r="F183" s="125"/>
      <x:c r="G183" s="125"/>
      <x:c r="H183" s="125"/>
      <x:c r="I183" s="125"/>
      <x:c r="J183" s="125"/>
      <x:c r="K183" s="125"/>
      <x:c r="L183" s="125"/>
      <x:c r="M183" s="125"/>
      <x:c r="N183" s="125"/>
      <x:c r="O183" s="125"/>
      <x:c r="P183" s="125"/>
      <x:c r="Q183" s="125"/>
    </x:row>
    <x:row r="184">
      <x:c r="A184" s="125"/>
      <x:c r="B184" s="125"/>
      <x:c r="C184" s="125"/>
      <x:c r="D184" s="125"/>
      <x:c r="E184" s="125"/>
      <x:c r="F184" s="125"/>
      <x:c r="G184" s="125"/>
      <x:c r="H184" s="125"/>
      <x:c r="I184" s="125"/>
      <x:c r="J184" s="125"/>
      <x:c r="K184" s="125"/>
      <x:c r="L184" s="125"/>
      <x:c r="M184" s="125"/>
      <x:c r="N184" s="125"/>
      <x:c r="O184" s="125"/>
      <x:c r="P184" s="125"/>
      <x:c r="Q184" s="125"/>
    </x:row>
    <x:row r="185">
      <x:c r="A185" s="125"/>
      <x:c r="B185" s="125"/>
      <x:c r="C185" s="125"/>
      <x:c r="D185" s="125"/>
      <x:c r="E185" s="125"/>
      <x:c r="F185" s="125"/>
      <x:c r="G185" s="125"/>
      <x:c r="H185" s="125"/>
      <x:c r="I185" s="125"/>
      <x:c r="J185" s="125"/>
      <x:c r="K185" s="125"/>
      <x:c r="L185" s="125"/>
      <x:c r="M185" s="125"/>
      <x:c r="N185" s="125"/>
      <x:c r="O185" s="125"/>
      <x:c r="P185" s="125"/>
      <x:c r="Q185" s="125"/>
    </x:row>
    <x:row r="186">
      <x:c r="A186" s="125"/>
      <x:c r="B186" s="125"/>
      <x:c r="C186" s="125"/>
      <x:c r="D186" s="125"/>
      <x:c r="E186" s="125"/>
      <x:c r="F186" s="125"/>
      <x:c r="G186" s="125"/>
      <x:c r="H186" s="125"/>
      <x:c r="I186" s="125"/>
      <x:c r="J186" s="125"/>
      <x:c r="K186" s="125"/>
      <x:c r="L186" s="125"/>
      <x:c r="M186" s="125"/>
      <x:c r="N186" s="125"/>
      <x:c r="O186" s="125"/>
      <x:c r="P186" s="125"/>
      <x:c r="Q186" s="125"/>
    </x:row>
    <x:row r="187">
      <x:c r="A187" s="125"/>
      <x:c r="B187" s="125"/>
      <x:c r="C187" s="125"/>
      <x:c r="D187" s="125"/>
      <x:c r="E187" s="125"/>
      <x:c r="F187" s="125"/>
      <x:c r="G187" s="125"/>
      <x:c r="H187" s="125"/>
      <x:c r="I187" s="125"/>
      <x:c r="J187" s="125"/>
      <x:c r="K187" s="125"/>
      <x:c r="L187" s="125"/>
      <x:c r="M187" s="125"/>
      <x:c r="N187" s="125"/>
      <x:c r="O187" s="125"/>
      <x:c r="P187" s="125"/>
      <x:c r="Q187" s="125"/>
    </x:row>
    <x:row r="188">
      <x:c r="A188" s="125"/>
      <x:c r="B188" s="125"/>
      <x:c r="C188" s="125"/>
      <x:c r="D188" s="125"/>
      <x:c r="E188" s="125"/>
      <x:c r="F188" s="125"/>
      <x:c r="G188" s="125"/>
      <x:c r="H188" s="125"/>
      <x:c r="I188" s="125"/>
      <x:c r="J188" s="125"/>
      <x:c r="K188" s="125"/>
      <x:c r="L188" s="125"/>
      <x:c r="M188" s="125"/>
      <x:c r="N188" s="125"/>
      <x:c r="O188" s="125"/>
      <x:c r="P188" s="125"/>
      <x:c r="Q188" s="125"/>
    </x:row>
    <x:row r="189">
      <x:c r="A189" s="125"/>
      <x:c r="B189" s="125"/>
      <x:c r="C189" s="125"/>
      <x:c r="D189" s="125"/>
      <x:c r="E189" s="125"/>
      <x:c r="F189" s="125"/>
      <x:c r="G189" s="125"/>
      <x:c r="H189" s="125"/>
      <x:c r="I189" s="125"/>
      <x:c r="J189" s="125"/>
      <x:c r="K189" s="125"/>
      <x:c r="L189" s="125"/>
      <x:c r="M189" s="125"/>
      <x:c r="N189" s="125"/>
      <x:c r="O189" s="125"/>
      <x:c r="P189" s="125"/>
      <x:c r="Q189" s="125"/>
    </x:row>
    <x:row r="190">
      <x:c r="A190" s="125"/>
      <x:c r="B190" s="125"/>
      <x:c r="C190" s="125"/>
      <x:c r="D190" s="125"/>
      <x:c r="E190" s="125"/>
      <x:c r="F190" s="125"/>
      <x:c r="G190" s="125"/>
      <x:c r="H190" s="125"/>
      <x:c r="I190" s="125"/>
      <x:c r="J190" s="125"/>
      <x:c r="K190" s="125"/>
      <x:c r="L190" s="125"/>
      <x:c r="M190" s="125"/>
      <x:c r="N190" s="125"/>
      <x:c r="O190" s="125"/>
      <x:c r="P190" s="125"/>
      <x:c r="Q190" s="125"/>
    </x:row>
    <x:row r="191">
      <x:c r="A191" s="125"/>
      <x:c r="B191" s="125"/>
      <x:c r="C191" s="125"/>
      <x:c r="D191" s="125"/>
      <x:c r="E191" s="125"/>
      <x:c r="F191" s="125"/>
      <x:c r="G191" s="125"/>
      <x:c r="H191" s="125"/>
      <x:c r="I191" s="125"/>
      <x:c r="J191" s="125"/>
      <x:c r="K191" s="125"/>
      <x:c r="L191" s="125"/>
      <x:c r="M191" s="125"/>
      <x:c r="N191" s="125"/>
      <x:c r="O191" s="125"/>
      <x:c r="P191" s="125"/>
      <x:c r="Q191" s="125"/>
    </x:row>
    <x:row r="192">
      <x:c r="A192" s="125"/>
      <x:c r="B192" s="125"/>
      <x:c r="C192" s="125"/>
      <x:c r="D192" s="125"/>
      <x:c r="E192" s="125"/>
      <x:c r="F192" s="125"/>
      <x:c r="G192" s="125"/>
      <x:c r="H192" s="125"/>
      <x:c r="I192" s="125"/>
      <x:c r="J192" s="125"/>
      <x:c r="K192" s="125"/>
      <x:c r="L192" s="125"/>
      <x:c r="M192" s="125"/>
      <x:c r="N192" s="125"/>
      <x:c r="O192" s="125"/>
      <x:c r="P192" s="125"/>
      <x:c r="Q192" s="125"/>
    </x:row>
    <x:row r="193">
      <x:c r="A193" s="125"/>
      <x:c r="B193" s="125"/>
      <x:c r="C193" s="125"/>
      <x:c r="D193" s="125"/>
      <x:c r="E193" s="125"/>
      <x:c r="F193" s="125"/>
      <x:c r="G193" s="125"/>
      <x:c r="H193" s="125"/>
      <x:c r="I193" s="125"/>
      <x:c r="J193" s="125"/>
      <x:c r="K193" s="125"/>
      <x:c r="L193" s="125"/>
      <x:c r="M193" s="125"/>
      <x:c r="N193" s="125"/>
      <x:c r="O193" s="125"/>
      <x:c r="P193" s="125"/>
      <x:c r="Q193" s="125"/>
    </x:row>
    <x:row r="194">
      <x:c r="A194" s="125"/>
      <x:c r="B194" s="125"/>
      <x:c r="C194" s="125"/>
      <x:c r="D194" s="125"/>
      <x:c r="E194" s="125"/>
      <x:c r="F194" s="125"/>
      <x:c r="G194" s="125"/>
      <x:c r="H194" s="125"/>
      <x:c r="I194" s="125"/>
      <x:c r="J194" s="125"/>
      <x:c r="K194" s="125"/>
      <x:c r="L194" s="125"/>
      <x:c r="M194" s="125"/>
      <x:c r="N194" s="125"/>
      <x:c r="O194" s="125"/>
      <x:c r="P194" s="125"/>
      <x:c r="Q194" s="125"/>
    </x:row>
    <x:row r="195">
      <x:c r="A195" s="125"/>
      <x:c r="B195" s="125"/>
      <x:c r="C195" s="125"/>
      <x:c r="D195" s="125"/>
      <x:c r="E195" s="125"/>
      <x:c r="F195" s="125"/>
      <x:c r="G195" s="125"/>
      <x:c r="H195" s="125"/>
      <x:c r="I195" s="125"/>
      <x:c r="J195" s="125"/>
      <x:c r="K195" s="125"/>
      <x:c r="L195" s="125"/>
      <x:c r="M195" s="125"/>
      <x:c r="N195" s="125"/>
      <x:c r="O195" s="125"/>
      <x:c r="P195" s="125"/>
      <x:c r="Q195" s="125"/>
    </x:row>
    <x:row r="196">
      <x:c r="A196" s="125"/>
      <x:c r="B196" s="125"/>
      <x:c r="C196" s="125"/>
      <x:c r="D196" s="125"/>
      <x:c r="E196" s="125"/>
      <x:c r="F196" s="125"/>
      <x:c r="G196" s="125"/>
      <x:c r="H196" s="125"/>
      <x:c r="I196" s="125"/>
      <x:c r="J196" s="125"/>
      <x:c r="K196" s="125"/>
      <x:c r="L196" s="125"/>
      <x:c r="M196" s="125"/>
      <x:c r="N196" s="125"/>
      <x:c r="O196" s="125"/>
      <x:c r="P196" s="125"/>
      <x:c r="Q196" s="125"/>
    </x:row>
    <x:row r="197">
      <x:c r="A197" s="125"/>
      <x:c r="B197" s="125"/>
      <x:c r="C197" s="125"/>
      <x:c r="D197" s="125"/>
      <x:c r="E197" s="125"/>
      <x:c r="F197" s="125"/>
      <x:c r="G197" s="125"/>
      <x:c r="H197" s="125"/>
      <x:c r="I197" s="125"/>
      <x:c r="J197" s="125"/>
      <x:c r="K197" s="125"/>
      <x:c r="L197" s="125"/>
      <x:c r="M197" s="125"/>
      <x:c r="N197" s="125"/>
      <x:c r="O197" s="125"/>
      <x:c r="P197" s="125"/>
      <x:c r="Q197" s="125"/>
    </x:row>
    <x:row r="198">
      <x:c r="A198" s="125"/>
      <x:c r="B198" s="125"/>
      <x:c r="C198" s="125"/>
      <x:c r="D198" s="125"/>
      <x:c r="E198" s="125"/>
      <x:c r="F198" s="125"/>
      <x:c r="G198" s="125"/>
      <x:c r="H198" s="125"/>
      <x:c r="I198" s="125"/>
      <x:c r="J198" s="125"/>
      <x:c r="K198" s="125"/>
      <x:c r="L198" s="125"/>
      <x:c r="M198" s="125"/>
      <x:c r="N198" s="125"/>
      <x:c r="O198" s="125"/>
      <x:c r="P198" s="125"/>
      <x:c r="Q198" s="125"/>
    </x:row>
    <x:row r="199">
      <x:c r="A199" s="125"/>
      <x:c r="B199" s="125"/>
      <x:c r="C199" s="125"/>
      <x:c r="D199" s="125"/>
      <x:c r="E199" s="125"/>
      <x:c r="F199" s="125"/>
      <x:c r="G199" s="125"/>
      <x:c r="H199" s="125"/>
      <x:c r="I199" s="125"/>
      <x:c r="J199" s="125"/>
      <x:c r="K199" s="125"/>
      <x:c r="L199" s="125"/>
      <x:c r="M199" s="125"/>
      <x:c r="N199" s="125"/>
      <x:c r="O199" s="125"/>
      <x:c r="P199" s="125"/>
      <x:c r="Q199" s="125"/>
    </x:row>
    <x:row r="200">
      <x:c r="A200" s="125"/>
      <x:c r="B200" s="125"/>
      <x:c r="C200" s="125"/>
      <x:c r="D200" s="125"/>
      <x:c r="E200" s="125"/>
      <x:c r="F200" s="125"/>
      <x:c r="G200" s="125"/>
      <x:c r="H200" s="125"/>
      <x:c r="I200" s="125"/>
      <x:c r="J200" s="125"/>
      <x:c r="K200" s="125"/>
      <x:c r="L200" s="125"/>
      <x:c r="M200" s="125"/>
      <x:c r="N200" s="125"/>
      <x:c r="O200" s="125"/>
      <x:c r="P200" s="125"/>
      <x:c r="Q200" s="125"/>
    </x:row>
    <x:row r="201">
      <x:c r="A201" s="125"/>
      <x:c r="B201" s="125"/>
      <x:c r="C201" s="125"/>
      <x:c r="D201" s="125"/>
      <x:c r="E201" s="125"/>
      <x:c r="F201" s="125"/>
      <x:c r="G201" s="125"/>
      <x:c r="H201" s="125"/>
      <x:c r="I201" s="125"/>
      <x:c r="J201" s="125"/>
      <x:c r="K201" s="125"/>
      <x:c r="L201" s="125"/>
      <x:c r="M201" s="125"/>
      <x:c r="N201" s="125"/>
      <x:c r="O201" s="125"/>
      <x:c r="P201" s="125"/>
      <x:c r="Q201" s="125"/>
    </x:row>
    <x:row r="202">
      <x:c r="A202" s="125"/>
      <x:c r="B202" s="125"/>
      <x:c r="C202" s="125"/>
      <x:c r="D202" s="125"/>
      <x:c r="E202" s="125"/>
      <x:c r="F202" s="125"/>
      <x:c r="G202" s="125"/>
      <x:c r="H202" s="125"/>
      <x:c r="I202" s="125"/>
      <x:c r="J202" s="125"/>
      <x:c r="K202" s="125"/>
      <x:c r="L202" s="125"/>
      <x:c r="M202" s="125"/>
      <x:c r="N202" s="125"/>
      <x:c r="O202" s="125"/>
      <x:c r="P202" s="125"/>
      <x:c r="Q202" s="125"/>
    </x:row>
    <x:row r="203">
      <x:c r="A203" s="125"/>
      <x:c r="B203" s="125"/>
      <x:c r="C203" s="125"/>
      <x:c r="D203" s="125"/>
      <x:c r="E203" s="125"/>
      <x:c r="F203" s="125"/>
      <x:c r="G203" s="125"/>
      <x:c r="H203" s="125"/>
      <x:c r="I203" s="125"/>
      <x:c r="J203" s="125"/>
      <x:c r="K203" s="125"/>
      <x:c r="L203" s="125"/>
      <x:c r="M203" s="125"/>
      <x:c r="N203" s="125"/>
      <x:c r="O203" s="125"/>
      <x:c r="P203" s="125"/>
      <x:c r="Q203" s="125"/>
    </x:row>
    <x:row r="204">
      <x:c r="A204" s="125"/>
      <x:c r="B204" s="125"/>
      <x:c r="C204" s="125"/>
      <x:c r="D204" s="125"/>
      <x:c r="E204" s="125"/>
      <x:c r="F204" s="125"/>
      <x:c r="G204" s="125"/>
      <x:c r="H204" s="125"/>
      <x:c r="I204" s="125"/>
      <x:c r="J204" s="125"/>
      <x:c r="K204" s="125"/>
      <x:c r="L204" s="125"/>
      <x:c r="M204" s="125"/>
      <x:c r="N204" s="125"/>
      <x:c r="O204" s="125"/>
      <x:c r="P204" s="125"/>
      <x:c r="Q204" s="125"/>
    </x:row>
    <x:row r="205">
      <x:c r="A205" s="125"/>
      <x:c r="B205" s="125"/>
      <x:c r="C205" s="125"/>
      <x:c r="D205" s="125"/>
      <x:c r="E205" s="125"/>
      <x:c r="F205" s="125"/>
      <x:c r="G205" s="125"/>
      <x:c r="H205" s="125"/>
      <x:c r="I205" s="125"/>
      <x:c r="J205" s="125"/>
      <x:c r="K205" s="125"/>
      <x:c r="L205" s="125"/>
      <x:c r="M205" s="125"/>
      <x:c r="N205" s="125"/>
      <x:c r="O205" s="125"/>
      <x:c r="P205" s="125"/>
      <x:c r="Q205" s="125"/>
    </x:row>
    <x:row r="206">
      <x:c r="A206" s="125"/>
      <x:c r="B206" s="125"/>
      <x:c r="C206" s="125"/>
      <x:c r="D206" s="125"/>
      <x:c r="E206" s="125"/>
      <x:c r="F206" s="125"/>
      <x:c r="G206" s="125"/>
      <x:c r="H206" s="125"/>
      <x:c r="I206" s="125"/>
      <x:c r="J206" s="125"/>
      <x:c r="K206" s="125"/>
      <x:c r="L206" s="125"/>
      <x:c r="M206" s="125"/>
      <x:c r="N206" s="125"/>
      <x:c r="O206" s="125"/>
      <x:c r="P206" s="125"/>
      <x:c r="Q206" s="125"/>
    </x:row>
    <x:row r="207">
      <x:c r="A207" s="125"/>
      <x:c r="B207" s="125"/>
      <x:c r="C207" s="125"/>
      <x:c r="D207" s="125"/>
      <x:c r="E207" s="125"/>
      <x:c r="F207" s="125"/>
      <x:c r="G207" s="125"/>
      <x:c r="H207" s="125"/>
      <x:c r="I207" s="125"/>
      <x:c r="J207" s="125"/>
      <x:c r="K207" s="125"/>
      <x:c r="L207" s="125"/>
      <x:c r="M207" s="125"/>
      <x:c r="N207" s="125"/>
      <x:c r="O207" s="125"/>
      <x:c r="P207" s="125"/>
      <x:c r="Q207" s="125"/>
    </x:row>
    <x:row r="208">
      <x:c r="A208" s="125"/>
      <x:c r="B208" s="125"/>
      <x:c r="C208" s="125"/>
      <x:c r="D208" s="125"/>
      <x:c r="E208" s="125"/>
      <x:c r="F208" s="125"/>
      <x:c r="G208" s="125"/>
      <x:c r="H208" s="125"/>
      <x:c r="I208" s="125"/>
      <x:c r="J208" s="125"/>
      <x:c r="K208" s="125"/>
      <x:c r="L208" s="125"/>
      <x:c r="M208" s="125"/>
      <x:c r="N208" s="125"/>
      <x:c r="O208" s="125"/>
      <x:c r="P208" s="125"/>
      <x:c r="Q208" s="125"/>
    </x:row>
    <x:row r="209">
      <x:c r="A209" s="125"/>
      <x:c r="B209" s="125"/>
      <x:c r="C209" s="125"/>
      <x:c r="D209" s="125"/>
      <x:c r="E209" s="125"/>
      <x:c r="F209" s="125"/>
      <x:c r="G209" s="125"/>
      <x:c r="H209" s="125"/>
      <x:c r="I209" s="125"/>
      <x:c r="J209" s="125"/>
      <x:c r="K209" s="125"/>
      <x:c r="L209" s="125"/>
      <x:c r="M209" s="125"/>
      <x:c r="N209" s="125"/>
      <x:c r="O209" s="125"/>
      <x:c r="P209" s="125"/>
      <x:c r="Q209" s="125"/>
    </x:row>
    <x:row r="210">
      <x:c r="A210" s="125"/>
      <x:c r="B210" s="125"/>
      <x:c r="C210" s="125"/>
      <x:c r="D210" s="125"/>
      <x:c r="E210" s="125"/>
      <x:c r="F210" s="125"/>
      <x:c r="G210" s="125"/>
      <x:c r="H210" s="125"/>
      <x:c r="I210" s="125"/>
      <x:c r="J210" s="125"/>
      <x:c r="K210" s="125"/>
      <x:c r="L210" s="125"/>
      <x:c r="M210" s="125"/>
      <x:c r="N210" s="125"/>
      <x:c r="O210" s="125"/>
      <x:c r="P210" s="125"/>
      <x:c r="Q210" s="125"/>
    </x:row>
    <x:row r="211">
      <x:c r="A211" s="125"/>
      <x:c r="B211" s="125"/>
      <x:c r="C211" s="125"/>
      <x:c r="D211" s="125"/>
      <x:c r="E211" s="125"/>
      <x:c r="F211" s="125"/>
      <x:c r="G211" s="125"/>
      <x:c r="H211" s="125"/>
      <x:c r="I211" s="125"/>
      <x:c r="J211" s="125"/>
      <x:c r="K211" s="125"/>
      <x:c r="L211" s="125"/>
      <x:c r="M211" s="125"/>
      <x:c r="N211" s="125"/>
      <x:c r="O211" s="125"/>
      <x:c r="P211" s="125"/>
      <x:c r="Q211" s="125"/>
    </x:row>
    <x:row r="212">
      <x:c r="A212" s="125"/>
      <x:c r="B212" s="125"/>
      <x:c r="C212" s="125"/>
      <x:c r="D212" s="125"/>
      <x:c r="E212" s="125"/>
      <x:c r="F212" s="125"/>
      <x:c r="G212" s="125"/>
      <x:c r="H212" s="125"/>
      <x:c r="I212" s="125"/>
      <x:c r="J212" s="125"/>
      <x:c r="K212" s="125"/>
      <x:c r="L212" s="125"/>
      <x:c r="M212" s="125"/>
      <x:c r="N212" s="125"/>
      <x:c r="O212" s="125"/>
      <x:c r="P212" s="125"/>
      <x:c r="Q212" s="125"/>
    </x:row>
    <x:row r="213">
      <x:c r="A213" s="125"/>
      <x:c r="B213" s="125"/>
      <x:c r="C213" s="125"/>
      <x:c r="D213" s="125"/>
      <x:c r="E213" s="125"/>
      <x:c r="F213" s="125"/>
      <x:c r="G213" s="125"/>
      <x:c r="H213" s="125"/>
      <x:c r="I213" s="125"/>
      <x:c r="J213" s="125"/>
      <x:c r="K213" s="125"/>
      <x:c r="L213" s="125"/>
      <x:c r="M213" s="125"/>
      <x:c r="N213" s="125"/>
      <x:c r="O213" s="125"/>
      <x:c r="P213" s="125"/>
      <x:c r="Q213" s="125"/>
    </x:row>
    <x:row r="214">
      <x:c r="A214" s="125"/>
      <x:c r="B214" s="125"/>
      <x:c r="C214" s="125"/>
      <x:c r="D214" s="125"/>
      <x:c r="E214" s="125"/>
      <x:c r="F214" s="125"/>
      <x:c r="G214" s="125"/>
      <x:c r="H214" s="125"/>
      <x:c r="I214" s="125"/>
      <x:c r="J214" s="125"/>
      <x:c r="K214" s="125"/>
      <x:c r="L214" s="125"/>
      <x:c r="M214" s="125"/>
      <x:c r="N214" s="125"/>
      <x:c r="O214" s="125"/>
      <x:c r="P214" s="125"/>
      <x:c r="Q214" s="125"/>
    </x:row>
    <x:row r="215">
      <x:c r="A215" s="125"/>
      <x:c r="B215" s="125"/>
      <x:c r="C215" s="125"/>
      <x:c r="D215" s="125"/>
      <x:c r="E215" s="125"/>
      <x:c r="F215" s="125"/>
      <x:c r="G215" s="125"/>
      <x:c r="H215" s="125"/>
      <x:c r="I215" s="125"/>
      <x:c r="J215" s="125"/>
      <x:c r="K215" s="125"/>
      <x:c r="L215" s="125"/>
      <x:c r="M215" s="125"/>
      <x:c r="N215" s="125"/>
      <x:c r="O215" s="125"/>
      <x:c r="P215" s="125"/>
      <x:c r="Q215" s="125"/>
    </x:row>
    <x:row r="216">
      <x:c r="A216" s="125"/>
      <x:c r="B216" s="125"/>
      <x:c r="C216" s="125"/>
      <x:c r="D216" s="125"/>
      <x:c r="E216" s="125"/>
      <x:c r="F216" s="125"/>
      <x:c r="G216" s="125"/>
      <x:c r="H216" s="125"/>
      <x:c r="I216" s="125"/>
      <x:c r="J216" s="125"/>
      <x:c r="K216" s="125"/>
      <x:c r="L216" s="125"/>
      <x:c r="M216" s="125"/>
      <x:c r="N216" s="125"/>
      <x:c r="O216" s="125"/>
      <x:c r="P216" s="125"/>
      <x:c r="Q216" s="125"/>
    </x:row>
    <x:row r="217">
      <x:c r="A217" s="125"/>
      <x:c r="B217" s="125"/>
      <x:c r="C217" s="125"/>
      <x:c r="D217" s="125"/>
      <x:c r="E217" s="125"/>
      <x:c r="F217" s="125"/>
      <x:c r="G217" s="125"/>
      <x:c r="H217" s="125"/>
      <x:c r="I217" s="125"/>
      <x:c r="J217" s="125"/>
      <x:c r="K217" s="125"/>
      <x:c r="L217" s="125"/>
      <x:c r="M217" s="125"/>
      <x:c r="N217" s="125"/>
      <x:c r="O217" s="125"/>
      <x:c r="P217" s="125"/>
      <x:c r="Q217" s="125"/>
    </x:row>
    <x:row r="218">
      <x:c r="A218" s="125"/>
      <x:c r="B218" s="125"/>
      <x:c r="C218" s="125"/>
      <x:c r="D218" s="125"/>
      <x:c r="E218" s="125"/>
      <x:c r="F218" s="125"/>
      <x:c r="G218" s="125"/>
      <x:c r="H218" s="125"/>
      <x:c r="I218" s="125"/>
      <x:c r="J218" s="125"/>
      <x:c r="K218" s="125"/>
      <x:c r="L218" s="125"/>
      <x:c r="M218" s="125"/>
      <x:c r="N218" s="125"/>
      <x:c r="O218" s="125"/>
      <x:c r="P218" s="125"/>
      <x:c r="Q218" s="125"/>
    </x:row>
    <x:row r="219">
      <x:c r="A219" s="125"/>
      <x:c r="B219" s="125"/>
      <x:c r="C219" s="125"/>
      <x:c r="D219" s="125"/>
      <x:c r="E219" s="125"/>
      <x:c r="F219" s="125"/>
      <x:c r="G219" s="125"/>
      <x:c r="H219" s="125"/>
      <x:c r="I219" s="125"/>
      <x:c r="J219" s="125"/>
      <x:c r="K219" s="125"/>
      <x:c r="L219" s="125"/>
      <x:c r="M219" s="125"/>
      <x:c r="N219" s="125"/>
      <x:c r="O219" s="125"/>
      <x:c r="P219" s="125"/>
      <x:c r="Q219" s="125"/>
    </x:row>
    <x:row r="220">
      <x:c r="A220" s="125"/>
      <x:c r="B220" s="125"/>
      <x:c r="C220" s="125"/>
      <x:c r="D220" s="125"/>
      <x:c r="E220" s="125"/>
      <x:c r="F220" s="125"/>
      <x:c r="G220" s="125"/>
      <x:c r="H220" s="125"/>
      <x:c r="I220" s="125"/>
      <x:c r="J220" s="125"/>
      <x:c r="K220" s="125"/>
      <x:c r="L220" s="125"/>
      <x:c r="M220" s="125"/>
      <x:c r="N220" s="125"/>
      <x:c r="O220" s="125"/>
      <x:c r="P220" s="125"/>
      <x:c r="Q220" s="125"/>
    </x:row>
    <x:row r="221">
      <x:c r="A221" s="125"/>
      <x:c r="B221" s="125"/>
      <x:c r="C221" s="125"/>
      <x:c r="D221" s="125"/>
      <x:c r="E221" s="125"/>
      <x:c r="F221" s="125"/>
      <x:c r="G221" s="125"/>
      <x:c r="H221" s="125"/>
      <x:c r="I221" s="125"/>
      <x:c r="J221" s="125"/>
      <x:c r="K221" s="125"/>
      <x:c r="L221" s="125"/>
      <x:c r="M221" s="125"/>
      <x:c r="N221" s="125"/>
      <x:c r="O221" s="125"/>
      <x:c r="P221" s="125"/>
      <x:c r="Q221" s="125"/>
    </x:row>
    <x:row r="222">
      <x:c r="A222" s="125"/>
      <x:c r="B222" s="125"/>
      <x:c r="C222" s="125"/>
      <x:c r="D222" s="125"/>
      <x:c r="E222" s="125"/>
      <x:c r="F222" s="125"/>
      <x:c r="G222" s="125"/>
      <x:c r="H222" s="125"/>
      <x:c r="I222" s="125"/>
      <x:c r="J222" s="125"/>
      <x:c r="K222" s="125"/>
      <x:c r="L222" s="125"/>
      <x:c r="M222" s="125"/>
      <x:c r="N222" s="125"/>
      <x:c r="O222" s="125"/>
      <x:c r="P222" s="125"/>
      <x:c r="Q222" s="125"/>
    </x:row>
    <x:row r="223">
      <x:c r="A223" s="125"/>
      <x:c r="B223" s="125"/>
      <x:c r="C223" s="125"/>
      <x:c r="D223" s="125"/>
      <x:c r="E223" s="125"/>
      <x:c r="F223" s="125"/>
      <x:c r="G223" s="125"/>
      <x:c r="H223" s="125"/>
      <x:c r="I223" s="125"/>
      <x:c r="J223" s="125"/>
      <x:c r="K223" s="125"/>
      <x:c r="L223" s="125"/>
      <x:c r="M223" s="125"/>
      <x:c r="N223" s="125"/>
      <x:c r="O223" s="125"/>
      <x:c r="P223" s="125"/>
      <x:c r="Q223" s="125"/>
    </x:row>
    <x:row r="224">
      <x:c r="A224" s="125"/>
      <x:c r="B224" s="125"/>
      <x:c r="C224" s="125"/>
      <x:c r="D224" s="125"/>
      <x:c r="E224" s="125"/>
      <x:c r="F224" s="125"/>
      <x:c r="G224" s="125"/>
      <x:c r="H224" s="125"/>
      <x:c r="I224" s="125"/>
      <x:c r="J224" s="125"/>
      <x:c r="K224" s="125"/>
      <x:c r="L224" s="125"/>
      <x:c r="M224" s="125"/>
      <x:c r="N224" s="125"/>
      <x:c r="O224" s="125"/>
      <x:c r="P224" s="125"/>
      <x:c r="Q224" s="125"/>
    </x:row>
    <x:row r="225">
      <x:c r="A225" s="125"/>
      <x:c r="B225" s="125"/>
      <x:c r="C225" s="125"/>
      <x:c r="D225" s="125"/>
      <x:c r="E225" s="125"/>
      <x:c r="F225" s="125"/>
      <x:c r="G225" s="125"/>
      <x:c r="H225" s="125"/>
      <x:c r="I225" s="125"/>
      <x:c r="J225" s="125"/>
      <x:c r="K225" s="125"/>
      <x:c r="L225" s="125"/>
      <x:c r="M225" s="125"/>
      <x:c r="N225" s="125"/>
      <x:c r="O225" s="125"/>
      <x:c r="P225" s="125"/>
      <x:c r="Q225" s="125"/>
    </x:row>
    <x:row r="226">
      <x:c r="A226" s="125"/>
      <x:c r="B226" s="125"/>
      <x:c r="C226" s="125"/>
      <x:c r="D226" s="125"/>
      <x:c r="E226" s="125"/>
      <x:c r="F226" s="125"/>
      <x:c r="G226" s="125"/>
      <x:c r="H226" s="125"/>
      <x:c r="I226" s="125"/>
      <x:c r="J226" s="125"/>
      <x:c r="K226" s="125"/>
      <x:c r="L226" s="125"/>
      <x:c r="M226" s="125"/>
      <x:c r="N226" s="125"/>
      <x:c r="O226" s="125"/>
      <x:c r="P226" s="125"/>
      <x:c r="Q226" s="125"/>
    </x:row>
    <x:row r="227">
      <x:c r="A227" s="125"/>
      <x:c r="B227" s="125"/>
      <x:c r="C227" s="125"/>
      <x:c r="D227" s="125"/>
      <x:c r="E227" s="125"/>
      <x:c r="F227" s="125"/>
      <x:c r="G227" s="125"/>
      <x:c r="H227" s="125"/>
      <x:c r="I227" s="125"/>
      <x:c r="J227" s="125"/>
      <x:c r="K227" s="125"/>
      <x:c r="L227" s="125"/>
      <x:c r="M227" s="125"/>
      <x:c r="N227" s="125"/>
      <x:c r="O227" s="125"/>
      <x:c r="P227" s="125"/>
      <x:c r="Q227" s="125"/>
    </x:row>
    <x:row r="228">
      <x:c r="A228" s="125"/>
      <x:c r="B228" s="125"/>
      <x:c r="C228" s="125"/>
      <x:c r="D228" s="125"/>
      <x:c r="E228" s="125"/>
      <x:c r="F228" s="125"/>
      <x:c r="G228" s="125"/>
      <x:c r="H228" s="125"/>
      <x:c r="I228" s="125"/>
      <x:c r="J228" s="125"/>
      <x:c r="K228" s="125"/>
      <x:c r="L228" s="125"/>
      <x:c r="M228" s="125"/>
      <x:c r="N228" s="125"/>
      <x:c r="O228" s="125"/>
      <x:c r="P228" s="125"/>
      <x:c r="Q228" s="125"/>
    </x:row>
    <x:row r="229">
      <x:c r="A229" s="125"/>
      <x:c r="B229" s="125"/>
      <x:c r="C229" s="125"/>
      <x:c r="D229" s="125"/>
      <x:c r="E229" s="125"/>
      <x:c r="F229" s="125"/>
      <x:c r="G229" s="125"/>
      <x:c r="H229" s="125"/>
      <x:c r="I229" s="125"/>
      <x:c r="J229" s="125"/>
      <x:c r="K229" s="125"/>
      <x:c r="L229" s="125"/>
      <x:c r="M229" s="125"/>
      <x:c r="N229" s="125"/>
      <x:c r="O229" s="125"/>
      <x:c r="P229" s="125"/>
      <x:c r="Q229" s="125"/>
    </x:row>
    <x:row r="230">
      <x:c r="A230" s="125"/>
      <x:c r="B230" s="125"/>
      <x:c r="C230" s="125"/>
      <x:c r="D230" s="125"/>
      <x:c r="E230" s="125"/>
      <x:c r="F230" s="125"/>
      <x:c r="G230" s="125"/>
      <x:c r="H230" s="125"/>
      <x:c r="I230" s="125"/>
      <x:c r="J230" s="125"/>
      <x:c r="K230" s="125"/>
      <x:c r="L230" s="125"/>
      <x:c r="M230" s="125"/>
      <x:c r="N230" s="125"/>
      <x:c r="O230" s="125"/>
      <x:c r="P230" s="125"/>
      <x:c r="Q230" s="125"/>
    </x:row>
    <x:row r="231">
      <x:c r="A231" s="125"/>
      <x:c r="B231" s="125"/>
      <x:c r="C231" s="125"/>
      <x:c r="D231" s="125"/>
      <x:c r="E231" s="125"/>
      <x:c r="F231" s="125"/>
      <x:c r="G231" s="125"/>
      <x:c r="H231" s="125"/>
      <x:c r="I231" s="125"/>
      <x:c r="J231" s="125"/>
      <x:c r="K231" s="125"/>
      <x:c r="L231" s="125"/>
      <x:c r="M231" s="125"/>
      <x:c r="N231" s="125"/>
      <x:c r="O231" s="125"/>
      <x:c r="P231" s="125"/>
      <x:c r="Q231" s="125"/>
    </x:row>
    <x:row r="232">
      <x:c r="A232" s="125"/>
      <x:c r="B232" s="125"/>
      <x:c r="C232" s="125"/>
      <x:c r="D232" s="125"/>
      <x:c r="E232" s="125"/>
      <x:c r="F232" s="125"/>
      <x:c r="G232" s="125"/>
      <x:c r="H232" s="125"/>
      <x:c r="I232" s="125"/>
      <x:c r="J232" s="125"/>
      <x:c r="K232" s="125"/>
      <x:c r="L232" s="125"/>
      <x:c r="M232" s="125"/>
      <x:c r="N232" s="125"/>
      <x:c r="O232" s="125"/>
      <x:c r="P232" s="125"/>
      <x:c r="Q232" s="125"/>
    </x:row>
    <x:row r="233">
      <x:c r="A233" s="125"/>
      <x:c r="B233" s="125"/>
      <x:c r="C233" s="125"/>
      <x:c r="D233" s="125"/>
      <x:c r="E233" s="125"/>
      <x:c r="F233" s="125"/>
      <x:c r="G233" s="125"/>
      <x:c r="H233" s="125"/>
      <x:c r="I233" s="125"/>
      <x:c r="J233" s="125"/>
      <x:c r="K233" s="125"/>
      <x:c r="L233" s="125"/>
      <x:c r="M233" s="125"/>
      <x:c r="N233" s="125"/>
      <x:c r="O233" s="125"/>
      <x:c r="P233" s="125"/>
      <x:c r="Q233" s="125"/>
    </x:row>
    <x:row r="234">
      <x:c r="A234" s="125"/>
      <x:c r="B234" s="125"/>
      <x:c r="C234" s="125"/>
      <x:c r="D234" s="125"/>
      <x:c r="E234" s="125"/>
      <x:c r="F234" s="125"/>
      <x:c r="G234" s="125"/>
      <x:c r="H234" s="125"/>
      <x:c r="I234" s="125"/>
      <x:c r="J234" s="125"/>
      <x:c r="K234" s="125"/>
      <x:c r="L234" s="125"/>
      <x:c r="M234" s="125"/>
      <x:c r="N234" s="125"/>
      <x:c r="O234" s="125"/>
      <x:c r="P234" s="125"/>
      <x:c r="Q234" s="125"/>
    </x:row>
    <x:row r="235">
      <x:c r="A235" s="125"/>
      <x:c r="B235" s="125"/>
      <x:c r="C235" s="125"/>
      <x:c r="D235" s="125"/>
      <x:c r="E235" s="125"/>
      <x:c r="F235" s="125"/>
      <x:c r="G235" s="125"/>
      <x:c r="H235" s="125"/>
      <x:c r="I235" s="125"/>
      <x:c r="J235" s="125"/>
      <x:c r="K235" s="125"/>
      <x:c r="L235" s="125"/>
      <x:c r="M235" s="125"/>
      <x:c r="N235" s="125"/>
      <x:c r="O235" s="125"/>
      <x:c r="P235" s="125"/>
      <x:c r="Q235" s="125"/>
    </x:row>
    <x:row r="236">
      <x:c r="A236" s="125"/>
      <x:c r="B236" s="125"/>
      <x:c r="C236" s="125"/>
      <x:c r="D236" s="125"/>
      <x:c r="E236" s="125"/>
      <x:c r="F236" s="125"/>
      <x:c r="G236" s="125"/>
      <x:c r="H236" s="125"/>
      <x:c r="I236" s="125"/>
      <x:c r="J236" s="125"/>
      <x:c r="K236" s="125"/>
      <x:c r="L236" s="125"/>
      <x:c r="M236" s="125"/>
      <x:c r="N236" s="125"/>
      <x:c r="O236" s="125"/>
      <x:c r="P236" s="125"/>
      <x:c r="Q236" s="125"/>
    </x:row>
    <x:row r="237">
      <x:c r="A237" s="125"/>
      <x:c r="B237" s="125"/>
      <x:c r="C237" s="125"/>
      <x:c r="D237" s="125"/>
      <x:c r="E237" s="125"/>
      <x:c r="F237" s="125"/>
      <x:c r="G237" s="125"/>
      <x:c r="H237" s="125"/>
      <x:c r="I237" s="125"/>
      <x:c r="J237" s="125"/>
      <x:c r="K237" s="125"/>
      <x:c r="L237" s="125"/>
      <x:c r="M237" s="125"/>
      <x:c r="N237" s="125"/>
      <x:c r="O237" s="125"/>
      <x:c r="P237" s="125"/>
      <x:c r="Q237" s="125"/>
    </x:row>
    <x:row r="238">
      <x:c r="A238" s="125"/>
      <x:c r="B238" s="125"/>
      <x:c r="C238" s="125"/>
      <x:c r="D238" s="125"/>
      <x:c r="E238" s="125"/>
      <x:c r="F238" s="125"/>
      <x:c r="G238" s="125"/>
      <x:c r="H238" s="125"/>
      <x:c r="I238" s="125"/>
      <x:c r="J238" s="125"/>
      <x:c r="K238" s="125"/>
      <x:c r="L238" s="125"/>
      <x:c r="M238" s="125"/>
      <x:c r="N238" s="125"/>
      <x:c r="O238" s="125"/>
      <x:c r="P238" s="125"/>
      <x:c r="Q238" s="125"/>
    </x:row>
    <x:row r="239">
      <x:c r="A239" s="125"/>
      <x:c r="B239" s="125"/>
      <x:c r="C239" s="125"/>
      <x:c r="D239" s="125"/>
      <x:c r="E239" s="125"/>
      <x:c r="F239" s="125"/>
      <x:c r="G239" s="125"/>
      <x:c r="H239" s="125"/>
      <x:c r="I239" s="125"/>
      <x:c r="J239" s="125"/>
      <x:c r="K239" s="125"/>
      <x:c r="L239" s="125"/>
      <x:c r="M239" s="125"/>
      <x:c r="N239" s="125"/>
      <x:c r="O239" s="125"/>
      <x:c r="P239" s="125"/>
      <x:c r="Q239" s="125"/>
    </x:row>
    <x:row r="240">
      <x:c r="A240" s="125"/>
      <x:c r="B240" s="125"/>
      <x:c r="C240" s="125"/>
      <x:c r="D240" s="125"/>
      <x:c r="E240" s="125"/>
      <x:c r="F240" s="125"/>
      <x:c r="G240" s="125"/>
      <x:c r="H240" s="125"/>
      <x:c r="I240" s="125"/>
      <x:c r="J240" s="125"/>
      <x:c r="K240" s="125"/>
      <x:c r="L240" s="125"/>
      <x:c r="M240" s="125"/>
      <x:c r="N240" s="125"/>
      <x:c r="O240" s="125"/>
      <x:c r="P240" s="125"/>
      <x:c r="Q240" s="125"/>
    </x:row>
    <x:row r="241">
      <x:c r="A241" s="125"/>
      <x:c r="B241" s="125"/>
      <x:c r="C241" s="125"/>
      <x:c r="D241" s="125"/>
      <x:c r="E241" s="125"/>
      <x:c r="F241" s="125"/>
      <x:c r="G241" s="125"/>
      <x:c r="H241" s="125"/>
      <x:c r="I241" s="125"/>
      <x:c r="J241" s="125"/>
      <x:c r="K241" s="125"/>
      <x:c r="L241" s="125"/>
      <x:c r="M241" s="125"/>
      <x:c r="N241" s="125"/>
      <x:c r="O241" s="125"/>
      <x:c r="P241" s="125"/>
      <x:c r="Q241" s="125"/>
    </x:row>
    <x:row r="242">
      <x:c r="A242" s="125"/>
      <x:c r="B242" s="125"/>
      <x:c r="C242" s="125"/>
      <x:c r="D242" s="125"/>
      <x:c r="E242" s="125"/>
      <x:c r="F242" s="125"/>
      <x:c r="G242" s="125"/>
      <x:c r="H242" s="125"/>
      <x:c r="I242" s="125"/>
      <x:c r="J242" s="125"/>
      <x:c r="K242" s="125"/>
      <x:c r="L242" s="125"/>
      <x:c r="M242" s="125"/>
      <x:c r="N242" s="125"/>
      <x:c r="O242" s="125"/>
      <x:c r="P242" s="125"/>
      <x:c r="Q242" s="125"/>
    </x:row>
    <x:row r="243">
      <x:c r="A243" s="125"/>
      <x:c r="B243" s="125"/>
      <x:c r="C243" s="125"/>
      <x:c r="D243" s="125"/>
      <x:c r="E243" s="125"/>
      <x:c r="F243" s="125"/>
      <x:c r="G243" s="125"/>
      <x:c r="H243" s="125"/>
      <x:c r="I243" s="125"/>
      <x:c r="J243" s="125"/>
      <x:c r="K243" s="125"/>
      <x:c r="L243" s="125"/>
      <x:c r="M243" s="125"/>
      <x:c r="N243" s="125"/>
      <x:c r="O243" s="125"/>
      <x:c r="P243" s="125"/>
      <x:c r="Q243" s="125"/>
    </x:row>
    <x:row r="244">
      <x:c r="A244" s="125"/>
      <x:c r="B244" s="125"/>
      <x:c r="C244" s="125"/>
      <x:c r="D244" s="125"/>
      <x:c r="E244" s="125"/>
      <x:c r="F244" s="125"/>
      <x:c r="G244" s="125"/>
      <x:c r="H244" s="125"/>
      <x:c r="I244" s="125"/>
      <x:c r="J244" s="125"/>
      <x:c r="K244" s="125"/>
      <x:c r="L244" s="125"/>
      <x:c r="M244" s="125"/>
      <x:c r="N244" s="125"/>
      <x:c r="O244" s="125"/>
      <x:c r="P244" s="125"/>
      <x:c r="Q244" s="125"/>
    </x:row>
    <x:row r="245">
      <x:c r="A245" s="125"/>
      <x:c r="B245" s="125"/>
      <x:c r="C245" s="125"/>
      <x:c r="D245" s="125"/>
      <x:c r="E245" s="125"/>
      <x:c r="F245" s="125"/>
      <x:c r="G245" s="125"/>
      <x:c r="H245" s="125"/>
      <x:c r="I245" s="125"/>
      <x:c r="J245" s="125"/>
      <x:c r="K245" s="125"/>
      <x:c r="L245" s="125"/>
      <x:c r="M245" s="125"/>
      <x:c r="N245" s="125"/>
      <x:c r="O245" s="125"/>
      <x:c r="P245" s="125"/>
      <x:c r="Q245" s="125"/>
    </x:row>
    <x:row r="246">
      <x:c r="A246" s="125"/>
      <x:c r="B246" s="125"/>
      <x:c r="C246" s="125"/>
      <x:c r="D246" s="125"/>
      <x:c r="E246" s="125"/>
      <x:c r="F246" s="125"/>
      <x:c r="G246" s="125"/>
      <x:c r="H246" s="125"/>
      <x:c r="I246" s="125"/>
      <x:c r="J246" s="125"/>
      <x:c r="K246" s="125"/>
      <x:c r="L246" s="125"/>
      <x:c r="M246" s="125"/>
      <x:c r="N246" s="125"/>
      <x:c r="O246" s="125"/>
      <x:c r="P246" s="125"/>
      <x:c r="Q246" s="125"/>
    </x:row>
    <x:row r="247">
      <x:c r="A247" s="125"/>
      <x:c r="B247" s="125"/>
      <x:c r="C247" s="125"/>
      <x:c r="D247" s="125"/>
      <x:c r="E247" s="125"/>
      <x:c r="F247" s="125"/>
      <x:c r="G247" s="125"/>
      <x:c r="H247" s="125"/>
      <x:c r="I247" s="125"/>
      <x:c r="J247" s="125"/>
      <x:c r="K247" s="125"/>
      <x:c r="L247" s="125"/>
      <x:c r="M247" s="125"/>
      <x:c r="N247" s="125"/>
      <x:c r="O247" s="125"/>
      <x:c r="P247" s="125"/>
      <x:c r="Q247" s="125"/>
    </x:row>
    <x:row r="248">
      <x:c r="A248" s="125"/>
      <x:c r="B248" s="125"/>
      <x:c r="C248" s="125"/>
      <x:c r="D248" s="125"/>
      <x:c r="E248" s="125"/>
      <x:c r="F248" s="125"/>
      <x:c r="G248" s="125"/>
      <x:c r="H248" s="125"/>
      <x:c r="I248" s="125"/>
      <x:c r="J248" s="125"/>
      <x:c r="K248" s="125"/>
      <x:c r="L248" s="125"/>
      <x:c r="M248" s="125"/>
      <x:c r="N248" s="125"/>
      <x:c r="O248" s="125"/>
      <x:c r="P248" s="125"/>
      <x:c r="Q248" s="125"/>
    </x:row>
    <x:row r="249">
      <x:c r="A249" s="125"/>
      <x:c r="B249" s="125"/>
      <x:c r="C249" s="125"/>
      <x:c r="D249" s="125"/>
      <x:c r="E249" s="125"/>
      <x:c r="F249" s="125"/>
      <x:c r="G249" s="125"/>
      <x:c r="H249" s="125"/>
      <x:c r="I249" s="125"/>
      <x:c r="J249" s="125"/>
      <x:c r="K249" s="125"/>
      <x:c r="L249" s="125"/>
      <x:c r="M249" s="125"/>
      <x:c r="N249" s="125"/>
      <x:c r="O249" s="125"/>
      <x:c r="P249" s="125"/>
      <x:c r="Q249" s="125"/>
    </x:row>
    <x:row r="250">
      <x:c r="A250" s="125"/>
      <x:c r="B250" s="125"/>
      <x:c r="C250" s="125"/>
      <x:c r="D250" s="125"/>
      <x:c r="E250" s="125"/>
      <x:c r="F250" s="125"/>
      <x:c r="G250" s="125"/>
      <x:c r="H250" s="125"/>
      <x:c r="I250" s="125"/>
      <x:c r="J250" s="125"/>
      <x:c r="K250" s="125"/>
      <x:c r="L250" s="125"/>
      <x:c r="M250" s="125"/>
      <x:c r="N250" s="125"/>
      <x:c r="O250" s="125"/>
      <x:c r="P250" s="125"/>
      <x:c r="Q250" s="125"/>
    </x:row>
  </x:sheetData>
  <x:mergeCells>
    <x:mergeCell ref="A1:K1"/>
    <x:mergeCell ref="A2:K2"/>
    <x:mergeCell ref="A4:B4"/>
    <x:mergeCell ref="D4:E4"/>
    <x:mergeCell ref="G4:H4"/>
    <x:mergeCell ref="J4:K4"/>
    <x:mergeCell ref="A5:B6"/>
    <x:mergeCell ref="D5:E6"/>
    <x:mergeCell ref="G5:H6"/>
    <x:mergeCell ref="J5:K6"/>
    <x:mergeCell ref="A8:E8"/>
    <x:mergeCell ref="C9:E9"/>
    <x:mergeCell ref="C10:E10"/>
    <x:mergeCell ref="C11:E11"/>
    <x:mergeCell ref="C12:E12"/>
    <x:mergeCell ref="C13:E13"/>
    <x:mergeCell ref="C14:E14"/>
    <x:mergeCell ref="G8:K8"/>
    <x:mergeCell ref="G9:H9"/>
    <x:mergeCell ref="I9:K9"/>
    <x:mergeCell ref="G10:H10"/>
    <x:mergeCell ref="I10:K10"/>
    <x:mergeCell ref="G11:H11"/>
    <x:mergeCell ref="I11:K11"/>
    <x:mergeCell ref="G12:H12"/>
    <x:mergeCell ref="I12:K12"/>
    <x:mergeCell ref="G13:H13"/>
    <x:mergeCell ref="I13:K13"/>
    <x:mergeCell ref="G14:H14"/>
    <x:mergeCell ref="I14:K14"/>
    <x:mergeCell ref="G15:H15"/>
    <x:mergeCell ref="I15:K15"/>
    <x:mergeCell ref="G16:H16"/>
    <x:mergeCell ref="I16:K16"/>
    <x:mergeCell ref="A17:E17"/>
    <x:mergeCell ref="A19:B19"/>
    <x:mergeCell ref="D19:E19"/>
    <x:mergeCell ref="A20:B20"/>
    <x:mergeCell ref="D20:E20"/>
    <x:mergeCell ref="A21:B21"/>
    <x:mergeCell ref="D21:E21"/>
    <x:mergeCell ref="A22:B22"/>
    <x:mergeCell ref="D22:E22"/>
    <x:mergeCell ref="A23:B23"/>
    <x:mergeCell ref="D23:E23"/>
    <x:mergeCell ref="A24:B24"/>
    <x:mergeCell ref="D24:E24"/>
    <x:mergeCell ref="G18:K18"/>
    <x:mergeCell ref="G19:I19"/>
    <x:mergeCell ref="J19:K19"/>
    <x:mergeCell ref="G20:I20"/>
    <x:mergeCell ref="J20:K20"/>
    <x:mergeCell ref="G21:I21"/>
    <x:mergeCell ref="J21:K21"/>
    <x:mergeCell ref="G22:I22"/>
    <x:mergeCell ref="J22:K22"/>
    <x:mergeCell ref="G23:I23"/>
    <x:mergeCell ref="J23:K23"/>
    <x:mergeCell ref="A26:K26"/>
    <x:mergeCell ref="A27:K27"/>
    <x:mergeCell ref="A28:K28"/>
    <x:mergeCell ref="A29:K29"/>
    <x:mergeCell ref="A30:K30"/>
    <x:mergeCell ref="A31:K31"/>
    <x:mergeCell ref="A32:K32"/>
    <x:mergeCell ref="A34:K34"/>
    <x:mergeCell ref="A35:B35"/>
    <x:mergeCell ref="A36:B36"/>
    <x:mergeCell ref="A37:B38"/>
    <x:mergeCell ref="D35:E35"/>
    <x:mergeCell ref="D36:E36"/>
    <x:mergeCell ref="D37:E38"/>
    <x:mergeCell ref="G35:H35"/>
    <x:mergeCell ref="G36:H36"/>
    <x:mergeCell ref="G37:H38"/>
    <x:mergeCell ref="J35:K35"/>
    <x:mergeCell ref="J36:K36"/>
    <x:mergeCell ref="J37:K38"/>
    <x:mergeCell ref="A40:K41"/>
  </x:mergeCells>
  <x:pageMargins left="0.7" right="0.7" top="0.75" bottom="0.75" header="0.3" footer="0.3"/>
</x:worksheet>
</file>

<file path=xl/worksheets/sheet19.xml><?xml version="1.0" encoding="utf-8"?>
<x:worksheet xmlns:x="http://schemas.openxmlformats.org/spreadsheetml/2006/main">
  <x:sheetFormatPr defaultRowHeight="15"/>
  <x:cols>
    <x:col min="1" max="1" width="12.75" hidden="0" customWidth="1"/>
    <x:col min="2" max="2" width="12.880000114440918" hidden="0" customWidth="1"/>
    <x:col min="3" max="3" width="15.130000114440918" hidden="0" customWidth="1"/>
    <x:col min="4" max="4" width="21.8799991607666" hidden="0" customWidth="1"/>
    <x:col min="5" max="5" width="11.130000114440918" hidden="0" customWidth="1"/>
    <x:col min="6" max="6" width="10.380000114440918" hidden="0" customWidth="1"/>
    <x:col min="7" max="7" width="15.25" hidden="0" customWidth="1"/>
    <x:col min="8" max="8" width="14.630000114440918" hidden="0" customWidth="1"/>
    <x:col min="9" max="9" width="14.380000114440918" hidden="0" customWidth="1"/>
    <x:col min="10" max="10" width="6.880000114440918" hidden="0" customWidth="1"/>
    <x:col min="11" max="11" width="14.630000114440918" hidden="0" customWidth="1"/>
  </x:cols>
  <x:sheetData>
    <x:row r="1">
      <x:c r="A1" s="226" t="str">
        <x:v>Included_Status</x:v>
      </x:c>
      <x:c r="B1" s="226" t="str">
        <x:v>Property_Status</x:v>
      </x:c>
      <x:c r="C1" s="226" t="str">
        <x:v>Source_Confidence</x:v>
      </x:c>
      <x:c r="D1" s="226" t="str">
        <x:v>Review_Status</x:v>
      </x:c>
      <x:c r="E1" s="226" t="str">
        <x:v>Debt_Status</x:v>
      </x:c>
      <x:c r="F1" s="226" t="str">
        <x:v>Audit_Status</x:v>
      </x:c>
      <x:c r="G1" s="226" t="str">
        <x:v>Assumption_Status</x:v>
      </x:c>
      <x:c r="H1" s="226" t="str">
        <x:v>Availability_Status</x:v>
      </x:c>
      <x:c r="I1" s="226" t="str">
        <x:v>Yes_No_Unknown</x:v>
      </x:c>
      <x:c r="J1" s="226" t="str">
        <x:v>Severity</x:v>
      </x:c>
      <x:c r="K1" s="226" t="str">
        <x:v>Agreement_Status</x:v>
      </x:c>
    </x:row>
    <x:row r="2">
      <x:c r="A2" s="44" t="str">
        <x:v>Yes</x:v>
      </x:c>
      <x:c r="B2" s="44" t="str">
        <x:v>Active</x:v>
      </x:c>
      <x:c r="C2" s="44" t="str">
        <x:v>High</x:v>
      </x:c>
      <x:c r="D2" s="44" t="str">
        <x:v>Ready</x:v>
      </x:c>
      <x:c r="E2" s="44" t="str">
        <x:v>Ready</x:v>
      </x:c>
      <x:c r="F2" s="44" t="str">
        <x:v>PASS</x:v>
      </x:c>
      <x:c r="G2" s="44" t="str">
        <x:v>Open</x:v>
      </x:c>
      <x:c r="H2" s="44" t="str">
        <x:v>Yes</x:v>
      </x:c>
      <x:c r="I2" s="44" t="str">
        <x:v>Yes</x:v>
      </x:c>
      <x:c r="J2" s="44" t="str">
        <x:v>Low</x:v>
      </x:c>
      <x:c r="K2" s="44" t="str">
        <x:v>Reviewed</x:v>
      </x:c>
    </x:row>
    <x:row r="3">
      <x:c r="A3" s="44" t="str">
        <x:v>No</x:v>
      </x:c>
      <x:c r="B3" s="44" t="str">
        <x:v>New Dev</x:v>
      </x:c>
      <x:c r="C3" s="44" t="str">
        <x:v>Medium</x:v>
      </x:c>
      <x:c r="D3" s="44" t="str">
        <x:v>From v12 / review</x:v>
      </x:c>
      <x:c r="E3" s="44" t="str">
        <x:v>Partial</x:v>
      </x:c>
      <x:c r="F3" s="44" t="str">
        <x:v>OPEN</x:v>
      </x:c>
      <x:c r="G3" s="44" t="str">
        <x:v>Active</x:v>
      </x:c>
      <x:c r="H3" s="44" t="str">
        <x:v>No</x:v>
      </x:c>
      <x:c r="I3" s="44" t="str">
        <x:v>No</x:v>
      </x:c>
      <x:c r="J3" s="44" t="str">
        <x:v>Medium</x:v>
      </x:c>
      <x:c r="K3" s="44" t="str">
        <x:v>Partial</x:v>
      </x:c>
    </x:row>
    <x:row r="4">
      <x:c r="A4" s="44" t="str"/>
      <x:c r="B4" s="44" t="str">
        <x:v>Excluded</x:v>
      </x:c>
      <x:c r="C4" s="44" t="str">
        <x:v>Low</x:v>
      </x:c>
      <x:c r="D4" s="44" t="str">
        <x:v>From v12 Property Summary</x:v>
      </x:c>
      <x:c r="E4" s="44" t="str">
        <x:v>No Debt / N/A</x:v>
      </x:c>
      <x:c r="F4" s="44" t="str">
        <x:v>REVIEW</x:v>
      </x:c>
      <x:c r="G4" s="44" t="str">
        <x:v>Review</x:v>
      </x:c>
      <x:c r="H4" s="44" t="str">
        <x:v>Unknown</x:v>
      </x:c>
      <x:c r="I4" s="44" t="str">
        <x:v>Unknown</x:v>
      </x:c>
      <x:c r="J4" s="44" t="str">
        <x:v>High</x:v>
      </x:c>
      <x:c r="K4" s="44" t="str">
        <x:v>Not reviewed</x:v>
      </x:c>
    </x:row>
    <x:row r="5">
      <x:c r="A5" s="44" t="str"/>
      <x:c r="B5" s="44" t="str">
        <x:v>Future</x:v>
      </x:c>
      <x:c r="C5" s="44" t="str">
        <x:v>Conflict</x:v>
      </x:c>
      <x:c r="D5" s="44" t="str">
        <x:v>Updated source assumption</x:v>
      </x:c>
      <x:c r="E5" s="44" t="str">
        <x:v>Excluded</x:v>
      </x:c>
      <x:c r="F5" s="44" t="str">
        <x:v>FAIL</x:v>
      </x:c>
      <x:c r="G5" s="44" t="str">
        <x:v>Complete</x:v>
      </x:c>
      <x:c r="H5" s="44" t="str">
        <x:v>Partial</x:v>
      </x:c>
      <x:c r="I5" s="44" t="str"/>
      <x:c r="J5" s="44" t="str"/>
      <x:c r="K5" s="44" t="str"/>
    </x:row>
    <x:row r="6">
      <x:c r="A6" s="44" t="str"/>
      <x:c r="B6" s="44" t="str"/>
      <x:c r="C6" s="44" t="str">
        <x:v>Formula-linked</x:v>
      </x:c>
      <x:c r="D6" s="44" t="str">
        <x:v>Partial</x:v>
      </x:c>
      <x:c r="E6" s="44" t="str"/>
      <x:c r="F6" s="44" t="str">
        <x:v>PARTIAL</x:v>
      </x:c>
      <x:c r="G6" s="44" t="str"/>
      <x:c r="H6" s="44" t="str">
        <x:v>Conditional</x:v>
      </x:c>
      <x:c r="I6" s="44" t="str"/>
      <x:c r="J6" s="44" t="str"/>
      <x:c r="K6" s="44" t="str"/>
    </x:row>
    <x:row r="7">
      <x:c r="A7" s="44" t="str"/>
      <x:c r="B7" s="44" t="str"/>
      <x:c r="C7" s="44" t="str">
        <x:v>Source-linked</x:v>
      </x:c>
      <x:c r="D7" s="44" t="str">
        <x:v>Open</x:v>
      </x:c>
      <x:c r="E7" s="44" t="str"/>
      <x:c r="F7" s="44" t="str"/>
      <x:c r="G7" s="44" t="str"/>
      <x:c r="H7" s="44" t="str"/>
      <x:c r="I7" s="44" t="str"/>
      <x:c r="J7" s="44" t="str"/>
      <x:c r="K7" s="44" t="str"/>
    </x:row>
  </x:sheetData>
  <x:pageMargins left="0.7" right="0.7" top="0.75" bottom="0.75" header="0.3" footer="0.3"/>
</x:worksheet>
</file>